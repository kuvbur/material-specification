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3"/>
  </bookViews>
  <sheets>
    <sheet name="|Содержание|" sheetId="661" r:id="rId1"/>
    <sheet name="|Лог|" sheetId="721" state="hidden" r:id="rId2"/>
    <sheet name="Тест полы_экспл" sheetId="730" r:id="rId3"/>
    <sheet name="Пример плиты_спец" sheetId="656" r:id="rId4"/>
    <sheet name="Изделия_спец.И" sheetId="720" r:id="rId5"/>
    <sheet name="Ведомость отделки АБК_правила" sheetId="660" r:id="rId6"/>
    <sheet name="Из архикада_плиты" sheetId="711" r:id="rId7"/>
    <sheet name="сталь_км" sheetId="722" r:id="rId8"/>
    <sheet name="!System" sheetId="413" state="hidden" r:id="rId9"/>
  </sheets>
  <functionGroups builtInGroupCount="18"/>
  <definedNames>
    <definedName name="КЖ_сист_ЖБ_Плиты" localSheetId="6">'Из архикада_плиты'!$A$1:$H$30</definedName>
  </definedNames>
  <calcPr calcId="162913"/>
</workbook>
</file>

<file path=xl/calcChain.xml><?xml version="1.0" encoding="utf-8"?>
<calcChain xmlns="http://schemas.openxmlformats.org/spreadsheetml/2006/main">
  <c r="A12" i="720" l="1"/>
  <c r="A9" i="720"/>
  <c r="A10" i="720"/>
  <c r="A11" i="720"/>
  <c r="A13" i="720"/>
  <c r="A14" i="720"/>
  <c r="A6" i="720"/>
  <c r="A7" i="720" s="1"/>
  <c r="A8" i="720" s="1"/>
  <c r="D20" i="656"/>
  <c r="C20" i="656"/>
  <c r="E20" i="656"/>
  <c r="B20" i="656"/>
  <c r="D61" i="656" l="1"/>
  <c r="A61" i="656"/>
  <c r="A62" i="656" s="1"/>
  <c r="E60" i="656"/>
  <c r="E57" i="656"/>
  <c r="E58" i="656" s="1"/>
  <c r="E59" i="656" s="1"/>
  <c r="D38" i="656"/>
  <c r="A38" i="656"/>
  <c r="A39" i="656" s="1"/>
  <c r="E37" i="656"/>
  <c r="E34" i="656"/>
  <c r="E35" i="656" s="1"/>
  <c r="E36" i="656" s="1"/>
  <c r="E13" i="656"/>
  <c r="E10" i="656"/>
  <c r="E11" i="656" s="1"/>
  <c r="E12" i="656" s="1"/>
  <c r="D14" i="656"/>
  <c r="A14" i="656"/>
  <c r="A7" i="656" s="1"/>
  <c r="A6" i="656" s="1"/>
  <c r="A5" i="656" s="1"/>
  <c r="A4" i="656" s="1"/>
  <c r="A3" i="656" s="1"/>
  <c r="E5" i="656"/>
  <c r="H18" i="656"/>
  <c r="H17" i="656"/>
  <c r="H16" i="656"/>
  <c r="E4" i="656"/>
  <c r="H15" i="656"/>
  <c r="E7" i="656"/>
  <c r="E19" i="656" l="1"/>
  <c r="A54" i="656"/>
  <c r="A63" i="656"/>
  <c r="A56" i="656"/>
  <c r="A55" i="656"/>
  <c r="A40" i="656"/>
  <c r="A33" i="656"/>
  <c r="A32" i="656"/>
  <c r="A31" i="656"/>
  <c r="E6" i="656"/>
  <c r="E21" i="656"/>
  <c r="A15" i="656"/>
  <c r="A8" i="656" s="1"/>
  <c r="E54" i="656"/>
  <c r="E31" i="656"/>
  <c r="H19" i="656"/>
  <c r="E67" i="656" l="1"/>
  <c r="A53" i="656"/>
  <c r="A64" i="656"/>
  <c r="A57" i="656"/>
  <c r="E44" i="656"/>
  <c r="A30" i="656"/>
  <c r="A34" i="656"/>
  <c r="A41" i="656"/>
  <c r="A16" i="656"/>
  <c r="A9" i="656"/>
  <c r="E53" i="656" l="1"/>
  <c r="A52" i="656"/>
  <c r="A58" i="656"/>
  <c r="A65" i="656"/>
  <c r="E30" i="656"/>
  <c r="A29" i="656"/>
  <c r="A42" i="656"/>
  <c r="A35" i="656"/>
  <c r="A17" i="656"/>
  <c r="A10" i="656"/>
  <c r="E52" i="656"/>
  <c r="H62" i="656" s="1"/>
  <c r="H63" i="656"/>
  <c r="H65" i="656"/>
  <c r="E29" i="656"/>
  <c r="H64" i="656"/>
  <c r="H43" i="656"/>
  <c r="H66" i="656"/>
  <c r="H42" i="656"/>
  <c r="H39" i="656"/>
  <c r="A51" i="656" l="1"/>
  <c r="A66" i="656"/>
  <c r="A67" i="656" s="1"/>
  <c r="A59" i="656"/>
  <c r="A43" i="656"/>
  <c r="A44" i="656" s="1"/>
  <c r="A36" i="656"/>
  <c r="A28" i="656"/>
  <c r="A18" i="656"/>
  <c r="A11" i="656"/>
  <c r="H41" i="656"/>
  <c r="H40" i="656"/>
  <c r="E28" i="656"/>
  <c r="E51" i="656"/>
  <c r="E66" i="656" l="1"/>
  <c r="A50" i="656"/>
  <c r="A60" i="656"/>
  <c r="E43" i="656"/>
  <c r="A27" i="656"/>
  <c r="A37" i="656"/>
  <c r="A19" i="656"/>
  <c r="A12" i="656"/>
  <c r="A20" i="656" l="1"/>
  <c r="A21" i="656" s="1"/>
  <c r="A13" i="656"/>
</calcChain>
</file>

<file path=xl/comments1.xml><?xml version="1.0" encoding="utf-8"?>
<comments xmlns="http://schemas.openxmlformats.org/spreadsheetml/2006/main">
  <authors>
    <author>admin</author>
  </authors>
  <commentList>
    <comment ref="C21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44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67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</commentList>
</comments>
</file>

<file path=xl/connections.xml><?xml version="1.0" encoding="utf-8"?>
<connections xmlns="http://schemas.openxmlformats.org/spreadsheetml/2006/main">
  <connection id="1" name="КЖ_сист ЖБ Плиты" type="6" refreshedVersion="6" background="1" saveData="1">
    <textPr codePage="1251" sourceFile="D:\Рогожин ДА\prog\YandexDisk\Работа\material-specification\import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<sst xmlns="http://schemas.openxmlformats.org/spreadsheetml/2006/main" count="3303" uniqueCount="2577">
  <si>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</si>
  <si>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</si>
  <si>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</si>
  <si>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</si>
  <si>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</si>
  <si>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</si>
  <si>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</si>
  <si>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</si>
  <si>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</si>
  <si>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</si>
  <si>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</si>
  <si>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</si>
  <si>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</si>
  <si>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</si>
  <si>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</si>
  <si>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</si>
  <si>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</si>
  <si>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</si>
  <si>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</si>
  <si>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</si>
  <si>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</si>
  <si>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</si>
  <si>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</si>
  <si>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</si>
  <si>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</si>
  <si>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</si>
  <si>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</si>
  <si>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</si>
  <si>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</si>
  <si>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</si>
  <si>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</si>
  <si>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</si>
  <si>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</si>
  <si>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</si>
  <si>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</si>
  <si>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</si>
  <si>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</si>
  <si>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</si>
  <si>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</si>
  <si>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</si>
  <si>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</si>
  <si>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</si>
  <si>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</si>
  <si>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</si>
  <si>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</si>
  <si>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</si>
  <si>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</si>
  <si>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</si>
  <si>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</si>
  <si>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</si>
  <si>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</si>
  <si>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</si>
  <si>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</si>
  <si>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</si>
  <si>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</si>
  <si>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</si>
  <si>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</si>
  <si>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</si>
  <si>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</si>
  <si>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</si>
  <si>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</si>
  <si>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</si>
  <si>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</si>
  <si>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</si>
  <si>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</si>
  <si>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</si>
  <si>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</si>
  <si>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</si>
  <si>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</si>
  <si>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</si>
  <si>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</si>
  <si>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</si>
  <si>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</si>
  <si>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</si>
  <si>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</si>
  <si>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</si>
  <si>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</si>
  <si>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</si>
  <si>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</si>
  <si>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</si>
  <si>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</si>
  <si>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</si>
  <si>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</si>
  <si>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</si>
  <si>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</si>
  <si>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</si>
  <si>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</si>
  <si>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</si>
  <si>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</si>
  <si>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</si>
  <si>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</si>
  <si>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</si>
  <si>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</si>
  <si>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</si>
  <si>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</si>
  <si>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</si>
  <si>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</si>
  <si>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</si>
  <si>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</si>
  <si>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</si>
  <si>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</si>
  <si>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</si>
  <si>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</si>
  <si>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</si>
  <si>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</si>
  <si>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</si>
  <si>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</si>
  <si>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</si>
  <si>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</si>
  <si>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</si>
  <si>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</si>
  <si>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</si>
  <si>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</si>
  <si>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</si>
  <si>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</si>
  <si>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</si>
  <si>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</si>
  <si>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</si>
  <si>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</si>
  <si>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</si>
  <si>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</si>
  <si>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</si>
  <si>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</si>
  <si>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</si>
  <si>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</si>
  <si>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</si>
  <si>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</si>
  <si>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</si>
  <si>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</si>
  <si>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</si>
  <si>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</si>
  <si>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</si>
  <si>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</si>
  <si>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</si>
  <si>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</si>
  <si>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</si>
  <si>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</si>
  <si>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</si>
  <si>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</si>
  <si>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</si>
  <si>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</si>
  <si>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</si>
  <si>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</si>
  <si>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</si>
  <si>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</si>
  <si>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</si>
  <si>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</si>
  <si>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</si>
  <si>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</si>
  <si>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</si>
  <si>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</si>
  <si>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</si>
  <si>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</si>
  <si>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</si>
  <si>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</si>
  <si>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</si>
  <si>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</si>
  <si>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</si>
  <si>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</si>
  <si>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</si>
  <si>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</si>
  <si>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</si>
  <si>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</si>
  <si>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</si>
  <si>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</si>
  <si>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</si>
  <si>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</si>
  <si>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</si>
  <si>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</si>
  <si>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</si>
  <si>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</si>
  <si>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</si>
  <si>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</si>
  <si>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</si>
  <si>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</si>
  <si>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</si>
  <si>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</si>
  <si>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</si>
  <si>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</si>
  <si>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</si>
  <si>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</si>
  <si>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</si>
  <si>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</si>
  <si>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</si>
  <si>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</si>
  <si>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</si>
  <si>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</si>
  <si>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</si>
  <si>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</si>
  <si>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</si>
  <si>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</si>
  <si>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</si>
  <si>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</si>
  <si>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</si>
  <si>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</si>
  <si>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</si>
  <si>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</si>
  <si>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</si>
  <si>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</si>
  <si>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</si>
  <si>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</si>
  <si>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</si>
  <si>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</si>
  <si>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</si>
  <si>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</si>
  <si>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</si>
  <si>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</si>
  <si>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</si>
  <si>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</si>
  <si>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</si>
  <si>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</si>
  <si>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</si>
  <si>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</si>
  <si>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</si>
  <si>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</si>
  <si>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</si>
  <si>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</si>
  <si>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</si>
  <si>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</si>
  <si>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</si>
  <si>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</si>
  <si>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</si>
  <si>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</si>
  <si>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</si>
  <si>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</si>
  <si>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</si>
  <si>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</si>
  <si>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</si>
  <si>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</si>
  <si>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</si>
  <si>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</si>
  <si>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</si>
  <si>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</si>
  <si>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</si>
  <si>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</si>
  <si>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</si>
  <si>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</si>
  <si>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</si>
  <si>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</si>
  <si>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</si>
  <si>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</si>
  <si>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</si>
  <si>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</si>
  <si>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</si>
  <si>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</si>
  <si>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</si>
  <si>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</si>
  <si>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</si>
  <si>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</si>
  <si>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</si>
  <si>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</si>
  <si>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</si>
  <si>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</si>
  <si>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</si>
  <si>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</si>
  <si>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</si>
  <si>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</si>
  <si>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</si>
  <si>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</si>
  <si>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</si>
  <si>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</si>
  <si>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</si>
  <si>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</si>
  <si>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</si>
  <si>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</si>
  <si>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</si>
  <si>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</si>
  <si>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</si>
  <si>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</si>
  <si>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</si>
  <si>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</si>
  <si>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</si>
  <si>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</si>
  <si>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</si>
  <si>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</si>
  <si>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</si>
  <si>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</si>
  <si>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</si>
  <si>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</si>
  <si>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</si>
  <si>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</si>
  <si>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</si>
  <si>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</si>
  <si>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</si>
  <si>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</si>
  <si>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</si>
  <si>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</si>
  <si>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</si>
  <si>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</si>
  <si>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</si>
  <si>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</si>
  <si>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</si>
  <si>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</si>
  <si>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</si>
  <si>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</si>
  <si>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</si>
  <si>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</si>
  <si>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</si>
  <si>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</si>
  <si>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</si>
  <si>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</si>
  <si>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</si>
  <si>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</si>
  <si>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</si>
  <si>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</si>
  <si>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</si>
  <si>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</si>
  <si>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</si>
  <si>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</si>
  <si>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</si>
  <si>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</si>
  <si>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</si>
  <si>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</si>
  <si>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</si>
  <si>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</si>
  <si>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</si>
  <si>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</si>
  <si>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</si>
  <si>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</si>
  <si>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</si>
  <si>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</si>
  <si>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</si>
  <si>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</si>
  <si>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</si>
  <si>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</si>
  <si>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</si>
  <si>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</si>
  <si>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</si>
  <si>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</si>
  <si>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</si>
  <si>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</si>
  <si>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</si>
  <si>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</si>
  <si>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</si>
  <si>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</si>
  <si>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</si>
  <si>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</si>
  <si>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</si>
  <si>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</si>
  <si>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</si>
  <si>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</si>
  <si>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</si>
  <si>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</si>
  <si>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</si>
  <si>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</si>
  <si>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</si>
  <si>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</si>
  <si>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</si>
  <si>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</si>
  <si>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</si>
  <si>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</si>
  <si>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</si>
  <si>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</si>
  <si>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</si>
  <si>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</si>
  <si>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</si>
  <si>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</si>
  <si>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</si>
  <si>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</si>
  <si>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</si>
  <si>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</si>
  <si>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</si>
  <si>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</si>
  <si>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</si>
  <si>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</si>
  <si>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</si>
  <si>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</si>
  <si>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</si>
  <si>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</si>
  <si>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</si>
  <si>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</si>
  <si>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</si>
  <si>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</si>
  <si>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</si>
  <si>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</si>
  <si>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</si>
  <si>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</si>
  <si>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</si>
  <si>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</si>
  <si>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</si>
  <si>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</si>
  <si>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</si>
  <si>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</si>
  <si>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</si>
  <si>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</si>
  <si>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</si>
  <si>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</si>
  <si>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</si>
  <si>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</si>
  <si>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</si>
  <si>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</si>
  <si>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</si>
  <si>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</si>
  <si>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</si>
  <si>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</si>
  <si>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</si>
  <si>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</si>
  <si>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</si>
  <si>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</si>
  <si>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</si>
  <si>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</si>
  <si>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</si>
  <si>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</si>
  <si>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</si>
  <si>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</si>
  <si>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</si>
  <si>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</si>
  <si>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</si>
  <si>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</si>
  <si>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</si>
  <si>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</si>
  <si>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</si>
  <si>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</si>
  <si>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</si>
  <si>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</si>
  <si>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</si>
  <si>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</si>
  <si>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</si>
  <si>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</si>
  <si>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</si>
  <si>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</si>
  <si>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</si>
  <si>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</si>
  <si>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</si>
  <si>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</si>
  <si>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</si>
  <si>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</si>
  <si>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</si>
  <si>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</si>
  <si>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</si>
  <si>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</si>
  <si>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</si>
  <si>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</si>
  <si>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</si>
  <si>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</si>
  <si>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</si>
  <si>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</si>
  <si>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</si>
  <si>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</si>
  <si>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</si>
  <si>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</si>
  <si>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</si>
  <si>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</si>
  <si>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</si>
  <si>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</si>
  <si>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</si>
  <si>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</si>
  <si>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</si>
  <si>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</si>
  <si>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</si>
  <si>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</si>
  <si>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</si>
  <si>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</si>
  <si>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</si>
  <si>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</si>
  <si>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</si>
  <si>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</si>
  <si>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</si>
  <si>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</si>
  <si>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</si>
  <si>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</si>
  <si>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</si>
  <si>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</si>
  <si>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</si>
  <si>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</si>
  <si>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</si>
  <si>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</si>
  <si>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</si>
  <si>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</si>
  <si>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</si>
  <si>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</si>
  <si>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</si>
  <si>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</si>
  <si>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</si>
  <si>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</si>
  <si>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</si>
  <si>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</si>
  <si>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</si>
  <si>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</si>
  <si>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</si>
  <si>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</si>
  <si>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</si>
  <si>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</si>
  <si>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</si>
  <si>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</si>
  <si>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</si>
  <si>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</si>
  <si>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</si>
  <si>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</si>
  <si>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</si>
  <si>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</si>
  <si>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</si>
  <si>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</si>
  <si>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</si>
  <si>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</si>
  <si>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</si>
  <si>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</si>
  <si>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</si>
  <si>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</si>
  <si>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</si>
  <si>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</si>
  <si>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</si>
  <si>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</si>
  <si>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</si>
  <si>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</si>
  <si>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</si>
  <si>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</si>
  <si>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</si>
  <si>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</si>
  <si>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</si>
  <si>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</si>
  <si>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</si>
  <si>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</si>
  <si>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</si>
  <si>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</si>
  <si>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</si>
  <si>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</si>
  <si>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</si>
  <si>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</si>
  <si>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</si>
  <si>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</si>
  <si>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</si>
  <si>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</si>
  <si>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</si>
  <si>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</si>
  <si>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</si>
  <si>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</si>
  <si>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</si>
  <si>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</si>
  <si>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</si>
  <si>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</si>
  <si>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</si>
  <si>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</si>
  <si>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</si>
  <si>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</si>
  <si>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</si>
  <si>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</si>
  <si>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</si>
  <si>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</si>
  <si>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</si>
  <si>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</si>
  <si>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</si>
  <si>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</si>
  <si>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</si>
  <si>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</si>
  <si>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</si>
  <si>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</si>
  <si>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</si>
  <si>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</si>
  <si>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</si>
  <si>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</si>
  <si>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</si>
  <si>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</si>
  <si>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</si>
  <si>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</si>
  <si>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</si>
  <si>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</si>
  <si>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</si>
  <si>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</si>
  <si>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</si>
  <si>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</si>
  <si>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</si>
  <si>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</si>
  <si>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</si>
  <si>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</si>
  <si>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</si>
  <si>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</si>
  <si>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</si>
  <si>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</si>
  <si>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</si>
  <si>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</si>
  <si>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</si>
  <si>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</si>
  <si>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</si>
  <si>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</si>
  <si>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</si>
  <si>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</si>
  <si>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</si>
  <si>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</si>
  <si>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</si>
  <si>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</si>
  <si>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</si>
  <si>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</si>
  <si>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</si>
  <si>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</si>
  <si>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</si>
  <si>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</si>
  <si>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</si>
  <si>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</si>
  <si>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</si>
  <si>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</si>
  <si>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</si>
  <si>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</si>
  <si>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</si>
  <si>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</si>
  <si>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</si>
  <si>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</si>
  <si>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</si>
  <si>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</si>
  <si>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</si>
  <si>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</si>
  <si>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</si>
  <si>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</si>
  <si>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</si>
  <si>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</si>
  <si>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</si>
  <si>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</si>
  <si>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</si>
  <si>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</si>
  <si>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</si>
  <si>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</si>
  <si>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</si>
  <si>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</si>
  <si>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</si>
  <si>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</si>
  <si>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</si>
  <si>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</si>
  <si>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</si>
  <si>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</si>
  <si>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</si>
  <si>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</si>
  <si>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</si>
  <si>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</si>
  <si>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</si>
  <si>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</si>
  <si>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</si>
  <si>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</si>
  <si>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</si>
  <si>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</si>
  <si>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</si>
  <si>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</si>
  <si>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</si>
  <si>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</si>
  <si>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</si>
  <si>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</si>
  <si>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</si>
  <si>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</si>
  <si>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</si>
  <si>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</si>
  <si>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</si>
  <si>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</si>
  <si>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</si>
  <si>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</si>
  <si>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</si>
  <si>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</si>
  <si>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</si>
  <si>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</si>
  <si>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</si>
  <si>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</si>
  <si>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</si>
  <si>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</si>
  <si>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</si>
  <si>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</si>
  <si>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</si>
  <si>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</si>
  <si>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</si>
  <si>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</si>
  <si>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</si>
  <si>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</si>
  <si>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</si>
  <si>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</si>
  <si>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</si>
  <si>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</si>
  <si>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</si>
  <si>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</si>
  <si>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</si>
  <si>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</si>
  <si>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</si>
  <si>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</si>
  <si>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</si>
  <si>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</si>
  <si>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</si>
  <si>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</si>
  <si>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</si>
  <si>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</si>
  <si>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</si>
  <si>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</si>
  <si>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</si>
  <si>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</si>
  <si>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</si>
  <si>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</si>
  <si>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</si>
  <si>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</si>
  <si>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</si>
  <si>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</si>
  <si>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</si>
  <si>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</si>
  <si>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</si>
  <si>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</si>
  <si>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</si>
  <si>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</si>
  <si>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</si>
  <si>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</si>
  <si>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</si>
  <si>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</si>
  <si>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</si>
  <si>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</si>
  <si>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</si>
  <si>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</si>
  <si>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</si>
  <si>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</si>
  <si>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</si>
  <si>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</si>
  <si>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</si>
  <si>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</si>
  <si>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</si>
  <si>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</si>
  <si>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</si>
  <si>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</si>
  <si>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</si>
  <si>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</si>
  <si>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</si>
  <si>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</si>
  <si>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</si>
  <si>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</si>
  <si>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</si>
  <si>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</si>
  <si>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</si>
  <si>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</si>
  <si>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</si>
  <si>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</si>
  <si>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</si>
  <si>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</si>
  <si>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</si>
  <si>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</si>
  <si>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</si>
  <si>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</si>
  <si>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</si>
  <si>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</si>
  <si>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</si>
  <si>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</si>
  <si>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</si>
  <si>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</si>
  <si>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</si>
  <si>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</si>
  <si>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</si>
  <si>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</si>
  <si>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</si>
  <si>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</si>
  <si>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</si>
  <si>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</si>
  <si>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</si>
  <si>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</si>
  <si>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</si>
  <si>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</si>
  <si>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</si>
  <si>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</si>
  <si>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</si>
  <si>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</si>
  <si>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</si>
  <si>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</si>
  <si>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</si>
  <si>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</si>
  <si>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</si>
  <si>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</si>
  <si>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</si>
  <si>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</si>
  <si>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</si>
  <si>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</si>
  <si>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</si>
  <si>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</si>
  <si>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</si>
  <si>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</si>
  <si>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</si>
  <si>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</si>
  <si>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</si>
  <si>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</si>
  <si>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</si>
  <si>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</si>
  <si>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</si>
  <si>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</si>
  <si>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</si>
  <si>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</si>
  <si>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</si>
  <si>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</si>
  <si>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</si>
  <si>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</si>
  <si>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</si>
  <si>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</si>
  <si>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</si>
  <si>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</si>
  <si>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</si>
  <si>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</si>
  <si>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</si>
  <si>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</si>
  <si>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</si>
  <si>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</si>
  <si>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</si>
  <si>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</si>
  <si>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</si>
  <si>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</si>
  <si>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</si>
  <si>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</si>
  <si>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</si>
  <si>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</si>
  <si>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</si>
  <si>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</si>
  <si>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</si>
  <si>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</si>
  <si>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</si>
  <si>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</si>
  <si>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</si>
  <si>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</si>
  <si>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</si>
  <si>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</si>
  <si>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</si>
  <si>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</si>
  <si>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</si>
  <si>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</si>
  <si>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</si>
  <si>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</si>
  <si>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</si>
  <si>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</si>
  <si>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</si>
  <si>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</si>
  <si>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</si>
  <si>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</si>
  <si>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</si>
  <si>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</si>
  <si>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</si>
  <si>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</si>
  <si>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</si>
  <si>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</si>
  <si>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</si>
  <si>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</si>
  <si>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</si>
  <si>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</si>
  <si>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</si>
  <si>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</si>
  <si>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</si>
  <si>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</si>
  <si>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</si>
  <si>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</si>
  <si>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</si>
  <si>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</si>
  <si>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</si>
  <si>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</si>
  <si>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</si>
  <si>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</si>
  <si>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</si>
  <si>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</si>
  <si>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</si>
  <si>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</si>
  <si>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</si>
  <si>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</si>
  <si>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</si>
  <si>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</si>
  <si>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</si>
  <si>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</si>
  <si>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</si>
  <si>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</si>
  <si>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</si>
  <si>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</si>
  <si>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</si>
  <si>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</si>
  <si>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</si>
  <si>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</si>
  <si>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</si>
  <si>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</si>
  <si>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</si>
  <si>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</si>
  <si>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</si>
  <si>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</si>
  <si>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</si>
  <si>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</si>
  <si>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</si>
  <si>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</si>
  <si>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</si>
  <si>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</si>
  <si>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</si>
  <si>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</si>
  <si>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</si>
  <si>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</si>
  <si>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</si>
  <si>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</si>
  <si>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</si>
  <si>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</si>
  <si>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</si>
  <si>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</si>
  <si>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</si>
  <si>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</si>
  <si>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</si>
  <si>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</si>
  <si>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</si>
  <si>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</si>
  <si>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</si>
  <si>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</si>
  <si>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</si>
  <si>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</si>
  <si>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</si>
  <si>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</si>
  <si>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</si>
  <si>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</si>
  <si>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</si>
  <si>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</si>
  <si>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</si>
  <si>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</si>
  <si>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</si>
  <si>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</si>
  <si>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</si>
  <si>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</si>
  <si>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</si>
  <si>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</si>
  <si>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</si>
  <si>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</si>
  <si>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</si>
  <si>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</si>
  <si>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</si>
  <si>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</si>
  <si>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</si>
  <si>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</si>
  <si>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</si>
  <si>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</si>
  <si>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</si>
  <si>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</si>
  <si>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</si>
  <si>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</si>
  <si>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</si>
  <si>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</si>
  <si>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</si>
  <si>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</si>
  <si>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</si>
  <si>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</si>
  <si>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</si>
  <si>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</si>
  <si>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</si>
  <si>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</si>
  <si>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</si>
  <si>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</si>
  <si>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</si>
  <si>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</si>
  <si>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</si>
  <si>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</si>
  <si>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</si>
  <si>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</si>
  <si>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</si>
  <si>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</si>
  <si>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</si>
  <si>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</si>
  <si>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</si>
  <si>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</si>
  <si>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</si>
  <si>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</si>
  <si>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</si>
  <si>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</si>
  <si>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</si>
  <si>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</si>
  <si>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</si>
  <si>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</si>
  <si>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</si>
  <si>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</si>
  <si>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</si>
  <si>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</si>
  <si>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</si>
  <si>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</si>
  <si>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</si>
  <si>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</si>
  <si>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</si>
  <si>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</si>
  <si>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</si>
  <si>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</si>
  <si>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</si>
  <si>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</si>
  <si>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</si>
  <si>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</si>
  <si>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</si>
  <si>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</si>
  <si>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</si>
  <si>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</si>
  <si>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</si>
  <si>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</si>
  <si>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</si>
  <si>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</si>
  <si>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</si>
  <si>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</si>
  <si>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</si>
  <si>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</si>
  <si>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</si>
  <si>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</si>
  <si>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</si>
  <si>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</si>
  <si>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</si>
  <si>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</si>
  <si>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</si>
  <si>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</si>
  <si>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</si>
  <si>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</si>
  <si>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</si>
  <si>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</si>
  <si>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</si>
  <si>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</si>
  <si>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</si>
  <si>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</si>
  <si>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</si>
  <si>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</si>
  <si>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</si>
  <si>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</si>
  <si>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</si>
  <si>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</si>
  <si>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</si>
  <si>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</si>
  <si>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</si>
  <si>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</si>
  <si>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</si>
  <si>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</si>
  <si>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</si>
  <si>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</si>
  <si>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</si>
  <si>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</si>
  <si>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</si>
  <si>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</si>
  <si>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</si>
  <si>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</si>
  <si>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</si>
  <si>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</si>
  <si>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</si>
  <si>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</si>
  <si>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</si>
  <si>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</si>
  <si>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</si>
  <si>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</si>
  <si>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</si>
  <si>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</si>
  <si>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</si>
  <si>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</si>
  <si>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</si>
  <si>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</si>
  <si>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</si>
  <si>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</si>
  <si>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</si>
  <si>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</si>
  <si>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</si>
  <si>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</si>
  <si>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</si>
  <si>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</si>
  <si>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</si>
  <si>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</si>
  <si>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</si>
  <si>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</si>
  <si>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</si>
  <si>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</si>
  <si>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</si>
  <si>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</si>
  <si>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</si>
  <si>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</si>
  <si>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</si>
  <si>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</si>
  <si>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</si>
  <si>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</si>
  <si>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</si>
  <si>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</si>
  <si>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</si>
  <si>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</si>
  <si>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</si>
  <si>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</si>
  <si>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</si>
  <si>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</si>
  <si>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</si>
  <si>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</si>
  <si>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</si>
  <si>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</si>
  <si>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</si>
  <si>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</si>
  <si>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</si>
  <si>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</si>
  <si>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</si>
  <si>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</si>
  <si>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</si>
  <si>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</si>
  <si>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</si>
  <si>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</si>
  <si>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</si>
  <si>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</si>
  <si>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</si>
  <si>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</si>
  <si>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</si>
  <si>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</si>
  <si>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</si>
  <si>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</si>
  <si>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</si>
  <si>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</si>
  <si>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</si>
  <si>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</si>
  <si>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</si>
  <si>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</si>
  <si>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</si>
  <si>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</si>
  <si>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</si>
  <si>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</si>
  <si>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</si>
  <si>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</si>
  <si>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</si>
  <si>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</si>
  <si>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</si>
  <si>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</si>
  <si>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</si>
  <si>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</si>
  <si>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</si>
  <si>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</si>
  <si>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</si>
  <si>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</si>
  <si>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</si>
  <si>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</si>
  <si>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</si>
  <si>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</si>
  <si>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</si>
  <si>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</si>
  <si>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</si>
  <si>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</si>
  <si>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</si>
  <si>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</si>
  <si>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</si>
  <si>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</si>
  <si>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</si>
  <si>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</si>
  <si>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</si>
  <si>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</si>
  <si>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</si>
  <si>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</si>
  <si>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</si>
  <si>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</si>
  <si>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</si>
  <si>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</si>
  <si>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</si>
  <si>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</si>
  <si>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</si>
  <si>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</si>
  <si>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</si>
  <si>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</si>
  <si>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</si>
  <si>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</si>
  <si>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</si>
  <si>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</si>
  <si>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</si>
  <si>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</si>
  <si>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</si>
  <si>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</si>
  <si>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</si>
  <si>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</si>
  <si>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</si>
  <si>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</si>
  <si>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</si>
  <si>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</si>
  <si>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</si>
  <si>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</si>
  <si>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</si>
  <si>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</si>
  <si>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</si>
  <si>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</si>
  <si>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</si>
  <si>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</si>
  <si>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</si>
  <si>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</si>
  <si>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</si>
  <si>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</si>
  <si>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</si>
  <si>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</si>
  <si>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</si>
  <si>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</si>
  <si>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</si>
  <si>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</si>
  <si>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</si>
  <si>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</si>
  <si>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</si>
  <si>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</si>
  <si>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</si>
  <si>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</si>
  <si>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</si>
  <si>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</si>
  <si>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</si>
  <si>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</si>
  <si>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</si>
  <si>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</si>
  <si>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</si>
  <si>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</si>
  <si>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</si>
  <si>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</si>
  <si>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</si>
  <si>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</si>
  <si>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</si>
  <si>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</si>
  <si>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</si>
  <si>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</si>
  <si>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</si>
  <si>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</si>
  <si>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</si>
  <si>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</si>
  <si>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</si>
  <si>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</si>
  <si>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</si>
  <si>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</si>
  <si>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</si>
  <si>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</si>
  <si>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</si>
  <si>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</si>
  <si>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</si>
  <si>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</si>
  <si>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</si>
  <si>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</si>
  <si>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</si>
  <si>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</si>
  <si>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</si>
  <si>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</si>
  <si>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</si>
  <si>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</si>
  <si>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</si>
  <si>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</si>
  <si>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</si>
  <si>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</si>
  <si>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</si>
  <si>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</si>
  <si>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</si>
  <si>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</si>
  <si>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</si>
  <si>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</si>
  <si>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</si>
  <si>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</si>
  <si>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</si>
  <si>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</si>
  <si>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</si>
  <si>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</si>
  <si>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</si>
  <si>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</si>
  <si>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</si>
  <si>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</si>
  <si>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</si>
  <si>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</si>
  <si>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</si>
  <si>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</si>
  <si>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</si>
  <si>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</si>
  <si>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</si>
  <si>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</si>
  <si>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</si>
  <si>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</si>
  <si>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</si>
  <si>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</si>
  <si>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</si>
  <si>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</si>
  <si>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</si>
  <si>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</si>
  <si>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</si>
  <si>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</si>
  <si>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</si>
  <si>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</si>
  <si>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</si>
  <si>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</si>
  <si>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</si>
  <si>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</si>
  <si>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</si>
  <si>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</si>
  <si>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</si>
  <si>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</si>
  <si>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</si>
  <si>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</si>
  <si>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</si>
  <si>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</si>
  <si>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</si>
  <si>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</si>
  <si>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</si>
  <si>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</si>
  <si>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</si>
  <si>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</si>
  <si>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</si>
  <si>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</si>
  <si>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</si>
  <si>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</si>
  <si>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</si>
  <si>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</si>
  <si>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</si>
  <si>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</si>
  <si>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</si>
  <si>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</si>
  <si>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</si>
  <si>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</si>
  <si>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</si>
  <si>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</si>
  <si>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</si>
  <si>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</si>
  <si>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</si>
  <si>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</si>
  <si>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</si>
  <si>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</si>
  <si>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</si>
  <si>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</si>
  <si>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</si>
  <si>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</si>
  <si>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</si>
  <si>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</si>
  <si>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</si>
  <si>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</si>
  <si>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</si>
  <si>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</si>
  <si>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</si>
  <si>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</si>
  <si>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</si>
  <si>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</si>
  <si>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</si>
  <si>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</si>
  <si>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</si>
  <si>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</si>
  <si>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</si>
  <si>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</si>
  <si>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</si>
  <si>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</si>
  <si>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</si>
  <si>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</si>
  <si>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</si>
  <si>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</si>
  <si>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</si>
  <si>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</si>
  <si>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</si>
  <si>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</si>
  <si>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</si>
  <si>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</si>
  <si>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</si>
  <si>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</si>
  <si>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</si>
  <si>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</si>
  <si>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</si>
  <si>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</si>
  <si>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</si>
  <si>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</si>
  <si>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</si>
  <si>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</si>
  <si>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</si>
  <si>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</si>
  <si>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</si>
  <si>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</si>
  <si>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</si>
  <si>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</si>
  <si>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</si>
  <si>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</si>
  <si>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</si>
  <si>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</si>
  <si>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</si>
  <si>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</si>
  <si>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</si>
  <si>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</si>
  <si>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</si>
  <si>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</si>
  <si>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</si>
  <si>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</si>
  <si>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</si>
  <si>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</si>
  <si>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</si>
  <si>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</si>
  <si>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</si>
  <si>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</si>
  <si>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</si>
  <si>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</si>
  <si>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</si>
  <si>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</si>
  <si>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</si>
  <si>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</si>
  <si>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</si>
  <si>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</si>
  <si>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</si>
  <si>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</si>
  <si>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</si>
  <si>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</si>
  <si>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</si>
  <si>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</si>
  <si>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</si>
  <si>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</si>
  <si>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</si>
  <si>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</si>
  <si>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</si>
  <si>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</si>
  <si>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</si>
  <si>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</si>
  <si>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</si>
  <si>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</si>
  <si>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</si>
  <si>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</si>
  <si>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</si>
  <si>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</si>
  <si>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</si>
  <si>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</si>
  <si>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</si>
  <si>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</si>
  <si>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</si>
  <si>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</si>
  <si>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</si>
  <si>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</si>
  <si>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</si>
  <si>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</si>
  <si>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</si>
  <si>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</si>
  <si>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</si>
  <si>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</si>
  <si>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</si>
  <si>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</si>
  <si>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</si>
  <si>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</si>
  <si>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</si>
  <si>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</si>
  <si>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</si>
  <si>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</si>
  <si>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</si>
  <si>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</si>
  <si>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</si>
  <si>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</si>
  <si>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</si>
  <si>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</si>
  <si>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</si>
  <si>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</si>
  <si>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</si>
  <si>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</si>
  <si>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</si>
  <si>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</si>
  <si>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</si>
  <si>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</si>
  <si>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</si>
  <si>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</si>
  <si>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</si>
  <si>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</si>
  <si>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</si>
  <si>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</si>
  <si>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</si>
  <si>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</si>
  <si>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</si>
  <si>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</si>
  <si>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</si>
  <si>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</si>
  <si>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</si>
  <si>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</si>
  <si>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</si>
  <si>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</si>
  <si>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</si>
  <si>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</si>
  <si>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</si>
  <si>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</si>
  <si>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</si>
  <si>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</si>
  <si>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</si>
  <si>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</si>
  <si>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</si>
  <si>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</si>
  <si>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</si>
  <si>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</si>
  <si>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</si>
  <si>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</si>
  <si>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</si>
  <si>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</si>
  <si>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</si>
  <si>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</si>
  <si>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</si>
  <si>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</si>
  <si>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</si>
  <si>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</si>
  <si>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</si>
  <si>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</si>
  <si>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</si>
  <si>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</si>
  <si>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</si>
  <si>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</si>
  <si>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</si>
  <si>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</si>
  <si>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</si>
  <si>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</si>
  <si>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</si>
  <si>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</si>
  <si>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</si>
  <si>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</si>
  <si>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</si>
  <si>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</si>
  <si>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</si>
  <si>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</si>
  <si>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</si>
  <si>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</si>
  <si>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</si>
  <si>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</si>
  <si>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</si>
  <si>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</si>
  <si>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</si>
  <si>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</si>
  <si>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</si>
  <si>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</si>
  <si>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</si>
  <si>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</si>
  <si>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</si>
  <si>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</si>
  <si>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</si>
  <si>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</si>
  <si>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</si>
  <si>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</si>
  <si>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</si>
  <si>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</si>
  <si>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</si>
  <si>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</si>
  <si>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</si>
  <si>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</si>
  <si>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</si>
  <si>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</si>
  <si>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</si>
  <si>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</si>
  <si>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</si>
  <si>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</si>
  <si>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</si>
  <si>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</si>
  <si>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</si>
  <si>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</si>
  <si>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</si>
  <si>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</si>
  <si>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</si>
  <si>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</si>
  <si>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</si>
  <si>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</si>
  <si>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</si>
  <si>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</si>
  <si>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</si>
  <si>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</si>
  <si>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</si>
  <si>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</si>
  <si>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</si>
  <si>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</si>
  <si>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</si>
  <si>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</si>
  <si>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</si>
  <si>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</si>
  <si>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</si>
  <si>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</si>
  <si>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</si>
  <si>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</si>
  <si>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</si>
  <si>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</si>
  <si>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</si>
  <si>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</si>
  <si>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</si>
  <si>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</si>
  <si>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</si>
  <si>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</si>
  <si>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</si>
  <si>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</si>
  <si>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</si>
  <si>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</si>
  <si>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</si>
  <si>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</si>
  <si>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</si>
  <si>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</si>
  <si>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</si>
  <si>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</si>
  <si>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</si>
  <si>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</si>
  <si>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</si>
  <si>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</si>
  <si>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</si>
  <si>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</si>
  <si>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</si>
  <si>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</si>
  <si>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</si>
  <si>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</si>
  <si>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</si>
  <si>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</si>
  <si>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</si>
  <si>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</si>
  <si>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</si>
  <si>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</si>
  <si>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</si>
  <si>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</si>
  <si>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</si>
  <si>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</si>
  <si>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</si>
  <si>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</si>
  <si>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</si>
  <si>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</si>
  <si>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</si>
  <si>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</si>
  <si>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</si>
  <si>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</si>
  <si>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</si>
  <si>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</si>
  <si>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</si>
  <si>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</si>
  <si>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</si>
  <si>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</si>
  <si>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</si>
  <si>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</si>
  <si>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</si>
  <si>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</si>
  <si>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</si>
  <si>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</si>
  <si>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</si>
  <si>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</si>
  <si>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</si>
  <si>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</si>
  <si>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</si>
  <si>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</si>
  <si>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</si>
  <si>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</si>
  <si>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</si>
  <si>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</si>
  <si>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</si>
  <si>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</si>
  <si>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</si>
  <si>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</si>
  <si>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</si>
  <si>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</si>
  <si>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</si>
  <si>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</si>
  <si>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</si>
  <si>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</si>
  <si>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</si>
  <si>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</si>
  <si>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</si>
  <si>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</si>
  <si>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</si>
  <si>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</si>
  <si>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</si>
  <si>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</si>
  <si>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</si>
  <si>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</si>
  <si>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</si>
  <si>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</si>
  <si>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</si>
  <si>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</si>
  <si>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</si>
  <si>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</si>
  <si>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</si>
  <si>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</si>
  <si>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</si>
  <si>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</si>
  <si>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</si>
  <si>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</si>
  <si>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</si>
  <si>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</si>
  <si>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</si>
  <si>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</si>
  <si>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</si>
  <si>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</si>
  <si>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</si>
  <si>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</si>
  <si>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</si>
  <si>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</si>
  <si>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</si>
  <si>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</si>
  <si>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</si>
  <si>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</si>
  <si>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</si>
  <si>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</si>
  <si>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</si>
  <si>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</si>
  <si>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</si>
  <si>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</si>
  <si>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</si>
  <si>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</si>
  <si>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</si>
  <si>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</si>
  <si>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</si>
  <si>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</si>
  <si>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</si>
  <si>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</si>
  <si>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</si>
  <si>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</si>
  <si>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</si>
  <si>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</si>
  <si>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</si>
  <si>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</si>
  <si>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</si>
  <si>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</si>
  <si>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</si>
  <si>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</si>
  <si>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</si>
  <si>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</si>
  <si>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</si>
  <si>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</si>
  <si>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</si>
  <si>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</si>
  <si>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</si>
  <si>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</si>
  <si>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</si>
  <si>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</si>
  <si>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</si>
  <si>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</si>
  <si>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</si>
  <si>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</si>
  <si>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</si>
  <si>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</si>
  <si>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</si>
  <si>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</si>
  <si>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</si>
  <si>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</si>
  <si>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</si>
  <si>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</si>
  <si>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</si>
  <si>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</si>
  <si>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</si>
  <si>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</si>
  <si>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</si>
  <si>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</si>
  <si>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</si>
  <si>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</si>
  <si>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</si>
  <si>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</si>
  <si>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</si>
  <si>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</si>
  <si>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</si>
  <si>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</si>
  <si>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</si>
  <si>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</si>
  <si>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</si>
  <si>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</si>
  <si>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</si>
  <si>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</si>
  <si>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</si>
  <si>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</si>
  <si>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</si>
  <si>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</si>
  <si>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</si>
  <si>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</si>
  <si>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</si>
  <si>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</si>
  <si>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</si>
  <si>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</si>
  <si>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</si>
  <si>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</si>
  <si>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</si>
  <si>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</si>
  <si>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</si>
  <si>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</si>
  <si>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</si>
  <si>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</si>
  <si>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</si>
  <si>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</si>
  <si>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</si>
  <si>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</si>
  <si>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</si>
  <si>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</si>
  <si>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</si>
  <si>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</si>
  <si>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</si>
  <si>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</si>
  <si>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</si>
  <si>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</si>
  <si>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</si>
  <si>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</si>
  <si>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</si>
  <si>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</si>
  <si>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</si>
  <si>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</si>
  <si>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</si>
  <si>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</si>
  <si>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</si>
  <si>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</si>
  <si>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</si>
  <si>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</si>
  <si>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</si>
  <si>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</si>
  <si>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</si>
  <si>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</si>
  <si>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</si>
  <si>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</si>
  <si>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</si>
  <si>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</si>
  <si>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</si>
  <si>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</si>
  <si>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</si>
  <si>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</si>
  <si>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</si>
  <si>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</si>
  <si>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</si>
  <si>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</si>
  <si>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</si>
  <si>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</si>
  <si>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</si>
  <si>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</si>
  <si>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</si>
  <si>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</si>
  <si>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</si>
  <si>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</si>
  <si>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</si>
  <si>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</si>
  <si>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</si>
  <si>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</si>
  <si>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</si>
  <si>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</si>
  <si>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</si>
  <si>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</si>
  <si>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</si>
  <si>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</si>
  <si>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</si>
  <si>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</si>
  <si>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</si>
  <si>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</si>
  <si>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</si>
  <si>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</si>
  <si>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</si>
  <si>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</si>
  <si>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</si>
  <si>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</si>
  <si>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</si>
  <si>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</si>
  <si>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</si>
  <si>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</si>
  <si>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</si>
  <si>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</si>
  <si>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</si>
  <si>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</si>
  <si>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</si>
  <si>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</si>
  <si>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</si>
  <si>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</si>
  <si>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</si>
  <si>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</si>
  <si>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</si>
  <si>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</si>
  <si>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</si>
  <si>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</si>
  <si>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</si>
  <si>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</si>
  <si>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</si>
  <si>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</si>
  <si>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</si>
  <si>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</si>
  <si>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</si>
  <si>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</si>
  <si>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</si>
  <si>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</si>
  <si>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</si>
  <si>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</si>
  <si>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</si>
  <si>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</si>
  <si>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</si>
  <si>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</si>
  <si>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</si>
  <si>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</si>
  <si>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</si>
  <si>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</si>
  <si>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</si>
  <si>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</si>
  <si>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</si>
  <si>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</si>
  <si>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</si>
  <si>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</si>
  <si>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</si>
  <si>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</si>
  <si>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</si>
  <si>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</si>
  <si>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</si>
  <si>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</si>
  <si>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</si>
  <si>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</si>
  <si>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</si>
  <si>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</si>
  <si>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</si>
  <si>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</si>
  <si>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</si>
  <si>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</si>
  <si>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</si>
  <si>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</si>
  <si>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</si>
  <si>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</si>
  <si>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</si>
  <si>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</si>
  <si>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</si>
  <si>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</si>
  <si>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</si>
  <si>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</si>
  <si>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</si>
  <si>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</si>
  <si>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</si>
  <si>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</si>
  <si>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</si>
  <si>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</si>
  <si>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</si>
  <si>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</si>
  <si>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</si>
  <si>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</si>
  <si>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</si>
  <si>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</si>
  <si>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</si>
  <si>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</si>
  <si>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</si>
  <si>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</si>
  <si>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</si>
  <si>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</si>
  <si>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</si>
  <si>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</si>
  <si>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</si>
  <si>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</si>
  <si>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</si>
  <si>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</si>
  <si>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</si>
  <si>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</si>
  <si>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</si>
  <si>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</si>
  <si>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</si>
  <si>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</si>
  <si>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</si>
  <si>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</si>
  <si>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</si>
  <si>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</si>
  <si>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</si>
  <si>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</si>
  <si>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</si>
  <si>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</si>
  <si>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</si>
  <si>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</si>
  <si>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</si>
  <si>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</si>
  <si>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</si>
  <si>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</si>
  <si>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</si>
  <si>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</si>
  <si>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</si>
  <si>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</si>
  <si>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</si>
  <si>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</si>
  <si>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</si>
  <si>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</si>
  <si>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</si>
  <si>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</si>
  <si>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</si>
  <si>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</si>
  <si>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</si>
  <si>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</si>
  <si>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</si>
  <si>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</si>
  <si>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</si>
  <si>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</si>
  <si>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</si>
  <si>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</si>
  <si>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</si>
  <si>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</si>
  <si>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</si>
  <si>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</si>
  <si>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</si>
  <si>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</si>
  <si>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</si>
  <si>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</si>
  <si>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</si>
  <si>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</si>
  <si>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</si>
  <si>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</si>
  <si>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</si>
  <si>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</si>
  <si>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</si>
  <si>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</si>
  <si>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</si>
  <si>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</si>
  <si>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</si>
  <si>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</si>
  <si>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</si>
  <si>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</si>
  <si>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</si>
  <si>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</si>
  <si>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</si>
  <si>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</si>
  <si>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</si>
  <si>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</si>
  <si>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</si>
  <si>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</si>
  <si>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</si>
  <si>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</si>
  <si>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</si>
  <si>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</si>
  <si>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</si>
  <si>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</si>
  <si>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</si>
  <si>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</si>
  <si>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</si>
  <si>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</si>
  <si>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</si>
  <si>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</si>
  <si>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</si>
  <si>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</si>
  <si>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</si>
  <si>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</si>
  <si>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</si>
  <si>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</si>
  <si>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</si>
  <si>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</si>
  <si>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</si>
  <si>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</si>
  <si>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</si>
  <si>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</si>
  <si>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</si>
  <si>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</si>
  <si>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</si>
  <si>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</si>
  <si>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</si>
  <si>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</si>
  <si>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</si>
  <si>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</si>
  <si>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</si>
  <si>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</si>
  <si>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</si>
  <si>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</si>
  <si>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</si>
  <si>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</si>
  <si>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</si>
  <si>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</si>
  <si>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</si>
  <si>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</si>
  <si>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</si>
  <si>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</si>
  <si>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</si>
  <si>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</si>
  <si>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</si>
  <si>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</si>
  <si>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</si>
  <si>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</si>
  <si>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</si>
  <si>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</si>
  <si>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</si>
  <si>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</si>
  <si>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</si>
  <si>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</si>
  <si>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</si>
  <si>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</si>
  <si>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</si>
  <si>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</si>
  <si>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</si>
  <si>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</si>
  <si>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</si>
  <si>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</si>
  <si>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</si>
  <si>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</si>
  <si>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</si>
  <si>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</si>
  <si>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</si>
  <si>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</si>
  <si>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</si>
  <si>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</si>
  <si>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</si>
  <si>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</si>
  <si>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</si>
  <si>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</si>
  <si>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</si>
  <si>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</si>
  <si>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</si>
  <si>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</si>
  <si>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</si>
  <si>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</si>
  <si>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</si>
  <si>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</si>
  <si>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</si>
  <si>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</si>
  <si>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</si>
  <si>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</si>
  <si>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</si>
  <si>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</si>
  <si>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</si>
  <si>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</si>
  <si>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</si>
  <si>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</si>
  <si>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</si>
  <si>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</si>
  <si>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</si>
  <si>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</si>
  <si>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</si>
  <si>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</si>
  <si>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</si>
  <si>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</si>
  <si>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</si>
  <si>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</si>
  <si>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</si>
  <si>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</si>
  <si>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</si>
  <si>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</si>
  <si>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</si>
  <si>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</si>
  <si>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</si>
  <si>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</si>
  <si>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</si>
  <si>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</si>
  <si>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</si>
  <si>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</si>
  <si>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</si>
  <si>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</si>
  <si>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</si>
  <si>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</si>
  <si>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</si>
  <si>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</si>
  <si>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</si>
  <si>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</si>
  <si>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</si>
  <si>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</si>
  <si>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</si>
  <si>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</si>
  <si>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</si>
  <si>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</si>
  <si>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</si>
  <si>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</si>
  <si>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</si>
  <si>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</si>
  <si>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</si>
  <si>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</si>
  <si>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</si>
  <si>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</si>
  <si>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</si>
  <si>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</si>
  <si>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</si>
  <si>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</si>
  <si>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</si>
  <si>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</si>
  <si>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</si>
  <si>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</si>
  <si>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</si>
  <si>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</si>
  <si>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</si>
  <si>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</si>
  <si>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</si>
  <si>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</si>
  <si>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</si>
  <si>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</si>
  <si>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</si>
  <si>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</si>
  <si>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</si>
  <si>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</si>
  <si>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</si>
  <si>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</si>
  <si>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</si>
  <si>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</si>
  <si>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</si>
  <si>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</si>
  <si>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</si>
  <si>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</si>
  <si>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</si>
  <si>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</si>
  <si>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</si>
  <si>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</si>
  <si>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</si>
  <si>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</si>
  <si>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</si>
  <si>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</si>
  <si>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</si>
  <si>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</si>
  <si>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</si>
  <si>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</si>
  <si>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</si>
  <si>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</si>
  <si>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</si>
  <si>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</si>
  <si>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</si>
  <si>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</si>
  <si>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</si>
  <si>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</si>
  <si>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</si>
  <si>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</si>
  <si>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</si>
  <si>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</si>
  <si>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</si>
  <si>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</si>
  <si>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</si>
  <si>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</si>
  <si>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</si>
  <si>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</si>
  <si>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</si>
  <si>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</si>
  <si>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</si>
  <si>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</si>
  <si>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</si>
  <si>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</si>
  <si>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</si>
  <si>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</si>
  <si>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</si>
  <si>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</si>
  <si>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</si>
  <si>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</si>
  <si>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</si>
  <si>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</si>
  <si>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</si>
  <si>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</si>
  <si>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</si>
  <si>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</si>
  <si>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</si>
  <si>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</si>
  <si>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</si>
  <si>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</si>
  <si>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</si>
  <si>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</si>
  <si>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</si>
  <si>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</si>
  <si>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</si>
  <si>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</si>
  <si>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</si>
  <si>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</si>
  <si>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</si>
  <si>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</si>
  <si>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</si>
  <si>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</si>
  <si>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</si>
  <si>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</si>
  <si>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</si>
  <si>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</si>
  <si>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</si>
  <si>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</si>
  <si>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</si>
  <si>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</si>
  <si>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</si>
  <si>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</si>
  <si>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</si>
  <si>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</si>
  <si>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</si>
  <si>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</si>
  <si>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</si>
  <si>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</si>
  <si>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</si>
  <si>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</si>
  <si>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</si>
  <si>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</si>
  <si>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</si>
  <si>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</si>
  <si>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</si>
  <si>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</si>
  <si>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</si>
  <si>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</si>
  <si>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</si>
  <si>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</si>
  <si>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</si>
  <si>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</si>
  <si>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</si>
  <si>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</si>
  <si>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</si>
  <si>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</si>
  <si>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</si>
  <si>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</si>
  <si>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</si>
  <si>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</si>
  <si>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</si>
  <si>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</si>
  <si>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</si>
  <si>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</si>
  <si>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</si>
  <si>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</si>
  <si>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</si>
  <si>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</si>
  <si>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</si>
  <si>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</si>
  <si>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</si>
  <si>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</si>
  <si>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</si>
  <si>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</si>
  <si>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</si>
  <si>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</si>
  <si>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</si>
  <si>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</si>
  <si>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</si>
  <si>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</si>
  <si>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</si>
  <si>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</si>
  <si>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</si>
  <si>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</si>
  <si>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</si>
  <si>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</si>
  <si>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</si>
  <si>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</si>
  <si>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</si>
  <si>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</si>
  <si>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</si>
  <si>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</si>
  <si>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</si>
  <si>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</si>
  <si>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</si>
  <si>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</si>
  <si>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</si>
  <si>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</si>
  <si>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</si>
  <si>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</si>
  <si>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</si>
  <si>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</si>
  <si>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</si>
  <si>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</si>
  <si>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</si>
  <si>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</si>
  <si>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</si>
  <si>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</si>
  <si>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</si>
  <si>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</si>
  <si>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</si>
  <si>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</si>
  <si>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</si>
  <si>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</si>
  <si>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</si>
  <si>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</si>
  <si>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</si>
  <si>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</si>
  <si>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</si>
  <si>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</si>
  <si>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</si>
  <si>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</si>
  <si>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</si>
  <si>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</si>
  <si>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</si>
  <si>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</si>
  <si>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</si>
  <si>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</si>
  <si>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</si>
  <si>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</si>
  <si>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</si>
  <si>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</si>
  <si>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</si>
  <si>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</si>
  <si>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</si>
  <si>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</si>
  <si>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</si>
  <si>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</si>
  <si>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</si>
  <si>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</si>
  <si>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</si>
  <si>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</si>
  <si>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</si>
  <si>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</si>
  <si>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</si>
  <si>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</si>
  <si>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</si>
  <si>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</si>
  <si>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</si>
  <si>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</si>
  <si>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</si>
  <si>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</si>
  <si>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</si>
  <si>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</si>
  <si>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</si>
  <si>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</si>
  <si>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</si>
  <si>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</si>
  <si>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</si>
  <si>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</si>
  <si>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</si>
  <si>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</si>
  <si>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</si>
  <si>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</si>
  <si>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</si>
  <si>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</si>
  <si>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</si>
  <si>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</si>
  <si>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</si>
  <si>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</si>
  <si>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</si>
  <si>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</si>
  <si>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</si>
  <si>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</si>
  <si>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</si>
  <si>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</si>
  <si>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</si>
  <si>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</si>
  <si>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</si>
  <si>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</si>
  <si>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</si>
  <si>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</si>
  <si>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</si>
  <si>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</si>
  <si>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</si>
  <si>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</si>
  <si>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</si>
  <si>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</si>
  <si>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</si>
  <si>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</si>
  <si>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</si>
  <si>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</si>
  <si>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</si>
  <si>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</si>
  <si>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</si>
  <si>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</si>
  <si>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</si>
  <si>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</si>
  <si>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</si>
  <si>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</si>
  <si>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</si>
  <si>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</si>
  <si>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</si>
  <si>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</si>
  <si>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</si>
  <si>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</si>
  <si>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</si>
  <si>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</si>
  <si>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</si>
  <si>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</si>
  <si>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</si>
  <si>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</si>
  <si>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</si>
  <si>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</si>
  <si>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</si>
  <si>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</si>
  <si>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</si>
  <si>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</si>
  <si>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</si>
  <si>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</si>
  <si>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</si>
  <si>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</si>
  <si>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</si>
  <si>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</si>
  <si>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</si>
  <si>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</si>
  <si>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</si>
  <si>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</si>
  <si>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</si>
  <si>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</si>
  <si>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</si>
  <si>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Облицовка керам. плиткой</t>
  </si>
  <si>
    <t>Поз.</t>
  </si>
  <si>
    <t>Обозначение</t>
  </si>
  <si>
    <t>Наименование</t>
  </si>
  <si>
    <t>ГОСТ Р 52544—2006</t>
  </si>
  <si>
    <t>ГОСТ 5781-82*</t>
  </si>
  <si>
    <t>Прокат</t>
  </si>
  <si>
    <t>Ведомость отделки АБК_правила</t>
  </si>
  <si>
    <t>данный лист</t>
  </si>
  <si>
    <t>Итого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</si>
  <si>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</si>
  <si>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</si>
  <si>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</si>
  <si>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</si>
  <si>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</si>
  <si>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</si>
  <si>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</si>
  <si>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</si>
  <si>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</si>
  <si>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</si>
  <si>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</si>
  <si>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</si>
  <si>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</si>
  <si>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</si>
  <si>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</si>
  <si>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</si>
  <si>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</si>
  <si>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</si>
  <si>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</si>
  <si>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</si>
  <si>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!!!</t>
  </si>
  <si>
    <t>Основной</t>
  </si>
  <si>
    <t>НЕТ БЕТОНА</t>
  </si>
  <si>
    <t>Вертикальный стержень</t>
  </si>
  <si>
    <t>Горизонтальный стержень</t>
  </si>
  <si>
    <t>|Лог|</t>
  </si>
  <si>
    <t>admin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</si>
  <si>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</si>
  <si>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</si>
  <si>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</si>
  <si>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</si>
  <si>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</si>
  <si>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</si>
  <si>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</si>
  <si>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</si>
  <si>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</si>
  <si>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</si>
  <si>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</si>
  <si>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</si>
  <si>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</si>
  <si>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</si>
  <si>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</si>
  <si>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</si>
  <si>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</si>
  <si>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Бетон В25</t>
  </si>
  <si>
    <t>Шпатлёвка</t>
  </si>
  <si>
    <t>Затирка; Шпатлёвка</t>
  </si>
  <si>
    <t>Армстронг; Без отделки</t>
  </si>
  <si>
    <t>Исключить</t>
  </si>
  <si>
    <t>Добавить</t>
  </si>
  <si>
    <t>Кирпич 510 штукатурка с 2х сторон с навесным фасадом</t>
  </si>
  <si>
    <t>Кирпич 510 штукатурка с 2х сторон</t>
  </si>
  <si>
    <t>Шпатлёвка под плиткой</t>
  </si>
  <si>
    <t>check</t>
  </si>
  <si>
    <t>decode</t>
  </si>
  <si>
    <t>---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</si>
  <si>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</si>
  <si>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</si>
  <si>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</si>
  <si>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</si>
  <si>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</si>
  <si>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</si>
  <si>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</si>
  <si>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</si>
  <si>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</si>
  <si>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</si>
  <si>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</si>
  <si>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</si>
  <si>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</si>
  <si>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</si>
  <si>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Изделия_спец.И</t>
  </si>
  <si>
    <t>КЖ_сист ЖБ Плиты</t>
  </si>
  <si>
    <t>Name (Реквизиты)</t>
  </si>
  <si>
    <t>Количество</t>
  </si>
  <si>
    <t>Толщина Слоя</t>
  </si>
  <si>
    <t>Площадь Верхней Поверхности</t>
  </si>
  <si>
    <t>Периметр</t>
  </si>
  <si>
    <t>Объем Слоя/Компонента</t>
  </si>
  <si>
    <t>Общая Площадь Верхней Поверхности Перекрытия</t>
  </si>
  <si>
    <t>Пм1.1</t>
  </si>
  <si>
    <t>Пм1.3</t>
  </si>
  <si>
    <t>Пм2.1</t>
  </si>
  <si>
    <t>Пм3.1</t>
  </si>
  <si>
    <t>Пм4.1</t>
  </si>
  <si>
    <t>Пм5.1</t>
  </si>
  <si>
    <t>Пм6.1</t>
  </si>
  <si>
    <t>Пм7.1</t>
  </si>
  <si>
    <t>Пм8.1</t>
  </si>
  <si>
    <t>Пм9.1</t>
  </si>
  <si>
    <t>Пфм1</t>
  </si>
  <si>
    <t>19175,35 м?</t>
  </si>
  <si>
    <t>21060,18 м?</t>
  </si>
  <si>
    <t>Периметр, мм</t>
  </si>
  <si>
    <t>Площадь, кв.мм.</t>
  </si>
  <si>
    <t>см. лист</t>
  </si>
  <si>
    <t>Толщина, мм</t>
  </si>
  <si>
    <t>Шаг фона слой 1, мм.</t>
  </si>
  <si>
    <t>Шаг фона слой 2, мм.</t>
  </si>
  <si>
    <t>Шаг фона слой 3, мм.</t>
  </si>
  <si>
    <t>Шаг фона слой 4, мм.</t>
  </si>
  <si>
    <t>Фон, слой 1</t>
  </si>
  <si>
    <t>Фон, слой 2</t>
  </si>
  <si>
    <t>Фон, слой 3</t>
  </si>
  <si>
    <t>Фон, слой 4</t>
  </si>
  <si>
    <t>Пример плиты_спец</t>
  </si>
  <si>
    <t>Из архикада_плиты</t>
  </si>
  <si>
    <t>Пример плиты_кж</t>
  </si>
  <si>
    <t>П-ка по периметру</t>
  </si>
  <si>
    <t>Защитный слой, мм</t>
  </si>
  <si>
    <t>Объём бетона, куб.м.</t>
  </si>
  <si>
    <t>Шаг П-шек по периметру, мм</t>
  </si>
  <si>
    <t>Кп25</t>
  </si>
  <si>
    <t>Каркас поддерживающий Кп25</t>
  </si>
  <si>
    <t>Пример плиты_об</t>
  </si>
  <si>
    <t>Пример плиты_грс</t>
  </si>
  <si>
    <t>Пример плиты_гр</t>
  </si>
  <si>
    <t>Кп30</t>
  </si>
  <si>
    <t>Кп35</t>
  </si>
  <si>
    <t>Кп36</t>
  </si>
  <si>
    <t>Каркас поддерживающий Кп30</t>
  </si>
  <si>
    <t>Каркас поддерживающий Кп35</t>
  </si>
  <si>
    <t>Каркас поддерживающий Кп36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</si>
  <si>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</si>
  <si>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</si>
  <si>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</si>
  <si>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</si>
  <si>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</si>
  <si>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</si>
  <si>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</si>
  <si>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Уголок равнополочный
ГОСТ 8509-93</t>
  </si>
  <si>
    <t>С245
ГОСТ 27772-88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</si>
  <si>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</si>
  <si>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</si>
  <si>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</si>
  <si>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</si>
  <si>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Покрытие тип 1 по см. примечания, кв.м.</t>
  </si>
  <si>
    <t>сталь</t>
  </si>
  <si>
    <t>_км</t>
  </si>
  <si>
    <t>ОК</t>
  </si>
  <si>
    <t>сталь_км</t>
  </si>
  <si>
    <t>19 1 16/ 11 4 35</t>
  </si>
  <si>
    <t>_об</t>
  </si>
  <si>
    <t>сталь_об</t>
  </si>
  <si>
    <t>_гр</t>
  </si>
  <si>
    <t>Данные отсутвуют</t>
  </si>
  <si>
    <t>Лм1-Лестницы_спец</t>
  </si>
  <si>
    <t>_кж</t>
  </si>
  <si>
    <t>Лм1-Лестницы_кж</t>
  </si>
  <si>
    <t>add</t>
  </si>
  <si>
    <t>Лм1-Лестницы</t>
  </si>
  <si>
    <t>Лм1-Лестницы_об</t>
  </si>
  <si>
    <t>Ошибка имени листа или файла</t>
  </si>
  <si>
    <t>_норм</t>
  </si>
  <si>
    <t>Очистка листов</t>
  </si>
  <si>
    <t>DEL</t>
  </si>
  <si>
    <t>Удалено  листов</t>
  </si>
  <si>
    <t>Тест_полы</t>
  </si>
  <si>
    <t>_экспл</t>
  </si>
  <si>
    <t>ЗОН-001-&gt;1</t>
  </si>
  <si>
    <t>Пол</t>
  </si>
  <si>
    <t>Перебит номер зоны</t>
  </si>
  <si>
    <t>ЗОН-002-&gt;2</t>
  </si>
  <si>
    <t>ЗОН-003-&gt;3</t>
  </si>
  <si>
    <t>ЗОН-004-&gt;3</t>
  </si>
  <si>
    <t>ЗОН-005-&gt;2</t>
  </si>
  <si>
    <t>ЗОН-006-&gt;1</t>
  </si>
  <si>
    <t>ЗОН-007-&gt;1</t>
  </si>
  <si>
    <t>ЗОН-008-&gt;2</t>
  </si>
  <si>
    <t>ЗОН-009-&gt;3</t>
  </si>
  <si>
    <t>1, 2, 3</t>
  </si>
  <si>
    <t>Тест полы</t>
  </si>
  <si>
    <t>Тест полы_экспл</t>
  </si>
  <si>
    <t>19 1 17/ 15 44 54</t>
  </si>
  <si>
    <t>1,2,3,4,</t>
  </si>
  <si>
    <t>5,6,7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</si>
</sst>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33" borderId="11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6" borderId="23" xfId="0" applyFont="1" applyFill="1" applyBorder="1" applyAlignment="1">
      <alignment horizontal="center" vertical="center" wrapText="1"/>
    </xf>
    <xf numFmtId="0" fontId="20" fillId="37" borderId="11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7" borderId="14" xfId="0" applyFont="1" applyFill="1" applyBorder="1" applyAlignment="1">
      <alignment horizontal="center" vertical="center" wrapText="1"/>
    </xf>
    <xf numFmtId="0" fontId="24" fillId="0" borderId="0" xfId="0" applyFont="1" applyBorder="1"/>
    <xf numFmtId="0" fontId="2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3" xfId="0" applyFont="1" applyFill="1" applyBorder="1" applyAlignment="1">
      <alignment horizontal="center" vertical="center" wrapText="1"/>
    </xf>
    <xf numFmtId="0" fontId="20" fillId="35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3" fillId="39" borderId="14" xfId="0" applyNumberFormat="1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93">
    <dxf>
      <font>
        <color rgb="FF66FF99"/>
      </font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66FF99"/>
      </font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66FF99"/>
      </font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КЖ_сист ЖБ Плиты" growShrinkType="overwriteClear" fillFormulas="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0"/>
  <sheetViews>
    <sheetView topLeftCell="D1" workbookViewId="0"/>
  </sheetViews>
  <sheetFormatPr defaultRowHeight="15" x14ac:dyDescent="0.25"/>
  <cols>
    <col min="1" max="5" width="36.7109375" style="29" customWidth="1"/>
    <col min="6" max="6" width="9.140625" style="29"/>
    <col min="7" max="7" width="8.7109375" style="29" customWidth="1"/>
    <col min="8" max="8" width="15.7109375" style="29" customWidth="1"/>
    <col min="9" max="22" width="10.7109375" style="29" customWidth="1"/>
    <col min="23" max="16384" width="9.140625" style="1"/>
  </cols>
  <sheetData>
    <row r="1" spans="1:22" s="27" customFormat="1" ht="27.95" customHeight="1" x14ac:dyDescent="0.25">
      <c r="A1" s="28" t="s">
        <v>2429</v>
      </c>
      <c r="B1" s="28" t="s">
        <v>2430</v>
      </c>
      <c r="C1" s="28" t="s">
        <v>2365</v>
      </c>
      <c r="D1" s="28" t="s">
        <v>2366</v>
      </c>
      <c r="E1" s="28" t="s">
        <v>2367</v>
      </c>
      <c r="F1" s="28"/>
      <c r="G1" s="28" t="s">
        <v>2431</v>
      </c>
      <c r="H1" s="28" t="s">
        <v>2432</v>
      </c>
      <c r="I1" s="28" t="s">
        <v>2433</v>
      </c>
      <c r="J1" s="28" t="s">
        <v>2434</v>
      </c>
      <c r="K1" s="28" t="s">
        <v>2435</v>
      </c>
      <c r="L1" s="28" t="s">
        <v>2436</v>
      </c>
      <c r="M1" s="28" t="s">
        <v>2437</v>
      </c>
      <c r="N1" s="28" t="s">
        <v>2438</v>
      </c>
      <c r="O1" s="28" t="s">
        <v>2439</v>
      </c>
      <c r="P1" s="28" t="s">
        <v>2440</v>
      </c>
      <c r="Q1" s="28" t="s">
        <v>2441</v>
      </c>
      <c r="R1" s="28" t="s">
        <v>2442</v>
      </c>
      <c r="S1" s="28" t="s">
        <v>2443</v>
      </c>
      <c r="T1" s="28" t="s">
        <v>2444</v>
      </c>
      <c r="U1" s="28" t="s">
        <v>2445</v>
      </c>
      <c r="V1" s="28" t="s">
        <v>2456</v>
      </c>
    </row>
    <row r="2" spans="1:22" x14ac:dyDescent="0.25">
      <c r="E2" s="30" t="s">
        <v>2399</v>
      </c>
      <c r="G2" s="29">
        <v>1.2</v>
      </c>
      <c r="H2" s="29" t="s">
        <v>2457</v>
      </c>
      <c r="I2" s="29" t="b">
        <v>0</v>
      </c>
      <c r="J2" s="29" t="b">
        <v>0</v>
      </c>
      <c r="K2" s="29" t="b">
        <v>0</v>
      </c>
      <c r="L2" s="29" t="b">
        <v>0</v>
      </c>
      <c r="M2" s="29" t="b">
        <v>1</v>
      </c>
      <c r="N2" s="29" t="b">
        <v>0</v>
      </c>
      <c r="O2" s="29" t="b">
        <v>1</v>
      </c>
      <c r="P2" s="29" t="b">
        <v>1</v>
      </c>
      <c r="Q2" s="29" t="b">
        <v>0</v>
      </c>
      <c r="R2" s="29" t="b">
        <v>0</v>
      </c>
      <c r="S2" s="29" t="b">
        <v>1</v>
      </c>
      <c r="T2" s="29" t="b">
        <v>0</v>
      </c>
      <c r="U2" s="29" t="b">
        <v>0</v>
      </c>
      <c r="V2" s="29" t="b">
        <v>1</v>
      </c>
    </row>
    <row r="3" spans="1:22" x14ac:dyDescent="0.25">
      <c r="C3" s="30" t="s">
        <v>2472</v>
      </c>
      <c r="G3" s="29">
        <v>1</v>
      </c>
      <c r="H3" s="29" t="s">
        <v>2457</v>
      </c>
      <c r="I3" s="29" t="b">
        <v>0</v>
      </c>
      <c r="J3" s="29" t="b">
        <v>0</v>
      </c>
      <c r="K3" s="29" t="b">
        <v>0</v>
      </c>
      <c r="L3" s="29" t="b">
        <v>0</v>
      </c>
      <c r="M3" s="29" t="b">
        <v>1</v>
      </c>
      <c r="N3" s="29" t="b">
        <v>0</v>
      </c>
      <c r="O3" s="29" t="b">
        <v>1</v>
      </c>
      <c r="P3" s="29" t="b">
        <v>1</v>
      </c>
      <c r="Q3" s="29" t="b">
        <v>0</v>
      </c>
      <c r="R3" s="29" t="b">
        <v>0</v>
      </c>
      <c r="S3" s="29" t="b">
        <v>1</v>
      </c>
      <c r="T3" s="29" t="b">
        <v>0</v>
      </c>
      <c r="U3" s="29" t="b">
        <v>0</v>
      </c>
      <c r="V3" s="29" t="b">
        <v>0</v>
      </c>
    </row>
    <row r="4" spans="1:22" x14ac:dyDescent="0.25">
      <c r="D4" s="30" t="s">
        <v>2507</v>
      </c>
      <c r="G4" s="29">
        <v>1</v>
      </c>
      <c r="H4" s="29" t="s">
        <v>2457</v>
      </c>
      <c r="I4" s="29" t="b">
        <v>0</v>
      </c>
      <c r="J4" s="29" t="b">
        <v>0</v>
      </c>
      <c r="K4" s="29" t="b">
        <v>0</v>
      </c>
      <c r="L4" s="29" t="b">
        <v>0</v>
      </c>
      <c r="M4" s="29" t="b">
        <v>1</v>
      </c>
      <c r="N4" s="29" t="b">
        <v>0</v>
      </c>
      <c r="O4" s="29" t="b">
        <v>1</v>
      </c>
      <c r="P4" s="29" t="b">
        <v>1</v>
      </c>
      <c r="Q4" s="29" t="b">
        <v>0</v>
      </c>
      <c r="R4" s="29" t="b">
        <v>0</v>
      </c>
      <c r="S4" s="29" t="b">
        <v>1</v>
      </c>
      <c r="T4" s="29" t="b">
        <v>0</v>
      </c>
      <c r="U4" s="29" t="b">
        <v>0</v>
      </c>
      <c r="V4" s="29" t="b">
        <v>0</v>
      </c>
    </row>
    <row r="5" spans="1:22" x14ac:dyDescent="0.25">
      <c r="E5" s="30" t="s">
        <v>2506</v>
      </c>
      <c r="G5" s="29">
        <v>1</v>
      </c>
      <c r="H5" s="29" t="s">
        <v>2457</v>
      </c>
      <c r="I5" s="29" t="b">
        <v>0</v>
      </c>
      <c r="J5" s="29" t="b">
        <v>0</v>
      </c>
      <c r="K5" s="29" t="b">
        <v>0</v>
      </c>
      <c r="L5" s="29" t="b">
        <v>0</v>
      </c>
      <c r="M5" s="29" t="b">
        <v>1</v>
      </c>
      <c r="N5" s="29" t="b">
        <v>0</v>
      </c>
      <c r="O5" s="29" t="b">
        <v>1</v>
      </c>
      <c r="P5" s="29" t="b">
        <v>1</v>
      </c>
      <c r="Q5" s="29" t="b">
        <v>0</v>
      </c>
      <c r="R5" s="29" t="b">
        <v>0</v>
      </c>
      <c r="S5" s="29" t="b">
        <v>1</v>
      </c>
      <c r="T5" s="29" t="b">
        <v>0</v>
      </c>
      <c r="U5" s="29" t="b">
        <v>0</v>
      </c>
      <c r="V5" s="29" t="b">
        <v>0</v>
      </c>
    </row>
    <row r="6" spans="1:22" x14ac:dyDescent="0.25">
      <c r="D6" s="30" t="s">
        <v>2541</v>
      </c>
      <c r="G6" s="29">
        <v>1</v>
      </c>
      <c r="H6" s="29" t="s">
        <v>2542</v>
      </c>
      <c r="I6" s="29" t="b">
        <v>0</v>
      </c>
      <c r="J6" s="29" t="b">
        <v>0</v>
      </c>
      <c r="K6" s="29" t="b">
        <v>0</v>
      </c>
      <c r="L6" s="29" t="b">
        <v>0</v>
      </c>
      <c r="M6" s="29" t="b">
        <v>1</v>
      </c>
      <c r="N6" s="29" t="b">
        <v>0</v>
      </c>
      <c r="O6" s="29" t="b">
        <v>1</v>
      </c>
      <c r="P6" s="29" t="b">
        <v>1</v>
      </c>
      <c r="Q6" s="29" t="b">
        <v>0</v>
      </c>
      <c r="R6" s="29" t="b">
        <v>0</v>
      </c>
      <c r="S6" s="29" t="b">
        <v>1</v>
      </c>
      <c r="T6" s="29" t="b">
        <v>0</v>
      </c>
      <c r="U6" s="29" t="b">
        <v>0</v>
      </c>
      <c r="V6" s="29" t="b">
        <v>0</v>
      </c>
    </row>
    <row r="7" spans="1:22" x14ac:dyDescent="0.25">
      <c r="C7" s="30" t="s">
        <v>2573</v>
      </c>
      <c r="G7" s="29">
        <v>1</v>
      </c>
      <c r="H7" s="29" t="s">
        <v>2574</v>
      </c>
      <c r="I7" s="29" t="b">
        <v>0</v>
      </c>
      <c r="J7" s="29" t="b">
        <v>0</v>
      </c>
      <c r="K7" s="29" t="b">
        <v>0</v>
      </c>
      <c r="L7" s="29" t="b">
        <v>0</v>
      </c>
      <c r="M7" s="29" t="b">
        <v>1</v>
      </c>
      <c r="N7" s="29" t="b">
        <v>0</v>
      </c>
      <c r="O7" s="29" t="b">
        <v>1</v>
      </c>
      <c r="P7" s="29" t="b">
        <v>1</v>
      </c>
      <c r="Q7" s="29" t="b">
        <v>0</v>
      </c>
      <c r="R7" s="29" t="b">
        <v>0</v>
      </c>
      <c r="S7" s="29" t="b">
        <v>1</v>
      </c>
      <c r="T7" s="29" t="b">
        <v>0</v>
      </c>
      <c r="U7" s="29" t="b">
        <v>0</v>
      </c>
      <c r="V7" s="29" t="b">
        <v>1</v>
      </c>
    </row>
    <row r="8" spans="1:22" x14ac:dyDescent="0.25">
      <c r="B8" s="30" t="s">
        <v>2373</v>
      </c>
    </row>
    <row r="9" spans="1:22" x14ac:dyDescent="0.25">
      <c r="A9" s="30" t="s">
        <v>2372</v>
      </c>
    </row>
    <row r="10" spans="1:22" x14ac:dyDescent="0.25">
      <c r="A10" s="30" t="s">
        <v>2427</v>
      </c>
    </row>
  </sheetData>
  <sortState ref="A2:V10">
    <sortCondition ref="H2:H600"/>
  </sortState>
  <conditionalFormatting sqref="A1:V1048576">
    <cfRule type="containsText" dxfId="92" priority="7" operator="containsText" text="_спец">
      <formula>NOT(ISERROR(SEARCH("_спец",A1)))</formula>
    </cfRule>
    <cfRule type="containsText" dxfId="91" priority="6" operator="containsText" text="!">
      <formula>NOT(ISERROR(SEARCH("!",A1)))</formula>
    </cfRule>
    <cfRule type="expression" dxfId="90" priority="5">
      <formula>LEN(TRIM(A1))=0</formula>
    </cfRule>
    <cfRule type="containsText" dxfId="89" priority="4" operator="containsText" text="|">
      <formula>NOT(ISERROR(SEARCH("|",A1)))</formula>
    </cfRule>
    <cfRule type="containsText" dxfId="88" priority="3" operator="containsText" text="_кж">
      <formula>NOT(ISERROR(SEARCH("_кж",A1)))</formula>
    </cfRule>
    <cfRule type="containsText" dxfId="87" priority="2" operator="containsText" text="_км">
      <formula>NOT(ISERROR(SEARCH("_км",A1)))</formula>
    </cfRule>
    <cfRule type="containsText" dxfId="86" priority="1" operator="containsText" text="_поз">
      <formula>NOT(ISERROR(SEARCH("_поз",A1)))</formula>
    </cfRule>
  </conditionalFormatting>
  <hyperlinks>
    <hyperlink ref="B8" location="'!System'!B2" display="'!System'!B2"/>
    <hyperlink ref="A9" location="'|Содержание|'!A1" display="'|Содержание|'!A1"/>
    <hyperlink ref="A10" location="'|Лог|'!A1" display="'|Лог|'!A1"/>
    <hyperlink ref="E2" location="'Ведомость отделки АБК_правила'!E3" display="'Ведомость отделки АБК_правила'!E3"/>
    <hyperlink ref="C3" location="'Изделия_спец.И'!C3" display="'Изделия_спец.И'!C3"/>
    <hyperlink ref="D4" location="'Из архикада_плиты'!D4" display="'Из архикада_плиты'!D4"/>
    <hyperlink ref="E5" location="'Пример плиты_спец'!E3" display="'Пример плиты_спец'!E3"/>
    <hyperlink ref="D6" location="'сталь_км'!D4" display="'сталь_км'!D4"/>
    <hyperlink ref="C7" location="'Тест полы_экспл'!C3" display="'Тест полы_экспл'!C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 tint="1"/>
  </sheetPr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3" t="s">
        <v>2458</v>
      </c>
      <c r="B1" s="13" t="s">
        <v>2459</v>
      </c>
      <c r="C1" s="13" t="s">
        <v>2460</v>
      </c>
      <c r="D1" s="13" t="s">
        <v>2369</v>
      </c>
      <c r="E1" s="14" t="s">
        <v>2461</v>
      </c>
      <c r="F1" s="14" t="s">
        <v>2462</v>
      </c>
      <c r="G1" s="14" t="s">
        <v>2463</v>
      </c>
      <c r="H1" s="14" t="s">
        <v>2464</v>
      </c>
      <c r="I1" s="14" t="s">
        <v>2465</v>
      </c>
      <c r="J1" s="14" t="s">
        <v>2466</v>
      </c>
      <c r="K1" s="14" t="s">
        <v>2467</v>
      </c>
      <c r="L1" s="14" t="s">
        <v>2468</v>
      </c>
      <c r="M1" s="14" t="s">
        <v>2469</v>
      </c>
      <c r="N1" s="14" t="s">
        <v>2470</v>
      </c>
      <c r="O1" s="14" t="s">
        <v>2471</v>
      </c>
    </row>
    <row r="2" spans="1:15" ht="15.95" customHeight="1" x14ac:dyDescent="0.25">
      <c r="A2" s="15">
        <v>43480.591249999998</v>
      </c>
      <c r="B2" s="12" t="s">
        <v>2428</v>
      </c>
      <c r="C2" s="12" t="s">
        <v>2506</v>
      </c>
      <c r="D2" s="12" t="s">
        <v>2455</v>
      </c>
      <c r="E2" s="12">
        <v>3</v>
      </c>
      <c r="F2" s="12">
        <v>3.29</v>
      </c>
      <c r="G2" s="12">
        <v>3.8</v>
      </c>
      <c r="H2" s="12">
        <v>3.9</v>
      </c>
      <c r="I2" s="12">
        <v>1</v>
      </c>
      <c r="J2" s="12" t="b">
        <v>0</v>
      </c>
      <c r="K2" s="12" t="b">
        <v>0</v>
      </c>
      <c r="L2" s="12" t="b">
        <v>0</v>
      </c>
      <c r="M2" s="12" t="b">
        <v>0</v>
      </c>
      <c r="N2" s="12" t="b">
        <v>1</v>
      </c>
      <c r="O2" s="12" t="b">
        <v>0</v>
      </c>
    </row>
    <row r="3" spans="1:15" ht="15.95" customHeight="1" x14ac:dyDescent="0.25">
      <c r="A3" s="15">
        <v>43481.461527777778</v>
      </c>
      <c r="B3" s="12" t="s">
        <v>2428</v>
      </c>
      <c r="C3" s="12" t="s">
        <v>2538</v>
      </c>
      <c r="D3" s="12" t="s">
        <v>2539</v>
      </c>
      <c r="E3" s="12" t="s">
        <v>2540</v>
      </c>
      <c r="F3" s="12">
        <v>3.29</v>
      </c>
      <c r="G3" s="12">
        <v>3.8</v>
      </c>
      <c r="H3" s="12">
        <v>3.9</v>
      </c>
      <c r="I3" s="12">
        <v>1</v>
      </c>
      <c r="J3" s="12" t="b">
        <v>0</v>
      </c>
      <c r="K3" s="12" t="b">
        <v>0</v>
      </c>
      <c r="L3" s="12" t="b">
        <v>0</v>
      </c>
      <c r="M3" s="12" t="b">
        <v>0</v>
      </c>
      <c r="N3" s="12" t="b">
        <v>1</v>
      </c>
      <c r="O3" s="12" t="b">
        <v>0</v>
      </c>
    </row>
    <row r="4" spans="1:15" ht="15.95" customHeight="1" x14ac:dyDescent="0.25">
      <c r="A4" s="15">
        <v>43481.532395833332</v>
      </c>
      <c r="B4" s="12" t="s">
        <v>2428</v>
      </c>
      <c r="C4" s="12" t="s">
        <v>2538</v>
      </c>
      <c r="D4" s="12"/>
      <c r="E4" s="12" t="s">
        <v>2540</v>
      </c>
      <c r="F4" s="12">
        <v>3.29</v>
      </c>
      <c r="G4" s="12">
        <v>3.8</v>
      </c>
      <c r="H4" s="12">
        <v>3.9</v>
      </c>
      <c r="I4" s="12">
        <v>1</v>
      </c>
      <c r="J4" s="12" t="b">
        <v>0</v>
      </c>
      <c r="K4" s="12" t="b">
        <v>0</v>
      </c>
      <c r="L4" s="12" t="b">
        <v>0</v>
      </c>
      <c r="M4" s="12" t="b">
        <v>0</v>
      </c>
      <c r="N4" s="12" t="b">
        <v>1</v>
      </c>
      <c r="O4" s="12" t="b">
        <v>0</v>
      </c>
    </row>
    <row r="5" spans="1:15" ht="15.95" customHeight="1" x14ac:dyDescent="0.25">
      <c r="A5" s="15">
        <v>43481.532511574071</v>
      </c>
      <c r="B5" s="12" t="s">
        <v>2428</v>
      </c>
      <c r="C5" s="12" t="s">
        <v>2538</v>
      </c>
      <c r="D5" s="12" t="s">
        <v>2543</v>
      </c>
      <c r="E5" s="12" t="s">
        <v>2540</v>
      </c>
      <c r="F5" s="12">
        <v>3.29</v>
      </c>
      <c r="G5" s="12">
        <v>3.8</v>
      </c>
      <c r="H5" s="12">
        <v>3.9</v>
      </c>
      <c r="I5" s="12">
        <v>1</v>
      </c>
      <c r="J5" s="12" t="b">
        <v>0</v>
      </c>
      <c r="K5" s="12" t="b">
        <v>0</v>
      </c>
      <c r="L5" s="12" t="b">
        <v>0</v>
      </c>
      <c r="M5" s="12" t="b">
        <v>0</v>
      </c>
      <c r="N5" s="12" t="b">
        <v>1</v>
      </c>
      <c r="O5" s="12" t="b">
        <v>0</v>
      </c>
    </row>
    <row r="6" spans="1:15" ht="15.95" customHeight="1" x14ac:dyDescent="0.25">
      <c r="A6" s="15">
        <v>43481.532557870371</v>
      </c>
      <c r="B6" s="12" t="s">
        <v>2428</v>
      </c>
      <c r="C6" s="12" t="s">
        <v>2538</v>
      </c>
      <c r="D6" s="12"/>
      <c r="E6" s="12" t="s">
        <v>2540</v>
      </c>
      <c r="F6" s="12">
        <v>3.29</v>
      </c>
      <c r="G6" s="12">
        <v>3.8</v>
      </c>
      <c r="H6" s="12">
        <v>3.9</v>
      </c>
      <c r="I6" s="12">
        <v>1</v>
      </c>
      <c r="J6" s="12" t="b">
        <v>0</v>
      </c>
      <c r="K6" s="12" t="b">
        <v>0</v>
      </c>
      <c r="L6" s="12" t="b">
        <v>0</v>
      </c>
      <c r="M6" s="12" t="b">
        <v>0</v>
      </c>
      <c r="N6" s="12" t="b">
        <v>1</v>
      </c>
      <c r="O6" s="12" t="b">
        <v>0</v>
      </c>
    </row>
    <row r="7" spans="1:15" ht="15.95" customHeight="1" x14ac:dyDescent="0.25">
      <c r="A7" s="15">
        <v>43481.539479166669</v>
      </c>
      <c r="B7" s="12" t="s">
        <v>2428</v>
      </c>
      <c r="C7" s="12" t="s">
        <v>2538</v>
      </c>
      <c r="D7" s="12" t="s">
        <v>2545</v>
      </c>
      <c r="E7" s="12" t="s">
        <v>2546</v>
      </c>
      <c r="F7" s="12">
        <v>3.29</v>
      </c>
      <c r="G7" s="12">
        <v>3.8</v>
      </c>
      <c r="H7" s="12">
        <v>3.9</v>
      </c>
      <c r="I7" s="12">
        <v>1</v>
      </c>
      <c r="J7" s="12" t="b">
        <v>0</v>
      </c>
      <c r="K7" s="12" t="b">
        <v>0</v>
      </c>
      <c r="L7" s="12" t="b">
        <v>0</v>
      </c>
      <c r="M7" s="12" t="b">
        <v>0</v>
      </c>
      <c r="N7" s="12" t="b">
        <v>1</v>
      </c>
      <c r="O7" s="12" t="b">
        <v>0</v>
      </c>
    </row>
    <row r="8" spans="1:15" ht="15.95" customHeight="1" x14ac:dyDescent="0.25">
      <c r="A8" s="15">
        <v>43481.659131944441</v>
      </c>
      <c r="B8" s="12" t="s">
        <v>2428</v>
      </c>
      <c r="C8" s="12" t="s">
        <v>2547</v>
      </c>
      <c r="D8" s="12" t="s">
        <v>2455</v>
      </c>
      <c r="E8" s="12">
        <v>0</v>
      </c>
      <c r="F8" s="12">
        <v>3.29</v>
      </c>
      <c r="G8" s="12">
        <v>3.8</v>
      </c>
      <c r="H8" s="12">
        <v>3.9</v>
      </c>
      <c r="I8" s="12">
        <v>0</v>
      </c>
      <c r="J8" s="12" t="b">
        <v>0</v>
      </c>
      <c r="K8" s="12" t="b">
        <v>0</v>
      </c>
      <c r="L8" s="12" t="b">
        <v>0</v>
      </c>
      <c r="M8" s="12" t="b">
        <v>0</v>
      </c>
      <c r="N8" s="12" t="b">
        <v>1</v>
      </c>
      <c r="O8" s="12" t="b">
        <v>0</v>
      </c>
    </row>
    <row r="9" spans="1:15" ht="15.95" customHeight="1" x14ac:dyDescent="0.25">
      <c r="A9" s="15">
        <v>43481.660138888888</v>
      </c>
      <c r="B9" s="12" t="s">
        <v>2428</v>
      </c>
      <c r="C9" s="12" t="s">
        <v>2547</v>
      </c>
      <c r="D9" s="12" t="s">
        <v>2548</v>
      </c>
      <c r="E9" s="12" t="s">
        <v>2540</v>
      </c>
      <c r="F9" s="12">
        <v>3.29</v>
      </c>
      <c r="G9" s="12">
        <v>3.8</v>
      </c>
      <c r="H9" s="12">
        <v>3.9</v>
      </c>
      <c r="I9" s="12">
        <v>1</v>
      </c>
      <c r="J9" s="12" t="b">
        <v>0</v>
      </c>
      <c r="K9" s="12" t="b">
        <v>0</v>
      </c>
      <c r="L9" s="12" t="b">
        <v>0</v>
      </c>
      <c r="M9" s="12" t="b">
        <v>0</v>
      </c>
      <c r="N9" s="12" t="b">
        <v>1</v>
      </c>
      <c r="O9" s="12" t="b">
        <v>0</v>
      </c>
    </row>
    <row r="10" spans="1:15" ht="15.95" customHeight="1" x14ac:dyDescent="0.25">
      <c r="A10" s="15">
        <v>43481.660358796296</v>
      </c>
      <c r="B10" s="12" t="s">
        <v>2428</v>
      </c>
      <c r="C10" s="12" t="s">
        <v>2547</v>
      </c>
      <c r="D10" s="12" t="s">
        <v>2455</v>
      </c>
      <c r="E10" s="12">
        <v>0</v>
      </c>
      <c r="F10" s="12">
        <v>3.29</v>
      </c>
      <c r="G10" s="12">
        <v>3.8</v>
      </c>
      <c r="H10" s="12">
        <v>3.9</v>
      </c>
      <c r="I10" s="12">
        <v>1</v>
      </c>
      <c r="J10" s="12" t="b">
        <v>0</v>
      </c>
      <c r="K10" s="12" t="b">
        <v>0</v>
      </c>
      <c r="L10" s="12" t="b">
        <v>0</v>
      </c>
      <c r="M10" s="12" t="b">
        <v>0</v>
      </c>
      <c r="N10" s="12" t="b">
        <v>1</v>
      </c>
      <c r="O10" s="12" t="b">
        <v>0</v>
      </c>
    </row>
    <row r="11" spans="1:15" ht="15.95" customHeight="1" x14ac:dyDescent="0.25">
      <c r="A11" s="15">
        <v>43481.660462962966</v>
      </c>
      <c r="B11" s="12" t="s">
        <v>2428</v>
      </c>
      <c r="C11" s="12" t="s">
        <v>2547</v>
      </c>
      <c r="D11" s="12" t="s">
        <v>2455</v>
      </c>
      <c r="E11" s="12">
        <v>0</v>
      </c>
      <c r="F11" s="12">
        <v>3.29</v>
      </c>
      <c r="G11" s="12">
        <v>3.8</v>
      </c>
      <c r="H11" s="12">
        <v>3.9</v>
      </c>
      <c r="I11" s="12">
        <v>1</v>
      </c>
      <c r="J11" s="12" t="b">
        <v>0</v>
      </c>
      <c r="K11" s="12" t="b">
        <v>0</v>
      </c>
      <c r="L11" s="12" t="b">
        <v>0</v>
      </c>
      <c r="M11" s="12" t="b">
        <v>0</v>
      </c>
      <c r="N11" s="12" t="b">
        <v>1</v>
      </c>
      <c r="O11" s="12" t="b">
        <v>0</v>
      </c>
    </row>
    <row r="12" spans="1:15" ht="15.95" customHeight="1" x14ac:dyDescent="0.25">
      <c r="A12" s="15">
        <v>43481.669490740744</v>
      </c>
      <c r="B12" s="12" t="s">
        <v>2428</v>
      </c>
      <c r="C12" s="12" t="s">
        <v>2547</v>
      </c>
      <c r="D12" s="12" t="s">
        <v>2548</v>
      </c>
      <c r="E12" s="12" t="s">
        <v>2540</v>
      </c>
      <c r="F12" s="12">
        <v>3.29</v>
      </c>
      <c r="G12" s="12">
        <v>3.8</v>
      </c>
      <c r="H12" s="12">
        <v>3.9</v>
      </c>
      <c r="I12" s="12">
        <v>1</v>
      </c>
      <c r="J12" s="12" t="b">
        <v>0</v>
      </c>
      <c r="K12" s="12" t="b">
        <v>0</v>
      </c>
      <c r="L12" s="12" t="b">
        <v>0</v>
      </c>
      <c r="M12" s="12" t="b">
        <v>0</v>
      </c>
      <c r="N12" s="12" t="b">
        <v>1</v>
      </c>
      <c r="O12" s="12" t="b">
        <v>0</v>
      </c>
    </row>
    <row r="13" spans="1:15" ht="15.95" customHeight="1" x14ac:dyDescent="0.25">
      <c r="A13" s="15">
        <v>43481.672430555554</v>
      </c>
      <c r="B13" s="12" t="s">
        <v>2428</v>
      </c>
      <c r="C13" s="12" t="s">
        <v>2547</v>
      </c>
      <c r="D13" s="12" t="s">
        <v>2455</v>
      </c>
      <c r="E13" s="12">
        <v>0</v>
      </c>
      <c r="F13" s="12">
        <v>3.29</v>
      </c>
      <c r="G13" s="12">
        <v>3.8</v>
      </c>
      <c r="H13" s="12">
        <v>3.9</v>
      </c>
      <c r="I13" s="12">
        <v>1</v>
      </c>
      <c r="J13" s="12" t="b">
        <v>0</v>
      </c>
      <c r="K13" s="12" t="b">
        <v>0</v>
      </c>
      <c r="L13" s="12" t="b">
        <v>0</v>
      </c>
      <c r="M13" s="12" t="b">
        <v>0</v>
      </c>
      <c r="N13" s="12" t="b">
        <v>1</v>
      </c>
      <c r="O13" s="12" t="b">
        <v>0</v>
      </c>
    </row>
    <row r="14" spans="1:15" ht="15.95" customHeight="1" x14ac:dyDescent="0.25">
      <c r="A14" s="15">
        <v>43481.672951388886</v>
      </c>
      <c r="B14" s="12" t="s">
        <v>2428</v>
      </c>
      <c r="C14" s="12" t="s">
        <v>2372</v>
      </c>
      <c r="D14" s="12"/>
      <c r="E14" s="12" t="s">
        <v>2546</v>
      </c>
      <c r="F14" s="12">
        <v>3.29</v>
      </c>
      <c r="G14" s="12">
        <v>3.8</v>
      </c>
      <c r="H14" s="12">
        <v>3.9</v>
      </c>
      <c r="I14" s="12">
        <v>1</v>
      </c>
      <c r="J14" s="12" t="b">
        <v>0</v>
      </c>
      <c r="K14" s="12" t="b">
        <v>0</v>
      </c>
      <c r="L14" s="12" t="b">
        <v>0</v>
      </c>
      <c r="M14" s="12" t="b">
        <v>0</v>
      </c>
      <c r="N14" s="12" t="b">
        <v>1</v>
      </c>
      <c r="O14" s="12" t="b">
        <v>0</v>
      </c>
    </row>
    <row r="15" spans="1:15" ht="15.95" customHeight="1" x14ac:dyDescent="0.25">
      <c r="A15" s="15">
        <v>43481.673032407409</v>
      </c>
      <c r="B15" s="12" t="s">
        <v>2428</v>
      </c>
      <c r="C15" s="12" t="s">
        <v>2547</v>
      </c>
      <c r="D15" s="12" t="s">
        <v>2455</v>
      </c>
      <c r="E15" s="12">
        <v>0</v>
      </c>
      <c r="F15" s="12">
        <v>3.29</v>
      </c>
      <c r="G15" s="12">
        <v>3.8</v>
      </c>
      <c r="H15" s="12">
        <v>3.9</v>
      </c>
      <c r="I15" s="12">
        <v>1</v>
      </c>
      <c r="J15" s="12" t="b">
        <v>0</v>
      </c>
      <c r="K15" s="12" t="b">
        <v>0</v>
      </c>
      <c r="L15" s="12" t="b">
        <v>0</v>
      </c>
      <c r="M15" s="12" t="b">
        <v>0</v>
      </c>
      <c r="N15" s="12" t="b">
        <v>1</v>
      </c>
      <c r="O15" s="12" t="b">
        <v>0</v>
      </c>
    </row>
    <row r="16" spans="1:15" ht="15.95" customHeight="1" x14ac:dyDescent="0.25">
      <c r="A16" s="15">
        <v>43481.673252314817</v>
      </c>
      <c r="B16" s="12" t="s">
        <v>2428</v>
      </c>
      <c r="C16" s="12" t="s">
        <v>2547</v>
      </c>
      <c r="D16" s="12" t="s">
        <v>2455</v>
      </c>
      <c r="E16" s="12">
        <v>0</v>
      </c>
      <c r="F16" s="12">
        <v>3.29</v>
      </c>
      <c r="G16" s="12">
        <v>3.8</v>
      </c>
      <c r="H16" s="12">
        <v>3.9</v>
      </c>
      <c r="I16" s="12">
        <v>1</v>
      </c>
      <c r="J16" s="12" t="b">
        <v>0</v>
      </c>
      <c r="K16" s="12" t="b">
        <v>0</v>
      </c>
      <c r="L16" s="12" t="b">
        <v>0</v>
      </c>
      <c r="M16" s="12" t="b">
        <v>0</v>
      </c>
      <c r="N16" s="12" t="b">
        <v>1</v>
      </c>
      <c r="O16" s="12" t="b">
        <v>0</v>
      </c>
    </row>
    <row r="17" spans="1:15" ht="15.95" customHeight="1" x14ac:dyDescent="0.25">
      <c r="A17" s="15">
        <v>43481.673344907409</v>
      </c>
      <c r="B17" s="12" t="s">
        <v>2428</v>
      </c>
      <c r="C17" s="12" t="s">
        <v>2549</v>
      </c>
      <c r="D17" s="12"/>
      <c r="E17" s="12" t="s">
        <v>2540</v>
      </c>
      <c r="F17" s="12">
        <v>3.29</v>
      </c>
      <c r="G17" s="12">
        <v>3.8</v>
      </c>
      <c r="H17" s="12">
        <v>3.9</v>
      </c>
      <c r="I17" s="12">
        <v>1</v>
      </c>
      <c r="J17" s="12" t="b">
        <v>0</v>
      </c>
      <c r="K17" s="12" t="b">
        <v>0</v>
      </c>
      <c r="L17" s="12" t="b">
        <v>0</v>
      </c>
      <c r="M17" s="12" t="b">
        <v>0</v>
      </c>
      <c r="N17" s="12" t="b">
        <v>1</v>
      </c>
      <c r="O17" s="12" t="b">
        <v>0</v>
      </c>
    </row>
    <row r="18" spans="1:15" ht="15.95" customHeight="1" x14ac:dyDescent="0.25">
      <c r="A18" s="15">
        <v>43481.673611111109</v>
      </c>
      <c r="B18" s="12" t="s">
        <v>2428</v>
      </c>
      <c r="C18" s="12" t="s">
        <v>2547</v>
      </c>
      <c r="D18" s="12" t="s">
        <v>2455</v>
      </c>
      <c r="E18" s="12">
        <v>0</v>
      </c>
      <c r="F18" s="12">
        <v>3.29</v>
      </c>
      <c r="G18" s="12">
        <v>3.8</v>
      </c>
      <c r="H18" s="12">
        <v>3.9</v>
      </c>
      <c r="I18" s="12">
        <v>1</v>
      </c>
      <c r="J18" s="12" t="b">
        <v>0</v>
      </c>
      <c r="K18" s="12" t="b">
        <v>0</v>
      </c>
      <c r="L18" s="12" t="b">
        <v>0</v>
      </c>
      <c r="M18" s="12" t="b">
        <v>0</v>
      </c>
      <c r="N18" s="12" t="b">
        <v>1</v>
      </c>
      <c r="O18" s="12" t="b">
        <v>0</v>
      </c>
    </row>
    <row r="19" spans="1:15" ht="15.95" customHeight="1" x14ac:dyDescent="0.25">
      <c r="A19" s="15">
        <v>43481.674745370372</v>
      </c>
      <c r="B19" s="12" t="s">
        <v>2428</v>
      </c>
      <c r="C19" s="12" t="s">
        <v>2547</v>
      </c>
      <c r="D19" s="12" t="s">
        <v>2455</v>
      </c>
      <c r="E19" s="12">
        <v>0</v>
      </c>
      <c r="F19" s="12">
        <v>3.29</v>
      </c>
      <c r="G19" s="12">
        <v>3.8</v>
      </c>
      <c r="H19" s="12">
        <v>3.9</v>
      </c>
      <c r="I19" s="12">
        <v>1</v>
      </c>
      <c r="J19" s="12" t="b">
        <v>0</v>
      </c>
      <c r="K19" s="12" t="b">
        <v>0</v>
      </c>
      <c r="L19" s="12" t="b">
        <v>0</v>
      </c>
      <c r="M19" s="12" t="b">
        <v>0</v>
      </c>
      <c r="N19" s="12" t="b">
        <v>1</v>
      </c>
      <c r="O19" s="12" t="b">
        <v>0</v>
      </c>
    </row>
    <row r="20" spans="1:15" ht="15.95" customHeight="1" x14ac:dyDescent="0.25">
      <c r="A20" s="15">
        <v>43481.675185185188</v>
      </c>
      <c r="B20" s="12" t="s">
        <v>2428</v>
      </c>
      <c r="C20" s="12" t="s">
        <v>2547</v>
      </c>
      <c r="D20" s="12" t="s">
        <v>2455</v>
      </c>
      <c r="E20" s="12">
        <v>0</v>
      </c>
      <c r="F20" s="12">
        <v>3.29</v>
      </c>
      <c r="G20" s="12">
        <v>3.8</v>
      </c>
      <c r="H20" s="12">
        <v>3.9</v>
      </c>
      <c r="I20" s="12">
        <v>0</v>
      </c>
      <c r="J20" s="12" t="b">
        <v>0</v>
      </c>
      <c r="K20" s="12" t="b">
        <v>0</v>
      </c>
      <c r="L20" s="12" t="b">
        <v>0</v>
      </c>
      <c r="M20" s="12" t="b">
        <v>0</v>
      </c>
      <c r="N20" s="12" t="b">
        <v>1</v>
      </c>
      <c r="O20" s="12" t="b">
        <v>0</v>
      </c>
    </row>
    <row r="21" spans="1:15" ht="15.95" customHeight="1" x14ac:dyDescent="0.25">
      <c r="A21" s="15">
        <v>43481.67765046296</v>
      </c>
      <c r="B21" s="12" t="s">
        <v>2428</v>
      </c>
      <c r="C21" s="12" t="s">
        <v>2547</v>
      </c>
      <c r="D21" s="12" t="s">
        <v>2548</v>
      </c>
      <c r="E21" s="12" t="s">
        <v>2540</v>
      </c>
      <c r="F21" s="12">
        <v>3.29</v>
      </c>
      <c r="G21" s="12">
        <v>3.8</v>
      </c>
      <c r="H21" s="12">
        <v>3.9</v>
      </c>
      <c r="I21" s="12">
        <v>1</v>
      </c>
      <c r="J21" s="12" t="b">
        <v>0</v>
      </c>
      <c r="K21" s="12" t="b">
        <v>0</v>
      </c>
      <c r="L21" s="12" t="b">
        <v>0</v>
      </c>
      <c r="M21" s="12" t="b">
        <v>0</v>
      </c>
      <c r="N21" s="12" t="b">
        <v>1</v>
      </c>
      <c r="O21" s="12" t="b">
        <v>0</v>
      </c>
    </row>
    <row r="22" spans="1:15" ht="15.95" customHeight="1" x14ac:dyDescent="0.25">
      <c r="A22" s="15">
        <v>43481.677731481483</v>
      </c>
      <c r="B22" s="12" t="s">
        <v>2428</v>
      </c>
      <c r="C22" s="12" t="s">
        <v>2547</v>
      </c>
      <c r="D22" s="12" t="s">
        <v>2455</v>
      </c>
      <c r="E22" s="12">
        <v>0</v>
      </c>
      <c r="F22" s="12">
        <v>3.29</v>
      </c>
      <c r="G22" s="12">
        <v>3.8</v>
      </c>
      <c r="H22" s="12">
        <v>3.9</v>
      </c>
      <c r="I22" s="12">
        <v>1</v>
      </c>
      <c r="J22" s="12" t="b">
        <v>0</v>
      </c>
      <c r="K22" s="12" t="b">
        <v>0</v>
      </c>
      <c r="L22" s="12" t="b">
        <v>0</v>
      </c>
      <c r="M22" s="12" t="b">
        <v>0</v>
      </c>
      <c r="N22" s="12" t="b">
        <v>1</v>
      </c>
      <c r="O22" s="12" t="b">
        <v>0</v>
      </c>
    </row>
    <row r="23" spans="1:15" ht="15.95" customHeight="1" x14ac:dyDescent="0.25">
      <c r="A23" s="15">
        <v>43481.677858796298</v>
      </c>
      <c r="B23" s="12" t="s">
        <v>2428</v>
      </c>
      <c r="C23" s="12" t="s">
        <v>2547</v>
      </c>
      <c r="D23" s="12" t="s">
        <v>2548</v>
      </c>
      <c r="E23" s="12" t="s">
        <v>2540</v>
      </c>
      <c r="F23" s="12">
        <v>3.29</v>
      </c>
      <c r="G23" s="12">
        <v>3.8</v>
      </c>
      <c r="H23" s="12">
        <v>3.9</v>
      </c>
      <c r="I23" s="12">
        <v>1</v>
      </c>
      <c r="J23" s="12" t="b">
        <v>0</v>
      </c>
      <c r="K23" s="12" t="b">
        <v>0</v>
      </c>
      <c r="L23" s="12" t="b">
        <v>0</v>
      </c>
      <c r="M23" s="12" t="b">
        <v>0</v>
      </c>
      <c r="N23" s="12" t="b">
        <v>1</v>
      </c>
      <c r="O23" s="12" t="b">
        <v>0</v>
      </c>
    </row>
    <row r="24" spans="1:15" ht="15.95" customHeight="1" x14ac:dyDescent="0.25">
      <c r="A24" s="15">
        <v>43481.678564814814</v>
      </c>
      <c r="B24" s="12" t="s">
        <v>2428</v>
      </c>
      <c r="C24" s="12" t="s">
        <v>2506</v>
      </c>
      <c r="D24" s="12" t="s">
        <v>2455</v>
      </c>
      <c r="E24" s="12">
        <v>3</v>
      </c>
      <c r="F24" s="12">
        <v>3.29</v>
      </c>
      <c r="G24" s="12">
        <v>3.8</v>
      </c>
      <c r="H24" s="12">
        <v>3.9</v>
      </c>
      <c r="I24" s="12">
        <v>1</v>
      </c>
      <c r="J24" s="12" t="b">
        <v>0</v>
      </c>
      <c r="K24" s="12" t="b">
        <v>0</v>
      </c>
      <c r="L24" s="12" t="b">
        <v>0</v>
      </c>
      <c r="M24" s="12" t="b">
        <v>0</v>
      </c>
      <c r="N24" s="12" t="b">
        <v>1</v>
      </c>
      <c r="O24" s="12" t="b">
        <v>0</v>
      </c>
    </row>
    <row r="25" spans="1:15" ht="15.95" customHeight="1" x14ac:dyDescent="0.25">
      <c r="A25" s="15">
        <v>43481.678622685184</v>
      </c>
      <c r="B25" s="12" t="s">
        <v>2428</v>
      </c>
      <c r="C25" s="12" t="s">
        <v>2547</v>
      </c>
      <c r="D25" s="12" t="s">
        <v>2455</v>
      </c>
      <c r="E25" s="12">
        <v>0</v>
      </c>
      <c r="F25" s="12">
        <v>3.29</v>
      </c>
      <c r="G25" s="12">
        <v>3.8</v>
      </c>
      <c r="H25" s="12">
        <v>3.9</v>
      </c>
      <c r="I25" s="12">
        <v>1</v>
      </c>
      <c r="J25" s="12" t="b">
        <v>0</v>
      </c>
      <c r="K25" s="12" t="b">
        <v>0</v>
      </c>
      <c r="L25" s="12" t="b">
        <v>0</v>
      </c>
      <c r="M25" s="12" t="b">
        <v>0</v>
      </c>
      <c r="N25" s="12" t="b">
        <v>1</v>
      </c>
      <c r="O25" s="12" t="b">
        <v>0</v>
      </c>
    </row>
    <row r="26" spans="1:15" ht="15.95" customHeight="1" x14ac:dyDescent="0.25">
      <c r="A26" s="15">
        <v>43481.679143518515</v>
      </c>
      <c r="B26" s="12" t="s">
        <v>2428</v>
      </c>
      <c r="C26" s="12" t="s">
        <v>2506</v>
      </c>
      <c r="D26" s="12" t="s">
        <v>2455</v>
      </c>
      <c r="E26" s="12">
        <v>3</v>
      </c>
      <c r="F26" s="12">
        <v>3.29</v>
      </c>
      <c r="G26" s="12">
        <v>3.8</v>
      </c>
      <c r="H26" s="12">
        <v>3.9</v>
      </c>
      <c r="I26" s="12">
        <v>1</v>
      </c>
      <c r="J26" s="12" t="b">
        <v>0</v>
      </c>
      <c r="K26" s="12" t="b">
        <v>0</v>
      </c>
      <c r="L26" s="12" t="b">
        <v>0</v>
      </c>
      <c r="M26" s="12" t="b">
        <v>0</v>
      </c>
      <c r="N26" s="12" t="b">
        <v>1</v>
      </c>
      <c r="O26" s="12" t="b">
        <v>0</v>
      </c>
    </row>
    <row r="27" spans="1:15" ht="15.95" customHeight="1" x14ac:dyDescent="0.25">
      <c r="A27" s="15">
        <v>43481.679166666669</v>
      </c>
      <c r="B27" s="12" t="s">
        <v>2428</v>
      </c>
      <c r="C27" s="12" t="s">
        <v>2547</v>
      </c>
      <c r="D27" s="12" t="s">
        <v>2455</v>
      </c>
      <c r="E27" s="12">
        <v>0</v>
      </c>
      <c r="F27" s="12">
        <v>3.29</v>
      </c>
      <c r="G27" s="12">
        <v>3.8</v>
      </c>
      <c r="H27" s="12">
        <v>3.9</v>
      </c>
      <c r="I27" s="12">
        <v>1</v>
      </c>
      <c r="J27" s="12" t="b">
        <v>0</v>
      </c>
      <c r="K27" s="12" t="b">
        <v>0</v>
      </c>
      <c r="L27" s="12" t="b">
        <v>0</v>
      </c>
      <c r="M27" s="12" t="b">
        <v>0</v>
      </c>
      <c r="N27" s="12" t="b">
        <v>1</v>
      </c>
      <c r="O27" s="12" t="b">
        <v>0</v>
      </c>
    </row>
    <row r="28" spans="1:15" ht="15.95" customHeight="1" x14ac:dyDescent="0.25">
      <c r="A28" s="15">
        <v>43481.680104166669</v>
      </c>
      <c r="B28" s="12" t="s">
        <v>2428</v>
      </c>
      <c r="C28" s="12" t="s">
        <v>2547</v>
      </c>
      <c r="D28" s="12" t="s">
        <v>2455</v>
      </c>
      <c r="E28" s="12">
        <v>0</v>
      </c>
      <c r="F28" s="12">
        <v>3.29</v>
      </c>
      <c r="G28" s="12">
        <v>3.8</v>
      </c>
      <c r="H28" s="12">
        <v>3.9</v>
      </c>
      <c r="I28" s="12">
        <v>1</v>
      </c>
      <c r="J28" s="12" t="b">
        <v>0</v>
      </c>
      <c r="K28" s="12" t="b">
        <v>0</v>
      </c>
      <c r="L28" s="12" t="b">
        <v>0</v>
      </c>
      <c r="M28" s="12" t="b">
        <v>0</v>
      </c>
      <c r="N28" s="12" t="b">
        <v>1</v>
      </c>
      <c r="O28" s="12" t="b">
        <v>0</v>
      </c>
    </row>
    <row r="29" spans="1:15" ht="15.95" customHeight="1" x14ac:dyDescent="0.25">
      <c r="A29" s="15">
        <v>43481.681342592594</v>
      </c>
      <c r="B29" s="12" t="s">
        <v>2428</v>
      </c>
      <c r="C29" s="12" t="s">
        <v>2547</v>
      </c>
      <c r="D29" s="12" t="s">
        <v>2550</v>
      </c>
      <c r="E29" s="12">
        <v>15</v>
      </c>
      <c r="F29" s="12">
        <v>3.29</v>
      </c>
      <c r="G29" s="12">
        <v>3.8</v>
      </c>
      <c r="H29" s="12">
        <v>3.9</v>
      </c>
      <c r="I29" s="12">
        <v>1</v>
      </c>
      <c r="J29" s="12" t="b">
        <v>0</v>
      </c>
      <c r="K29" s="12" t="b">
        <v>0</v>
      </c>
      <c r="L29" s="12" t="b">
        <v>0</v>
      </c>
      <c r="M29" s="12" t="b">
        <v>0</v>
      </c>
      <c r="N29" s="12" t="b">
        <v>1</v>
      </c>
      <c r="O29" s="12" t="b">
        <v>0</v>
      </c>
    </row>
    <row r="30" spans="1:15" ht="15.95" customHeight="1" x14ac:dyDescent="0.25">
      <c r="A30" s="15">
        <v>43481.681504629632</v>
      </c>
      <c r="B30" s="12" t="s">
        <v>2428</v>
      </c>
      <c r="C30" s="12" t="s">
        <v>2547</v>
      </c>
      <c r="D30" s="12" t="s">
        <v>2455</v>
      </c>
      <c r="E30" s="12">
        <v>0</v>
      </c>
      <c r="F30" s="12">
        <v>3.29</v>
      </c>
      <c r="G30" s="12">
        <v>3.8</v>
      </c>
      <c r="H30" s="12">
        <v>3.9</v>
      </c>
      <c r="I30" s="12">
        <v>1</v>
      </c>
      <c r="J30" s="12" t="b">
        <v>0</v>
      </c>
      <c r="K30" s="12" t="b">
        <v>0</v>
      </c>
      <c r="L30" s="12" t="b">
        <v>0</v>
      </c>
      <c r="M30" s="12" t="b">
        <v>0</v>
      </c>
      <c r="N30" s="12" t="b">
        <v>1</v>
      </c>
      <c r="O30" s="12" t="b">
        <v>0</v>
      </c>
    </row>
    <row r="31" spans="1:15" ht="15.95" customHeight="1" x14ac:dyDescent="0.25">
      <c r="A31" s="15">
        <v>43481.681562500002</v>
      </c>
      <c r="B31" s="12" t="s">
        <v>2428</v>
      </c>
      <c r="C31" s="12" t="s">
        <v>2547</v>
      </c>
      <c r="D31" s="12" t="s">
        <v>2550</v>
      </c>
      <c r="E31" s="12">
        <v>15</v>
      </c>
      <c r="F31" s="12">
        <v>3.29</v>
      </c>
      <c r="G31" s="12">
        <v>3.8</v>
      </c>
      <c r="H31" s="12">
        <v>3.9</v>
      </c>
      <c r="I31" s="12">
        <v>1</v>
      </c>
      <c r="J31" s="12" t="b">
        <v>0</v>
      </c>
      <c r="K31" s="12" t="b">
        <v>0</v>
      </c>
      <c r="L31" s="12" t="b">
        <v>0</v>
      </c>
      <c r="M31" s="12" t="b">
        <v>0</v>
      </c>
      <c r="N31" s="12" t="b">
        <v>1</v>
      </c>
      <c r="O31" s="12" t="b">
        <v>0</v>
      </c>
    </row>
    <row r="32" spans="1:15" ht="15.95" customHeight="1" x14ac:dyDescent="0.25">
      <c r="A32" s="15">
        <v>43481.681875000002</v>
      </c>
      <c r="B32" s="12" t="s">
        <v>2428</v>
      </c>
      <c r="C32" s="12" t="s">
        <v>2547</v>
      </c>
      <c r="D32" s="12" t="s">
        <v>2455</v>
      </c>
      <c r="E32" s="12">
        <v>0</v>
      </c>
      <c r="F32" s="12">
        <v>3.29</v>
      </c>
      <c r="G32" s="12">
        <v>3.8</v>
      </c>
      <c r="H32" s="12">
        <v>3.9</v>
      </c>
      <c r="I32" s="12">
        <v>1</v>
      </c>
      <c r="J32" s="12" t="b">
        <v>0</v>
      </c>
      <c r="K32" s="12" t="b">
        <v>0</v>
      </c>
      <c r="L32" s="12" t="b">
        <v>0</v>
      </c>
      <c r="M32" s="12" t="b">
        <v>0</v>
      </c>
      <c r="N32" s="12" t="b">
        <v>1</v>
      </c>
      <c r="O32" s="12" t="b">
        <v>0</v>
      </c>
    </row>
    <row r="33" spans="1:15" ht="15.95" customHeight="1" x14ac:dyDescent="0.25">
      <c r="A33" s="15">
        <v>43481.683287037034</v>
      </c>
      <c r="B33" s="12" t="s">
        <v>2428</v>
      </c>
      <c r="C33" s="12" t="s">
        <v>2547</v>
      </c>
      <c r="D33" s="12"/>
      <c r="E33" s="12" t="s">
        <v>2540</v>
      </c>
      <c r="F33" s="12">
        <v>3.29</v>
      </c>
      <c r="G33" s="12">
        <v>3.8</v>
      </c>
      <c r="H33" s="12">
        <v>3.9</v>
      </c>
      <c r="I33" s="12">
        <v>1</v>
      </c>
      <c r="J33" s="12" t="b">
        <v>0</v>
      </c>
      <c r="K33" s="12" t="b">
        <v>0</v>
      </c>
      <c r="L33" s="12" t="b">
        <v>0</v>
      </c>
      <c r="M33" s="12" t="b">
        <v>0</v>
      </c>
      <c r="N33" s="12" t="b">
        <v>1</v>
      </c>
      <c r="O33" s="12" t="b">
        <v>0</v>
      </c>
    </row>
    <row r="34" spans="1:15" ht="15.95" customHeight="1" x14ac:dyDescent="0.25">
      <c r="A34" s="15">
        <v>43481.683344907404</v>
      </c>
      <c r="B34" s="12" t="s">
        <v>2428</v>
      </c>
      <c r="C34" s="12" t="s">
        <v>2547</v>
      </c>
      <c r="D34" s="12" t="s">
        <v>2543</v>
      </c>
      <c r="E34" s="12" t="s">
        <v>2540</v>
      </c>
      <c r="F34" s="12">
        <v>3.29</v>
      </c>
      <c r="G34" s="12">
        <v>3.8</v>
      </c>
      <c r="H34" s="12">
        <v>3.9</v>
      </c>
      <c r="I34" s="12">
        <v>1</v>
      </c>
      <c r="J34" s="12" t="b">
        <v>0</v>
      </c>
      <c r="K34" s="12" t="b">
        <v>0</v>
      </c>
      <c r="L34" s="12" t="b">
        <v>0</v>
      </c>
      <c r="M34" s="12" t="b">
        <v>0</v>
      </c>
      <c r="N34" s="12" t="b">
        <v>1</v>
      </c>
      <c r="O34" s="12" t="b">
        <v>0</v>
      </c>
    </row>
    <row r="35" spans="1:15" ht="15.95" customHeight="1" x14ac:dyDescent="0.25">
      <c r="A35" s="15">
        <v>43481.683506944442</v>
      </c>
      <c r="B35" s="12" t="s">
        <v>2428</v>
      </c>
      <c r="C35" s="12" t="s">
        <v>2547</v>
      </c>
      <c r="D35" s="12" t="s">
        <v>2455</v>
      </c>
      <c r="E35" s="12">
        <v>0</v>
      </c>
      <c r="F35" s="12">
        <v>3.29</v>
      </c>
      <c r="G35" s="12">
        <v>3.8</v>
      </c>
      <c r="H35" s="12">
        <v>3.9</v>
      </c>
      <c r="I35" s="12">
        <v>1</v>
      </c>
      <c r="J35" s="12" t="b">
        <v>0</v>
      </c>
      <c r="K35" s="12" t="b">
        <v>0</v>
      </c>
      <c r="L35" s="12" t="b">
        <v>0</v>
      </c>
      <c r="M35" s="12" t="b">
        <v>0</v>
      </c>
      <c r="N35" s="12" t="b">
        <v>1</v>
      </c>
      <c r="O35" s="12" t="b">
        <v>0</v>
      </c>
    </row>
    <row r="36" spans="1:15" ht="15.95" customHeight="1" x14ac:dyDescent="0.25">
      <c r="A36" s="15">
        <v>43481.683530092596</v>
      </c>
      <c r="B36" s="12" t="s">
        <v>2428</v>
      </c>
      <c r="C36" s="12" t="s">
        <v>2552</v>
      </c>
      <c r="D36" s="12"/>
      <c r="E36" s="12" t="s">
        <v>2540</v>
      </c>
      <c r="F36" s="12">
        <v>3.29</v>
      </c>
      <c r="G36" s="12">
        <v>3.8</v>
      </c>
      <c r="H36" s="12">
        <v>3.9</v>
      </c>
      <c r="I36" s="12">
        <v>1</v>
      </c>
      <c r="J36" s="12" t="b">
        <v>0</v>
      </c>
      <c r="K36" s="12" t="b">
        <v>0</v>
      </c>
      <c r="L36" s="12" t="b">
        <v>0</v>
      </c>
      <c r="M36" s="12" t="b">
        <v>0</v>
      </c>
      <c r="N36" s="12" t="b">
        <v>1</v>
      </c>
      <c r="O36" s="12" t="b">
        <v>0</v>
      </c>
    </row>
    <row r="37" spans="1:15" ht="15.95" customHeight="1" x14ac:dyDescent="0.25">
      <c r="A37" s="15">
        <v>43481.683587962965</v>
      </c>
      <c r="B37" s="12" t="s">
        <v>2428</v>
      </c>
      <c r="C37" s="12" t="s">
        <v>2547</v>
      </c>
      <c r="D37" s="12" t="s">
        <v>2455</v>
      </c>
      <c r="E37" s="12">
        <v>0</v>
      </c>
      <c r="F37" s="12">
        <v>3.29</v>
      </c>
      <c r="G37" s="12">
        <v>3.8</v>
      </c>
      <c r="H37" s="12">
        <v>3.9</v>
      </c>
      <c r="I37" s="12">
        <v>1</v>
      </c>
      <c r="J37" s="12" t="b">
        <v>0</v>
      </c>
      <c r="K37" s="12" t="b">
        <v>0</v>
      </c>
      <c r="L37" s="12" t="b">
        <v>0</v>
      </c>
      <c r="M37" s="12" t="b">
        <v>1</v>
      </c>
      <c r="N37" s="12" t="b">
        <v>1</v>
      </c>
      <c r="O37" s="12" t="b">
        <v>0</v>
      </c>
    </row>
    <row r="38" spans="1:15" ht="15.95" customHeight="1" x14ac:dyDescent="0.25">
      <c r="A38" s="15">
        <v>43481.683599537035</v>
      </c>
      <c r="B38" s="12" t="s">
        <v>2428</v>
      </c>
      <c r="C38" s="12" t="s">
        <v>2552</v>
      </c>
      <c r="D38" s="12"/>
      <c r="E38" s="12" t="s">
        <v>2540</v>
      </c>
      <c r="F38" s="12">
        <v>3.29</v>
      </c>
      <c r="G38" s="12">
        <v>3.8</v>
      </c>
      <c r="H38" s="12">
        <v>3.9</v>
      </c>
      <c r="I38" s="12">
        <v>1</v>
      </c>
      <c r="J38" s="12" t="b">
        <v>0</v>
      </c>
      <c r="K38" s="12" t="b">
        <v>0</v>
      </c>
      <c r="L38" s="12" t="b">
        <v>0</v>
      </c>
      <c r="M38" s="12" t="b">
        <v>1</v>
      </c>
      <c r="N38" s="12" t="b">
        <v>1</v>
      </c>
      <c r="O38" s="12" t="b">
        <v>0</v>
      </c>
    </row>
    <row r="39" spans="1:15" ht="15.95" customHeight="1" x14ac:dyDescent="0.25">
      <c r="A39" s="15">
        <v>43481.683981481481</v>
      </c>
      <c r="B39" s="12" t="s">
        <v>2428</v>
      </c>
      <c r="C39" s="12" t="s">
        <v>2547</v>
      </c>
      <c r="D39" s="12" t="s">
        <v>2455</v>
      </c>
      <c r="E39" s="12">
        <v>0</v>
      </c>
      <c r="F39" s="12">
        <v>3.29</v>
      </c>
      <c r="G39" s="12">
        <v>3.8</v>
      </c>
      <c r="H39" s="12">
        <v>3.9</v>
      </c>
      <c r="I39" s="12">
        <v>1</v>
      </c>
      <c r="J39" s="12" t="b">
        <v>1</v>
      </c>
      <c r="K39" s="12" t="b">
        <v>1</v>
      </c>
      <c r="L39" s="12" t="b">
        <v>0</v>
      </c>
      <c r="M39" s="12" t="b">
        <v>1</v>
      </c>
      <c r="N39" s="12" t="b">
        <v>1</v>
      </c>
      <c r="O39" s="12" t="b">
        <v>0</v>
      </c>
    </row>
    <row r="40" spans="1:15" ht="15.95" customHeight="1" x14ac:dyDescent="0.25">
      <c r="A40" s="15">
        <v>43481.683993055558</v>
      </c>
      <c r="B40" s="12" t="s">
        <v>2428</v>
      </c>
      <c r="C40" s="12" t="s">
        <v>2552</v>
      </c>
      <c r="D40" s="12"/>
      <c r="E40" s="12" t="s">
        <v>2540</v>
      </c>
      <c r="F40" s="12">
        <v>3.29</v>
      </c>
      <c r="G40" s="12">
        <v>3.8</v>
      </c>
      <c r="H40" s="12">
        <v>3.9</v>
      </c>
      <c r="I40" s="12">
        <v>1</v>
      </c>
      <c r="J40" s="12" t="b">
        <v>1</v>
      </c>
      <c r="K40" s="12" t="b">
        <v>1</v>
      </c>
      <c r="L40" s="12" t="b">
        <v>0</v>
      </c>
      <c r="M40" s="12" t="b">
        <v>1</v>
      </c>
      <c r="N40" s="12" t="b">
        <v>1</v>
      </c>
      <c r="O40" s="12" t="b">
        <v>0</v>
      </c>
    </row>
    <row r="41" spans="1:15" ht="15.95" customHeight="1" x14ac:dyDescent="0.25">
      <c r="A41" s="15">
        <v>43481.684062499997</v>
      </c>
      <c r="B41" s="12" t="s">
        <v>2428</v>
      </c>
      <c r="C41" s="12" t="s">
        <v>2547</v>
      </c>
      <c r="D41" s="12" t="s">
        <v>2455</v>
      </c>
      <c r="E41" s="12">
        <v>0</v>
      </c>
      <c r="F41" s="12">
        <v>3.29</v>
      </c>
      <c r="G41" s="12">
        <v>3.8</v>
      </c>
      <c r="H41" s="12">
        <v>3.9</v>
      </c>
      <c r="I41" s="12">
        <v>1</v>
      </c>
      <c r="J41" s="12" t="b">
        <v>1</v>
      </c>
      <c r="K41" s="12" t="b">
        <v>1</v>
      </c>
      <c r="L41" s="12" t="b">
        <v>1</v>
      </c>
      <c r="M41" s="12" t="b">
        <v>1</v>
      </c>
      <c r="N41" s="12" t="b">
        <v>1</v>
      </c>
      <c r="O41" s="12" t="b">
        <v>0</v>
      </c>
    </row>
    <row r="42" spans="1:15" ht="15.95" customHeight="1" x14ac:dyDescent="0.25">
      <c r="A42" s="15">
        <v>43481.684074074074</v>
      </c>
      <c r="B42" s="12" t="s">
        <v>2428</v>
      </c>
      <c r="C42" s="12" t="s">
        <v>2552</v>
      </c>
      <c r="D42" s="12"/>
      <c r="E42" s="12" t="s">
        <v>2540</v>
      </c>
      <c r="F42" s="12">
        <v>3.29</v>
      </c>
      <c r="G42" s="12">
        <v>3.8</v>
      </c>
      <c r="H42" s="12">
        <v>3.9</v>
      </c>
      <c r="I42" s="12">
        <v>1</v>
      </c>
      <c r="J42" s="12" t="b">
        <v>1</v>
      </c>
      <c r="K42" s="12" t="b">
        <v>1</v>
      </c>
      <c r="L42" s="12" t="b">
        <v>1</v>
      </c>
      <c r="M42" s="12" t="b">
        <v>1</v>
      </c>
      <c r="N42" s="12" t="b">
        <v>1</v>
      </c>
      <c r="O42" s="12" t="b">
        <v>0</v>
      </c>
    </row>
    <row r="43" spans="1:15" ht="15.95" customHeight="1" x14ac:dyDescent="0.25">
      <c r="A43" s="15">
        <v>43481.684236111112</v>
      </c>
      <c r="B43" s="12" t="s">
        <v>2428</v>
      </c>
      <c r="C43" s="12" t="s">
        <v>2547</v>
      </c>
      <c r="D43" s="12" t="s">
        <v>2455</v>
      </c>
      <c r="E43" s="12">
        <v>0</v>
      </c>
      <c r="F43" s="12">
        <v>3.29</v>
      </c>
      <c r="G43" s="12">
        <v>3.8</v>
      </c>
      <c r="H43" s="12">
        <v>3.9</v>
      </c>
      <c r="I43" s="12">
        <v>1</v>
      </c>
      <c r="J43" s="12" t="b">
        <v>1</v>
      </c>
      <c r="K43" s="12" t="b">
        <v>1</v>
      </c>
      <c r="L43" s="12" t="b">
        <v>1</v>
      </c>
      <c r="M43" s="12" t="b">
        <v>1</v>
      </c>
      <c r="N43" s="12" t="b">
        <v>1</v>
      </c>
      <c r="O43" s="12" t="b">
        <v>1</v>
      </c>
    </row>
    <row r="44" spans="1:15" ht="15.95" customHeight="1" x14ac:dyDescent="0.25">
      <c r="A44" s="15">
        <v>43481.684247685182</v>
      </c>
      <c r="B44" s="12" t="s">
        <v>2428</v>
      </c>
      <c r="C44" s="12" t="s">
        <v>2552</v>
      </c>
      <c r="D44" s="12"/>
      <c r="E44" s="12" t="s">
        <v>2540</v>
      </c>
      <c r="F44" s="12">
        <v>3.29</v>
      </c>
      <c r="G44" s="12">
        <v>3.8</v>
      </c>
      <c r="H44" s="12">
        <v>3.9</v>
      </c>
      <c r="I44" s="12">
        <v>1</v>
      </c>
      <c r="J44" s="12" t="b">
        <v>1</v>
      </c>
      <c r="K44" s="12" t="b">
        <v>1</v>
      </c>
      <c r="L44" s="12" t="b">
        <v>1</v>
      </c>
      <c r="M44" s="12" t="b">
        <v>1</v>
      </c>
      <c r="N44" s="12" t="b">
        <v>1</v>
      </c>
      <c r="O44" s="12" t="b">
        <v>1</v>
      </c>
    </row>
    <row r="45" spans="1:15" ht="15.95" customHeight="1" x14ac:dyDescent="0.25">
      <c r="A45" s="15">
        <v>43481.684340277781</v>
      </c>
      <c r="B45" s="12" t="s">
        <v>2428</v>
      </c>
      <c r="C45" s="12" t="s">
        <v>2547</v>
      </c>
      <c r="D45" s="12" t="s">
        <v>2455</v>
      </c>
      <c r="E45" s="12">
        <v>0</v>
      </c>
      <c r="F45" s="12">
        <v>3.29</v>
      </c>
      <c r="G45" s="12">
        <v>3.8</v>
      </c>
      <c r="H45" s="12">
        <v>3.9</v>
      </c>
      <c r="I45" s="12">
        <v>1</v>
      </c>
      <c r="J45" s="12" t="b">
        <v>1</v>
      </c>
      <c r="K45" s="12" t="b">
        <v>1</v>
      </c>
      <c r="L45" s="12" t="b">
        <v>1</v>
      </c>
      <c r="M45" s="12" t="b">
        <v>0</v>
      </c>
      <c r="N45" s="12" t="b">
        <v>0</v>
      </c>
      <c r="O45" s="12" t="b">
        <v>1</v>
      </c>
    </row>
    <row r="46" spans="1:15" ht="15.95" customHeight="1" x14ac:dyDescent="0.25">
      <c r="A46" s="15">
        <v>43481.684351851851</v>
      </c>
      <c r="B46" s="12" t="s">
        <v>2428</v>
      </c>
      <c r="C46" s="12" t="s">
        <v>2552</v>
      </c>
      <c r="D46" s="12"/>
      <c r="E46" s="12" t="s">
        <v>2540</v>
      </c>
      <c r="F46" s="12">
        <v>3.29</v>
      </c>
      <c r="G46" s="12">
        <v>3.8</v>
      </c>
      <c r="H46" s="12">
        <v>3.9</v>
      </c>
      <c r="I46" s="12">
        <v>1</v>
      </c>
      <c r="J46" s="12" t="b">
        <v>1</v>
      </c>
      <c r="K46" s="12" t="b">
        <v>1</v>
      </c>
      <c r="L46" s="12" t="b">
        <v>1</v>
      </c>
      <c r="M46" s="12" t="b">
        <v>0</v>
      </c>
      <c r="N46" s="12" t="b">
        <v>0</v>
      </c>
      <c r="O46" s="12" t="b">
        <v>1</v>
      </c>
    </row>
    <row r="47" spans="1:15" ht="15.95" customHeight="1" x14ac:dyDescent="0.25">
      <c r="A47" s="15">
        <v>43481.684432870374</v>
      </c>
      <c r="B47" s="12" t="s">
        <v>2428</v>
      </c>
      <c r="C47" s="12" t="s">
        <v>2552</v>
      </c>
      <c r="D47" s="12" t="s">
        <v>2543</v>
      </c>
      <c r="E47" s="12" t="s">
        <v>2553</v>
      </c>
      <c r="F47" s="12">
        <v>3.29</v>
      </c>
      <c r="G47" s="12">
        <v>3.8</v>
      </c>
      <c r="H47" s="12">
        <v>3.9</v>
      </c>
      <c r="I47" s="12">
        <v>1</v>
      </c>
      <c r="J47" s="12" t="b">
        <v>1</v>
      </c>
      <c r="K47" s="12" t="b">
        <v>1</v>
      </c>
      <c r="L47" s="12" t="b">
        <v>1</v>
      </c>
      <c r="M47" s="12" t="b">
        <v>0</v>
      </c>
      <c r="N47" s="12" t="b">
        <v>0</v>
      </c>
      <c r="O47" s="12" t="b">
        <v>1</v>
      </c>
    </row>
    <row r="48" spans="1:15" ht="15.95" customHeight="1" x14ac:dyDescent="0.25">
      <c r="A48" s="15">
        <v>43481.684490740743</v>
      </c>
      <c r="B48" s="12" t="s">
        <v>2428</v>
      </c>
      <c r="C48" s="12" t="s">
        <v>2547</v>
      </c>
      <c r="D48" s="12" t="s">
        <v>2543</v>
      </c>
      <c r="E48" s="12" t="s">
        <v>2540</v>
      </c>
      <c r="F48" s="12">
        <v>3.29</v>
      </c>
      <c r="G48" s="12">
        <v>3.8</v>
      </c>
      <c r="H48" s="12">
        <v>3.9</v>
      </c>
      <c r="I48" s="12">
        <v>1</v>
      </c>
      <c r="J48" s="12" t="b">
        <v>1</v>
      </c>
      <c r="K48" s="12" t="b">
        <v>1</v>
      </c>
      <c r="L48" s="12" t="b">
        <v>1</v>
      </c>
      <c r="M48" s="12" t="b">
        <v>0</v>
      </c>
      <c r="N48" s="12" t="b">
        <v>0</v>
      </c>
      <c r="O48" s="12" t="b">
        <v>1</v>
      </c>
    </row>
    <row r="49" spans="1:15" ht="15.95" customHeight="1" x14ac:dyDescent="0.25">
      <c r="A49" s="15">
        <v>43481.684537037036</v>
      </c>
      <c r="B49" s="12" t="s">
        <v>2428</v>
      </c>
      <c r="C49" s="12" t="s">
        <v>2547</v>
      </c>
      <c r="D49" s="12"/>
      <c r="E49" s="12" t="s">
        <v>2540</v>
      </c>
      <c r="F49" s="12">
        <v>3.29</v>
      </c>
      <c r="G49" s="12">
        <v>3.8</v>
      </c>
      <c r="H49" s="12">
        <v>3.9</v>
      </c>
      <c r="I49" s="12">
        <v>1</v>
      </c>
      <c r="J49" s="12" t="b">
        <v>1</v>
      </c>
      <c r="K49" s="12" t="b">
        <v>1</v>
      </c>
      <c r="L49" s="12" t="b">
        <v>1</v>
      </c>
      <c r="M49" s="12" t="b">
        <v>0</v>
      </c>
      <c r="N49" s="12" t="b">
        <v>0</v>
      </c>
      <c r="O49" s="12" t="b">
        <v>1</v>
      </c>
    </row>
    <row r="50" spans="1:15" ht="15.95" customHeight="1" x14ac:dyDescent="0.25">
      <c r="A50" s="15">
        <v>43481.684791666667</v>
      </c>
      <c r="B50" s="12" t="s">
        <v>2428</v>
      </c>
      <c r="C50" s="12" t="s">
        <v>2547</v>
      </c>
      <c r="D50" s="12" t="s">
        <v>2455</v>
      </c>
      <c r="E50" s="12">
        <v>0</v>
      </c>
      <c r="F50" s="12">
        <v>3.29</v>
      </c>
      <c r="G50" s="12">
        <v>3.8</v>
      </c>
      <c r="H50" s="12">
        <v>3.9</v>
      </c>
      <c r="I50" s="12">
        <v>1</v>
      </c>
      <c r="J50" s="12" t="b">
        <v>1</v>
      </c>
      <c r="K50" s="12" t="b">
        <v>1</v>
      </c>
      <c r="L50" s="12" t="b">
        <v>1</v>
      </c>
      <c r="M50" s="12" t="b">
        <v>0</v>
      </c>
      <c r="N50" s="12" t="b">
        <v>0</v>
      </c>
      <c r="O50" s="12" t="b">
        <v>1</v>
      </c>
    </row>
    <row r="51" spans="1:15" ht="15.95" customHeight="1" x14ac:dyDescent="0.25">
      <c r="A51" s="15">
        <v>43481.684803240743</v>
      </c>
      <c r="B51" s="12" t="s">
        <v>2428</v>
      </c>
      <c r="C51" s="12" t="s">
        <v>2547</v>
      </c>
      <c r="D51" s="12" t="s">
        <v>2554</v>
      </c>
      <c r="E51" s="12" t="s">
        <v>2540</v>
      </c>
      <c r="F51" s="12">
        <v>3.29</v>
      </c>
      <c r="G51" s="12">
        <v>3.8</v>
      </c>
      <c r="H51" s="12">
        <v>3.9</v>
      </c>
      <c r="I51" s="12">
        <v>1</v>
      </c>
      <c r="J51" s="12" t="b">
        <v>0</v>
      </c>
      <c r="K51" s="12" t="b">
        <v>0</v>
      </c>
      <c r="L51" s="12" t="b">
        <v>0</v>
      </c>
      <c r="M51" s="12" t="b">
        <v>0</v>
      </c>
      <c r="N51" s="12" t="b">
        <v>1</v>
      </c>
      <c r="O51" s="12" t="b">
        <v>0</v>
      </c>
    </row>
    <row r="52" spans="1:15" ht="15.95" customHeight="1" x14ac:dyDescent="0.25">
      <c r="A52" s="15">
        <v>43481.684976851851</v>
      </c>
      <c r="B52" s="12" t="s">
        <v>2428</v>
      </c>
      <c r="C52" s="12" t="s">
        <v>2506</v>
      </c>
      <c r="D52" s="12" t="s">
        <v>2455</v>
      </c>
      <c r="E52" s="12">
        <v>3</v>
      </c>
      <c r="F52" s="12">
        <v>3.29</v>
      </c>
      <c r="G52" s="12">
        <v>3.8</v>
      </c>
      <c r="H52" s="12">
        <v>3.9</v>
      </c>
      <c r="I52" s="12">
        <v>1</v>
      </c>
      <c r="J52" s="12" t="b">
        <v>0</v>
      </c>
      <c r="K52" s="12" t="b">
        <v>0</v>
      </c>
      <c r="L52" s="12" t="b">
        <v>0</v>
      </c>
      <c r="M52" s="12" t="b">
        <v>0</v>
      </c>
      <c r="N52" s="12" t="b">
        <v>1</v>
      </c>
      <c r="O52" s="12" t="b">
        <v>0</v>
      </c>
    </row>
    <row r="53" spans="1:15" ht="15.95" customHeight="1" x14ac:dyDescent="0.25">
      <c r="A53" s="15">
        <v>43481.685034722221</v>
      </c>
      <c r="B53" s="12" t="s">
        <v>2428</v>
      </c>
      <c r="C53" s="12" t="s">
        <v>2547</v>
      </c>
      <c r="D53" s="12" t="s">
        <v>2455</v>
      </c>
      <c r="E53" s="12">
        <v>0</v>
      </c>
      <c r="F53" s="12">
        <v>3.29</v>
      </c>
      <c r="G53" s="12">
        <v>3.8</v>
      </c>
      <c r="H53" s="12">
        <v>3.9</v>
      </c>
      <c r="I53" s="12">
        <v>1</v>
      </c>
      <c r="J53" s="12" t="b">
        <v>0</v>
      </c>
      <c r="K53" s="12" t="b">
        <v>0</v>
      </c>
      <c r="L53" s="12" t="b">
        <v>0</v>
      </c>
      <c r="M53" s="12" t="b">
        <v>0</v>
      </c>
      <c r="N53" s="12" t="b">
        <v>1</v>
      </c>
      <c r="O53" s="12" t="b">
        <v>0</v>
      </c>
    </row>
    <row r="54" spans="1:15" ht="15.95" customHeight="1" x14ac:dyDescent="0.25">
      <c r="A54" s="15">
        <v>43481.685949074075</v>
      </c>
      <c r="B54" s="12" t="s">
        <v>2428</v>
      </c>
      <c r="C54" s="12" t="s">
        <v>2506</v>
      </c>
      <c r="D54" s="12" t="s">
        <v>2455</v>
      </c>
      <c r="E54" s="12">
        <v>3</v>
      </c>
      <c r="F54" s="12">
        <v>3.29</v>
      </c>
      <c r="G54" s="12">
        <v>3.8</v>
      </c>
      <c r="H54" s="12">
        <v>3.9</v>
      </c>
      <c r="I54" s="12">
        <v>1</v>
      </c>
      <c r="J54" s="12" t="b">
        <v>0</v>
      </c>
      <c r="K54" s="12" t="b">
        <v>0</v>
      </c>
      <c r="L54" s="12" t="b">
        <v>0</v>
      </c>
      <c r="M54" s="12" t="b">
        <v>0</v>
      </c>
      <c r="N54" s="12" t="b">
        <v>1</v>
      </c>
      <c r="O54" s="12" t="b">
        <v>0</v>
      </c>
    </row>
    <row r="55" spans="1:15" ht="15.95" customHeight="1" x14ac:dyDescent="0.25">
      <c r="A55" s="15">
        <v>43481.685972222222</v>
      </c>
      <c r="B55" s="12" t="s">
        <v>2428</v>
      </c>
      <c r="C55" s="12" t="s">
        <v>2547</v>
      </c>
      <c r="D55" s="12" t="s">
        <v>2455</v>
      </c>
      <c r="E55" s="12">
        <v>0</v>
      </c>
      <c r="F55" s="12">
        <v>3.29</v>
      </c>
      <c r="G55" s="12">
        <v>3.8</v>
      </c>
      <c r="H55" s="12">
        <v>3.9</v>
      </c>
      <c r="I55" s="12">
        <v>1</v>
      </c>
      <c r="J55" s="12" t="b">
        <v>0</v>
      </c>
      <c r="K55" s="12" t="b">
        <v>0</v>
      </c>
      <c r="L55" s="12" t="b">
        <v>0</v>
      </c>
      <c r="M55" s="12" t="b">
        <v>0</v>
      </c>
      <c r="N55" s="12" t="b">
        <v>1</v>
      </c>
      <c r="O55" s="12" t="b">
        <v>0</v>
      </c>
    </row>
    <row r="56" spans="1:15" ht="15.95" customHeight="1" x14ac:dyDescent="0.25">
      <c r="A56" s="15">
        <v>43481.686678240738</v>
      </c>
      <c r="B56" s="12" t="s">
        <v>2428</v>
      </c>
      <c r="C56" s="12" t="s">
        <v>2547</v>
      </c>
      <c r="D56" s="12" t="s">
        <v>2455</v>
      </c>
      <c r="E56" s="12">
        <v>0</v>
      </c>
      <c r="F56" s="12">
        <v>3.29</v>
      </c>
      <c r="G56" s="12">
        <v>3.8</v>
      </c>
      <c r="H56" s="12">
        <v>3.9</v>
      </c>
      <c r="I56" s="12">
        <v>1</v>
      </c>
      <c r="J56" s="12" t="b">
        <v>0</v>
      </c>
      <c r="K56" s="12" t="b">
        <v>0</v>
      </c>
      <c r="L56" s="12" t="b">
        <v>0</v>
      </c>
      <c r="M56" s="12" t="b">
        <v>0</v>
      </c>
      <c r="N56" s="12" t="b">
        <v>1</v>
      </c>
      <c r="O56" s="12" t="b">
        <v>0</v>
      </c>
    </row>
    <row r="57" spans="1:15" ht="15.95" customHeight="1" x14ac:dyDescent="0.25">
      <c r="A57" s="15">
        <v>43481.68677083333</v>
      </c>
      <c r="B57" s="12" t="s">
        <v>2428</v>
      </c>
      <c r="C57" s="12" t="s">
        <v>2547</v>
      </c>
      <c r="D57" s="12" t="s">
        <v>2554</v>
      </c>
      <c r="E57" s="12" t="s">
        <v>2540</v>
      </c>
      <c r="F57" s="12">
        <v>3.29</v>
      </c>
      <c r="G57" s="12">
        <v>3.8</v>
      </c>
      <c r="H57" s="12">
        <v>3.9</v>
      </c>
      <c r="I57" s="12">
        <v>1</v>
      </c>
      <c r="J57" s="12" t="b">
        <v>0</v>
      </c>
      <c r="K57" s="12" t="b">
        <v>0</v>
      </c>
      <c r="L57" s="12" t="b">
        <v>0</v>
      </c>
      <c r="M57" s="12" t="b">
        <v>0</v>
      </c>
      <c r="N57" s="12" t="b">
        <v>1</v>
      </c>
      <c r="O57" s="12" t="b">
        <v>0</v>
      </c>
    </row>
    <row r="58" spans="1:15" ht="15.95" customHeight="1" x14ac:dyDescent="0.25">
      <c r="A58" s="15">
        <v>43482.655335648145</v>
      </c>
      <c r="B58" s="12" t="s">
        <v>2428</v>
      </c>
      <c r="C58" s="12" t="s">
        <v>2506</v>
      </c>
      <c r="D58" s="12" t="s">
        <v>2455</v>
      </c>
      <c r="E58" s="12">
        <v>3</v>
      </c>
      <c r="F58" s="12">
        <v>3.29</v>
      </c>
      <c r="G58" s="12">
        <v>3.8</v>
      </c>
      <c r="H58" s="12">
        <v>3.9</v>
      </c>
      <c r="I58" s="12">
        <v>0</v>
      </c>
      <c r="J58" s="12" t="b">
        <v>0</v>
      </c>
      <c r="K58" s="12" t="b">
        <v>0</v>
      </c>
      <c r="L58" s="12" t="b">
        <v>0</v>
      </c>
      <c r="M58" s="12" t="b">
        <v>0</v>
      </c>
      <c r="N58" s="12" t="b">
        <v>1</v>
      </c>
      <c r="O58" s="12" t="b">
        <v>0</v>
      </c>
    </row>
    <row r="59" spans="1:15" ht="15.95" customHeight="1" x14ac:dyDescent="0.25">
      <c r="A59" s="15">
        <v>43482.655381944445</v>
      </c>
      <c r="B59" s="12" t="s">
        <v>2428</v>
      </c>
      <c r="C59" s="12" t="s">
        <v>2547</v>
      </c>
      <c r="D59" s="12" t="s">
        <v>2455</v>
      </c>
      <c r="E59" s="12">
        <v>0</v>
      </c>
      <c r="F59" s="12">
        <v>3.29</v>
      </c>
      <c r="G59" s="12">
        <v>3.8</v>
      </c>
      <c r="H59" s="12">
        <v>3.9</v>
      </c>
      <c r="I59" s="12">
        <v>0</v>
      </c>
      <c r="J59" s="12" t="b">
        <v>0</v>
      </c>
      <c r="K59" s="12" t="b">
        <v>0</v>
      </c>
      <c r="L59" s="12" t="b">
        <v>0</v>
      </c>
      <c r="M59" s="12" t="b">
        <v>0</v>
      </c>
      <c r="N59" s="12" t="b">
        <v>1</v>
      </c>
      <c r="O59" s="12" t="b">
        <v>0</v>
      </c>
    </row>
    <row r="60" spans="1:15" ht="15.95" customHeight="1" x14ac:dyDescent="0.25">
      <c r="A60" s="15">
        <v>43482.655543981484</v>
      </c>
      <c r="B60" s="12" t="s">
        <v>2428</v>
      </c>
      <c r="C60" s="12" t="s">
        <v>2555</v>
      </c>
      <c r="D60" s="12"/>
      <c r="E60" s="12">
        <v>1</v>
      </c>
      <c r="F60" s="12">
        <v>3.29</v>
      </c>
      <c r="G60" s="12">
        <v>3.8</v>
      </c>
      <c r="H60" s="12">
        <v>3.9</v>
      </c>
      <c r="I60" s="12">
        <v>0</v>
      </c>
      <c r="J60" s="12" t="b">
        <v>0</v>
      </c>
      <c r="K60" s="12" t="b">
        <v>0</v>
      </c>
      <c r="L60" s="12" t="b">
        <v>0</v>
      </c>
      <c r="M60" s="12" t="b">
        <v>0</v>
      </c>
      <c r="N60" s="12" t="b">
        <v>1</v>
      </c>
      <c r="O60" s="12" t="b">
        <v>0</v>
      </c>
    </row>
    <row r="61" spans="1:15" ht="15.95" customHeight="1" x14ac:dyDescent="0.25">
      <c r="A61" s="15">
        <v>43482.655543981484</v>
      </c>
      <c r="B61" s="12" t="s">
        <v>2428</v>
      </c>
      <c r="C61" s="12" t="s">
        <v>2516</v>
      </c>
      <c r="D61" s="12"/>
      <c r="E61" s="12" t="s">
        <v>2556</v>
      </c>
      <c r="F61" s="12">
        <v>3.29</v>
      </c>
      <c r="G61" s="12">
        <v>3.8</v>
      </c>
      <c r="H61" s="12">
        <v>3.9</v>
      </c>
      <c r="I61" s="12">
        <v>0</v>
      </c>
      <c r="J61" s="12" t="b">
        <v>0</v>
      </c>
      <c r="K61" s="12" t="b">
        <v>0</v>
      </c>
      <c r="L61" s="12" t="b">
        <v>0</v>
      </c>
      <c r="M61" s="12" t="b">
        <v>0</v>
      </c>
      <c r="N61" s="12" t="b">
        <v>1</v>
      </c>
      <c r="O61" s="12" t="b">
        <v>0</v>
      </c>
    </row>
    <row r="62" spans="1:15" ht="15.95" customHeight="1" x14ac:dyDescent="0.25">
      <c r="A62" s="15">
        <v>43482.655543981484</v>
      </c>
      <c r="B62" s="12" t="s">
        <v>2428</v>
      </c>
      <c r="C62" s="12" t="s">
        <v>2508</v>
      </c>
      <c r="D62" s="12"/>
      <c r="E62" s="12" t="s">
        <v>2556</v>
      </c>
      <c r="F62" s="12">
        <v>3.29</v>
      </c>
      <c r="G62" s="12">
        <v>3.8</v>
      </c>
      <c r="H62" s="12">
        <v>3.9</v>
      </c>
      <c r="I62" s="12">
        <v>0</v>
      </c>
      <c r="J62" s="12" t="b">
        <v>0</v>
      </c>
      <c r="K62" s="12" t="b">
        <v>0</v>
      </c>
      <c r="L62" s="12" t="b">
        <v>0</v>
      </c>
      <c r="M62" s="12" t="b">
        <v>0</v>
      </c>
      <c r="N62" s="12" t="b">
        <v>1</v>
      </c>
      <c r="O62" s="12" t="b">
        <v>0</v>
      </c>
    </row>
    <row r="63" spans="1:15" ht="15.95" customHeight="1" x14ac:dyDescent="0.25">
      <c r="A63" s="15">
        <v>43482.655543981484</v>
      </c>
      <c r="B63" s="12" t="s">
        <v>2428</v>
      </c>
      <c r="C63" s="12" t="s">
        <v>2515</v>
      </c>
      <c r="D63" s="12"/>
      <c r="E63" s="12" t="s">
        <v>2556</v>
      </c>
      <c r="F63" s="12">
        <v>3.29</v>
      </c>
      <c r="G63" s="12">
        <v>3.8</v>
      </c>
      <c r="H63" s="12">
        <v>3.9</v>
      </c>
      <c r="I63" s="12">
        <v>0</v>
      </c>
      <c r="J63" s="12" t="b">
        <v>0</v>
      </c>
      <c r="K63" s="12" t="b">
        <v>0</v>
      </c>
      <c r="L63" s="12" t="b">
        <v>0</v>
      </c>
      <c r="M63" s="12" t="b">
        <v>0</v>
      </c>
      <c r="N63" s="12" t="b">
        <v>1</v>
      </c>
      <c r="O63" s="12" t="b">
        <v>0</v>
      </c>
    </row>
    <row r="64" spans="1:15" ht="15.95" customHeight="1" x14ac:dyDescent="0.25">
      <c r="A64" s="15">
        <v>43482.655543981484</v>
      </c>
      <c r="B64" s="12" t="s">
        <v>2428</v>
      </c>
      <c r="C64" s="12" t="s">
        <v>2517</v>
      </c>
      <c r="D64" s="12"/>
      <c r="E64" s="12" t="s">
        <v>2556</v>
      </c>
      <c r="F64" s="12">
        <v>3.29</v>
      </c>
      <c r="G64" s="12">
        <v>3.8</v>
      </c>
      <c r="H64" s="12">
        <v>3.9</v>
      </c>
      <c r="I64" s="12">
        <v>0</v>
      </c>
      <c r="J64" s="12" t="b">
        <v>0</v>
      </c>
      <c r="K64" s="12" t="b">
        <v>0</v>
      </c>
      <c r="L64" s="12" t="b">
        <v>0</v>
      </c>
      <c r="M64" s="12" t="b">
        <v>0</v>
      </c>
      <c r="N64" s="12" t="b">
        <v>1</v>
      </c>
      <c r="O64" s="12" t="b">
        <v>0</v>
      </c>
    </row>
    <row r="65" spans="1:15" ht="15.95" customHeight="1" x14ac:dyDescent="0.25">
      <c r="A65" s="15">
        <v>43482.655543981484</v>
      </c>
      <c r="B65" s="12" t="s">
        <v>2428</v>
      </c>
      <c r="C65" s="12" t="s">
        <v>2544</v>
      </c>
      <c r="D65" s="12"/>
      <c r="E65" s="12" t="s">
        <v>2556</v>
      </c>
      <c r="F65" s="12">
        <v>3.29</v>
      </c>
      <c r="G65" s="12">
        <v>3.8</v>
      </c>
      <c r="H65" s="12">
        <v>3.9</v>
      </c>
      <c r="I65" s="12">
        <v>0</v>
      </c>
      <c r="J65" s="12" t="b">
        <v>0</v>
      </c>
      <c r="K65" s="12" t="b">
        <v>0</v>
      </c>
      <c r="L65" s="12" t="b">
        <v>0</v>
      </c>
      <c r="M65" s="12" t="b">
        <v>0</v>
      </c>
      <c r="N65" s="12" t="b">
        <v>1</v>
      </c>
      <c r="O65" s="12" t="b">
        <v>0</v>
      </c>
    </row>
    <row r="66" spans="1:15" ht="15.95" customHeight="1" x14ac:dyDescent="0.25">
      <c r="A66" s="15">
        <v>43482.655543981484</v>
      </c>
      <c r="B66" s="12" t="s">
        <v>2428</v>
      </c>
      <c r="C66" s="12" t="s">
        <v>2538</v>
      </c>
      <c r="D66" s="12"/>
      <c r="E66" s="12" t="s">
        <v>2556</v>
      </c>
      <c r="F66" s="12">
        <v>3.29</v>
      </c>
      <c r="G66" s="12">
        <v>3.8</v>
      </c>
      <c r="H66" s="12">
        <v>3.9</v>
      </c>
      <c r="I66" s="12">
        <v>0</v>
      </c>
      <c r="J66" s="12" t="b">
        <v>0</v>
      </c>
      <c r="K66" s="12" t="b">
        <v>0</v>
      </c>
      <c r="L66" s="12" t="b">
        <v>0</v>
      </c>
      <c r="M66" s="12" t="b">
        <v>0</v>
      </c>
      <c r="N66" s="12" t="b">
        <v>1</v>
      </c>
      <c r="O66" s="12" t="b">
        <v>0</v>
      </c>
    </row>
    <row r="67" spans="1:15" ht="15.95" customHeight="1" x14ac:dyDescent="0.25">
      <c r="A67" s="15">
        <v>43482.655543981484</v>
      </c>
      <c r="B67" s="12" t="s">
        <v>2428</v>
      </c>
      <c r="C67" s="12" t="s">
        <v>2549</v>
      </c>
      <c r="D67" s="12"/>
      <c r="E67" s="12" t="s">
        <v>2556</v>
      </c>
      <c r="F67" s="12">
        <v>3.29</v>
      </c>
      <c r="G67" s="12">
        <v>3.8</v>
      </c>
      <c r="H67" s="12">
        <v>3.9</v>
      </c>
      <c r="I67" s="12">
        <v>0</v>
      </c>
      <c r="J67" s="12" t="b">
        <v>0</v>
      </c>
      <c r="K67" s="12" t="b">
        <v>0</v>
      </c>
      <c r="L67" s="12" t="b">
        <v>0</v>
      </c>
      <c r="M67" s="12" t="b">
        <v>0</v>
      </c>
      <c r="N67" s="12" t="b">
        <v>1</v>
      </c>
      <c r="O67" s="12" t="b">
        <v>0</v>
      </c>
    </row>
    <row r="68" spans="1:15" ht="15.95" customHeight="1" x14ac:dyDescent="0.25">
      <c r="A68" s="15">
        <v>43482.655543981484</v>
      </c>
      <c r="B68" s="12" t="s">
        <v>2428</v>
      </c>
      <c r="C68" s="12" t="s">
        <v>2552</v>
      </c>
      <c r="D68" s="12"/>
      <c r="E68" s="12" t="s">
        <v>2556</v>
      </c>
      <c r="F68" s="12">
        <v>3.29</v>
      </c>
      <c r="G68" s="12">
        <v>3.8</v>
      </c>
      <c r="H68" s="12">
        <v>3.9</v>
      </c>
      <c r="I68" s="12">
        <v>0</v>
      </c>
      <c r="J68" s="12" t="b">
        <v>0</v>
      </c>
      <c r="K68" s="12" t="b">
        <v>0</v>
      </c>
      <c r="L68" s="12" t="b">
        <v>0</v>
      </c>
      <c r="M68" s="12" t="b">
        <v>0</v>
      </c>
      <c r="N68" s="12" t="b">
        <v>1</v>
      </c>
      <c r="O68" s="12" t="b">
        <v>0</v>
      </c>
    </row>
    <row r="69" spans="1:15" ht="15.95" customHeight="1" x14ac:dyDescent="0.25">
      <c r="A69" s="15">
        <v>43482.655543981484</v>
      </c>
      <c r="B69" s="12" t="s">
        <v>2428</v>
      </c>
      <c r="C69" s="12" t="s">
        <v>2551</v>
      </c>
      <c r="D69" s="12"/>
      <c r="E69" s="12" t="s">
        <v>2556</v>
      </c>
      <c r="F69" s="12">
        <v>3.29</v>
      </c>
      <c r="G69" s="12">
        <v>3.8</v>
      </c>
      <c r="H69" s="12">
        <v>3.9</v>
      </c>
      <c r="I69" s="12">
        <v>0</v>
      </c>
      <c r="J69" s="12" t="b">
        <v>0</v>
      </c>
      <c r="K69" s="12" t="b">
        <v>0</v>
      </c>
      <c r="L69" s="12" t="b">
        <v>0</v>
      </c>
      <c r="M69" s="12" t="b">
        <v>0</v>
      </c>
      <c r="N69" s="12" t="b">
        <v>1</v>
      </c>
      <c r="O69" s="12" t="b">
        <v>0</v>
      </c>
    </row>
    <row r="70" spans="1:15" ht="15.95" customHeight="1" x14ac:dyDescent="0.25">
      <c r="A70" s="15">
        <v>43482.655543981484</v>
      </c>
      <c r="B70" s="12" t="s">
        <v>2428</v>
      </c>
      <c r="C70" s="12" t="s">
        <v>2557</v>
      </c>
      <c r="D70" s="12"/>
      <c r="E70" s="12">
        <v>1</v>
      </c>
      <c r="F70" s="12">
        <v>3.29</v>
      </c>
      <c r="G70" s="12">
        <v>3.8</v>
      </c>
      <c r="H70" s="12">
        <v>3.9</v>
      </c>
      <c r="I70" s="12">
        <v>0</v>
      </c>
      <c r="J70" s="12" t="b">
        <v>0</v>
      </c>
      <c r="K70" s="12" t="b">
        <v>0</v>
      </c>
      <c r="L70" s="12" t="b">
        <v>0</v>
      </c>
      <c r="M70" s="12" t="b">
        <v>0</v>
      </c>
      <c r="N70" s="12" t="b">
        <v>1</v>
      </c>
      <c r="O70" s="12" t="b">
        <v>0</v>
      </c>
    </row>
    <row r="71" spans="1:15" ht="15.95" customHeight="1" x14ac:dyDescent="0.25">
      <c r="A71" s="15">
        <v>43482.655856481484</v>
      </c>
      <c r="B71" s="12" t="s">
        <v>2428</v>
      </c>
      <c r="C71" s="12" t="s">
        <v>2558</v>
      </c>
      <c r="D71" s="12" t="s">
        <v>2559</v>
      </c>
      <c r="E71" s="12" t="s">
        <v>2553</v>
      </c>
      <c r="F71" s="12">
        <v>3.29</v>
      </c>
      <c r="G71" s="12">
        <v>3.8</v>
      </c>
      <c r="H71" s="12">
        <v>3.9</v>
      </c>
      <c r="I71" s="12">
        <v>1</v>
      </c>
      <c r="J71" s="12" t="b">
        <v>0</v>
      </c>
      <c r="K71" s="12" t="b">
        <v>0</v>
      </c>
      <c r="L71" s="12" t="b">
        <v>0</v>
      </c>
      <c r="M71" s="12" t="b">
        <v>0</v>
      </c>
      <c r="N71" s="12" t="b">
        <v>1</v>
      </c>
      <c r="O71" s="12" t="b">
        <v>0</v>
      </c>
    </row>
    <row r="72" spans="1:15" ht="15.95" customHeight="1" x14ac:dyDescent="0.25">
      <c r="A72" s="15">
        <v>43482.6559375</v>
      </c>
      <c r="B72" s="12" t="s">
        <v>2428</v>
      </c>
      <c r="C72" s="12" t="s">
        <v>2558</v>
      </c>
      <c r="D72" s="12" t="s">
        <v>2559</v>
      </c>
      <c r="E72" s="12" t="s">
        <v>2553</v>
      </c>
      <c r="F72" s="12">
        <v>3.29</v>
      </c>
      <c r="G72" s="12">
        <v>3.8</v>
      </c>
      <c r="H72" s="12">
        <v>3.9</v>
      </c>
      <c r="I72" s="12">
        <v>1</v>
      </c>
      <c r="J72" s="12" t="b">
        <v>0</v>
      </c>
      <c r="K72" s="12" t="b">
        <v>0</v>
      </c>
      <c r="L72" s="12" t="b">
        <v>0</v>
      </c>
      <c r="M72" s="12" t="b">
        <v>0</v>
      </c>
      <c r="N72" s="12" t="b">
        <v>1</v>
      </c>
      <c r="O72" s="12" t="b">
        <v>0</v>
      </c>
    </row>
    <row r="73" spans="1:15" ht="15.95" customHeight="1" x14ac:dyDescent="0.25">
      <c r="A73" s="15">
        <v>43482.656180555554</v>
      </c>
      <c r="B73" s="12" t="s">
        <v>2428</v>
      </c>
      <c r="C73" s="12" t="s">
        <v>2560</v>
      </c>
      <c r="D73" s="12" t="s">
        <v>2561</v>
      </c>
      <c r="E73" s="12" t="s">
        <v>2562</v>
      </c>
      <c r="F73" s="12">
        <v>3.29</v>
      </c>
      <c r="G73" s="12">
        <v>3.8</v>
      </c>
      <c r="H73" s="12">
        <v>3.9</v>
      </c>
      <c r="I73" s="12">
        <v>1</v>
      </c>
      <c r="J73" s="12" t="b">
        <v>0</v>
      </c>
      <c r="K73" s="12" t="b">
        <v>0</v>
      </c>
      <c r="L73" s="12" t="b">
        <v>0</v>
      </c>
      <c r="M73" s="12" t="b">
        <v>0</v>
      </c>
      <c r="N73" s="12" t="b">
        <v>1</v>
      </c>
      <c r="O73" s="12" t="b">
        <v>0</v>
      </c>
    </row>
    <row r="74" spans="1:15" ht="15.95" customHeight="1" x14ac:dyDescent="0.25">
      <c r="A74" s="15">
        <v>43482.656180555554</v>
      </c>
      <c r="B74" s="12" t="s">
        <v>2428</v>
      </c>
      <c r="C74" s="12" t="s">
        <v>2563</v>
      </c>
      <c r="D74" s="12" t="s">
        <v>2561</v>
      </c>
      <c r="E74" s="12" t="s">
        <v>2562</v>
      </c>
      <c r="F74" s="12">
        <v>3.29</v>
      </c>
      <c r="G74" s="12">
        <v>3.8</v>
      </c>
      <c r="H74" s="12">
        <v>3.9</v>
      </c>
      <c r="I74" s="12">
        <v>1</v>
      </c>
      <c r="J74" s="12" t="b">
        <v>0</v>
      </c>
      <c r="K74" s="12" t="b">
        <v>0</v>
      </c>
      <c r="L74" s="12" t="b">
        <v>0</v>
      </c>
      <c r="M74" s="12" t="b">
        <v>0</v>
      </c>
      <c r="N74" s="12" t="b">
        <v>1</v>
      </c>
      <c r="O74" s="12" t="b">
        <v>0</v>
      </c>
    </row>
    <row r="75" spans="1:15" ht="15.95" customHeight="1" x14ac:dyDescent="0.25">
      <c r="A75" s="15">
        <v>43482.656180555554</v>
      </c>
      <c r="B75" s="12" t="s">
        <v>2428</v>
      </c>
      <c r="C75" s="12" t="s">
        <v>2564</v>
      </c>
      <c r="D75" s="12" t="s">
        <v>2561</v>
      </c>
      <c r="E75" s="12" t="s">
        <v>2562</v>
      </c>
      <c r="F75" s="12">
        <v>3.29</v>
      </c>
      <c r="G75" s="12">
        <v>3.8</v>
      </c>
      <c r="H75" s="12">
        <v>3.9</v>
      </c>
      <c r="I75" s="12">
        <v>1</v>
      </c>
      <c r="J75" s="12" t="b">
        <v>0</v>
      </c>
      <c r="K75" s="12" t="b">
        <v>0</v>
      </c>
      <c r="L75" s="12" t="b">
        <v>0</v>
      </c>
      <c r="M75" s="12" t="b">
        <v>0</v>
      </c>
      <c r="N75" s="12" t="b">
        <v>1</v>
      </c>
      <c r="O75" s="12" t="b">
        <v>0</v>
      </c>
    </row>
    <row r="76" spans="1:15" ht="15.95" customHeight="1" x14ac:dyDescent="0.25">
      <c r="A76" s="15">
        <v>43482.656180555554</v>
      </c>
      <c r="B76" s="12" t="s">
        <v>2428</v>
      </c>
      <c r="C76" s="12" t="s">
        <v>2565</v>
      </c>
      <c r="D76" s="12" t="s">
        <v>2561</v>
      </c>
      <c r="E76" s="12" t="s">
        <v>2562</v>
      </c>
      <c r="F76" s="12">
        <v>3.29</v>
      </c>
      <c r="G76" s="12">
        <v>3.8</v>
      </c>
      <c r="H76" s="12">
        <v>3.9</v>
      </c>
      <c r="I76" s="12">
        <v>1</v>
      </c>
      <c r="J76" s="12" t="b">
        <v>0</v>
      </c>
      <c r="K76" s="12" t="b">
        <v>0</v>
      </c>
      <c r="L76" s="12" t="b">
        <v>0</v>
      </c>
      <c r="M76" s="12" t="b">
        <v>0</v>
      </c>
      <c r="N76" s="12" t="b">
        <v>1</v>
      </c>
      <c r="O76" s="12" t="b">
        <v>0</v>
      </c>
    </row>
    <row r="77" spans="1:15" ht="15.95" customHeight="1" x14ac:dyDescent="0.25">
      <c r="A77" s="15">
        <v>43482.656180555554</v>
      </c>
      <c r="B77" s="12" t="s">
        <v>2428</v>
      </c>
      <c r="C77" s="12" t="s">
        <v>2566</v>
      </c>
      <c r="D77" s="12" t="s">
        <v>2561</v>
      </c>
      <c r="E77" s="12" t="s">
        <v>2562</v>
      </c>
      <c r="F77" s="12">
        <v>3.29</v>
      </c>
      <c r="G77" s="12">
        <v>3.8</v>
      </c>
      <c r="H77" s="12">
        <v>3.9</v>
      </c>
      <c r="I77" s="12">
        <v>1</v>
      </c>
      <c r="J77" s="12" t="b">
        <v>0</v>
      </c>
      <c r="K77" s="12" t="b">
        <v>0</v>
      </c>
      <c r="L77" s="12" t="b">
        <v>0</v>
      </c>
      <c r="M77" s="12" t="b">
        <v>0</v>
      </c>
      <c r="N77" s="12" t="b">
        <v>1</v>
      </c>
      <c r="O77" s="12" t="b">
        <v>0</v>
      </c>
    </row>
    <row r="78" spans="1:15" ht="15.95" customHeight="1" x14ac:dyDescent="0.25">
      <c r="A78" s="15">
        <v>43482.656180555554</v>
      </c>
      <c r="B78" s="12" t="s">
        <v>2428</v>
      </c>
      <c r="C78" s="12" t="s">
        <v>2567</v>
      </c>
      <c r="D78" s="12" t="s">
        <v>2561</v>
      </c>
      <c r="E78" s="12" t="s">
        <v>2562</v>
      </c>
      <c r="F78" s="12">
        <v>3.29</v>
      </c>
      <c r="G78" s="12">
        <v>3.8</v>
      </c>
      <c r="H78" s="12">
        <v>3.9</v>
      </c>
      <c r="I78" s="12">
        <v>1</v>
      </c>
      <c r="J78" s="12" t="b">
        <v>0</v>
      </c>
      <c r="K78" s="12" t="b">
        <v>0</v>
      </c>
      <c r="L78" s="12" t="b">
        <v>0</v>
      </c>
      <c r="M78" s="12" t="b">
        <v>0</v>
      </c>
      <c r="N78" s="12" t="b">
        <v>1</v>
      </c>
      <c r="O78" s="12" t="b">
        <v>0</v>
      </c>
    </row>
    <row r="79" spans="1:15" ht="15.95" customHeight="1" x14ac:dyDescent="0.25">
      <c r="A79" s="15">
        <v>43482.656180555554</v>
      </c>
      <c r="B79" s="12" t="s">
        <v>2428</v>
      </c>
      <c r="C79" s="12" t="s">
        <v>2568</v>
      </c>
      <c r="D79" s="12" t="s">
        <v>2561</v>
      </c>
      <c r="E79" s="12" t="s">
        <v>2562</v>
      </c>
      <c r="F79" s="12">
        <v>3.29</v>
      </c>
      <c r="G79" s="12">
        <v>3.8</v>
      </c>
      <c r="H79" s="12">
        <v>3.9</v>
      </c>
      <c r="I79" s="12">
        <v>1</v>
      </c>
      <c r="J79" s="12" t="b">
        <v>0</v>
      </c>
      <c r="K79" s="12" t="b">
        <v>0</v>
      </c>
      <c r="L79" s="12" t="b">
        <v>0</v>
      </c>
      <c r="M79" s="12" t="b">
        <v>0</v>
      </c>
      <c r="N79" s="12" t="b">
        <v>1</v>
      </c>
      <c r="O79" s="12" t="b">
        <v>0</v>
      </c>
    </row>
    <row r="80" spans="1:15" ht="15.95" customHeight="1" x14ac:dyDescent="0.25">
      <c r="A80" s="15">
        <v>43482.656180555554</v>
      </c>
      <c r="B80" s="12" t="s">
        <v>2428</v>
      </c>
      <c r="C80" s="12" t="s">
        <v>2569</v>
      </c>
      <c r="D80" s="12" t="s">
        <v>2561</v>
      </c>
      <c r="E80" s="12" t="s">
        <v>2562</v>
      </c>
      <c r="F80" s="12">
        <v>3.29</v>
      </c>
      <c r="G80" s="12">
        <v>3.8</v>
      </c>
      <c r="H80" s="12">
        <v>3.9</v>
      </c>
      <c r="I80" s="12">
        <v>1</v>
      </c>
      <c r="J80" s="12" t="b">
        <v>0</v>
      </c>
      <c r="K80" s="12" t="b">
        <v>0</v>
      </c>
      <c r="L80" s="12" t="b">
        <v>0</v>
      </c>
      <c r="M80" s="12" t="b">
        <v>0</v>
      </c>
      <c r="N80" s="12" t="b">
        <v>1</v>
      </c>
      <c r="O80" s="12" t="b">
        <v>0</v>
      </c>
    </row>
    <row r="81" spans="1:15" ht="15.95" customHeight="1" x14ac:dyDescent="0.25">
      <c r="A81" s="15">
        <v>43482.656180555554</v>
      </c>
      <c r="B81" s="12" t="s">
        <v>2428</v>
      </c>
      <c r="C81" s="12" t="s">
        <v>2570</v>
      </c>
      <c r="D81" s="12" t="s">
        <v>2561</v>
      </c>
      <c r="E81" s="12" t="s">
        <v>2562</v>
      </c>
      <c r="F81" s="12">
        <v>3.29</v>
      </c>
      <c r="G81" s="12">
        <v>3.8</v>
      </c>
      <c r="H81" s="12">
        <v>3.9</v>
      </c>
      <c r="I81" s="12">
        <v>1</v>
      </c>
      <c r="J81" s="12" t="b">
        <v>0</v>
      </c>
      <c r="K81" s="12" t="b">
        <v>0</v>
      </c>
      <c r="L81" s="12" t="b">
        <v>0</v>
      </c>
      <c r="M81" s="12" t="b">
        <v>0</v>
      </c>
      <c r="N81" s="12" t="b">
        <v>1</v>
      </c>
      <c r="O81" s="12" t="b">
        <v>0</v>
      </c>
    </row>
    <row r="82" spans="1:15" ht="15.95" customHeight="1" x14ac:dyDescent="0.25">
      <c r="A82" s="15">
        <v>43482.6562037037</v>
      </c>
      <c r="B82" s="12" t="s">
        <v>2428</v>
      </c>
      <c r="C82" s="12" t="s">
        <v>2572</v>
      </c>
      <c r="D82" s="12" t="s">
        <v>2559</v>
      </c>
      <c r="E82" s="12" t="s">
        <v>2540</v>
      </c>
      <c r="F82" s="12">
        <v>3.29</v>
      </c>
      <c r="G82" s="12">
        <v>3.8</v>
      </c>
      <c r="H82" s="12">
        <v>3.9</v>
      </c>
      <c r="I82" s="12">
        <v>1</v>
      </c>
      <c r="J82" s="12" t="b">
        <v>0</v>
      </c>
      <c r="K82" s="12" t="b">
        <v>0</v>
      </c>
      <c r="L82" s="12" t="b">
        <v>0</v>
      </c>
      <c r="M82" s="12" t="b">
        <v>0</v>
      </c>
      <c r="N82" s="12" t="b">
        <v>1</v>
      </c>
      <c r="O82" s="12" t="b">
        <v>0</v>
      </c>
    </row>
    <row r="83" spans="1:15" ht="15.95" customHeight="1" x14ac:dyDescent="0.25">
      <c r="A83" s="15">
        <v>43482.789143518516</v>
      </c>
      <c r="B83" s="12" t="s">
        <v>2428</v>
      </c>
      <c r="C83" s="12" t="s">
        <v>2506</v>
      </c>
      <c r="D83" s="12" t="s">
        <v>2455</v>
      </c>
      <c r="E83" s="12">
        <v>3</v>
      </c>
      <c r="F83" s="12">
        <v>3.29</v>
      </c>
      <c r="G83" s="12">
        <v>3.8</v>
      </c>
      <c r="H83" s="12">
        <v>3.9</v>
      </c>
      <c r="I83" s="12">
        <v>1</v>
      </c>
      <c r="J83" s="12" t="b">
        <v>0</v>
      </c>
      <c r="K83" s="12" t="b">
        <v>0</v>
      </c>
      <c r="L83" s="12" t="b">
        <v>0</v>
      </c>
      <c r="M83" s="12" t="b">
        <v>0</v>
      </c>
      <c r="N83" s="12" t="b">
        <v>1</v>
      </c>
      <c r="O83" s="12" t="b">
        <v>0</v>
      </c>
    </row>
    <row r="84" spans="1:15" ht="15.95" customHeight="1" x14ac:dyDescent="0.25">
      <c r="A84" s="15">
        <v>43483.534710648149</v>
      </c>
      <c r="B84" s="12" t="s">
        <v>2428</v>
      </c>
      <c r="C84" s="12" t="s">
        <v>2506</v>
      </c>
      <c r="D84" s="12" t="s">
        <v>2455</v>
      </c>
      <c r="E84" s="12">
        <v>4</v>
      </c>
      <c r="F84" s="12">
        <v>3.3</v>
      </c>
      <c r="G84" s="12">
        <v>3.8</v>
      </c>
      <c r="H84" s="12">
        <v>3.9</v>
      </c>
      <c r="I84" s="12">
        <v>0</v>
      </c>
      <c r="J84" s="12" t="b">
        <v>0</v>
      </c>
      <c r="K84" s="12" t="b">
        <v>0</v>
      </c>
      <c r="L84" s="12" t="b">
        <v>0</v>
      </c>
      <c r="M84" s="12" t="b">
        <v>0</v>
      </c>
      <c r="N84" s="12" t="b">
        <v>1</v>
      </c>
      <c r="O84" s="12" t="b">
        <v>0</v>
      </c>
    </row>
    <row r="85" spans="1:15" ht="15.95" customHeight="1" x14ac:dyDescent="0.25">
      <c r="A85" s="15">
        <v>43483.53564814815</v>
      </c>
      <c r="B85" s="12" t="s">
        <v>2428</v>
      </c>
      <c r="C85" s="12" t="s">
        <v>2506</v>
      </c>
      <c r="D85" s="12" t="s">
        <v>2455</v>
      </c>
      <c r="E85" s="12">
        <v>4</v>
      </c>
      <c r="F85" s="12">
        <v>3.3</v>
      </c>
      <c r="G85" s="12">
        <v>3.8</v>
      </c>
      <c r="H85" s="12">
        <v>3.9</v>
      </c>
      <c r="I85" s="12">
        <v>0</v>
      </c>
      <c r="J85" s="12" t="b">
        <v>0</v>
      </c>
      <c r="K85" s="12" t="b">
        <v>0</v>
      </c>
      <c r="L85" s="12" t="b">
        <v>0</v>
      </c>
      <c r="M85" s="12" t="b">
        <v>0</v>
      </c>
      <c r="N85" s="12" t="b">
        <v>1</v>
      </c>
      <c r="O85" s="12" t="b">
        <v>0</v>
      </c>
    </row>
    <row r="86" spans="1:15" ht="15.95" customHeight="1" x14ac:dyDescent="0.25">
      <c r="A86" s="15">
        <v>43483.535891203705</v>
      </c>
      <c r="B86" s="12" t="s">
        <v>2428</v>
      </c>
      <c r="C86" s="12" t="s">
        <v>2506</v>
      </c>
      <c r="D86" s="12" t="s">
        <v>2455</v>
      </c>
      <c r="E86" s="12">
        <v>4</v>
      </c>
      <c r="F86" s="12">
        <v>3.3</v>
      </c>
      <c r="G86" s="12">
        <v>3.8</v>
      </c>
      <c r="H86" s="12">
        <v>3.9</v>
      </c>
      <c r="I86" s="12">
        <v>0</v>
      </c>
      <c r="J86" s="12" t="b">
        <v>0</v>
      </c>
      <c r="K86" s="12" t="b">
        <v>0</v>
      </c>
      <c r="L86" s="12" t="b">
        <v>0</v>
      </c>
      <c r="M86" s="12" t="b">
        <v>0</v>
      </c>
      <c r="N86" s="12" t="b">
        <v>1</v>
      </c>
      <c r="O86" s="12" t="b">
        <v>0</v>
      </c>
    </row>
    <row r="87" spans="1:15" ht="15.95" customHeight="1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</row>
    <row r="88" spans="1:15" ht="15.95" customHeight="1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</row>
    <row r="89" spans="1:15" ht="15.95" customHeight="1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</row>
    <row r="90" spans="1:15" ht="15.95" customHeight="1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</row>
    <row r="91" spans="1:15" ht="15.95" customHeight="1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</row>
    <row r="92" spans="1:15" ht="15.95" customHeight="1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</row>
    <row r="93" spans="1:15" ht="15.95" customHeight="1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</row>
    <row r="94" spans="1:15" ht="15.95" customHeight="1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</row>
    <row r="95" spans="1:15" ht="15.95" customHeight="1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</row>
    <row r="96" spans="1:15" ht="15.95" customHeight="1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</row>
    <row r="97" spans="1:15" ht="15.95" customHeight="1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</row>
    <row r="98" spans="1:15" ht="15.95" customHeight="1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</row>
    <row r="99" spans="1:15" ht="15.95" customHeight="1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</row>
    <row r="100" spans="1:15" ht="15.95" customHeight="1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</row>
    <row r="101" spans="1:15" ht="15.95" customHeight="1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</row>
    <row r="102" spans="1:15" ht="15.95" customHeight="1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</row>
    <row r="103" spans="1:15" ht="15.95" customHeight="1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</row>
    <row r="104" spans="1:15" ht="15.95" customHeight="1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</row>
    <row r="105" spans="1:15" ht="15.95" customHeight="1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</row>
    <row r="106" spans="1:15" ht="15.95" customHeight="1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</row>
    <row r="107" spans="1:15" ht="15.95" customHeight="1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</row>
    <row r="108" spans="1:15" ht="15.95" customHeight="1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</row>
    <row r="109" spans="1:15" ht="15.95" customHeight="1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</row>
    <row r="110" spans="1:15" ht="15.95" customHeight="1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</row>
    <row r="111" spans="1:15" ht="15.95" customHeight="1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</row>
    <row r="112" spans="1:15" ht="15.95" customHeight="1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</row>
    <row r="113" spans="1:15" ht="15.95" customHeight="1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</row>
    <row r="114" spans="1:15" ht="15.95" customHeight="1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</row>
    <row r="115" spans="1:15" ht="15.95" customHeight="1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</row>
    <row r="116" spans="1:15" ht="15.95" customHeight="1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</row>
    <row r="117" spans="1:15" ht="15.95" customHeight="1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</row>
    <row r="118" spans="1:15" ht="15.95" customHeight="1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</row>
    <row r="119" spans="1:15" ht="15.95" customHeight="1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</row>
    <row r="120" spans="1:15" ht="15.95" customHeight="1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</row>
    <row r="121" spans="1:15" ht="15.95" customHeight="1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</row>
    <row r="122" spans="1:15" ht="15.95" customHeight="1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</row>
    <row r="123" spans="1:15" ht="15.95" customHeight="1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</row>
    <row r="124" spans="1:15" ht="15.95" customHeight="1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</row>
    <row r="125" spans="1:15" ht="15.95" customHeight="1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</row>
    <row r="126" spans="1:15" ht="15.95" customHeight="1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</row>
    <row r="127" spans="1:15" ht="15.95" customHeight="1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</row>
    <row r="128" spans="1:15" ht="15.95" customHeight="1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</row>
    <row r="129" spans="1:15" ht="15.95" customHeight="1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</row>
    <row r="130" spans="1:15" ht="15.95" customHeight="1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</row>
    <row r="131" spans="1:15" ht="15.95" customHeight="1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</row>
    <row r="132" spans="1:15" ht="15.95" customHeight="1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</row>
    <row r="133" spans="1:15" ht="15.95" customHeight="1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</row>
    <row r="134" spans="1:15" ht="15.95" customHeight="1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</row>
    <row r="135" spans="1:15" ht="15.95" customHeight="1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</row>
    <row r="136" spans="1:15" ht="15.95" customHeight="1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</row>
    <row r="137" spans="1:15" ht="15.95" customHeight="1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</row>
    <row r="138" spans="1:15" ht="15.95" customHeight="1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</row>
    <row r="139" spans="1:15" ht="15.95" customHeight="1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</row>
    <row r="140" spans="1:15" ht="15.95" customHeight="1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</row>
    <row r="141" spans="1:15" ht="15.95" customHeight="1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</row>
    <row r="142" spans="1:15" ht="15.95" customHeight="1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</row>
    <row r="143" spans="1:15" ht="15.95" customHeight="1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</row>
    <row r="144" spans="1:15" ht="15.95" customHeight="1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</row>
    <row r="145" spans="1:15" ht="15.95" customHeight="1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</row>
    <row r="146" spans="1:15" ht="15.95" customHeight="1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</row>
    <row r="147" spans="1:15" ht="15.95" customHeight="1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</row>
    <row r="148" spans="1:15" ht="15.95" customHeight="1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</row>
    <row r="149" spans="1:15" ht="15.95" customHeight="1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</row>
    <row r="150" spans="1:15" ht="15.95" customHeight="1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</row>
    <row r="151" spans="1:15" ht="15.95" customHeight="1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</row>
    <row r="152" spans="1:15" ht="15.95" customHeight="1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</row>
    <row r="153" spans="1:15" ht="15.95" customHeight="1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</row>
    <row r="154" spans="1:15" ht="15.95" customHeight="1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</row>
    <row r="155" spans="1:15" ht="15.95" customHeight="1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</row>
    <row r="156" spans="1:15" ht="15.95" customHeight="1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ht="15.95" customHeight="1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</row>
    <row r="158" spans="1:15" ht="15.95" customHeight="1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</row>
    <row r="159" spans="1:15" ht="15.95" customHeight="1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</row>
    <row r="160" spans="1:15" ht="15.95" customHeight="1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</row>
    <row r="161" spans="1:15" ht="15.95" customHeight="1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</row>
    <row r="162" spans="1:15" ht="15.95" customHeight="1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</row>
    <row r="163" spans="1:15" ht="15.95" customHeight="1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</row>
    <row r="164" spans="1:15" ht="15.95" customHeight="1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</row>
    <row r="165" spans="1:15" ht="15.95" customHeight="1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</row>
    <row r="166" spans="1:15" ht="15.95" customHeight="1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</row>
    <row r="167" spans="1:15" ht="15.95" customHeight="1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</row>
    <row r="168" spans="1:15" ht="15.95" customHeight="1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</row>
    <row r="169" spans="1:15" ht="15.95" customHeight="1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</row>
    <row r="170" spans="1:15" ht="15.95" customHeight="1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</row>
    <row r="171" spans="1:15" ht="15.95" customHeight="1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</row>
    <row r="172" spans="1:15" ht="15.95" customHeight="1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</row>
    <row r="173" spans="1:15" ht="15.95" customHeight="1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</row>
    <row r="174" spans="1:15" ht="15.95" customHeight="1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</row>
    <row r="175" spans="1:15" ht="15.95" customHeight="1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</row>
    <row r="176" spans="1:15" ht="15.95" customHeight="1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</row>
    <row r="177" spans="1:15" ht="15.95" customHeight="1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</row>
    <row r="178" spans="1:15" ht="15.95" customHeight="1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</row>
    <row r="179" spans="1:15" ht="15.95" customHeight="1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</row>
    <row r="180" spans="1:15" ht="15.95" customHeight="1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</row>
    <row r="181" spans="1:15" ht="15.95" customHeight="1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ht="15.95" customHeight="1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</row>
    <row r="183" spans="1:15" ht="15.95" customHeight="1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</row>
    <row r="184" spans="1:15" ht="15.95" customHeight="1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</row>
    <row r="185" spans="1:15" ht="15.95" customHeight="1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</row>
    <row r="186" spans="1:15" ht="15.95" customHeight="1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</row>
    <row r="187" spans="1:15" ht="15.95" customHeight="1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</row>
    <row r="188" spans="1:15" ht="15.95" customHeight="1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</row>
    <row r="189" spans="1:15" ht="15.95" customHeight="1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</row>
    <row r="190" spans="1:15" ht="15.95" customHeight="1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</row>
    <row r="191" spans="1:15" ht="15.95" customHeight="1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</row>
    <row r="192" spans="1:15" ht="15.95" customHeight="1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</row>
    <row r="193" spans="1:15" ht="15.95" customHeight="1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</row>
    <row r="194" spans="1:15" ht="15.95" customHeight="1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</row>
    <row r="195" spans="1:15" ht="15.95" customHeight="1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</row>
    <row r="196" spans="1:15" ht="15.95" customHeight="1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</row>
    <row r="197" spans="1:15" ht="15.95" customHeight="1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</row>
    <row r="198" spans="1:15" ht="15.95" customHeight="1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</row>
    <row r="199" spans="1:15" ht="15.95" customHeight="1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</row>
    <row r="200" spans="1:15" ht="15.95" customHeight="1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</row>
    <row r="201" spans="1:15" ht="15.95" customHeight="1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</row>
    <row r="202" spans="1:15" ht="15.95" customHeight="1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</row>
    <row r="203" spans="1:15" ht="15.95" customHeight="1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5" ht="15.95" customHeight="1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5" ht="15.95" customHeight="1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</row>
    <row r="206" spans="1:15" ht="15.95" customHeight="1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</row>
    <row r="207" spans="1:15" ht="15.95" customHeight="1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</row>
    <row r="208" spans="1:15" ht="15.95" customHeight="1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</row>
    <row r="209" spans="1:15" ht="15.95" customHeight="1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</row>
    <row r="210" spans="1:15" ht="15.95" customHeight="1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</row>
    <row r="211" spans="1:15" ht="15.95" customHeight="1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</row>
    <row r="212" spans="1:15" ht="15.95" customHeight="1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</row>
    <row r="213" spans="1:15" ht="15.95" customHeight="1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</row>
    <row r="214" spans="1:15" ht="15.95" customHeight="1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</row>
    <row r="215" spans="1:15" ht="15.95" customHeight="1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</row>
    <row r="216" spans="1:15" ht="15.95" customHeight="1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</row>
    <row r="217" spans="1:15" ht="15.95" customHeight="1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</row>
    <row r="218" spans="1:15" ht="15.95" customHeight="1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</row>
    <row r="219" spans="1:15" ht="15.95" customHeight="1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</row>
    <row r="220" spans="1:15" ht="15.95" customHeight="1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</row>
    <row r="221" spans="1:15" ht="15.95" customHeight="1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</row>
    <row r="222" spans="1:15" ht="15.95" customHeight="1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</row>
    <row r="223" spans="1:15" ht="15.95" customHeight="1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</row>
    <row r="224" spans="1:15" ht="15.95" customHeight="1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</row>
    <row r="225" spans="1:15" ht="15.95" customHeight="1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</row>
    <row r="226" spans="1:15" ht="15.95" customHeight="1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</row>
    <row r="227" spans="1:15" ht="15.95" customHeight="1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</row>
    <row r="228" spans="1:15" ht="15.95" customHeight="1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</row>
    <row r="229" spans="1:15" ht="15.95" customHeight="1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</row>
    <row r="230" spans="1:15" ht="15.95" customHeight="1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</row>
    <row r="231" spans="1:15" ht="15.95" customHeight="1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</row>
    <row r="232" spans="1:15" ht="15.95" customHeight="1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</row>
    <row r="233" spans="1:15" ht="15.95" customHeight="1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</row>
    <row r="234" spans="1:15" ht="15.95" customHeight="1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</row>
    <row r="235" spans="1:15" ht="15.95" customHeight="1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</row>
    <row r="236" spans="1:15" ht="15.95" customHeight="1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</row>
    <row r="237" spans="1:15" ht="15.95" customHeight="1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</row>
    <row r="238" spans="1:15" ht="15.95" customHeight="1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</row>
    <row r="239" spans="1:15" ht="15.95" customHeight="1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</row>
    <row r="240" spans="1:15" ht="15.95" customHeight="1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</row>
    <row r="241" spans="1:15" ht="15.95" customHeight="1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</row>
    <row r="242" spans="1:15" ht="15.95" customHeight="1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</row>
    <row r="243" spans="1:15" ht="15.95" customHeight="1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</row>
    <row r="244" spans="1:15" ht="15.95" customHeight="1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</row>
    <row r="245" spans="1:15" ht="15.95" customHeight="1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</row>
    <row r="246" spans="1:15" ht="15.95" customHeight="1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</row>
    <row r="247" spans="1:15" ht="15.95" customHeight="1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</row>
    <row r="248" spans="1:15" ht="15.95" customHeight="1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</row>
    <row r="249" spans="1:15" ht="15.95" customHeight="1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</row>
    <row r="250" spans="1:15" ht="15.95" customHeight="1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</row>
    <row r="251" spans="1:15" ht="15.95" customHeight="1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</row>
    <row r="252" spans="1:15" ht="15.95" customHeight="1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</row>
    <row r="253" spans="1:15" ht="15.95" customHeight="1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</row>
    <row r="254" spans="1:15" ht="15.95" customHeight="1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</row>
    <row r="255" spans="1:15" ht="15.95" customHeight="1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</row>
    <row r="256" spans="1:15" ht="15.95" customHeight="1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</row>
    <row r="257" spans="1:15" ht="15.95" customHeight="1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</row>
    <row r="258" spans="1:15" ht="15.95" customHeight="1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</row>
    <row r="259" spans="1:15" ht="15.95" customHeight="1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</row>
    <row r="260" spans="1:15" ht="15.95" customHeight="1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</row>
    <row r="261" spans="1:15" ht="15.95" customHeight="1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</row>
    <row r="262" spans="1:15" ht="15.95" customHeight="1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</row>
    <row r="263" spans="1:15" ht="15.95" customHeight="1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</row>
    <row r="264" spans="1:15" ht="15.95" customHeight="1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</row>
    <row r="265" spans="1:15" ht="15.95" customHeight="1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</row>
    <row r="266" spans="1:15" ht="15.95" customHeight="1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</row>
    <row r="267" spans="1:15" ht="15.95" customHeight="1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</row>
    <row r="268" spans="1:15" ht="15.95" customHeight="1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</row>
    <row r="269" spans="1:15" ht="15.95" customHeight="1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</row>
    <row r="270" spans="1:15" ht="15.95" customHeight="1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</row>
    <row r="271" spans="1:15" ht="15.95" customHeight="1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</row>
    <row r="272" spans="1:15" ht="15.95" customHeight="1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</row>
    <row r="273" spans="1:15" ht="15.95" customHeight="1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</row>
    <row r="274" spans="1:15" ht="15.95" customHeight="1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</row>
    <row r="275" spans="1:15" ht="15.95" customHeight="1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</row>
    <row r="276" spans="1:15" ht="15.95" customHeight="1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</row>
    <row r="277" spans="1:15" ht="15.95" customHeight="1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</row>
    <row r="278" spans="1:15" ht="15.95" customHeight="1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</row>
    <row r="279" spans="1:15" ht="15.95" customHeight="1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</row>
    <row r="280" spans="1:15" ht="15.95" customHeight="1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</row>
    <row r="281" spans="1:15" ht="15.95" customHeight="1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</row>
    <row r="282" spans="1:15" ht="15.95" customHeight="1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</row>
    <row r="283" spans="1:15" ht="15.95" customHeight="1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</row>
    <row r="284" spans="1:15" ht="15.95" customHeight="1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</row>
    <row r="285" spans="1:15" ht="15.95" customHeight="1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</row>
    <row r="286" spans="1:15" ht="15.95" customHeight="1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</row>
    <row r="287" spans="1:15" ht="15.95" customHeight="1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</row>
    <row r="288" spans="1:15" ht="15.95" customHeight="1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</row>
    <row r="289" spans="1:15" ht="15.95" customHeight="1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</row>
    <row r="290" spans="1:15" ht="15.95" customHeight="1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</row>
    <row r="291" spans="1:15" ht="15.95" customHeight="1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</row>
    <row r="292" spans="1:15" ht="15.95" customHeight="1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</row>
    <row r="293" spans="1:15" ht="15.95" customHeight="1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</row>
    <row r="294" spans="1:15" ht="15.95" customHeight="1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</row>
    <row r="295" spans="1:15" ht="15.95" customHeight="1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</row>
    <row r="296" spans="1:15" ht="15.95" customHeight="1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</row>
    <row r="297" spans="1:15" ht="15.95" customHeight="1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</row>
    <row r="298" spans="1:15" ht="15.95" customHeight="1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</row>
    <row r="299" spans="1:15" ht="15.95" customHeight="1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</row>
    <row r="300" spans="1:15" ht="15.95" customHeight="1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</row>
    <row r="301" spans="1:15" ht="15.95" customHeight="1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</row>
    <row r="302" spans="1:15" ht="15.95" customHeight="1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</row>
    <row r="303" spans="1:15" ht="15.95" customHeight="1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</row>
    <row r="304" spans="1:15" ht="15.95" customHeight="1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</row>
    <row r="305" spans="1:15" ht="15.95" customHeight="1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</row>
    <row r="306" spans="1:15" ht="15.95" customHeight="1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</row>
    <row r="307" spans="1:15" ht="15.95" customHeight="1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</row>
    <row r="308" spans="1:15" ht="15.95" customHeight="1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</row>
    <row r="309" spans="1:15" ht="15.95" customHeight="1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</row>
    <row r="310" spans="1:15" ht="15.95" customHeight="1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</row>
    <row r="311" spans="1:15" ht="15.95" customHeight="1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</row>
    <row r="312" spans="1:15" ht="15.95" customHeight="1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</row>
    <row r="313" spans="1:15" ht="15.95" customHeight="1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</row>
    <row r="314" spans="1:15" ht="15.95" customHeight="1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</row>
    <row r="315" spans="1:15" ht="15.95" customHeight="1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</row>
    <row r="316" spans="1:15" ht="15.95" customHeight="1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</row>
    <row r="317" spans="1:15" ht="15.95" customHeight="1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</row>
    <row r="318" spans="1:15" ht="15.95" customHeight="1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</row>
    <row r="319" spans="1:15" ht="15.95" customHeight="1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</row>
    <row r="320" spans="1:15" ht="15.95" customHeight="1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</row>
    <row r="321" spans="1:15" ht="15.95" customHeight="1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</row>
    <row r="322" spans="1:15" ht="15.95" customHeight="1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</row>
    <row r="323" spans="1:15" ht="15.95" customHeight="1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</row>
    <row r="324" spans="1:15" ht="15.95" customHeight="1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</row>
    <row r="325" spans="1:15" ht="15.95" customHeight="1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</row>
    <row r="326" spans="1:15" ht="15.95" customHeight="1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</row>
    <row r="327" spans="1:15" ht="15.95" customHeight="1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</row>
    <row r="328" spans="1:15" ht="15.95" customHeight="1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</row>
    <row r="329" spans="1:15" ht="15.95" customHeight="1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</row>
    <row r="330" spans="1:15" ht="15.95" customHeight="1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</row>
    <row r="331" spans="1:15" ht="15.95" customHeight="1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</row>
    <row r="332" spans="1:15" ht="15.95" customHeight="1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</row>
    <row r="333" spans="1:15" ht="15.95" customHeight="1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</row>
    <row r="334" spans="1:15" ht="15.95" customHeight="1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</row>
    <row r="335" spans="1:15" ht="15.95" customHeight="1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</row>
    <row r="336" spans="1:15" ht="15.95" customHeight="1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</row>
    <row r="337" spans="1:15" ht="15.95" customHeight="1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</row>
    <row r="338" spans="1:15" ht="15.95" customHeight="1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</row>
    <row r="339" spans="1:15" ht="15.95" customHeight="1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</row>
    <row r="340" spans="1:15" ht="15.95" customHeight="1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</row>
    <row r="341" spans="1:15" ht="15.95" customHeight="1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</row>
    <row r="342" spans="1:15" ht="15.95" customHeight="1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</row>
    <row r="343" spans="1:15" ht="15.95" customHeight="1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</row>
    <row r="344" spans="1:15" ht="15.95" customHeight="1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</row>
    <row r="345" spans="1:15" ht="15.95" customHeight="1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</row>
    <row r="346" spans="1:15" ht="15.95" customHeight="1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</row>
    <row r="347" spans="1:15" ht="15.95" customHeight="1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</row>
    <row r="348" spans="1:15" ht="15.95" customHeight="1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</row>
    <row r="349" spans="1:15" ht="15.95" customHeight="1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</row>
    <row r="350" spans="1:15" ht="15.95" customHeight="1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</row>
    <row r="351" spans="1:15" ht="15.95" customHeight="1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</row>
    <row r="352" spans="1:15" ht="15.95" customHeight="1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</row>
    <row r="353" spans="1:15" ht="15.95" customHeight="1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</row>
    <row r="354" spans="1:15" ht="15.95" customHeight="1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</row>
    <row r="355" spans="1:15" ht="15.95" customHeight="1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</row>
    <row r="356" spans="1:15" ht="15.95" customHeight="1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</row>
    <row r="357" spans="1:15" ht="15.95" customHeight="1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</row>
    <row r="358" spans="1:15" ht="15.95" customHeight="1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</row>
    <row r="359" spans="1:15" ht="15.95" customHeight="1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</row>
    <row r="360" spans="1:15" ht="15.95" customHeight="1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</row>
    <row r="361" spans="1:15" ht="15.95" customHeight="1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</row>
    <row r="362" spans="1:15" ht="15.95" customHeight="1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</row>
    <row r="363" spans="1:15" ht="15.95" customHeight="1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</row>
    <row r="364" spans="1:15" ht="15.95" customHeight="1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</row>
    <row r="365" spans="1:15" ht="15.95" customHeight="1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</row>
    <row r="366" spans="1:15" ht="15.95" customHeight="1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</row>
    <row r="367" spans="1:15" ht="15.95" customHeight="1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</row>
    <row r="368" spans="1:15" ht="15.95" customHeight="1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</row>
    <row r="369" spans="1:15" ht="15.95" customHeight="1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</row>
    <row r="370" spans="1:15" ht="15.95" customHeight="1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</row>
    <row r="371" spans="1:15" ht="15.95" customHeight="1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</row>
    <row r="372" spans="1:15" ht="15.95" customHeight="1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</row>
    <row r="373" spans="1:15" ht="15.95" customHeight="1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</row>
    <row r="374" spans="1:15" ht="15.95" customHeight="1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</row>
    <row r="375" spans="1:15" ht="15.95" customHeight="1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</row>
    <row r="376" spans="1:15" ht="15.95" customHeight="1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</row>
    <row r="377" spans="1:15" ht="15.95" customHeight="1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</row>
    <row r="378" spans="1:15" ht="15.95" customHeight="1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</row>
    <row r="379" spans="1:15" ht="15.95" customHeight="1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</row>
    <row r="380" spans="1:15" ht="15.95" customHeight="1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</row>
    <row r="381" spans="1:15" ht="15.95" customHeight="1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</row>
    <row r="382" spans="1:15" ht="15.95" customHeight="1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</row>
    <row r="383" spans="1:15" ht="15.95" customHeight="1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</row>
    <row r="384" spans="1:15" ht="15.95" customHeight="1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</row>
    <row r="385" spans="1:15" ht="15.95" customHeight="1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</row>
    <row r="386" spans="1:15" ht="15.95" customHeight="1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</row>
    <row r="387" spans="1:15" ht="15.95" customHeight="1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</row>
    <row r="388" spans="1:15" ht="15.95" customHeight="1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</row>
    <row r="389" spans="1:15" ht="15.95" customHeight="1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</row>
    <row r="390" spans="1:15" ht="15.95" customHeight="1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</row>
    <row r="391" spans="1:15" ht="15.95" customHeight="1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</row>
    <row r="392" spans="1:15" ht="15.95" customHeight="1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</row>
    <row r="393" spans="1:15" ht="15.95" customHeight="1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</row>
    <row r="394" spans="1:15" ht="15.95" customHeight="1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</row>
    <row r="395" spans="1:15" ht="15.95" customHeight="1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</row>
    <row r="396" spans="1:15" ht="15.95" customHeight="1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</row>
    <row r="397" spans="1:15" ht="15.95" customHeight="1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</row>
    <row r="398" spans="1:15" ht="15.95" customHeight="1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</row>
    <row r="399" spans="1:15" ht="15.95" customHeight="1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</row>
    <row r="400" spans="1:15" ht="15.95" customHeight="1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</row>
    <row r="401" spans="1:15" ht="15.95" customHeight="1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</row>
    <row r="402" spans="1:15" ht="15.95" customHeight="1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</row>
    <row r="403" spans="1:15" ht="15.95" customHeight="1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</row>
    <row r="404" spans="1:15" ht="15.95" customHeight="1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</row>
    <row r="405" spans="1:15" ht="15.95" customHeight="1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</row>
    <row r="406" spans="1:15" ht="15.95" customHeight="1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</row>
    <row r="407" spans="1:15" ht="15.95" customHeight="1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</row>
    <row r="408" spans="1:15" ht="15.95" customHeight="1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</row>
    <row r="409" spans="1:15" ht="15.95" customHeight="1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</row>
    <row r="410" spans="1:15" ht="15.95" customHeight="1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</row>
    <row r="411" spans="1:15" ht="15.95" customHeight="1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</row>
    <row r="412" spans="1:15" ht="15.95" customHeight="1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</row>
    <row r="413" spans="1:15" ht="15.95" customHeight="1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</row>
    <row r="414" spans="1:15" ht="15.95" customHeight="1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</row>
    <row r="415" spans="1:15" ht="15.95" customHeight="1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</row>
    <row r="416" spans="1:15" ht="15.95" customHeight="1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</row>
    <row r="417" spans="1:15" ht="15.95" customHeight="1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</row>
    <row r="418" spans="1:15" ht="15.95" customHeight="1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</row>
    <row r="419" spans="1:15" ht="15.95" customHeight="1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</row>
    <row r="420" spans="1:15" ht="15.95" customHeight="1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</row>
    <row r="421" spans="1:15" ht="15.95" customHeight="1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</row>
    <row r="422" spans="1:15" ht="15.95" customHeight="1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</row>
    <row r="423" spans="1:15" ht="15.95" customHeight="1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</row>
    <row r="424" spans="1:15" ht="15.95" customHeight="1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</row>
    <row r="425" spans="1:15" ht="15.95" customHeight="1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</row>
    <row r="426" spans="1:15" ht="15.95" customHeight="1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</row>
    <row r="427" spans="1:15" ht="15.95" customHeight="1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</row>
    <row r="428" spans="1:15" ht="15.95" customHeight="1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</row>
    <row r="429" spans="1:15" ht="15.95" customHeight="1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</row>
    <row r="430" spans="1:15" ht="15.95" customHeight="1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</row>
    <row r="431" spans="1:15" ht="15.95" customHeight="1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</row>
    <row r="432" spans="1:15" ht="15.95" customHeight="1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</row>
    <row r="433" spans="1:15" ht="15.95" customHeight="1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</row>
    <row r="434" spans="1:15" ht="15.95" customHeight="1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</row>
    <row r="435" spans="1:15" ht="15.95" customHeight="1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</row>
    <row r="436" spans="1:15" ht="15.95" customHeight="1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</row>
    <row r="437" spans="1:15" ht="15.95" customHeight="1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</row>
    <row r="438" spans="1:15" ht="15.95" customHeight="1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</row>
    <row r="439" spans="1:15" ht="15.95" customHeight="1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</row>
    <row r="440" spans="1:15" ht="15.95" customHeight="1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</row>
    <row r="441" spans="1:15" ht="15.95" customHeight="1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</row>
    <row r="442" spans="1:15" ht="15.95" customHeight="1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</row>
    <row r="443" spans="1:15" ht="15.95" customHeight="1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</row>
    <row r="444" spans="1:15" ht="15.95" customHeight="1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</row>
    <row r="445" spans="1:15" ht="15.95" customHeight="1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</row>
    <row r="446" spans="1:15" ht="15.95" customHeight="1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</row>
    <row r="447" spans="1:15" ht="15.95" customHeight="1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</row>
    <row r="448" spans="1:15" ht="15.95" customHeight="1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</row>
    <row r="449" spans="1:15" ht="15.95" customHeight="1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</row>
    <row r="450" spans="1:15" ht="15.95" customHeight="1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</row>
    <row r="451" spans="1:15" ht="15.95" customHeight="1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</row>
    <row r="452" spans="1:15" ht="15.95" customHeight="1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</row>
    <row r="453" spans="1:15" ht="15.95" customHeight="1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</row>
    <row r="454" spans="1:15" ht="15.95" customHeight="1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</row>
    <row r="455" spans="1:15" ht="15.95" customHeight="1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</row>
    <row r="456" spans="1:15" ht="15.95" customHeight="1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</row>
    <row r="457" spans="1:15" ht="15.95" customHeight="1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</row>
    <row r="458" spans="1:15" ht="15.95" customHeight="1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</row>
    <row r="459" spans="1:15" ht="15.95" customHeight="1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</row>
    <row r="460" spans="1:15" ht="15.95" customHeight="1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</row>
    <row r="461" spans="1:15" ht="15.95" customHeight="1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</row>
    <row r="462" spans="1:15" ht="15.95" customHeight="1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</row>
    <row r="463" spans="1:15" ht="15.95" customHeight="1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</row>
    <row r="464" spans="1:15" ht="15.95" customHeight="1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</row>
    <row r="465" spans="1:15" ht="15.95" customHeight="1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</row>
    <row r="466" spans="1:15" ht="15.95" customHeight="1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</row>
    <row r="467" spans="1:15" ht="15.95" customHeight="1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</row>
    <row r="468" spans="1:15" ht="15.95" customHeight="1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</row>
    <row r="469" spans="1:15" ht="15.95" customHeight="1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</row>
    <row r="470" spans="1:15" ht="15.95" customHeight="1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</row>
    <row r="471" spans="1:15" ht="15.95" customHeight="1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</row>
    <row r="472" spans="1:15" ht="15.95" customHeight="1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</row>
    <row r="473" spans="1:15" ht="15.95" customHeight="1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</row>
    <row r="474" spans="1:15" ht="15.95" customHeight="1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</row>
    <row r="475" spans="1:15" ht="15.95" customHeight="1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</row>
    <row r="476" spans="1:15" ht="15.95" customHeight="1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</row>
    <row r="477" spans="1:15" ht="15.95" customHeight="1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</row>
    <row r="478" spans="1:15" ht="15.95" customHeight="1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</row>
    <row r="479" spans="1:15" ht="15.95" customHeight="1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</row>
    <row r="480" spans="1:15" ht="15.95" customHeight="1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</row>
    <row r="481" spans="1:15" ht="15.95" customHeight="1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</row>
    <row r="482" spans="1:15" ht="15.95" customHeight="1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</row>
    <row r="483" spans="1:15" ht="15.95" customHeight="1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</row>
    <row r="484" spans="1:15" ht="15.95" customHeight="1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</row>
    <row r="485" spans="1:15" ht="15.95" customHeight="1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</row>
    <row r="486" spans="1:15" ht="15.95" customHeight="1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</row>
    <row r="487" spans="1:15" ht="15.95" customHeight="1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</row>
    <row r="488" spans="1:15" ht="15.95" customHeight="1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</row>
    <row r="489" spans="1:15" ht="15.95" customHeight="1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</row>
    <row r="490" spans="1:15" ht="15.95" customHeight="1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</row>
    <row r="491" spans="1:15" ht="15.95" customHeight="1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</row>
    <row r="492" spans="1:15" ht="15.95" customHeight="1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</row>
    <row r="493" spans="1:15" ht="15.95" customHeight="1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</row>
    <row r="494" spans="1:15" ht="15.95" customHeight="1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</row>
    <row r="495" spans="1:15" ht="15.95" customHeight="1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</row>
    <row r="496" spans="1:15" ht="15.95" customHeight="1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</row>
    <row r="497" spans="1:15" ht="15.95" customHeight="1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</row>
    <row r="498" spans="1:15" ht="15.95" customHeight="1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</row>
    <row r="499" spans="1:15" ht="15.95" customHeight="1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</row>
    <row r="500" spans="1:15" ht="15.95" customHeight="1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</row>
    <row r="501" spans="1:15" ht="15.95" customHeight="1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</row>
    <row r="502" spans="1:15" ht="15.95" customHeight="1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</row>
    <row r="503" spans="1:15" ht="15.95" customHeight="1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</row>
    <row r="504" spans="1:15" ht="15.95" customHeight="1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</row>
    <row r="505" spans="1:15" ht="15.95" customHeight="1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</row>
    <row r="506" spans="1:15" ht="15.95" customHeight="1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</row>
    <row r="507" spans="1:15" ht="15.95" customHeight="1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</row>
    <row r="508" spans="1:15" ht="15.95" customHeight="1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</row>
    <row r="509" spans="1:15" ht="15.95" customHeight="1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</row>
    <row r="510" spans="1:15" ht="15.95" customHeight="1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</row>
    <row r="511" spans="1:15" ht="15.95" customHeight="1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</row>
    <row r="512" spans="1:15" ht="15.95" customHeight="1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</row>
    <row r="513" spans="1:15" ht="15.95" customHeight="1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</row>
    <row r="514" spans="1:15" ht="15.95" customHeight="1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</row>
    <row r="515" spans="1:15" ht="15.95" customHeight="1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</row>
    <row r="516" spans="1:15" ht="15.95" customHeight="1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</row>
    <row r="517" spans="1:15" ht="15.95" customHeight="1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</row>
    <row r="518" spans="1:15" ht="15.95" customHeight="1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</row>
    <row r="519" spans="1:15" ht="15.95" customHeight="1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</row>
    <row r="520" spans="1:15" ht="15.95" customHeight="1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</row>
    <row r="521" spans="1:15" ht="15.95" customHeight="1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</row>
    <row r="522" spans="1:15" ht="15.95" customHeight="1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</row>
    <row r="523" spans="1:15" ht="15.95" customHeight="1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</row>
    <row r="524" spans="1:15" ht="15.95" customHeight="1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</row>
    <row r="525" spans="1:15" ht="15.95" customHeight="1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</row>
    <row r="526" spans="1:15" ht="15.95" customHeight="1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</row>
    <row r="527" spans="1:15" ht="15.95" customHeight="1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</row>
    <row r="528" spans="1:15" ht="15.95" customHeight="1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</row>
    <row r="529" spans="1:15" ht="15.95" customHeight="1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</row>
    <row r="530" spans="1:15" ht="15.95" customHeight="1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</row>
    <row r="531" spans="1:15" ht="15.95" customHeight="1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</row>
    <row r="532" spans="1:15" ht="15.95" customHeight="1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</row>
    <row r="533" spans="1:15" ht="15.95" customHeight="1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</row>
    <row r="534" spans="1:15" ht="15.95" customHeight="1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</row>
    <row r="535" spans="1:15" ht="15.95" customHeight="1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</row>
    <row r="536" spans="1:15" ht="15.95" customHeight="1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</row>
    <row r="537" spans="1:15" ht="15.95" customHeight="1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</row>
    <row r="538" spans="1:15" ht="15.95" customHeight="1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</row>
    <row r="539" spans="1:15" ht="15.95" customHeight="1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</row>
    <row r="540" spans="1:15" ht="15.95" customHeight="1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</row>
    <row r="541" spans="1:15" ht="15.95" customHeight="1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</row>
    <row r="542" spans="1:15" ht="15.95" customHeight="1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</row>
    <row r="543" spans="1:15" ht="15.95" customHeight="1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</row>
    <row r="544" spans="1:15" ht="15.95" customHeight="1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</row>
    <row r="545" spans="1:15" ht="15.95" customHeight="1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</row>
    <row r="546" spans="1:15" ht="15.95" customHeight="1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</row>
    <row r="547" spans="1:15" ht="15.95" customHeight="1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</row>
    <row r="548" spans="1:15" ht="15.95" customHeight="1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</row>
    <row r="549" spans="1:15" ht="15.95" customHeight="1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</row>
    <row r="550" spans="1:15" ht="15.95" customHeight="1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</row>
    <row r="551" spans="1:15" ht="15.95" customHeight="1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</row>
    <row r="552" spans="1:15" ht="15.95" customHeight="1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</row>
    <row r="553" spans="1:15" ht="15.95" customHeight="1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</row>
    <row r="554" spans="1:15" ht="15.95" customHeight="1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</row>
    <row r="555" spans="1:15" ht="15.95" customHeight="1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</row>
    <row r="556" spans="1:15" ht="15.95" customHeight="1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</row>
    <row r="557" spans="1:15" ht="15.95" customHeight="1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</row>
    <row r="558" spans="1:15" ht="15.95" customHeight="1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</row>
    <row r="559" spans="1:15" ht="15.95" customHeight="1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</row>
    <row r="560" spans="1:15" ht="15.95" customHeight="1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</row>
    <row r="561" spans="1:15" ht="15.95" customHeight="1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</row>
    <row r="562" spans="1:15" ht="15.95" customHeight="1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</row>
    <row r="563" spans="1:15" ht="15.95" customHeight="1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</row>
    <row r="564" spans="1:15" ht="15.95" customHeight="1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</row>
    <row r="565" spans="1:15" ht="15.95" customHeight="1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</row>
    <row r="566" spans="1:15" ht="15.95" customHeight="1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</row>
    <row r="567" spans="1:15" ht="15.95" customHeight="1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</row>
    <row r="568" spans="1:15" ht="15.95" customHeight="1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</row>
    <row r="569" spans="1:15" ht="15.95" customHeight="1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</row>
    <row r="570" spans="1:15" ht="15.95" customHeight="1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</row>
    <row r="571" spans="1:15" ht="15.95" customHeight="1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</row>
    <row r="572" spans="1:15" ht="15.95" customHeight="1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</row>
    <row r="573" spans="1:15" ht="15.95" customHeight="1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</row>
    <row r="574" spans="1:15" ht="15.95" customHeight="1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</row>
    <row r="575" spans="1:15" ht="15.95" customHeight="1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</row>
    <row r="576" spans="1:15" ht="15.95" customHeight="1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</row>
    <row r="577" spans="1:15" ht="15.95" customHeight="1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</row>
    <row r="578" spans="1:15" ht="15.95" customHeight="1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</row>
    <row r="579" spans="1:15" ht="15.95" customHeight="1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</row>
    <row r="580" spans="1:15" ht="15.95" customHeight="1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</row>
    <row r="581" spans="1:15" ht="15.95" customHeight="1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</row>
    <row r="582" spans="1:15" ht="15.95" customHeight="1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</row>
    <row r="583" spans="1:15" ht="15.95" customHeight="1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</row>
    <row r="584" spans="1:15" ht="15.95" customHeight="1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</row>
    <row r="585" spans="1:15" ht="15.95" customHeight="1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</row>
    <row r="586" spans="1:15" ht="15.95" customHeight="1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</row>
    <row r="587" spans="1:15" ht="15.95" customHeight="1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</row>
    <row r="588" spans="1:15" ht="15.95" customHeight="1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</row>
    <row r="589" spans="1:15" ht="15.95" customHeight="1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</row>
    <row r="590" spans="1:15" ht="15.95" customHeight="1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</row>
    <row r="591" spans="1:15" ht="15.95" customHeight="1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</row>
    <row r="592" spans="1:15" ht="15.95" customHeight="1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</row>
    <row r="593" spans="1:15" ht="15.95" customHeight="1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</row>
    <row r="594" spans="1:15" ht="15.95" customHeight="1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</row>
    <row r="595" spans="1:15" ht="15.95" customHeight="1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</row>
    <row r="596" spans="1:15" ht="15.95" customHeight="1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</row>
    <row r="597" spans="1:15" ht="15.95" customHeight="1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</row>
    <row r="598" spans="1:15" ht="15.95" customHeight="1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</row>
    <row r="599" spans="1:15" ht="15.95" customHeight="1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</row>
    <row r="600" spans="1:15" ht="15.95" customHeight="1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</row>
    <row r="601" spans="1:15" ht="15.95" customHeight="1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</row>
    <row r="602" spans="1:15" ht="15.95" customHeight="1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</row>
    <row r="603" spans="1:15" ht="15.95" customHeight="1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</row>
    <row r="604" spans="1:15" ht="15.95" customHeight="1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</row>
    <row r="605" spans="1:15" ht="15.95" customHeight="1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</row>
    <row r="606" spans="1:15" ht="15.95" customHeight="1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</row>
    <row r="607" spans="1:15" ht="15.95" customHeight="1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</row>
    <row r="608" spans="1:15" ht="15.95" customHeight="1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</row>
    <row r="609" spans="1:15" ht="15.95" customHeight="1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</row>
    <row r="610" spans="1:15" ht="15.95" customHeight="1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</row>
    <row r="611" spans="1:15" ht="15.95" customHeight="1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</row>
    <row r="612" spans="1:15" ht="15.95" customHeight="1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</row>
    <row r="613" spans="1:15" ht="15.95" customHeight="1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</row>
    <row r="614" spans="1:15" ht="15.95" customHeight="1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</row>
    <row r="615" spans="1:15" ht="15.95" customHeight="1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</row>
    <row r="616" spans="1:15" ht="15.95" customHeight="1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</row>
    <row r="617" spans="1:15" ht="15.95" customHeight="1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</row>
    <row r="618" spans="1:15" ht="15.95" customHeight="1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</row>
    <row r="619" spans="1:15" ht="15.95" customHeight="1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</row>
    <row r="620" spans="1:15" ht="15.95" customHeight="1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</row>
    <row r="621" spans="1:15" ht="15.95" customHeight="1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</row>
    <row r="622" spans="1:15" ht="15.95" customHeight="1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</row>
    <row r="623" spans="1:15" ht="15.95" customHeight="1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</row>
    <row r="624" spans="1:15" ht="15.95" customHeight="1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</row>
    <row r="625" spans="1:15" ht="15.95" customHeight="1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</row>
    <row r="626" spans="1:15" ht="15.95" customHeight="1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</row>
    <row r="627" spans="1:15" ht="15.95" customHeight="1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</row>
    <row r="628" spans="1:15" ht="15.95" customHeight="1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</row>
    <row r="629" spans="1:15" ht="15.95" customHeight="1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</row>
    <row r="630" spans="1:15" ht="15.95" customHeight="1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</row>
    <row r="631" spans="1:15" ht="15.95" customHeight="1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</row>
    <row r="632" spans="1:15" ht="15.95" customHeight="1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</row>
    <row r="633" spans="1:15" ht="15.95" customHeight="1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</row>
    <row r="634" spans="1:15" ht="15.95" customHeight="1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</row>
    <row r="635" spans="1:15" ht="15.95" customHeight="1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</row>
    <row r="636" spans="1:15" ht="15.95" customHeight="1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</row>
    <row r="637" spans="1:15" ht="15.95" customHeight="1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</row>
    <row r="638" spans="1:15" ht="15.95" customHeight="1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</row>
    <row r="639" spans="1:15" ht="15.95" customHeight="1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</row>
    <row r="640" spans="1:15" ht="15.95" customHeight="1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</row>
    <row r="641" spans="1:15" ht="15.95" customHeight="1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</row>
    <row r="642" spans="1:15" ht="15.95" customHeight="1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</row>
    <row r="643" spans="1:15" ht="15.95" customHeight="1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</row>
    <row r="644" spans="1:15" ht="15.95" customHeight="1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</row>
    <row r="645" spans="1:15" ht="15.95" customHeight="1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</row>
    <row r="646" spans="1:15" ht="15.95" customHeight="1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</row>
    <row r="647" spans="1:15" ht="15.95" customHeight="1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</row>
    <row r="648" spans="1:15" ht="15.95" customHeight="1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</row>
    <row r="649" spans="1:15" ht="15.95" customHeight="1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</row>
    <row r="650" spans="1:15" ht="15.95" customHeight="1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</row>
    <row r="651" spans="1:15" ht="15.95" customHeight="1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</row>
    <row r="652" spans="1:15" ht="15.95" customHeight="1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</row>
    <row r="653" spans="1:15" ht="15.95" customHeight="1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</row>
    <row r="654" spans="1:15" ht="15.95" customHeight="1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</row>
    <row r="655" spans="1:15" ht="15.95" customHeight="1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</row>
    <row r="656" spans="1:15" ht="15.95" customHeight="1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</row>
    <row r="657" spans="1:15" ht="15.95" customHeight="1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</row>
    <row r="658" spans="1:15" ht="15.95" customHeight="1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</row>
    <row r="659" spans="1:15" ht="15.95" customHeight="1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</row>
    <row r="660" spans="1:15" ht="15.95" customHeight="1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</row>
    <row r="661" spans="1:15" ht="15.95" customHeight="1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</row>
    <row r="662" spans="1:15" ht="15.95" customHeight="1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</row>
    <row r="663" spans="1:15" ht="15.95" customHeight="1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</row>
    <row r="664" spans="1:15" ht="15.95" customHeight="1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</row>
    <row r="665" spans="1:15" ht="15.95" customHeight="1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</row>
    <row r="666" spans="1:15" ht="15.95" customHeight="1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</row>
    <row r="667" spans="1:15" ht="15.95" customHeight="1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</row>
    <row r="668" spans="1:15" ht="15.95" customHeight="1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</row>
    <row r="669" spans="1:15" ht="15.95" customHeight="1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</row>
    <row r="670" spans="1:15" ht="15.95" customHeight="1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</row>
    <row r="671" spans="1:15" ht="15.95" customHeight="1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</row>
    <row r="672" spans="1:15" ht="15.95" customHeight="1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</row>
    <row r="673" spans="1:15" ht="15.95" customHeight="1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</row>
    <row r="674" spans="1:15" ht="15.95" customHeight="1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</row>
    <row r="675" spans="1:15" ht="15.95" customHeight="1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</row>
    <row r="676" spans="1:15" ht="15.95" customHeight="1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</row>
    <row r="677" spans="1:15" ht="15.95" customHeight="1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</row>
    <row r="678" spans="1:15" ht="15.95" customHeight="1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</row>
    <row r="679" spans="1:15" ht="15.95" customHeight="1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</row>
    <row r="680" spans="1:15" ht="15.95" customHeight="1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</row>
    <row r="681" spans="1:15" ht="15.95" customHeight="1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</row>
    <row r="682" spans="1:15" ht="15.95" customHeight="1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</row>
    <row r="683" spans="1:15" ht="15.95" customHeight="1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</row>
    <row r="684" spans="1:15" ht="15.95" customHeight="1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</row>
    <row r="685" spans="1:15" ht="15.95" customHeight="1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</row>
    <row r="686" spans="1:15" ht="15.95" customHeight="1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</row>
    <row r="687" spans="1:15" ht="15.95" customHeight="1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</row>
    <row r="688" spans="1:15" ht="15.95" customHeight="1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</row>
    <row r="689" spans="1:15" ht="15.95" customHeight="1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</row>
    <row r="690" spans="1:15" ht="15.95" customHeight="1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</row>
    <row r="691" spans="1:15" ht="15.95" customHeight="1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</row>
    <row r="692" spans="1:15" ht="15.95" customHeight="1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</row>
    <row r="693" spans="1:15" ht="15.95" customHeight="1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</row>
    <row r="694" spans="1:15" ht="15.95" customHeight="1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</row>
    <row r="695" spans="1:15" ht="15.95" customHeight="1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</row>
    <row r="696" spans="1:15" ht="15.95" customHeight="1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</row>
    <row r="697" spans="1:15" ht="15.95" customHeight="1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</row>
    <row r="698" spans="1:15" ht="15.95" customHeight="1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</row>
    <row r="699" spans="1:15" ht="15.95" customHeight="1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</row>
    <row r="700" spans="1:15" ht="15.95" customHeight="1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</row>
    <row r="701" spans="1:15" ht="15.95" customHeight="1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</row>
    <row r="702" spans="1:15" ht="15.95" customHeight="1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</row>
    <row r="703" spans="1:15" ht="15.95" customHeight="1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</row>
    <row r="704" spans="1:15" ht="15.95" customHeight="1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</row>
    <row r="705" spans="1:15" ht="15.95" customHeight="1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</row>
    <row r="706" spans="1:15" ht="15.95" customHeight="1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</row>
    <row r="707" spans="1:15" ht="15.95" customHeight="1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</row>
    <row r="708" spans="1:15" ht="15.95" customHeight="1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</row>
    <row r="709" spans="1:15" ht="15.95" customHeight="1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</row>
    <row r="710" spans="1:15" ht="15.95" customHeight="1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</row>
    <row r="711" spans="1:15" ht="15.95" customHeight="1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</row>
    <row r="712" spans="1:15" ht="15.95" customHeight="1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</row>
    <row r="713" spans="1:15" ht="15.95" customHeight="1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</row>
    <row r="714" spans="1:15" ht="15.95" customHeight="1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</row>
    <row r="715" spans="1:15" ht="15.95" customHeight="1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</row>
    <row r="716" spans="1:15" ht="15.95" customHeight="1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</row>
    <row r="717" spans="1:15" ht="15.95" customHeight="1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</row>
    <row r="718" spans="1:15" ht="15.95" customHeight="1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</row>
    <row r="719" spans="1:15" ht="15.95" customHeight="1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</row>
    <row r="720" spans="1:15" ht="15.95" customHeight="1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</row>
    <row r="721" spans="1:15" ht="15.95" customHeight="1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</row>
    <row r="722" spans="1:15" ht="15.95" customHeight="1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</row>
    <row r="723" spans="1:15" ht="15.95" customHeight="1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</row>
    <row r="724" spans="1:15" ht="15.95" customHeight="1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</row>
    <row r="725" spans="1:15" ht="15.95" customHeight="1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</row>
    <row r="726" spans="1:15" ht="15.95" customHeight="1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</row>
    <row r="727" spans="1:15" ht="15.95" customHeight="1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</row>
    <row r="728" spans="1:15" ht="15.95" customHeight="1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</row>
    <row r="729" spans="1:15" ht="15.95" customHeight="1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</row>
    <row r="730" spans="1:15" ht="15.95" customHeight="1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</row>
    <row r="731" spans="1:15" ht="15.95" customHeight="1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</row>
    <row r="732" spans="1:15" ht="15.95" customHeight="1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</row>
    <row r="733" spans="1:15" ht="15.95" customHeight="1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</row>
    <row r="734" spans="1:15" ht="15.95" customHeight="1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</row>
    <row r="735" spans="1:15" ht="15.95" customHeight="1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</row>
    <row r="736" spans="1:15" ht="15.95" customHeight="1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</row>
    <row r="737" spans="1:15" ht="15.95" customHeight="1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</row>
    <row r="738" spans="1:15" ht="15.95" customHeight="1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</row>
    <row r="739" spans="1:15" ht="15.95" customHeight="1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</row>
    <row r="740" spans="1:15" ht="15.95" customHeight="1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</row>
    <row r="741" spans="1:15" ht="15.95" customHeight="1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</row>
    <row r="742" spans="1:15" ht="15.95" customHeight="1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</row>
    <row r="743" spans="1:15" ht="15.95" customHeight="1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</row>
    <row r="744" spans="1:15" ht="15.95" customHeight="1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</row>
    <row r="745" spans="1:15" ht="15.95" customHeight="1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</row>
    <row r="746" spans="1:15" ht="15.95" customHeight="1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</row>
    <row r="747" spans="1:15" ht="15.95" customHeight="1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</row>
    <row r="748" spans="1:15" ht="15.95" customHeight="1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</row>
    <row r="749" spans="1:15" ht="15.95" customHeight="1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</row>
    <row r="750" spans="1:15" ht="15.95" customHeight="1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</row>
    <row r="751" spans="1:15" ht="15.95" customHeight="1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</row>
    <row r="752" spans="1:15" ht="15.95" customHeight="1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</row>
    <row r="753" spans="1:15" ht="15.95" customHeight="1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</row>
    <row r="754" spans="1:15" ht="15.95" customHeight="1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</row>
    <row r="755" spans="1:15" ht="15.95" customHeight="1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</row>
    <row r="756" spans="1:15" ht="15.95" customHeight="1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</row>
    <row r="757" spans="1:15" ht="15.95" customHeight="1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</row>
    <row r="758" spans="1:15" ht="15.95" customHeight="1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</row>
    <row r="759" spans="1:15" ht="15.95" customHeight="1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</row>
    <row r="760" spans="1:15" ht="15.95" customHeight="1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</row>
    <row r="761" spans="1:15" ht="15.95" customHeight="1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</row>
    <row r="762" spans="1:15" ht="15.95" customHeight="1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</row>
    <row r="763" spans="1:15" ht="15.95" customHeight="1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</row>
    <row r="764" spans="1:15" ht="15.95" customHeight="1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</row>
    <row r="765" spans="1:15" ht="15.95" customHeight="1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</row>
    <row r="766" spans="1:15" ht="15.95" customHeight="1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</row>
    <row r="767" spans="1:15" ht="15.95" customHeight="1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</row>
    <row r="768" spans="1:15" ht="15.95" customHeight="1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</row>
    <row r="769" spans="1:15" ht="15.95" customHeight="1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</row>
    <row r="770" spans="1:15" ht="15.95" customHeight="1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</row>
    <row r="771" spans="1:15" ht="15.95" customHeight="1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</row>
    <row r="772" spans="1:15" ht="15.95" customHeight="1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</row>
    <row r="773" spans="1:15" ht="15.95" customHeight="1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</row>
    <row r="774" spans="1:15" ht="15.95" customHeight="1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</row>
    <row r="775" spans="1:15" ht="15.95" customHeight="1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</row>
    <row r="776" spans="1:15" ht="15.95" customHeight="1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</row>
    <row r="777" spans="1:15" ht="15.95" customHeight="1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</row>
    <row r="778" spans="1:15" ht="15.95" customHeight="1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</row>
    <row r="779" spans="1:15" ht="15.95" customHeight="1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</row>
    <row r="780" spans="1:15" ht="15.95" customHeight="1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</row>
    <row r="781" spans="1:15" ht="15.95" customHeight="1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</row>
    <row r="782" spans="1:15" ht="15.95" customHeight="1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</row>
    <row r="783" spans="1:15" ht="15.95" customHeight="1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</row>
    <row r="784" spans="1:15" ht="15.95" customHeight="1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</row>
    <row r="785" spans="1:15" ht="15.95" customHeight="1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</row>
    <row r="786" spans="1:15" ht="15.95" customHeight="1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</row>
    <row r="787" spans="1:15" ht="15.95" customHeight="1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</row>
    <row r="788" spans="1:15" ht="15.95" customHeight="1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</row>
    <row r="789" spans="1:15" ht="15.95" customHeight="1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</row>
    <row r="790" spans="1:15" ht="15.95" customHeight="1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</row>
    <row r="791" spans="1:15" ht="15.95" customHeight="1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</row>
    <row r="792" spans="1:15" ht="15.95" customHeight="1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</row>
    <row r="793" spans="1:15" ht="15.95" customHeight="1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</row>
    <row r="794" spans="1:15" ht="15.95" customHeight="1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</row>
    <row r="795" spans="1:15" ht="15.95" customHeight="1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</row>
    <row r="796" spans="1:15" ht="15.95" customHeight="1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</row>
    <row r="797" spans="1:15" ht="15.95" customHeight="1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</row>
    <row r="798" spans="1:15" ht="15.95" customHeight="1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</row>
    <row r="799" spans="1:15" ht="15.95" customHeight="1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</row>
    <row r="800" spans="1:15" ht="15.95" customHeight="1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</row>
    <row r="801" spans="1:15" ht="15.95" customHeight="1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</row>
    <row r="802" spans="1:15" ht="15.95" customHeight="1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</row>
    <row r="803" spans="1:15" ht="15.95" customHeight="1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</row>
    <row r="804" spans="1:15" ht="15.95" customHeight="1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</row>
    <row r="805" spans="1:15" ht="15.95" customHeight="1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</row>
    <row r="806" spans="1:15" ht="15.95" customHeight="1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</row>
    <row r="807" spans="1:15" ht="15.95" customHeight="1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</row>
    <row r="808" spans="1:15" ht="15.95" customHeight="1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</row>
    <row r="809" spans="1:15" ht="15.95" customHeight="1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</row>
    <row r="810" spans="1:15" ht="15.95" customHeight="1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</row>
    <row r="811" spans="1:15" ht="15.95" customHeight="1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</row>
    <row r="812" spans="1:15" ht="15.95" customHeight="1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</row>
    <row r="813" spans="1:15" ht="15.95" customHeight="1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</row>
    <row r="814" spans="1:15" ht="15.95" customHeight="1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</row>
    <row r="815" spans="1:15" ht="15.95" customHeight="1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</row>
    <row r="816" spans="1:15" ht="15.95" customHeight="1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</row>
    <row r="817" spans="1:15" ht="15.95" customHeight="1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</row>
    <row r="818" spans="1:15" ht="15.95" customHeight="1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</row>
    <row r="819" spans="1:15" ht="15.95" customHeight="1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</row>
    <row r="820" spans="1:15" ht="15.95" customHeight="1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</row>
    <row r="821" spans="1:15" ht="15.95" customHeight="1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</row>
    <row r="822" spans="1:15" ht="15.95" customHeight="1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</row>
    <row r="823" spans="1:15" ht="15.95" customHeight="1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</row>
    <row r="824" spans="1:15" ht="15.95" customHeight="1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</row>
    <row r="825" spans="1:15" ht="15.95" customHeight="1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</row>
    <row r="826" spans="1:15" ht="15.95" customHeight="1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</row>
    <row r="827" spans="1:15" ht="15.95" customHeight="1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</row>
    <row r="828" spans="1:15" ht="15.95" customHeight="1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</row>
    <row r="829" spans="1:15" ht="15.95" customHeight="1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</row>
    <row r="830" spans="1:15" ht="15.95" customHeight="1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</row>
    <row r="831" spans="1:15" ht="15.95" customHeight="1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</row>
    <row r="832" spans="1:15" ht="15.95" customHeight="1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</row>
    <row r="833" spans="1:15" ht="15.95" customHeight="1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</row>
    <row r="834" spans="1:15" ht="15.95" customHeight="1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</row>
    <row r="835" spans="1:15" ht="15.95" customHeight="1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</row>
    <row r="836" spans="1:15" ht="15.95" customHeight="1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</row>
    <row r="837" spans="1:15" ht="15.95" customHeight="1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</row>
    <row r="838" spans="1:15" ht="15.95" customHeight="1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</row>
    <row r="839" spans="1:15" ht="15.95" customHeight="1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</row>
    <row r="840" spans="1:15" ht="15.95" customHeight="1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</row>
    <row r="841" spans="1:15" ht="15.95" customHeight="1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</row>
    <row r="842" spans="1:15" ht="15.95" customHeight="1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</row>
    <row r="843" spans="1:15" ht="15.95" customHeight="1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</row>
    <row r="844" spans="1:15" ht="15.95" customHeight="1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</row>
    <row r="845" spans="1:15" ht="15.95" customHeight="1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</row>
    <row r="846" spans="1:15" ht="15.95" customHeight="1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</row>
    <row r="847" spans="1:15" ht="15.95" customHeight="1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</row>
    <row r="848" spans="1:15" ht="15.95" customHeight="1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</row>
    <row r="849" spans="1:15" ht="15.95" customHeight="1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</row>
    <row r="850" spans="1:15" ht="15.95" customHeight="1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</row>
    <row r="851" spans="1:15" ht="15.95" customHeight="1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</row>
    <row r="852" spans="1:15" ht="15.95" customHeight="1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</row>
    <row r="853" spans="1:15" ht="15.95" customHeight="1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</row>
    <row r="854" spans="1:15" ht="15.95" customHeight="1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</row>
    <row r="855" spans="1:15" ht="15.95" customHeight="1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</row>
    <row r="856" spans="1:15" ht="15.95" customHeight="1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</row>
    <row r="857" spans="1:15" ht="15.95" customHeight="1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</row>
    <row r="858" spans="1:15" ht="15.95" customHeight="1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</row>
    <row r="859" spans="1:15" ht="15.95" customHeight="1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</row>
    <row r="860" spans="1:15" ht="15.95" customHeight="1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</row>
    <row r="861" spans="1:15" ht="15.95" customHeight="1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</row>
    <row r="862" spans="1:15" ht="15.95" customHeight="1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</row>
    <row r="863" spans="1:15" ht="15.95" customHeight="1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</row>
    <row r="864" spans="1:15" ht="15.95" customHeight="1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</row>
    <row r="865" spans="1:15" ht="15.95" customHeight="1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</row>
    <row r="866" spans="1:15" ht="15.95" customHeight="1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</row>
    <row r="867" spans="1:15" ht="15.95" customHeight="1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</row>
    <row r="868" spans="1:15" ht="15.95" customHeight="1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</row>
    <row r="869" spans="1:15" ht="15.95" customHeight="1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</row>
    <row r="870" spans="1:15" ht="15.95" customHeight="1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</row>
    <row r="871" spans="1:15" ht="15.95" customHeight="1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</row>
    <row r="872" spans="1:15" ht="15.95" customHeight="1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</row>
    <row r="873" spans="1:15" ht="15.95" customHeight="1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</row>
    <row r="874" spans="1:15" ht="15.95" customHeight="1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</row>
    <row r="875" spans="1:15" ht="15.95" customHeight="1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</row>
    <row r="876" spans="1:15" ht="15.95" customHeight="1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</row>
    <row r="877" spans="1:15" ht="15.95" customHeight="1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</row>
    <row r="878" spans="1:15" ht="15.95" customHeight="1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</row>
    <row r="879" spans="1:15" ht="15.95" customHeight="1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</row>
    <row r="880" spans="1:15" ht="15.95" customHeight="1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</row>
    <row r="881" spans="1:15" ht="15.95" customHeight="1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</row>
    <row r="882" spans="1:15" ht="15.95" customHeight="1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</row>
    <row r="883" spans="1:15" ht="15.95" customHeight="1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</row>
    <row r="884" spans="1:15" ht="15.95" customHeight="1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</row>
    <row r="885" spans="1:15" ht="15.95" customHeight="1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</row>
    <row r="886" spans="1:15" ht="15.95" customHeight="1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</row>
    <row r="887" spans="1:15" ht="15.95" customHeight="1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</row>
    <row r="888" spans="1:15" ht="15.95" customHeight="1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</row>
    <row r="889" spans="1:15" ht="15.95" customHeight="1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</row>
    <row r="890" spans="1:15" ht="15.95" customHeight="1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</row>
    <row r="891" spans="1:15" ht="15.95" customHeight="1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</row>
    <row r="892" spans="1:15" ht="15.95" customHeight="1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</row>
    <row r="893" spans="1:15" ht="15.95" customHeight="1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</row>
    <row r="894" spans="1:15" ht="15.95" customHeight="1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</row>
    <row r="895" spans="1:15" ht="15.95" customHeight="1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</row>
    <row r="896" spans="1:15" ht="15.95" customHeight="1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</row>
    <row r="897" spans="1:15" ht="15.95" customHeight="1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</row>
    <row r="898" spans="1:15" ht="15.95" customHeight="1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</row>
    <row r="899" spans="1:15" ht="15.95" customHeight="1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</row>
    <row r="900" spans="1:15" ht="15.95" customHeight="1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</row>
    <row r="901" spans="1:15" ht="15.95" customHeight="1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</row>
    <row r="902" spans="1:15" ht="15.95" customHeight="1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</row>
    <row r="903" spans="1:15" ht="15.95" customHeight="1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</row>
    <row r="904" spans="1:15" ht="15.95" customHeight="1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</row>
    <row r="905" spans="1:15" ht="15.95" customHeight="1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</row>
    <row r="906" spans="1:15" ht="15.95" customHeight="1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</row>
    <row r="907" spans="1:15" ht="15.95" customHeight="1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</row>
    <row r="908" spans="1:15" ht="15.95" customHeight="1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</row>
    <row r="909" spans="1:15" ht="15.95" customHeight="1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</row>
    <row r="910" spans="1:15" ht="15.95" customHeight="1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</row>
    <row r="911" spans="1:15" ht="15.95" customHeight="1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</row>
    <row r="912" spans="1:15" ht="15.95" customHeight="1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</row>
    <row r="913" spans="1:15" ht="15.95" customHeight="1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</row>
    <row r="914" spans="1:15" ht="15.95" customHeight="1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</row>
    <row r="915" spans="1:15" ht="15.95" customHeight="1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</row>
    <row r="916" spans="1:15" ht="15.95" customHeight="1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</row>
    <row r="917" spans="1:15" ht="15.95" customHeight="1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</row>
    <row r="918" spans="1:15" ht="15.95" customHeight="1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</row>
    <row r="919" spans="1:15" ht="15.95" customHeight="1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</row>
    <row r="920" spans="1:15" ht="15.95" customHeight="1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</row>
    <row r="921" spans="1:15" ht="15.95" customHeight="1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</row>
    <row r="922" spans="1:15" ht="15.95" customHeight="1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</row>
    <row r="923" spans="1:15" ht="15.95" customHeight="1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</row>
    <row r="924" spans="1:15" ht="15.95" customHeight="1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</row>
    <row r="925" spans="1:15" ht="15.95" customHeight="1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</row>
    <row r="926" spans="1:15" ht="15.95" customHeight="1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</row>
    <row r="927" spans="1:15" ht="15.95" customHeight="1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</row>
    <row r="928" spans="1:15" ht="15.95" customHeight="1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</row>
    <row r="929" spans="1:15" ht="15.95" customHeight="1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</row>
    <row r="930" spans="1:15" ht="15.95" customHeight="1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</row>
    <row r="931" spans="1:15" ht="15.95" customHeight="1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</row>
    <row r="932" spans="1:15" ht="15.95" customHeight="1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</row>
    <row r="933" spans="1:15" ht="15.95" customHeight="1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</row>
    <row r="934" spans="1:15" ht="15.95" customHeight="1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</row>
    <row r="935" spans="1:15" ht="15.95" customHeight="1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</row>
    <row r="936" spans="1:15" ht="15.95" customHeight="1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</row>
    <row r="937" spans="1:15" ht="15.95" customHeight="1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</row>
    <row r="938" spans="1:15" ht="15.95" customHeight="1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</row>
    <row r="939" spans="1:15" ht="15.95" customHeight="1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</row>
    <row r="940" spans="1:15" ht="15.95" customHeight="1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</row>
    <row r="941" spans="1:15" ht="15.95" customHeight="1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</row>
    <row r="942" spans="1:15" ht="15.95" customHeight="1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</row>
    <row r="943" spans="1:15" ht="15.95" customHeight="1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</row>
    <row r="944" spans="1:15" ht="15.95" customHeight="1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</row>
    <row r="945" spans="1:15" ht="15.95" customHeight="1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</row>
    <row r="946" spans="1:15" ht="15.95" customHeight="1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</row>
    <row r="947" spans="1:15" ht="15.95" customHeight="1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</row>
    <row r="948" spans="1:15" ht="15.95" customHeight="1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</row>
    <row r="949" spans="1:15" ht="15.95" customHeight="1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</row>
    <row r="950" spans="1:15" ht="15.95" customHeight="1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</row>
    <row r="951" spans="1:15" ht="15.95" customHeight="1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</row>
    <row r="952" spans="1:15" ht="15.95" customHeight="1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</row>
    <row r="953" spans="1:15" ht="15.95" customHeight="1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</row>
    <row r="954" spans="1:15" ht="15.95" customHeight="1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</row>
    <row r="955" spans="1:15" ht="15.95" customHeight="1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</row>
    <row r="956" spans="1:15" ht="15.95" customHeight="1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</row>
    <row r="957" spans="1:15" ht="15.95" customHeight="1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</row>
    <row r="958" spans="1:15" ht="15.95" customHeight="1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</row>
    <row r="959" spans="1:15" ht="15.95" customHeight="1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</row>
    <row r="960" spans="1:15" ht="15.95" customHeight="1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</row>
    <row r="961" spans="1:15" ht="15.95" customHeight="1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</row>
    <row r="962" spans="1:15" ht="15.95" customHeight="1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</row>
    <row r="963" spans="1:15" ht="15.95" customHeight="1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</row>
    <row r="964" spans="1:15" ht="15.95" customHeight="1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</row>
    <row r="965" spans="1:15" ht="15.95" customHeight="1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</row>
    <row r="966" spans="1:15" ht="15.95" customHeight="1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</row>
    <row r="967" spans="1:15" ht="15.95" customHeight="1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</row>
    <row r="968" spans="1:15" ht="15.95" customHeight="1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</row>
    <row r="969" spans="1:15" ht="15.95" customHeight="1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</row>
    <row r="970" spans="1:15" ht="15.95" customHeight="1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</row>
    <row r="971" spans="1:15" ht="15.95" customHeight="1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</row>
    <row r="972" spans="1:15" ht="15.95" customHeight="1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</row>
    <row r="973" spans="1:15" ht="15.95" customHeight="1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</row>
    <row r="974" spans="1:15" ht="15.95" customHeight="1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</row>
    <row r="975" spans="1:15" ht="15.95" customHeight="1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</row>
    <row r="976" spans="1:15" ht="15.95" customHeight="1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</row>
    <row r="977" spans="1:15" ht="15.95" customHeight="1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</row>
    <row r="978" spans="1:15" ht="15.95" customHeight="1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</row>
    <row r="979" spans="1:15" ht="15.95" customHeight="1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</row>
    <row r="980" spans="1:15" ht="15.95" customHeight="1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</row>
    <row r="981" spans="1:15" ht="15.95" customHeight="1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</row>
    <row r="982" spans="1:15" ht="15.95" customHeight="1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</row>
    <row r="983" spans="1:15" ht="15.95" customHeight="1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</row>
    <row r="984" spans="1:15" ht="15.95" customHeight="1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</row>
    <row r="985" spans="1:15" ht="15.95" customHeight="1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</row>
    <row r="986" spans="1:15" ht="15.95" customHeight="1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</row>
    <row r="987" spans="1:15" ht="15.95" customHeight="1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</row>
    <row r="988" spans="1:15" ht="15.95" customHeight="1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</row>
    <row r="989" spans="1:15" ht="15.95" customHeight="1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</row>
    <row r="990" spans="1:15" ht="15.95" customHeight="1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</row>
    <row r="991" spans="1:15" ht="15.95" customHeight="1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</row>
    <row r="992" spans="1:15" ht="15.95" customHeight="1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</row>
    <row r="993" spans="1:15" ht="15.95" customHeight="1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</row>
    <row r="994" spans="1:15" ht="15.95" customHeight="1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</row>
    <row r="995" spans="1:15" ht="15.95" customHeight="1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</row>
    <row r="996" spans="1:15" ht="15.95" customHeight="1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</row>
    <row r="997" spans="1:15" ht="15.95" customHeight="1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</row>
    <row r="998" spans="1:15" ht="15.95" customHeight="1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</row>
    <row r="999" spans="1:15" ht="15.95" customHeight="1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</row>
    <row r="1000" spans="1:15" ht="15.95" customHeight="1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39997558519241921"/>
  </sheetPr>
  <dimension ref="A1:D3"/>
  <sheetViews>
    <sheetView workbookViewId="0">
      <selection activeCell="B5" sqref="B5"/>
    </sheetView>
  </sheetViews>
  <sheetFormatPr defaultRowHeight="15" x14ac:dyDescent="0.25"/>
  <cols>
    <col min="1" max="16384" width="9.140625" style="1"/>
  </cols>
  <sheetData>
    <row r="1" spans="1:4" x14ac:dyDescent="0.25">
      <c r="A1" s="1">
        <v>1</v>
      </c>
      <c r="B1" s="1" t="s">
        <v>2575</v>
      </c>
      <c r="C1" s="1">
        <v>150</v>
      </c>
      <c r="D1" s="1">
        <v>86.7</v>
      </c>
    </row>
    <row r="2" spans="1:4" x14ac:dyDescent="0.25">
      <c r="A2" s="1">
        <v>2</v>
      </c>
      <c r="B2" s="1" t="s">
        <v>2576</v>
      </c>
      <c r="C2" s="1">
        <v>150</v>
      </c>
      <c r="D2" s="1">
        <v>86.7</v>
      </c>
    </row>
    <row r="3" spans="1:4" x14ac:dyDescent="0.25">
      <c r="A3" s="1">
        <v>3</v>
      </c>
      <c r="B3" s="1" t="s">
        <v>2571</v>
      </c>
      <c r="C3" s="1">
        <v>150</v>
      </c>
      <c r="D3" s="1">
        <v>86.7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67"/>
  <sheetViews>
    <sheetView tabSelected="1"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V20" sqref="V20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1" t="s">
        <v>2402</v>
      </c>
      <c r="B1" s="55" t="s">
        <v>2393</v>
      </c>
      <c r="C1" s="55" t="s">
        <v>2394</v>
      </c>
      <c r="D1" s="55" t="s">
        <v>2395</v>
      </c>
      <c r="E1" s="55" t="s">
        <v>2403</v>
      </c>
      <c r="F1" s="55" t="s">
        <v>2404</v>
      </c>
      <c r="G1" s="55" t="s">
        <v>2405</v>
      </c>
      <c r="H1" s="57" t="s">
        <v>2407</v>
      </c>
      <c r="I1" s="58"/>
      <c r="J1" s="60"/>
      <c r="K1" s="57" t="s">
        <v>2398</v>
      </c>
      <c r="L1" s="58"/>
      <c r="M1" s="58"/>
      <c r="N1" s="58"/>
      <c r="O1" s="58"/>
      <c r="P1" s="58"/>
      <c r="Q1" s="60"/>
      <c r="R1" s="55" t="s">
        <v>2406</v>
      </c>
      <c r="S1" s="57" t="s">
        <v>2418</v>
      </c>
      <c r="T1" s="58"/>
      <c r="U1" s="59"/>
    </row>
    <row r="2" spans="1:21" ht="66" x14ac:dyDescent="0.25">
      <c r="A2" s="62"/>
      <c r="B2" s="56"/>
      <c r="C2" s="56"/>
      <c r="D2" s="56"/>
      <c r="E2" s="56"/>
      <c r="F2" s="56"/>
      <c r="G2" s="56"/>
      <c r="H2" s="52" t="s">
        <v>2408</v>
      </c>
      <c r="I2" s="52" t="s">
        <v>2409</v>
      </c>
      <c r="J2" s="52" t="s">
        <v>2410</v>
      </c>
      <c r="K2" s="52" t="s">
        <v>2411</v>
      </c>
      <c r="L2" s="52" t="s">
        <v>2412</v>
      </c>
      <c r="M2" s="52" t="s">
        <v>2413</v>
      </c>
      <c r="N2" s="52" t="s">
        <v>2414</v>
      </c>
      <c r="O2" s="52" t="s">
        <v>2415</v>
      </c>
      <c r="P2" s="52" t="s">
        <v>2416</v>
      </c>
      <c r="Q2" s="52" t="s">
        <v>2417</v>
      </c>
      <c r="R2" s="56"/>
      <c r="S2" s="52" t="s">
        <v>2419</v>
      </c>
      <c r="T2" s="52" t="s">
        <v>2420</v>
      </c>
      <c r="U2" s="51" t="s">
        <v>2421</v>
      </c>
    </row>
    <row r="3" spans="1:21" ht="16.5" x14ac:dyDescent="0.25">
      <c r="A3" s="16" t="str">
        <f t="shared" ref="A3:A6" si="0">A4</f>
        <v>Пм1.1</v>
      </c>
      <c r="B3" s="17" t="s">
        <v>2422</v>
      </c>
      <c r="C3" s="17" t="s">
        <v>2423</v>
      </c>
      <c r="D3" s="17" t="s">
        <v>2446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8"/>
    </row>
    <row r="4" spans="1:21" ht="16.5" x14ac:dyDescent="0.25">
      <c r="A4" s="16" t="str">
        <f t="shared" si="0"/>
        <v>Пм1.1</v>
      </c>
      <c r="B4" s="17" t="s">
        <v>2422</v>
      </c>
      <c r="C4" s="17"/>
      <c r="D4" s="17" t="s">
        <v>2494</v>
      </c>
      <c r="E4" s="17">
        <f>Сумма_ПоИД(A4,'Из архикада_плиты'!$A$1:$G$500,1,5)</f>
        <v>391928.3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8"/>
    </row>
    <row r="5" spans="1:21" ht="16.5" x14ac:dyDescent="0.25">
      <c r="A5" s="16" t="str">
        <f t="shared" si="0"/>
        <v>Пм1.1</v>
      </c>
      <c r="B5" s="17" t="s">
        <v>2422</v>
      </c>
      <c r="C5" s="17"/>
      <c r="D5" s="17" t="s">
        <v>2495</v>
      </c>
      <c r="E5" s="17">
        <f>Сумма_ПоИД(A5,'Из архикада_плиты'!$A$1:$G$500,1,4)*1000*1000</f>
        <v>2333110000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8"/>
    </row>
    <row r="6" spans="1:21" ht="16.5" x14ac:dyDescent="0.25">
      <c r="A6" s="16" t="str">
        <f t="shared" si="0"/>
        <v>Пм1.1</v>
      </c>
      <c r="B6" s="17" t="s">
        <v>2422</v>
      </c>
      <c r="C6" s="17"/>
      <c r="D6" s="17" t="s">
        <v>2497</v>
      </c>
      <c r="E6" s="17">
        <f>VLOOKUP(A6,'Из архикада_плиты'!$A$1:$G$500,3)</f>
        <v>250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8"/>
    </row>
    <row r="7" spans="1:21" ht="16.5" x14ac:dyDescent="0.25">
      <c r="A7" s="16" t="str">
        <f>A14</f>
        <v>Пм1.1</v>
      </c>
      <c r="B7" s="17" t="s">
        <v>2422</v>
      </c>
      <c r="C7" s="17"/>
      <c r="D7" s="17" t="s">
        <v>2511</v>
      </c>
      <c r="E7" s="17">
        <f>Сумма_ПоИД(A7,'Из архикада_плиты'!$A$1:$G$500,1,6)</f>
        <v>583.30999999999995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8"/>
    </row>
    <row r="8" spans="1:21" ht="16.5" x14ac:dyDescent="0.25">
      <c r="A8" s="16" t="str">
        <f>A15</f>
        <v>Пм1.1</v>
      </c>
      <c r="B8" s="17" t="s">
        <v>2422</v>
      </c>
      <c r="C8" s="17"/>
      <c r="D8" s="17" t="s">
        <v>2510</v>
      </c>
      <c r="E8" s="17">
        <v>30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8"/>
    </row>
    <row r="9" spans="1:21" ht="16.5" x14ac:dyDescent="0.25">
      <c r="A9" s="16" t="str">
        <f>A15</f>
        <v>Пм1.1</v>
      </c>
      <c r="B9" s="17" t="s">
        <v>2422</v>
      </c>
      <c r="C9" s="17"/>
      <c r="D9" s="17" t="s">
        <v>2498</v>
      </c>
      <c r="E9" s="17">
        <v>200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8"/>
    </row>
    <row r="10" spans="1:21" ht="16.5" x14ac:dyDescent="0.25">
      <c r="A10" s="16" t="str">
        <f>A16</f>
        <v>Пм1.1</v>
      </c>
      <c r="B10" s="17" t="s">
        <v>2422</v>
      </c>
      <c r="C10" s="17"/>
      <c r="D10" s="17" t="s">
        <v>2499</v>
      </c>
      <c r="E10" s="17">
        <f>E9</f>
        <v>200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8"/>
    </row>
    <row r="11" spans="1:21" ht="16.5" x14ac:dyDescent="0.25">
      <c r="A11" s="16" t="str">
        <f>A17</f>
        <v>Пм1.1</v>
      </c>
      <c r="B11" s="17" t="s">
        <v>2422</v>
      </c>
      <c r="C11" s="17"/>
      <c r="D11" s="17" t="s">
        <v>2500</v>
      </c>
      <c r="E11" s="17">
        <f t="shared" ref="E11:E12" si="1">E10</f>
        <v>200</v>
      </c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16.5" x14ac:dyDescent="0.25">
      <c r="A12" s="16" t="str">
        <f>A18</f>
        <v>Пм1.1</v>
      </c>
      <c r="B12" s="17" t="s">
        <v>2422</v>
      </c>
      <c r="C12" s="17"/>
      <c r="D12" s="17" t="s">
        <v>2501</v>
      </c>
      <c r="E12" s="17">
        <f t="shared" si="1"/>
        <v>200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33" x14ac:dyDescent="0.25">
      <c r="A13" s="16" t="str">
        <f>A19</f>
        <v>Пм1.1</v>
      </c>
      <c r="B13" s="17" t="s">
        <v>2422</v>
      </c>
      <c r="C13" s="17"/>
      <c r="D13" s="17" t="s">
        <v>2512</v>
      </c>
      <c r="E13" s="17">
        <f>E9</f>
        <v>200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8"/>
    </row>
    <row r="14" spans="1:21" ht="16.5" x14ac:dyDescent="0.25">
      <c r="A14" s="19" t="str">
        <f>B14</f>
        <v>Пм1.1</v>
      </c>
      <c r="B14" s="20" t="s">
        <v>2481</v>
      </c>
      <c r="C14" s="20" t="s">
        <v>2496</v>
      </c>
      <c r="D14" s="20" t="str">
        <f>CONCATENATE("Плита монолитная ",B14)</f>
        <v>Плита монолитная Пм1.1</v>
      </c>
      <c r="E14" s="20">
        <v>1</v>
      </c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1"/>
    </row>
    <row r="15" spans="1:21" ht="16.5" x14ac:dyDescent="0.25">
      <c r="A15" s="50" t="str">
        <f t="shared" ref="A15:A21" si="2">A14</f>
        <v>Пм1.1</v>
      </c>
      <c r="B15" s="52">
        <v>1</v>
      </c>
      <c r="C15" s="52" t="s">
        <v>2396</v>
      </c>
      <c r="D15" s="52" t="s">
        <v>2502</v>
      </c>
      <c r="E15" s="52">
        <v>1</v>
      </c>
      <c r="F15" s="17">
        <v>0.88800000000000001</v>
      </c>
      <c r="G15" s="52" t="s">
        <v>2361</v>
      </c>
      <c r="H15" s="52">
        <f>Арм_ПоПлощади(E5,E9,T15)</f>
        <v>12315060</v>
      </c>
      <c r="I15" s="52">
        <v>12</v>
      </c>
      <c r="J15" s="52" t="s">
        <v>2</v>
      </c>
      <c r="K15" s="52"/>
      <c r="L15" s="52"/>
      <c r="M15" s="52"/>
      <c r="N15" s="52"/>
      <c r="O15" s="52"/>
      <c r="P15" s="52"/>
      <c r="Q15" s="52"/>
      <c r="R15" s="52"/>
      <c r="S15" s="52">
        <v>500</v>
      </c>
      <c r="T15" s="52">
        <v>600</v>
      </c>
      <c r="U15" s="51">
        <v>30</v>
      </c>
    </row>
    <row r="16" spans="1:21" ht="16.5" x14ac:dyDescent="0.25">
      <c r="A16" s="50" t="str">
        <f t="shared" si="2"/>
        <v>Пм1.1</v>
      </c>
      <c r="B16" s="52">
        <v>1</v>
      </c>
      <c r="C16" s="52" t="s">
        <v>2396</v>
      </c>
      <c r="D16" s="52" t="s">
        <v>2503</v>
      </c>
      <c r="E16" s="52">
        <v>1</v>
      </c>
      <c r="F16" s="17">
        <v>0.88800000000000001</v>
      </c>
      <c r="G16" s="52" t="s">
        <v>2361</v>
      </c>
      <c r="H16" s="52">
        <f>Арм_ПоПлощади(E5,E10,T16)</f>
        <v>12315060</v>
      </c>
      <c r="I16" s="52">
        <v>12</v>
      </c>
      <c r="J16" s="52" t="s">
        <v>2</v>
      </c>
      <c r="K16" s="52"/>
      <c r="L16" s="52"/>
      <c r="M16" s="52"/>
      <c r="N16" s="52"/>
      <c r="O16" s="52"/>
      <c r="P16" s="52"/>
      <c r="Q16" s="52"/>
      <c r="R16" s="52"/>
      <c r="S16" s="52">
        <v>500</v>
      </c>
      <c r="T16" s="52">
        <v>600</v>
      </c>
      <c r="U16" s="51">
        <v>30</v>
      </c>
    </row>
    <row r="17" spans="1:21" ht="16.5" x14ac:dyDescent="0.25">
      <c r="A17" s="50" t="str">
        <f t="shared" si="2"/>
        <v>Пм1.1</v>
      </c>
      <c r="B17" s="52">
        <v>3</v>
      </c>
      <c r="C17" s="52" t="s">
        <v>2396</v>
      </c>
      <c r="D17" s="52" t="s">
        <v>2504</v>
      </c>
      <c r="E17" s="52">
        <v>1</v>
      </c>
      <c r="F17" s="17">
        <v>0.88800000000000001</v>
      </c>
      <c r="G17" s="52" t="s">
        <v>2361</v>
      </c>
      <c r="H17" s="52">
        <f>Арм_ПоПлощади(E5,E11,T17)</f>
        <v>12315060</v>
      </c>
      <c r="I17" s="52">
        <v>12</v>
      </c>
      <c r="J17" s="52" t="s">
        <v>2</v>
      </c>
      <c r="K17" s="52"/>
      <c r="L17" s="52"/>
      <c r="M17" s="52"/>
      <c r="N17" s="52"/>
      <c r="O17" s="52"/>
      <c r="P17" s="52"/>
      <c r="Q17" s="52"/>
      <c r="R17" s="52"/>
      <c r="S17" s="52">
        <v>500</v>
      </c>
      <c r="T17" s="52">
        <v>600</v>
      </c>
      <c r="U17" s="51">
        <v>30</v>
      </c>
    </row>
    <row r="18" spans="1:21" ht="16.5" x14ac:dyDescent="0.25">
      <c r="A18" s="50" t="str">
        <f t="shared" si="2"/>
        <v>Пм1.1</v>
      </c>
      <c r="B18" s="52">
        <v>3</v>
      </c>
      <c r="C18" s="52" t="s">
        <v>2396</v>
      </c>
      <c r="D18" s="52" t="s">
        <v>2505</v>
      </c>
      <c r="E18" s="52">
        <v>1</v>
      </c>
      <c r="F18" s="17">
        <v>0.88800000000000001</v>
      </c>
      <c r="G18" s="52" t="s">
        <v>2361</v>
      </c>
      <c r="H18" s="52">
        <f>Арм_ПоПлощади(E5,E12,T18)</f>
        <v>12315060</v>
      </c>
      <c r="I18" s="52">
        <v>12</v>
      </c>
      <c r="J18" s="52" t="s">
        <v>2</v>
      </c>
      <c r="K18" s="52"/>
      <c r="L18" s="52"/>
      <c r="M18" s="52"/>
      <c r="N18" s="52"/>
      <c r="O18" s="52"/>
      <c r="P18" s="52"/>
      <c r="Q18" s="52"/>
      <c r="R18" s="52"/>
      <c r="S18" s="52">
        <v>500</v>
      </c>
      <c r="T18" s="52">
        <v>600</v>
      </c>
      <c r="U18" s="51">
        <v>30</v>
      </c>
    </row>
    <row r="19" spans="1:21" ht="16.5" x14ac:dyDescent="0.25">
      <c r="A19" s="16" t="str">
        <f t="shared" si="2"/>
        <v>Пм1.1</v>
      </c>
      <c r="B19" s="17">
        <v>2</v>
      </c>
      <c r="C19" s="17" t="s">
        <v>2396</v>
      </c>
      <c r="D19" s="17" t="s">
        <v>2509</v>
      </c>
      <c r="E19" s="17" t="e">
        <f>ROUNDUP(E4/E13,0)+kj</f>
        <v>#NAME?</v>
      </c>
      <c r="F19" s="17">
        <v>0.88800000000000001</v>
      </c>
      <c r="G19" s="17"/>
      <c r="H19" s="17">
        <f>Арм_Элемент_П(S19,E6-E8-E8,I19,J19)</f>
        <v>1160</v>
      </c>
      <c r="I19" s="17">
        <v>12</v>
      </c>
      <c r="J19" s="17" t="s">
        <v>2</v>
      </c>
      <c r="K19" s="17"/>
      <c r="L19" s="17"/>
      <c r="M19" s="17"/>
      <c r="N19" s="17"/>
      <c r="O19" s="17"/>
      <c r="P19" s="17"/>
      <c r="Q19" s="17"/>
      <c r="R19" s="17"/>
      <c r="S19" s="17">
        <v>500</v>
      </c>
      <c r="T19" s="17">
        <v>600</v>
      </c>
      <c r="U19" s="18">
        <v>30</v>
      </c>
    </row>
    <row r="20" spans="1:21" ht="33" x14ac:dyDescent="0.25">
      <c r="A20" s="50" t="str">
        <f t="shared" si="2"/>
        <v>Пм1.1</v>
      </c>
      <c r="B20" s="52" t="str">
        <f>Изделия_спец.И!B3</f>
        <v>Кп25</v>
      </c>
      <c r="C20" s="52" t="str">
        <f>Изделия_спец.И!C3</f>
        <v>данный лист</v>
      </c>
      <c r="D20" s="52" t="str">
        <f>Изделия_спец.И!D3</f>
        <v>Каркас поддерживающий Кп25</v>
      </c>
      <c r="E20" s="52">
        <f>Изделия_спец.И!E3</f>
        <v>0</v>
      </c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1"/>
    </row>
    <row r="21" spans="1:21" ht="16.5" x14ac:dyDescent="0.25">
      <c r="A21" s="50" t="str">
        <f t="shared" si="2"/>
        <v>Пм1.1</v>
      </c>
      <c r="B21" s="52"/>
      <c r="C21" s="37"/>
      <c r="D21" s="22" t="s">
        <v>2446</v>
      </c>
      <c r="E21" s="22">
        <f>E7</f>
        <v>583.30999999999995</v>
      </c>
      <c r="F21" s="22" t="s">
        <v>4</v>
      </c>
      <c r="G21" s="22" t="s">
        <v>3</v>
      </c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1"/>
    </row>
    <row r="22" spans="1:21" ht="16.5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ht="16.5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6.5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</row>
    <row r="25" spans="1:21" ht="16.5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</row>
    <row r="26" spans="1:21" ht="16.5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</row>
    <row r="27" spans="1:21" ht="16.5" x14ac:dyDescent="0.25">
      <c r="A27" s="16" t="str">
        <f t="shared" ref="A27:A30" si="3">A28</f>
        <v>Пм1.3</v>
      </c>
      <c r="B27" s="17" t="s">
        <v>2422</v>
      </c>
      <c r="C27" s="17" t="s">
        <v>2423</v>
      </c>
      <c r="D27" s="17" t="s">
        <v>2446</v>
      </c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8"/>
    </row>
    <row r="28" spans="1:21" ht="16.5" x14ac:dyDescent="0.25">
      <c r="A28" s="16" t="str">
        <f t="shared" si="3"/>
        <v>Пм1.3</v>
      </c>
      <c r="B28" s="17" t="s">
        <v>2422</v>
      </c>
      <c r="C28" s="17"/>
      <c r="D28" s="17" t="s">
        <v>2494</v>
      </c>
      <c r="E28" s="17">
        <f>Сумма_ПоИД(A28,'Из архикада_плиты'!$A$1:$G$500,1,5)</f>
        <v>25800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8"/>
    </row>
    <row r="29" spans="1:21" ht="16.5" x14ac:dyDescent="0.25">
      <c r="A29" s="16" t="str">
        <f t="shared" si="3"/>
        <v>Пм1.3</v>
      </c>
      <c r="B29" s="17" t="s">
        <v>2422</v>
      </c>
      <c r="C29" s="17"/>
      <c r="D29" s="17" t="s">
        <v>2495</v>
      </c>
      <c r="E29" s="17">
        <f>Сумма_ПоИД(A29,'Из архикада_плиты'!$A$1:$G$500,1,4)*1000*1000</f>
        <v>21010000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8"/>
    </row>
    <row r="30" spans="1:21" ht="16.5" x14ac:dyDescent="0.25">
      <c r="A30" s="16" t="str">
        <f t="shared" si="3"/>
        <v>Пм1.3</v>
      </c>
      <c r="B30" s="17" t="s">
        <v>2422</v>
      </c>
      <c r="C30" s="17"/>
      <c r="D30" s="17" t="s">
        <v>2497</v>
      </c>
      <c r="E30" s="17">
        <f>VLOOKUP(A30,'Из архикада_плиты'!$A$1:$G$500,3)</f>
        <v>500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8"/>
    </row>
    <row r="31" spans="1:21" ht="16.5" x14ac:dyDescent="0.25">
      <c r="A31" s="16" t="str">
        <f>A38</f>
        <v>Пм1.3</v>
      </c>
      <c r="B31" s="17" t="s">
        <v>2422</v>
      </c>
      <c r="C31" s="17"/>
      <c r="D31" s="17" t="s">
        <v>2511</v>
      </c>
      <c r="E31" s="17">
        <f>Сумма_ПоИД(A31,'Из архикада_плиты'!$A$1:$G$500,1,6)</f>
        <v>8.69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2" spans="1:21" ht="16.5" x14ac:dyDescent="0.25">
      <c r="A32" s="16" t="str">
        <f>A39</f>
        <v>Пм1.3</v>
      </c>
      <c r="B32" s="17" t="s">
        <v>2422</v>
      </c>
      <c r="C32" s="17"/>
      <c r="D32" s="17" t="s">
        <v>2510</v>
      </c>
      <c r="E32" s="17">
        <v>30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8"/>
    </row>
    <row r="33" spans="1:21" ht="16.5" x14ac:dyDescent="0.25">
      <c r="A33" s="16" t="str">
        <f>A39</f>
        <v>Пм1.3</v>
      </c>
      <c r="B33" s="17" t="s">
        <v>2422</v>
      </c>
      <c r="C33" s="17"/>
      <c r="D33" s="17" t="s">
        <v>2498</v>
      </c>
      <c r="E33" s="17">
        <v>200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8"/>
    </row>
    <row r="34" spans="1:21" ht="16.5" x14ac:dyDescent="0.25">
      <c r="A34" s="16" t="str">
        <f>A40</f>
        <v>Пм1.3</v>
      </c>
      <c r="B34" s="17" t="s">
        <v>2422</v>
      </c>
      <c r="C34" s="17"/>
      <c r="D34" s="17" t="s">
        <v>2499</v>
      </c>
      <c r="E34" s="17">
        <f>E33</f>
        <v>200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8"/>
    </row>
    <row r="35" spans="1:21" ht="16.5" x14ac:dyDescent="0.25">
      <c r="A35" s="16" t="str">
        <f>A41</f>
        <v>Пм1.3</v>
      </c>
      <c r="B35" s="17" t="s">
        <v>2422</v>
      </c>
      <c r="C35" s="17"/>
      <c r="D35" s="17" t="s">
        <v>2500</v>
      </c>
      <c r="E35" s="17">
        <f t="shared" ref="E35:E36" si="4">E34</f>
        <v>200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8"/>
    </row>
    <row r="36" spans="1:21" ht="16.5" x14ac:dyDescent="0.25">
      <c r="A36" s="16" t="str">
        <f>A42</f>
        <v>Пм1.3</v>
      </c>
      <c r="B36" s="17" t="s">
        <v>2422</v>
      </c>
      <c r="C36" s="17"/>
      <c r="D36" s="17" t="s">
        <v>2501</v>
      </c>
      <c r="E36" s="17">
        <f t="shared" si="4"/>
        <v>200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8"/>
    </row>
    <row r="37" spans="1:21" ht="33" x14ac:dyDescent="0.25">
      <c r="A37" s="16" t="str">
        <f>A43</f>
        <v>Пм1.3</v>
      </c>
      <c r="B37" s="17" t="s">
        <v>2422</v>
      </c>
      <c r="C37" s="17"/>
      <c r="D37" s="17" t="s">
        <v>2512</v>
      </c>
      <c r="E37" s="17">
        <f>E33</f>
        <v>200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8"/>
    </row>
    <row r="38" spans="1:21" ht="16.5" x14ac:dyDescent="0.25">
      <c r="A38" s="19" t="str">
        <f>B38</f>
        <v>Пм1.3</v>
      </c>
      <c r="B38" s="20" t="s">
        <v>2482</v>
      </c>
      <c r="C38" s="20" t="s">
        <v>2496</v>
      </c>
      <c r="D38" s="20" t="str">
        <f>CONCATENATE("Плита монолитная ",B38)</f>
        <v>Плита монолитная Пм1.3</v>
      </c>
      <c r="E38" s="20">
        <v>1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1"/>
    </row>
    <row r="39" spans="1:21" ht="16.5" x14ac:dyDescent="0.25">
      <c r="A39" s="50" t="str">
        <f t="shared" ref="A39:A44" si="5">A38</f>
        <v>Пм1.3</v>
      </c>
      <c r="B39" s="52">
        <v>1</v>
      </c>
      <c r="C39" s="52" t="s">
        <v>2396</v>
      </c>
      <c r="D39" s="52" t="s">
        <v>2502</v>
      </c>
      <c r="E39" s="52">
        <v>1</v>
      </c>
      <c r="F39" s="17">
        <v>0.88800000000000001</v>
      </c>
      <c r="G39" s="52" t="s">
        <v>2361</v>
      </c>
      <c r="H39" s="52">
        <f>Арм_ПоПлощади(E29,E33,T39)</f>
        <v>115640</v>
      </c>
      <c r="I39" s="52">
        <v>12</v>
      </c>
      <c r="J39" s="52" t="s">
        <v>2</v>
      </c>
      <c r="K39" s="52"/>
      <c r="L39" s="52"/>
      <c r="M39" s="52"/>
      <c r="N39" s="52"/>
      <c r="O39" s="52"/>
      <c r="P39" s="52"/>
      <c r="Q39" s="52"/>
      <c r="R39" s="52"/>
      <c r="S39" s="52">
        <v>500</v>
      </c>
      <c r="T39" s="52">
        <v>600</v>
      </c>
      <c r="U39" s="51">
        <v>30</v>
      </c>
    </row>
    <row r="40" spans="1:21" ht="16.5" x14ac:dyDescent="0.25">
      <c r="A40" s="50" t="str">
        <f t="shared" si="5"/>
        <v>Пм1.3</v>
      </c>
      <c r="B40" s="52">
        <v>1</v>
      </c>
      <c r="C40" s="52" t="s">
        <v>2396</v>
      </c>
      <c r="D40" s="52" t="s">
        <v>2503</v>
      </c>
      <c r="E40" s="52">
        <v>1</v>
      </c>
      <c r="F40" s="17">
        <v>0.88800000000000001</v>
      </c>
      <c r="G40" s="52" t="s">
        <v>2361</v>
      </c>
      <c r="H40" s="52">
        <f>Арм_ПоПлощади(E29,E34,T40)</f>
        <v>115640</v>
      </c>
      <c r="I40" s="52">
        <v>12</v>
      </c>
      <c r="J40" s="52" t="s">
        <v>2</v>
      </c>
      <c r="K40" s="52"/>
      <c r="L40" s="52"/>
      <c r="M40" s="52"/>
      <c r="N40" s="52"/>
      <c r="O40" s="52"/>
      <c r="P40" s="52"/>
      <c r="Q40" s="52"/>
      <c r="R40" s="52"/>
      <c r="S40" s="52">
        <v>500</v>
      </c>
      <c r="T40" s="52">
        <v>600</v>
      </c>
      <c r="U40" s="51">
        <v>30</v>
      </c>
    </row>
    <row r="41" spans="1:21" ht="16.5" x14ac:dyDescent="0.25">
      <c r="A41" s="50" t="str">
        <f t="shared" si="5"/>
        <v>Пм1.3</v>
      </c>
      <c r="B41" s="52">
        <v>3</v>
      </c>
      <c r="C41" s="52" t="s">
        <v>2396</v>
      </c>
      <c r="D41" s="52" t="s">
        <v>2504</v>
      </c>
      <c r="E41" s="52">
        <v>1</v>
      </c>
      <c r="F41" s="17">
        <v>0.88800000000000001</v>
      </c>
      <c r="G41" s="52" t="s">
        <v>2361</v>
      </c>
      <c r="H41" s="52">
        <f>Арм_ПоПлощади(E29,E35,T41)</f>
        <v>115640</v>
      </c>
      <c r="I41" s="52">
        <v>12</v>
      </c>
      <c r="J41" s="52" t="s">
        <v>2</v>
      </c>
      <c r="K41" s="52"/>
      <c r="L41" s="52"/>
      <c r="M41" s="52"/>
      <c r="N41" s="52"/>
      <c r="O41" s="52"/>
      <c r="P41" s="52"/>
      <c r="Q41" s="52"/>
      <c r="R41" s="52"/>
      <c r="S41" s="52">
        <v>500</v>
      </c>
      <c r="T41" s="52">
        <v>600</v>
      </c>
      <c r="U41" s="51">
        <v>30</v>
      </c>
    </row>
    <row r="42" spans="1:21" ht="16.5" x14ac:dyDescent="0.25">
      <c r="A42" s="50" t="str">
        <f t="shared" si="5"/>
        <v>Пм1.3</v>
      </c>
      <c r="B42" s="52">
        <v>3</v>
      </c>
      <c r="C42" s="52" t="s">
        <v>2396</v>
      </c>
      <c r="D42" s="52" t="s">
        <v>2505</v>
      </c>
      <c r="E42" s="52">
        <v>1</v>
      </c>
      <c r="F42" s="17">
        <v>0.88800000000000001</v>
      </c>
      <c r="G42" s="52" t="s">
        <v>2361</v>
      </c>
      <c r="H42" s="52">
        <f>Арм_ПоПлощади(E29,E36,T42)</f>
        <v>115640</v>
      </c>
      <c r="I42" s="52">
        <v>12</v>
      </c>
      <c r="J42" s="52" t="s">
        <v>2</v>
      </c>
      <c r="K42" s="52"/>
      <c r="L42" s="52"/>
      <c r="M42" s="52"/>
      <c r="N42" s="52"/>
      <c r="O42" s="52"/>
      <c r="P42" s="52"/>
      <c r="Q42" s="52"/>
      <c r="R42" s="52"/>
      <c r="S42" s="52">
        <v>500</v>
      </c>
      <c r="T42" s="52">
        <v>600</v>
      </c>
      <c r="U42" s="51">
        <v>30</v>
      </c>
    </row>
    <row r="43" spans="1:21" ht="16.5" x14ac:dyDescent="0.25">
      <c r="A43" s="50" t="str">
        <f t="shared" si="5"/>
        <v>Пм1.3</v>
      </c>
      <c r="B43" s="52">
        <v>2</v>
      </c>
      <c r="C43" s="52" t="s">
        <v>2396</v>
      </c>
      <c r="D43" s="52" t="s">
        <v>2509</v>
      </c>
      <c r="E43" s="52">
        <f>ROUNDUP(E28/E37,0)</f>
        <v>129</v>
      </c>
      <c r="F43" s="17">
        <v>0.88800000000000001</v>
      </c>
      <c r="G43" s="52"/>
      <c r="H43" s="52">
        <f>Арм_Элемент_П(S43,E30-E32-E32,I43,J43)</f>
        <v>1410</v>
      </c>
      <c r="I43" s="52">
        <v>12</v>
      </c>
      <c r="J43" s="52" t="s">
        <v>2</v>
      </c>
      <c r="K43" s="52"/>
      <c r="L43" s="52"/>
      <c r="M43" s="52"/>
      <c r="N43" s="52"/>
      <c r="O43" s="52"/>
      <c r="P43" s="52"/>
      <c r="Q43" s="52"/>
      <c r="R43" s="52"/>
      <c r="S43" s="52">
        <v>500</v>
      </c>
      <c r="T43" s="52">
        <v>600</v>
      </c>
      <c r="U43" s="51">
        <v>30</v>
      </c>
    </row>
    <row r="44" spans="1:21" ht="16.5" x14ac:dyDescent="0.25">
      <c r="A44" s="50" t="str">
        <f t="shared" si="5"/>
        <v>Пм1.3</v>
      </c>
      <c r="B44" s="52"/>
      <c r="C44" s="37"/>
      <c r="D44" s="22" t="s">
        <v>2446</v>
      </c>
      <c r="E44" s="22">
        <f>E31</f>
        <v>8.69</v>
      </c>
      <c r="F44" s="22" t="s">
        <v>4</v>
      </c>
      <c r="G44" s="22" t="s">
        <v>3</v>
      </c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1"/>
    </row>
    <row r="45" spans="1:21" ht="16.5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6.5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</row>
    <row r="47" spans="1:21" ht="16.5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</row>
    <row r="48" spans="1:21" ht="16.5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</row>
    <row r="49" spans="1:21" ht="16.5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</row>
    <row r="50" spans="1:21" ht="16.5" x14ac:dyDescent="0.25">
      <c r="A50" s="16" t="str">
        <f t="shared" ref="A50:A53" si="6">A51</f>
        <v>Пм2.1</v>
      </c>
      <c r="B50" s="17" t="s">
        <v>2422</v>
      </c>
      <c r="C50" s="17" t="s">
        <v>2423</v>
      </c>
      <c r="D50" s="17" t="s">
        <v>2446</v>
      </c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8"/>
    </row>
    <row r="51" spans="1:21" ht="16.5" x14ac:dyDescent="0.25">
      <c r="A51" s="16" t="str">
        <f t="shared" si="6"/>
        <v>Пм2.1</v>
      </c>
      <c r="B51" s="17" t="s">
        <v>2422</v>
      </c>
      <c r="C51" s="17"/>
      <c r="D51" s="17" t="s">
        <v>2494</v>
      </c>
      <c r="E51" s="17">
        <f>Сумма_ПоИД(A51,'Из архикада_плиты'!$A$1:$G$500,1,5)</f>
        <v>522494.9</v>
      </c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8"/>
    </row>
    <row r="52" spans="1:21" ht="16.5" x14ac:dyDescent="0.25">
      <c r="A52" s="16" t="str">
        <f t="shared" si="6"/>
        <v>Пм2.1</v>
      </c>
      <c r="B52" s="17" t="s">
        <v>2422</v>
      </c>
      <c r="C52" s="17"/>
      <c r="D52" s="17" t="s">
        <v>2495</v>
      </c>
      <c r="E52" s="17">
        <f>Сумма_ПоИД(A52,'Из архикада_плиты'!$A$1:$G$500,1,4)*1000*1000</f>
        <v>2342359999.9999995</v>
      </c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8"/>
    </row>
    <row r="53" spans="1:21" ht="16.5" x14ac:dyDescent="0.25">
      <c r="A53" s="16" t="str">
        <f t="shared" si="6"/>
        <v>Пм2.1</v>
      </c>
      <c r="B53" s="17" t="s">
        <v>2422</v>
      </c>
      <c r="C53" s="17"/>
      <c r="D53" s="17" t="s">
        <v>2497</v>
      </c>
      <c r="E53" s="17">
        <f>VLOOKUP(A53,'Из архикада_плиты'!$A$1:$G$500,3)</f>
        <v>250</v>
      </c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8"/>
    </row>
    <row r="54" spans="1:21" ht="16.5" x14ac:dyDescent="0.25">
      <c r="A54" s="16" t="str">
        <f>A61</f>
        <v>Пм2.1</v>
      </c>
      <c r="B54" s="17" t="s">
        <v>2422</v>
      </c>
      <c r="C54" s="17"/>
      <c r="D54" s="17" t="s">
        <v>2511</v>
      </c>
      <c r="E54" s="17">
        <f>Сумма_ПоИД(A54,'Из архикада_плиты'!$A$1:$G$500,1,6)</f>
        <v>585.66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8"/>
    </row>
    <row r="55" spans="1:21" ht="16.5" x14ac:dyDescent="0.25">
      <c r="A55" s="16" t="str">
        <f>A62</f>
        <v>Пм2.1</v>
      </c>
      <c r="B55" s="17" t="s">
        <v>2422</v>
      </c>
      <c r="C55" s="17"/>
      <c r="D55" s="17" t="s">
        <v>2510</v>
      </c>
      <c r="E55" s="17">
        <v>30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8"/>
    </row>
    <row r="56" spans="1:21" ht="16.5" x14ac:dyDescent="0.25">
      <c r="A56" s="16" t="str">
        <f>A62</f>
        <v>Пм2.1</v>
      </c>
      <c r="B56" s="17" t="s">
        <v>2422</v>
      </c>
      <c r="C56" s="17"/>
      <c r="D56" s="17" t="s">
        <v>2498</v>
      </c>
      <c r="E56" s="17">
        <v>200</v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8"/>
    </row>
    <row r="57" spans="1:21" ht="16.5" x14ac:dyDescent="0.25">
      <c r="A57" s="16" t="str">
        <f>A63</f>
        <v>Пм2.1</v>
      </c>
      <c r="B57" s="17" t="s">
        <v>2422</v>
      </c>
      <c r="C57" s="17"/>
      <c r="D57" s="17" t="s">
        <v>2499</v>
      </c>
      <c r="E57" s="17">
        <f>E56</f>
        <v>200</v>
      </c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8"/>
    </row>
    <row r="58" spans="1:21" ht="16.5" x14ac:dyDescent="0.25">
      <c r="A58" s="16" t="str">
        <f>A64</f>
        <v>Пм2.1</v>
      </c>
      <c r="B58" s="17" t="s">
        <v>2422</v>
      </c>
      <c r="C58" s="17"/>
      <c r="D58" s="17" t="s">
        <v>2500</v>
      </c>
      <c r="E58" s="17">
        <f t="shared" ref="E58:E59" si="7">E57</f>
        <v>200</v>
      </c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8"/>
    </row>
    <row r="59" spans="1:21" ht="16.5" x14ac:dyDescent="0.25">
      <c r="A59" s="16" t="str">
        <f>A65</f>
        <v>Пм2.1</v>
      </c>
      <c r="B59" s="17" t="s">
        <v>2422</v>
      </c>
      <c r="C59" s="17"/>
      <c r="D59" s="17" t="s">
        <v>2501</v>
      </c>
      <c r="E59" s="17">
        <f t="shared" si="7"/>
        <v>200</v>
      </c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8"/>
    </row>
    <row r="60" spans="1:21" ht="33" x14ac:dyDescent="0.25">
      <c r="A60" s="16" t="str">
        <f>A66</f>
        <v>Пм2.1</v>
      </c>
      <c r="B60" s="17" t="s">
        <v>2422</v>
      </c>
      <c r="C60" s="17"/>
      <c r="D60" s="17" t="s">
        <v>2512</v>
      </c>
      <c r="E60" s="17">
        <f>E56</f>
        <v>200</v>
      </c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8"/>
    </row>
    <row r="61" spans="1:21" ht="16.5" x14ac:dyDescent="0.25">
      <c r="A61" s="19" t="str">
        <f>B61</f>
        <v>Пм2.1</v>
      </c>
      <c r="B61" s="20" t="s">
        <v>2483</v>
      </c>
      <c r="C61" s="20" t="s">
        <v>2496</v>
      </c>
      <c r="D61" s="20" t="str">
        <f>CONCATENATE("Плита монолитная ",B61)</f>
        <v>Плита монолитная Пм2.1</v>
      </c>
      <c r="E61" s="20">
        <v>1</v>
      </c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1"/>
    </row>
    <row r="62" spans="1:21" ht="16.5" x14ac:dyDescent="0.25">
      <c r="A62" s="50" t="str">
        <f t="shared" ref="A62:A67" si="8">A61</f>
        <v>Пм2.1</v>
      </c>
      <c r="B62" s="52">
        <v>1</v>
      </c>
      <c r="C62" s="52" t="s">
        <v>2396</v>
      </c>
      <c r="D62" s="52" t="s">
        <v>2502</v>
      </c>
      <c r="E62" s="52">
        <v>1</v>
      </c>
      <c r="F62" s="17">
        <v>0.88800000000000001</v>
      </c>
      <c r="G62" s="52" t="s">
        <v>2361</v>
      </c>
      <c r="H62" s="52">
        <f>Арм_ПоПлощади(E52,E56,T62)</f>
        <v>12363800</v>
      </c>
      <c r="I62" s="52">
        <v>12</v>
      </c>
      <c r="J62" s="52" t="s">
        <v>2</v>
      </c>
      <c r="K62" s="52"/>
      <c r="L62" s="52"/>
      <c r="M62" s="52"/>
      <c r="N62" s="52"/>
      <c r="O62" s="52"/>
      <c r="P62" s="52"/>
      <c r="Q62" s="52"/>
      <c r="R62" s="52"/>
      <c r="S62" s="52">
        <v>500</v>
      </c>
      <c r="T62" s="52">
        <v>600</v>
      </c>
      <c r="U62" s="51">
        <v>30</v>
      </c>
    </row>
    <row r="63" spans="1:21" ht="16.5" x14ac:dyDescent="0.25">
      <c r="A63" s="50" t="str">
        <f t="shared" si="8"/>
        <v>Пм2.1</v>
      </c>
      <c r="B63" s="52">
        <v>1</v>
      </c>
      <c r="C63" s="52" t="s">
        <v>2396</v>
      </c>
      <c r="D63" s="52" t="s">
        <v>2503</v>
      </c>
      <c r="E63" s="52">
        <v>1</v>
      </c>
      <c r="F63" s="17">
        <v>0.88800000000000001</v>
      </c>
      <c r="G63" s="52" t="s">
        <v>2361</v>
      </c>
      <c r="H63" s="52">
        <f>Арм_ПоПлощади(E52,E57,T63)</f>
        <v>12363800</v>
      </c>
      <c r="I63" s="52">
        <v>12</v>
      </c>
      <c r="J63" s="52" t="s">
        <v>2</v>
      </c>
      <c r="K63" s="52"/>
      <c r="L63" s="52"/>
      <c r="M63" s="52"/>
      <c r="N63" s="52"/>
      <c r="O63" s="52"/>
      <c r="P63" s="52"/>
      <c r="Q63" s="52"/>
      <c r="R63" s="52"/>
      <c r="S63" s="52">
        <v>500</v>
      </c>
      <c r="T63" s="52">
        <v>600</v>
      </c>
      <c r="U63" s="51">
        <v>30</v>
      </c>
    </row>
    <row r="64" spans="1:21" ht="16.5" x14ac:dyDescent="0.25">
      <c r="A64" s="50" t="str">
        <f t="shared" si="8"/>
        <v>Пм2.1</v>
      </c>
      <c r="B64" s="52">
        <v>3</v>
      </c>
      <c r="C64" s="52" t="s">
        <v>2396</v>
      </c>
      <c r="D64" s="52" t="s">
        <v>2504</v>
      </c>
      <c r="E64" s="52">
        <v>1</v>
      </c>
      <c r="F64" s="17">
        <v>0.88800000000000001</v>
      </c>
      <c r="G64" s="52" t="s">
        <v>2361</v>
      </c>
      <c r="H64" s="52">
        <f>Арм_ПоПлощади(E52,E58,T64)</f>
        <v>12363800</v>
      </c>
      <c r="I64" s="52">
        <v>12</v>
      </c>
      <c r="J64" s="52" t="s">
        <v>2</v>
      </c>
      <c r="K64" s="52"/>
      <c r="L64" s="52"/>
      <c r="M64" s="52"/>
      <c r="N64" s="52"/>
      <c r="O64" s="52"/>
      <c r="P64" s="52"/>
      <c r="Q64" s="52"/>
      <c r="R64" s="52"/>
      <c r="S64" s="52">
        <v>500</v>
      </c>
      <c r="T64" s="52">
        <v>600</v>
      </c>
      <c r="U64" s="51">
        <v>30</v>
      </c>
    </row>
    <row r="65" spans="1:21" ht="16.5" x14ac:dyDescent="0.25">
      <c r="A65" s="50" t="str">
        <f t="shared" si="8"/>
        <v>Пм2.1</v>
      </c>
      <c r="B65" s="52">
        <v>3</v>
      </c>
      <c r="C65" s="52" t="s">
        <v>2396</v>
      </c>
      <c r="D65" s="52" t="s">
        <v>2505</v>
      </c>
      <c r="E65" s="52">
        <v>1</v>
      </c>
      <c r="F65" s="17">
        <v>0.88800000000000001</v>
      </c>
      <c r="G65" s="52" t="s">
        <v>2361</v>
      </c>
      <c r="H65" s="52">
        <f>Арм_ПоПлощади(E52,E59,T65)</f>
        <v>12363800</v>
      </c>
      <c r="I65" s="52">
        <v>12</v>
      </c>
      <c r="J65" s="52" t="s">
        <v>2</v>
      </c>
      <c r="K65" s="52"/>
      <c r="L65" s="52"/>
      <c r="M65" s="52"/>
      <c r="N65" s="52"/>
      <c r="O65" s="52"/>
      <c r="P65" s="52"/>
      <c r="Q65" s="52"/>
      <c r="R65" s="52"/>
      <c r="S65" s="52">
        <v>500</v>
      </c>
      <c r="T65" s="52">
        <v>600</v>
      </c>
      <c r="U65" s="51">
        <v>30</v>
      </c>
    </row>
    <row r="66" spans="1:21" ht="16.5" x14ac:dyDescent="0.25">
      <c r="A66" s="50" t="str">
        <f t="shared" si="8"/>
        <v>Пм2.1</v>
      </c>
      <c r="B66" s="52">
        <v>2</v>
      </c>
      <c r="C66" s="52" t="s">
        <v>2396</v>
      </c>
      <c r="D66" s="52" t="s">
        <v>2509</v>
      </c>
      <c r="E66" s="52">
        <f>ROUNDUP(E51/E60,0)</f>
        <v>2613</v>
      </c>
      <c r="F66" s="17">
        <v>0.88800000000000001</v>
      </c>
      <c r="G66" s="52"/>
      <c r="H66" s="52">
        <f>Арм_Элемент_П(S66,E53-E55-E55,I66,J66)</f>
        <v>1160</v>
      </c>
      <c r="I66" s="52">
        <v>12</v>
      </c>
      <c r="J66" s="52" t="s">
        <v>2</v>
      </c>
      <c r="K66" s="52"/>
      <c r="L66" s="52"/>
      <c r="M66" s="52"/>
      <c r="N66" s="52"/>
      <c r="O66" s="52"/>
      <c r="P66" s="52"/>
      <c r="Q66" s="52"/>
      <c r="R66" s="52"/>
      <c r="S66" s="52">
        <v>500</v>
      </c>
      <c r="T66" s="52">
        <v>600</v>
      </c>
      <c r="U66" s="51">
        <v>30</v>
      </c>
    </row>
    <row r="67" spans="1:21" ht="17.25" thickBot="1" x14ac:dyDescent="0.3">
      <c r="A67" s="53" t="str">
        <f t="shared" si="8"/>
        <v>Пм2.1</v>
      </c>
      <c r="B67" s="54"/>
      <c r="C67" s="38"/>
      <c r="D67" s="39" t="s">
        <v>2446</v>
      </c>
      <c r="E67" s="39">
        <f>E54</f>
        <v>585.66</v>
      </c>
      <c r="F67" s="39" t="s">
        <v>4</v>
      </c>
      <c r="G67" s="39" t="s">
        <v>3</v>
      </c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49"/>
    </row>
  </sheetData>
  <mergeCells count="11">
    <mergeCell ref="A1:A2"/>
    <mergeCell ref="B1:B2"/>
    <mergeCell ref="C1:C2"/>
    <mergeCell ref="D1:D2"/>
    <mergeCell ref="E1:E2"/>
    <mergeCell ref="F1:F2"/>
    <mergeCell ref="S1:U1"/>
    <mergeCell ref="G1:G2"/>
    <mergeCell ref="H1:J1"/>
    <mergeCell ref="K1:Q1"/>
    <mergeCell ref="R1:R2"/>
  </mergeCells>
  <conditionalFormatting sqref="A1:H1 A3:U67 H2:Q2 K1 R1:S1 S2:U2">
    <cfRule type="containsText" dxfId="9" priority="10" stopIfTrue="1" operator="containsText" text="шт.)">
      <formula>NOT(ISERROR(SEARCH("шт.)",A1)))</formula>
    </cfRule>
    <cfRule type="containsText" dxfId="8" priority="9" stopIfTrue="1" operator="containsText" text=", на ">
      <formula>NOT(ISERROR(SEARCH(", на ",A1)))</formula>
    </cfRule>
    <cfRule type="containsText" dxfId="7" priority="8" stopIfTrue="1" operator="containsText" text=" Материалы ">
      <formula>NOT(ISERROR(SEARCH(" Материалы ",A1)))</formula>
    </cfRule>
    <cfRule type="containsText" dxfId="6" priority="7" stopIfTrue="1" operator="containsText" text=" Сборочные единицы ">
      <formula>NOT(ISERROR(SEARCH(" Сборочные единицы ",A1)))</formula>
    </cfRule>
    <cfRule type="containsText" dxfId="5" priority="6" stopIfTrue="1" operator="containsText" text=" Прокат ">
      <formula>NOT(ISERROR(SEARCH(" Прокат ",A1)))</formula>
    </cfRule>
    <cfRule type="containsText" dxfId="4" priority="5" stopIfTrue="1" operator="containsText" text=" Изделия ">
      <formula>NOT(ISERROR(SEARCH(" Изделия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errorStyle="warning" allowBlank="1" showInputMessage="1" showErrorMessage="1">
          <x14:formula1>
            <xm:f>'!System'!$AN$1:$AN$6</xm:f>
          </x14:formula1>
          <xm:sqref>G3:G67</xm:sqref>
        </x14:dataValidation>
        <x14:dataValidation type="list" allowBlank="1" showInputMessage="1" showErrorMessage="1">
          <x14:formula1>
            <xm:f>'!System'!$T$1:$AB$1</xm:f>
          </x14:formula1>
          <xm:sqref>J3:J67</xm:sqref>
        </x14:dataValidation>
        <x14:dataValidation type="list" allowBlank="1" showInputMessage="1" showErrorMessage="1">
          <x14:formula1>
            <xm:f>'!System'!$A$1:$R$1</xm:f>
          </x14:formula1>
          <xm:sqref>L3:L67</xm:sqref>
        </x14:dataValidation>
        <x14:dataValidation type="list" allowBlank="1" showInputMessage="1" showErrorMessage="1">
          <x14:formula1>
            <xm:f>'!System'!$AC$1:$AM$1</xm:f>
          </x14:formula1>
          <xm:sqref>O3:O67</xm:sqref>
        </x14:dataValidation>
        <x14:dataValidation type="list" allowBlank="1" showInputMessage="1" showErrorMessage="1">
          <x14:formula1>
            <xm:f>'!System'!$AO$1:$AO$5</xm:f>
          </x14:formula1>
          <xm:sqref>P3:P67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'!System'!$V$2:$V$17</xm:f>
          </x14:formula1>
          <xm:sqref>I19</xm:sqref>
        </x14:dataValidation>
        <x14:dataValidation type="list" allowBlank="1" showInputMessage="1" showErrorMessage="1">
          <x14:formula1>
            <xm:f>'!System'!$V$2:$V$17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I62</xm:sqref>
        </x14:dataValidation>
        <x14:dataValidation type="list" allowBlank="1" showInputMessage="1" showErrorMessage="1">
          <x14:formula1>
            <xm:f>'!System'!$V$2:$V$17</xm:f>
          </x14:formula1>
          <xm:sqref>I63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8" tint="0.499984740745262"/>
  </sheetPr>
  <dimension ref="A1:U14"/>
  <sheetViews>
    <sheetView workbookViewId="0">
      <selection activeCell="D19" sqref="D19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1" t="s">
        <v>2402</v>
      </c>
      <c r="B1" s="55" t="s">
        <v>2393</v>
      </c>
      <c r="C1" s="55" t="s">
        <v>2394</v>
      </c>
      <c r="D1" s="55" t="s">
        <v>2395</v>
      </c>
      <c r="E1" s="55" t="s">
        <v>2403</v>
      </c>
      <c r="F1" s="55" t="s">
        <v>2404</v>
      </c>
      <c r="G1" s="55" t="s">
        <v>2405</v>
      </c>
      <c r="H1" s="57" t="s">
        <v>2407</v>
      </c>
      <c r="I1" s="58"/>
      <c r="J1" s="60"/>
      <c r="K1" s="57" t="s">
        <v>2398</v>
      </c>
      <c r="L1" s="58"/>
      <c r="M1" s="58"/>
      <c r="N1" s="58"/>
      <c r="O1" s="58"/>
      <c r="P1" s="58"/>
      <c r="Q1" s="60"/>
      <c r="R1" s="55" t="s">
        <v>2406</v>
      </c>
      <c r="S1" s="57" t="s">
        <v>2418</v>
      </c>
      <c r="T1" s="58"/>
      <c r="U1" s="59"/>
    </row>
    <row r="2" spans="1:21" ht="66" x14ac:dyDescent="0.25">
      <c r="A2" s="62"/>
      <c r="B2" s="56"/>
      <c r="C2" s="56"/>
      <c r="D2" s="56"/>
      <c r="E2" s="56"/>
      <c r="F2" s="56"/>
      <c r="G2" s="56"/>
      <c r="H2" s="32" t="s">
        <v>2408</v>
      </c>
      <c r="I2" s="32" t="s">
        <v>2409</v>
      </c>
      <c r="J2" s="32" t="s">
        <v>2410</v>
      </c>
      <c r="K2" s="32" t="s">
        <v>2411</v>
      </c>
      <c r="L2" s="32" t="s">
        <v>2412</v>
      </c>
      <c r="M2" s="32" t="s">
        <v>2413</v>
      </c>
      <c r="N2" s="32" t="s">
        <v>2414</v>
      </c>
      <c r="O2" s="32" t="s">
        <v>2415</v>
      </c>
      <c r="P2" s="32" t="s">
        <v>2416</v>
      </c>
      <c r="Q2" s="32" t="s">
        <v>2417</v>
      </c>
      <c r="R2" s="56"/>
      <c r="S2" s="32" t="s">
        <v>2419</v>
      </c>
      <c r="T2" s="32" t="s">
        <v>2420</v>
      </c>
      <c r="U2" s="33" t="s">
        <v>2421</v>
      </c>
    </row>
    <row r="3" spans="1:21" ht="33" x14ac:dyDescent="0.25">
      <c r="A3" s="24" t="s">
        <v>2513</v>
      </c>
      <c r="B3" s="25" t="s">
        <v>2513</v>
      </c>
      <c r="C3" s="25" t="s">
        <v>2400</v>
      </c>
      <c r="D3" s="25" t="s">
        <v>2514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6"/>
    </row>
    <row r="4" spans="1:21" ht="33" x14ac:dyDescent="0.25">
      <c r="A4" s="31" t="s">
        <v>2513</v>
      </c>
      <c r="B4" s="32">
        <v>1</v>
      </c>
      <c r="C4" s="32" t="s">
        <v>2397</v>
      </c>
      <c r="D4" s="32" t="s">
        <v>2425</v>
      </c>
      <c r="E4" s="32">
        <v>9</v>
      </c>
      <c r="F4" s="17">
        <v>0.39500000000000002</v>
      </c>
      <c r="G4" s="32"/>
      <c r="H4" s="32">
        <v>250</v>
      </c>
      <c r="I4" s="32">
        <v>8</v>
      </c>
      <c r="J4" s="32" t="s">
        <v>1</v>
      </c>
      <c r="K4" s="32"/>
      <c r="L4" s="32"/>
      <c r="M4" s="32"/>
      <c r="N4" s="32"/>
      <c r="O4" s="32"/>
      <c r="P4" s="32"/>
      <c r="Q4" s="32"/>
      <c r="R4" s="32"/>
      <c r="S4" s="32" t="s">
        <v>2424</v>
      </c>
      <c r="T4" s="32" t="s">
        <v>2424</v>
      </c>
      <c r="U4" s="33">
        <v>10</v>
      </c>
    </row>
    <row r="5" spans="1:21" ht="33.75" thickBot="1" x14ac:dyDescent="0.3">
      <c r="A5" s="34" t="s">
        <v>2513</v>
      </c>
      <c r="B5" s="35">
        <v>2</v>
      </c>
      <c r="C5" s="35" t="s">
        <v>2397</v>
      </c>
      <c r="D5" s="35" t="s">
        <v>2426</v>
      </c>
      <c r="E5" s="35">
        <v>2</v>
      </c>
      <c r="F5" s="44">
        <v>0.39500000000000002</v>
      </c>
      <c r="G5" s="35"/>
      <c r="H5" s="35">
        <v>1280</v>
      </c>
      <c r="I5" s="35">
        <v>8</v>
      </c>
      <c r="J5" s="35" t="s">
        <v>1</v>
      </c>
      <c r="K5" s="35"/>
      <c r="L5" s="35"/>
      <c r="M5" s="35"/>
      <c r="N5" s="35"/>
      <c r="O5" s="35"/>
      <c r="P5" s="35"/>
      <c r="Q5" s="35"/>
      <c r="R5" s="35"/>
      <c r="S5" s="35" t="s">
        <v>2424</v>
      </c>
      <c r="T5" s="35" t="s">
        <v>2424</v>
      </c>
      <c r="U5" s="36">
        <v>10</v>
      </c>
    </row>
    <row r="6" spans="1:21" ht="33" x14ac:dyDescent="0.25">
      <c r="A6" s="24" t="str">
        <f>B6</f>
        <v>Кп30</v>
      </c>
      <c r="B6" s="25" t="s">
        <v>2518</v>
      </c>
      <c r="C6" s="25" t="s">
        <v>2400</v>
      </c>
      <c r="D6" s="25" t="s">
        <v>2521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6"/>
    </row>
    <row r="7" spans="1:21" ht="33" x14ac:dyDescent="0.25">
      <c r="A7" s="31" t="str">
        <f>A6</f>
        <v>Кп30</v>
      </c>
      <c r="B7" s="32">
        <v>1</v>
      </c>
      <c r="C7" s="32" t="s">
        <v>2397</v>
      </c>
      <c r="D7" s="32" t="s">
        <v>2425</v>
      </c>
      <c r="E7" s="32">
        <v>9</v>
      </c>
      <c r="F7" s="17">
        <v>0.39500000000000002</v>
      </c>
      <c r="G7" s="32"/>
      <c r="H7" s="32">
        <v>250</v>
      </c>
      <c r="I7" s="32">
        <v>8</v>
      </c>
      <c r="J7" s="32" t="s">
        <v>1</v>
      </c>
      <c r="K7" s="32"/>
      <c r="L7" s="32"/>
      <c r="M7" s="32"/>
      <c r="N7" s="32"/>
      <c r="O7" s="32"/>
      <c r="P7" s="32"/>
      <c r="Q7" s="32"/>
      <c r="R7" s="32"/>
      <c r="S7" s="32" t="s">
        <v>2424</v>
      </c>
      <c r="T7" s="32" t="s">
        <v>2424</v>
      </c>
      <c r="U7" s="33">
        <v>10</v>
      </c>
    </row>
    <row r="8" spans="1:21" ht="33.75" thickBot="1" x14ac:dyDescent="0.3">
      <c r="A8" s="34" t="str">
        <f>A7</f>
        <v>Кп30</v>
      </c>
      <c r="B8" s="35">
        <v>2</v>
      </c>
      <c r="C8" s="35" t="s">
        <v>2397</v>
      </c>
      <c r="D8" s="35" t="s">
        <v>2426</v>
      </c>
      <c r="E8" s="35">
        <v>2</v>
      </c>
      <c r="F8" s="44">
        <v>0.39500000000000002</v>
      </c>
      <c r="G8" s="35"/>
      <c r="H8" s="35">
        <v>1280</v>
      </c>
      <c r="I8" s="35">
        <v>8</v>
      </c>
      <c r="J8" s="35" t="s">
        <v>1</v>
      </c>
      <c r="K8" s="35"/>
      <c r="L8" s="35"/>
      <c r="M8" s="35"/>
      <c r="N8" s="35"/>
      <c r="O8" s="35"/>
      <c r="P8" s="35"/>
      <c r="Q8" s="35"/>
      <c r="R8" s="35"/>
      <c r="S8" s="35" t="s">
        <v>2424</v>
      </c>
      <c r="T8" s="35" t="s">
        <v>2424</v>
      </c>
      <c r="U8" s="36">
        <v>10</v>
      </c>
    </row>
    <row r="9" spans="1:21" ht="33.75" thickBot="1" x14ac:dyDescent="0.3">
      <c r="A9" s="34" t="str">
        <f>B9</f>
        <v>Кп35</v>
      </c>
      <c r="B9" s="25" t="s">
        <v>2519</v>
      </c>
      <c r="C9" s="25" t="s">
        <v>2400</v>
      </c>
      <c r="D9" s="25" t="s">
        <v>2522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6"/>
    </row>
    <row r="10" spans="1:21" ht="33.75" thickBot="1" x14ac:dyDescent="0.3">
      <c r="A10" s="34" t="str">
        <f t="shared" ref="A10:A14" si="0">A9</f>
        <v>Кп35</v>
      </c>
      <c r="B10" s="32">
        <v>1</v>
      </c>
      <c r="C10" s="32" t="s">
        <v>2397</v>
      </c>
      <c r="D10" s="32" t="s">
        <v>2425</v>
      </c>
      <c r="E10" s="32">
        <v>9</v>
      </c>
      <c r="F10" s="17">
        <v>0.39500000000000002</v>
      </c>
      <c r="G10" s="32"/>
      <c r="H10" s="32">
        <v>250</v>
      </c>
      <c r="I10" s="32">
        <v>8</v>
      </c>
      <c r="J10" s="32" t="s">
        <v>1</v>
      </c>
      <c r="K10" s="32"/>
      <c r="L10" s="32"/>
      <c r="M10" s="32"/>
      <c r="N10" s="32"/>
      <c r="O10" s="32"/>
      <c r="P10" s="32"/>
      <c r="Q10" s="32"/>
      <c r="R10" s="32"/>
      <c r="S10" s="32" t="s">
        <v>2424</v>
      </c>
      <c r="T10" s="32" t="s">
        <v>2424</v>
      </c>
      <c r="U10" s="33">
        <v>10</v>
      </c>
    </row>
    <row r="11" spans="1:21" ht="33.75" thickBot="1" x14ac:dyDescent="0.3">
      <c r="A11" s="34" t="str">
        <f t="shared" si="0"/>
        <v>Кп35</v>
      </c>
      <c r="B11" s="35">
        <v>2</v>
      </c>
      <c r="C11" s="35" t="s">
        <v>2397</v>
      </c>
      <c r="D11" s="35" t="s">
        <v>2426</v>
      </c>
      <c r="E11" s="35">
        <v>2</v>
      </c>
      <c r="F11" s="44">
        <v>0.39500000000000002</v>
      </c>
      <c r="G11" s="35"/>
      <c r="H11" s="35">
        <v>1280</v>
      </c>
      <c r="I11" s="35">
        <v>8</v>
      </c>
      <c r="J11" s="35" t="s">
        <v>1</v>
      </c>
      <c r="K11" s="35"/>
      <c r="L11" s="35"/>
      <c r="M11" s="35"/>
      <c r="N11" s="35"/>
      <c r="O11" s="35"/>
      <c r="P11" s="35"/>
      <c r="Q11" s="35"/>
      <c r="R11" s="35"/>
      <c r="S11" s="35" t="s">
        <v>2424</v>
      </c>
      <c r="T11" s="35" t="s">
        <v>2424</v>
      </c>
      <c r="U11" s="36">
        <v>10</v>
      </c>
    </row>
    <row r="12" spans="1:21" ht="33.75" thickBot="1" x14ac:dyDescent="0.3">
      <c r="A12" s="34" t="str">
        <f>B12</f>
        <v>Кп36</v>
      </c>
      <c r="B12" s="25" t="s">
        <v>2520</v>
      </c>
      <c r="C12" s="25" t="s">
        <v>2400</v>
      </c>
      <c r="D12" s="25" t="s">
        <v>2523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6"/>
    </row>
    <row r="13" spans="1:21" ht="33.75" thickBot="1" x14ac:dyDescent="0.3">
      <c r="A13" s="34" t="str">
        <f t="shared" si="0"/>
        <v>Кп36</v>
      </c>
      <c r="B13" s="32">
        <v>1</v>
      </c>
      <c r="C13" s="32" t="s">
        <v>2397</v>
      </c>
      <c r="D13" s="32" t="s">
        <v>2425</v>
      </c>
      <c r="E13" s="32">
        <v>9</v>
      </c>
      <c r="F13" s="17">
        <v>0.39500000000000002</v>
      </c>
      <c r="G13" s="32"/>
      <c r="H13" s="32">
        <v>250</v>
      </c>
      <c r="I13" s="32">
        <v>8</v>
      </c>
      <c r="J13" s="32" t="s">
        <v>1</v>
      </c>
      <c r="K13" s="32"/>
      <c r="L13" s="32"/>
      <c r="M13" s="32"/>
      <c r="N13" s="32"/>
      <c r="O13" s="32"/>
      <c r="P13" s="32"/>
      <c r="Q13" s="32"/>
      <c r="R13" s="32"/>
      <c r="S13" s="32" t="s">
        <v>2424</v>
      </c>
      <c r="T13" s="32" t="s">
        <v>2424</v>
      </c>
      <c r="U13" s="33">
        <v>10</v>
      </c>
    </row>
    <row r="14" spans="1:21" ht="33.75" thickBot="1" x14ac:dyDescent="0.3">
      <c r="A14" s="34" t="str">
        <f t="shared" si="0"/>
        <v>Кп36</v>
      </c>
      <c r="B14" s="35">
        <v>2</v>
      </c>
      <c r="C14" s="35" t="s">
        <v>2397</v>
      </c>
      <c r="D14" s="35" t="s">
        <v>2426</v>
      </c>
      <c r="E14" s="35">
        <v>2</v>
      </c>
      <c r="F14" s="44">
        <v>0.39500000000000002</v>
      </c>
      <c r="G14" s="35"/>
      <c r="H14" s="35">
        <v>1280</v>
      </c>
      <c r="I14" s="35">
        <v>8</v>
      </c>
      <c r="J14" s="35" t="s">
        <v>1</v>
      </c>
      <c r="K14" s="35"/>
      <c r="L14" s="35"/>
      <c r="M14" s="35"/>
      <c r="N14" s="35"/>
      <c r="O14" s="35"/>
      <c r="P14" s="35"/>
      <c r="Q14" s="35"/>
      <c r="R14" s="35"/>
      <c r="S14" s="35" t="s">
        <v>2424</v>
      </c>
      <c r="T14" s="35" t="s">
        <v>2424</v>
      </c>
      <c r="U14" s="36">
        <v>10</v>
      </c>
    </row>
  </sheetData>
  <dataConsolidate/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H2:Q2 K1 R1:S1 S2:U2 A3:U5">
    <cfRule type="containsText" dxfId="76" priority="28" stopIfTrue="1" operator="containsText" text="С ЛИСТА">
      <formula>NOT(ISERROR(SEARCH("С ЛИСТА",A1)))</formula>
    </cfRule>
    <cfRule type="containsText" dxfId="75" priority="29" stopIfTrue="1" operator="containsText" text="ИЗ ФАЙЛА">
      <formula>NOT(ISERROR(SEARCH("ИЗ ФАЙЛА",A1)))</formula>
    </cfRule>
    <cfRule type="containsText" dxfId="74" priority="30" stopIfTrue="1" operator="containsText" text="!!!">
      <formula>NOT(ISERROR(SEARCH("!!!",A1)))</formula>
    </cfRule>
    <cfRule type="containsText" dxfId="73" priority="31" stopIfTrue="1" operator="containsText" text=" Изделия ">
      <formula>NOT(ISERROR(SEARCH(" Изделия ",A1)))</formula>
    </cfRule>
    <cfRule type="containsText" dxfId="72" priority="32" stopIfTrue="1" operator="containsText" text=" Прокат ">
      <formula>NOT(ISERROR(SEARCH(" Прокат ",A1)))</formula>
    </cfRule>
    <cfRule type="containsText" dxfId="71" priority="33" stopIfTrue="1" operator="containsText" text=" Сборочные единицы ">
      <formula>NOT(ISERROR(SEARCH(" Сборочные единицы ",A1)))</formula>
    </cfRule>
    <cfRule type="containsText" dxfId="70" priority="34" stopIfTrue="1" operator="containsText" text=" Материалы ">
      <formula>NOT(ISERROR(SEARCH(" Материалы ",A1)))</formula>
    </cfRule>
    <cfRule type="containsText" dxfId="69" priority="35" stopIfTrue="1" operator="containsText" text=", на ">
      <formula>NOT(ISERROR(SEARCH(", на ",A1)))</formula>
    </cfRule>
    <cfRule type="containsText" dxfId="68" priority="36" stopIfTrue="1" operator="containsText" text="шт.)">
      <formula>NOT(ISERROR(SEARCH("шт.)",A1)))</formula>
    </cfRule>
  </conditionalFormatting>
  <conditionalFormatting sqref="A6:U8 A9:A14">
    <cfRule type="containsText" dxfId="67" priority="19" stopIfTrue="1" operator="containsText" text="С ЛИСТА">
      <formula>NOT(ISERROR(SEARCH("С ЛИСТА",A6)))</formula>
    </cfRule>
    <cfRule type="containsText" dxfId="66" priority="20" stopIfTrue="1" operator="containsText" text="ИЗ ФАЙЛА">
      <formula>NOT(ISERROR(SEARCH("ИЗ ФАЙЛА",A6)))</formula>
    </cfRule>
    <cfRule type="containsText" dxfId="65" priority="21" stopIfTrue="1" operator="containsText" text="!!!">
      <formula>NOT(ISERROR(SEARCH("!!!",A6)))</formula>
    </cfRule>
    <cfRule type="containsText" dxfId="64" priority="22" stopIfTrue="1" operator="containsText" text=" Изделия ">
      <formula>NOT(ISERROR(SEARCH(" Изделия ",A6)))</formula>
    </cfRule>
    <cfRule type="containsText" dxfId="63" priority="23" stopIfTrue="1" operator="containsText" text=" Прокат ">
      <formula>NOT(ISERROR(SEARCH(" Прокат ",A6)))</formula>
    </cfRule>
    <cfRule type="containsText" dxfId="62" priority="24" stopIfTrue="1" operator="containsText" text=" Сборочные единицы ">
      <formula>NOT(ISERROR(SEARCH(" Сборочные единицы ",A6)))</formula>
    </cfRule>
    <cfRule type="containsText" dxfId="61" priority="25" stopIfTrue="1" operator="containsText" text=" Материалы ">
      <formula>NOT(ISERROR(SEARCH(" Материалы ",A6)))</formula>
    </cfRule>
    <cfRule type="containsText" dxfId="60" priority="26" stopIfTrue="1" operator="containsText" text=", на ">
      <formula>NOT(ISERROR(SEARCH(", на ",A6)))</formula>
    </cfRule>
    <cfRule type="containsText" dxfId="59" priority="27" stopIfTrue="1" operator="containsText" text="шт.)">
      <formula>NOT(ISERROR(SEARCH("шт.)",A6)))</formula>
    </cfRule>
  </conditionalFormatting>
  <conditionalFormatting sqref="B9:U11">
    <cfRule type="containsText" dxfId="58" priority="10" stopIfTrue="1" operator="containsText" text="С ЛИСТА">
      <formula>NOT(ISERROR(SEARCH("С ЛИСТА",B9)))</formula>
    </cfRule>
    <cfRule type="containsText" dxfId="57" priority="11" stopIfTrue="1" operator="containsText" text="ИЗ ФАЙЛА">
      <formula>NOT(ISERROR(SEARCH("ИЗ ФАЙЛА",B9)))</formula>
    </cfRule>
    <cfRule type="containsText" dxfId="56" priority="12" stopIfTrue="1" operator="containsText" text="!!!">
      <formula>NOT(ISERROR(SEARCH("!!!",B9)))</formula>
    </cfRule>
    <cfRule type="containsText" dxfId="55" priority="13" stopIfTrue="1" operator="containsText" text=" Изделия ">
      <formula>NOT(ISERROR(SEARCH(" Изделия ",B9)))</formula>
    </cfRule>
    <cfRule type="containsText" dxfId="54" priority="14" stopIfTrue="1" operator="containsText" text=" Прокат ">
      <formula>NOT(ISERROR(SEARCH(" Прокат ",B9)))</formula>
    </cfRule>
    <cfRule type="containsText" dxfId="53" priority="15" stopIfTrue="1" operator="containsText" text=" Сборочные единицы ">
      <formula>NOT(ISERROR(SEARCH(" Сборочные единицы ",B9)))</formula>
    </cfRule>
    <cfRule type="containsText" dxfId="52" priority="16" stopIfTrue="1" operator="containsText" text=" Материалы ">
      <formula>NOT(ISERROR(SEARCH(" Материалы ",B9)))</formula>
    </cfRule>
    <cfRule type="containsText" dxfId="51" priority="17" stopIfTrue="1" operator="containsText" text=", на ">
      <formula>NOT(ISERROR(SEARCH(", на ",B9)))</formula>
    </cfRule>
    <cfRule type="containsText" dxfId="50" priority="18" stopIfTrue="1" operator="containsText" text="шт.)">
      <formula>NOT(ISERROR(SEARCH("шт.)",B9)))</formula>
    </cfRule>
  </conditionalFormatting>
  <conditionalFormatting sqref="B12:U14">
    <cfRule type="containsText" dxfId="49" priority="1" stopIfTrue="1" operator="containsText" text="С ЛИСТА">
      <formula>NOT(ISERROR(SEARCH("С ЛИСТА",B12)))</formula>
    </cfRule>
    <cfRule type="containsText" dxfId="48" priority="2" stopIfTrue="1" operator="containsText" text="ИЗ ФАЙЛА">
      <formula>NOT(ISERROR(SEARCH("ИЗ ФАЙЛА",B12)))</formula>
    </cfRule>
    <cfRule type="containsText" dxfId="47" priority="3" stopIfTrue="1" operator="containsText" text="!!!">
      <formula>NOT(ISERROR(SEARCH("!!!",B12)))</formula>
    </cfRule>
    <cfRule type="containsText" dxfId="46" priority="4" stopIfTrue="1" operator="containsText" text=" Изделия ">
      <formula>NOT(ISERROR(SEARCH(" Изделия ",B12)))</formula>
    </cfRule>
    <cfRule type="containsText" dxfId="45" priority="5" stopIfTrue="1" operator="containsText" text=" Прокат ">
      <formula>NOT(ISERROR(SEARCH(" Прокат ",B12)))</formula>
    </cfRule>
    <cfRule type="containsText" dxfId="44" priority="6" stopIfTrue="1" operator="containsText" text=" Сборочные единицы ">
      <formula>NOT(ISERROR(SEARCH(" Сборочные единицы ",B12)))</formula>
    </cfRule>
    <cfRule type="containsText" dxfId="43" priority="7" stopIfTrue="1" operator="containsText" text=" Материалы ">
      <formula>NOT(ISERROR(SEARCH(" Материалы ",B12)))</formula>
    </cfRule>
    <cfRule type="containsText" dxfId="42" priority="8" stopIfTrue="1" operator="containsText" text=", на ">
      <formula>NOT(ISERROR(SEARCH(", на ",B12)))</formula>
    </cfRule>
    <cfRule type="containsText" dxfId="41" priority="9" stopIfTrue="1" operator="containsText" text="шт.)">
      <formula>NOT(ISERROR(SEARCH("шт.)",B12)))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'!System'!$T$2:$T$16</xm:f>
          </x14:formula1>
          <xm:sqref>I4:I5 I7:I8 I10:I11 I13:I14</xm:sqref>
        </x14:dataValidation>
        <x14:dataValidation type="list" errorStyle="warning" allowBlank="1" showInputMessage="1" showErrorMessage="1">
          <x14:formula1>
            <xm:f>'!System'!$AN$1:$AN$6</xm:f>
          </x14:formula1>
          <xm:sqref>G3:G14</xm:sqref>
        </x14:dataValidation>
        <x14:dataValidation type="list" allowBlank="1" showInputMessage="1" showErrorMessage="1">
          <x14:formula1>
            <xm:f>'!System'!$T$1:$AB$1</xm:f>
          </x14:formula1>
          <xm:sqref>J3:J14</xm:sqref>
        </x14:dataValidation>
        <x14:dataValidation type="list" allowBlank="1" showInputMessage="1" showErrorMessage="1">
          <x14:formula1>
            <xm:f>'!System'!$A$1:$R$1</xm:f>
          </x14:formula1>
          <xm:sqref>L3:L14</xm:sqref>
        </x14:dataValidation>
        <x14:dataValidation type="list" allowBlank="1" showInputMessage="1" showErrorMessage="1">
          <x14:formula1>
            <xm:f>'!System'!$AC$1:$AM$1</xm:f>
          </x14:formula1>
          <xm:sqref>O3:O14</xm:sqref>
        </x14:dataValidation>
        <x14:dataValidation type="list" allowBlank="1" showInputMessage="1" showErrorMessage="1">
          <x14:formula1>
            <xm:f>'!System'!$AO$1:$AO$5</xm:f>
          </x14:formula1>
          <xm:sqref>P3:P14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7"/>
  <sheetViews>
    <sheetView workbookViewId="0">
      <selection activeCell="A24" sqref="A24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1" t="s">
        <v>2374</v>
      </c>
      <c r="B1" s="10" t="s">
        <v>2375</v>
      </c>
      <c r="C1" s="9" t="s">
        <v>2376</v>
      </c>
    </row>
    <row r="2" spans="1:3" x14ac:dyDescent="0.25">
      <c r="A2" s="8" t="s">
        <v>2450</v>
      </c>
      <c r="B2" s="7" t="s">
        <v>2392</v>
      </c>
      <c r="C2" s="6" t="s">
        <v>2447</v>
      </c>
    </row>
    <row r="3" spans="1:3" x14ac:dyDescent="0.25">
      <c r="A3" s="8" t="s">
        <v>2451</v>
      </c>
      <c r="B3" s="7" t="s">
        <v>2392</v>
      </c>
      <c r="C3" s="6" t="s">
        <v>2454</v>
      </c>
    </row>
    <row r="4" spans="1:3" x14ac:dyDescent="0.25">
      <c r="A4" s="8"/>
      <c r="B4" s="7"/>
      <c r="C4" s="6"/>
    </row>
    <row r="5" spans="1:3" x14ac:dyDescent="0.25">
      <c r="A5" s="8" t="s">
        <v>2377</v>
      </c>
      <c r="B5" s="7" t="s">
        <v>2378</v>
      </c>
      <c r="C5" s="6" t="s">
        <v>2448</v>
      </c>
    </row>
    <row r="6" spans="1:3" x14ac:dyDescent="0.25">
      <c r="A6" s="8" t="s">
        <v>2379</v>
      </c>
      <c r="B6" s="7" t="s">
        <v>2370</v>
      </c>
      <c r="C6" s="6" t="s">
        <v>2449</v>
      </c>
    </row>
    <row r="7" spans="1:3" x14ac:dyDescent="0.25">
      <c r="A7" s="8" t="s">
        <v>2381</v>
      </c>
      <c r="B7" s="7" t="s">
        <v>2382</v>
      </c>
      <c r="C7" s="6" t="s">
        <v>2448</v>
      </c>
    </row>
    <row r="8" spans="1:3" x14ac:dyDescent="0.25">
      <c r="A8" s="8" t="s">
        <v>2385</v>
      </c>
      <c r="B8" s="7" t="s">
        <v>2384</v>
      </c>
      <c r="C8" s="6" t="s">
        <v>2448</v>
      </c>
    </row>
    <row r="9" spans="1:3" x14ac:dyDescent="0.25">
      <c r="A9" s="8" t="s">
        <v>2452</v>
      </c>
      <c r="B9" s="7" t="s">
        <v>2380</v>
      </c>
      <c r="C9" s="6" t="s">
        <v>2448</v>
      </c>
    </row>
    <row r="10" spans="1:3" x14ac:dyDescent="0.25">
      <c r="A10" s="8" t="s">
        <v>2383</v>
      </c>
      <c r="B10" s="7" t="s">
        <v>2384</v>
      </c>
      <c r="C10" s="6" t="s">
        <v>2448</v>
      </c>
    </row>
    <row r="11" spans="1:3" x14ac:dyDescent="0.25">
      <c r="A11" s="8" t="s">
        <v>2386</v>
      </c>
      <c r="B11" s="7" t="s">
        <v>2387</v>
      </c>
      <c r="C11" s="6" t="s">
        <v>2448</v>
      </c>
    </row>
    <row r="12" spans="1:3" x14ac:dyDescent="0.25">
      <c r="A12" s="8" t="s">
        <v>2381</v>
      </c>
      <c r="B12" s="7" t="s">
        <v>2380</v>
      </c>
      <c r="C12" s="6" t="s">
        <v>2448</v>
      </c>
    </row>
    <row r="13" spans="1:3" x14ac:dyDescent="0.25">
      <c r="A13" s="8" t="s">
        <v>2388</v>
      </c>
      <c r="B13" s="7" t="s">
        <v>2389</v>
      </c>
      <c r="C13" s="6" t="s">
        <v>2448</v>
      </c>
    </row>
    <row r="14" spans="1:3" x14ac:dyDescent="0.25">
      <c r="A14" s="8" t="s">
        <v>2390</v>
      </c>
      <c r="B14" s="7" t="s">
        <v>2384</v>
      </c>
      <c r="C14" s="6" t="s">
        <v>2448</v>
      </c>
    </row>
    <row r="15" spans="1:3" x14ac:dyDescent="0.25">
      <c r="A15" s="8" t="s">
        <v>2453</v>
      </c>
      <c r="B15" s="7" t="s">
        <v>2380</v>
      </c>
      <c r="C15" s="6" t="s">
        <v>2448</v>
      </c>
    </row>
    <row r="16" spans="1:3" ht="15.75" thickBot="1" x14ac:dyDescent="0.3">
      <c r="A16" s="5" t="s">
        <v>2391</v>
      </c>
      <c r="B16" s="4" t="s">
        <v>2387</v>
      </c>
      <c r="C16" s="3" t="s">
        <v>2448</v>
      </c>
    </row>
    <row r="17" spans="1:3" x14ac:dyDescent="0.25">
      <c r="A17" s="2"/>
      <c r="B17" s="2"/>
      <c r="C17" s="2"/>
    </row>
  </sheetData>
  <conditionalFormatting sqref="A1:C16">
    <cfRule type="containsText" dxfId="40" priority="1" operator="containsText" text="Добавить">
      <formula>NOT(ISERROR(SEARCH("Добавить",A1)))</formula>
    </cfRule>
    <cfRule type="containsText" dxfId="39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G30"/>
  <sheetViews>
    <sheetView workbookViewId="0">
      <selection activeCell="D36" sqref="D36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2473</v>
      </c>
    </row>
    <row r="2" spans="1:7" x14ac:dyDescent="0.25">
      <c r="A2" t="s">
        <v>2474</v>
      </c>
      <c r="B2" t="s">
        <v>2475</v>
      </c>
      <c r="C2" t="s">
        <v>2476</v>
      </c>
      <c r="D2" t="s">
        <v>2477</v>
      </c>
      <c r="E2" t="s">
        <v>2478</v>
      </c>
      <c r="F2" t="s">
        <v>2479</v>
      </c>
      <c r="G2" t="s">
        <v>2480</v>
      </c>
    </row>
    <row r="3" spans="1:7" x14ac:dyDescent="0.25">
      <c r="A3" t="s">
        <v>2481</v>
      </c>
      <c r="B3">
        <v>1</v>
      </c>
      <c r="C3">
        <v>250</v>
      </c>
      <c r="D3">
        <v>116.36</v>
      </c>
      <c r="E3">
        <v>45400</v>
      </c>
      <c r="F3">
        <v>29.09</v>
      </c>
      <c r="G3">
        <v>118.02</v>
      </c>
    </row>
    <row r="4" spans="1:7" x14ac:dyDescent="0.25">
      <c r="A4" t="s">
        <v>2481</v>
      </c>
      <c r="B4">
        <v>1</v>
      </c>
      <c r="C4">
        <v>250</v>
      </c>
      <c r="D4">
        <v>287.52</v>
      </c>
      <c r="E4">
        <v>87300</v>
      </c>
      <c r="F4">
        <v>71.88</v>
      </c>
      <c r="G4">
        <v>288.45</v>
      </c>
    </row>
    <row r="5" spans="1:7" x14ac:dyDescent="0.25">
      <c r="A5" t="s">
        <v>2481</v>
      </c>
      <c r="B5">
        <v>1</v>
      </c>
      <c r="C5">
        <v>250</v>
      </c>
      <c r="D5">
        <v>1929.23</v>
      </c>
      <c r="E5">
        <v>259228.3</v>
      </c>
      <c r="F5">
        <v>482.34</v>
      </c>
      <c r="G5">
        <v>1961.88</v>
      </c>
    </row>
    <row r="6" spans="1:7" x14ac:dyDescent="0.25">
      <c r="A6" t="s">
        <v>2482</v>
      </c>
      <c r="B6">
        <v>1</v>
      </c>
      <c r="C6">
        <v>250</v>
      </c>
      <c r="D6">
        <v>7.28</v>
      </c>
      <c r="E6">
        <v>10900</v>
      </c>
      <c r="F6">
        <v>1.82</v>
      </c>
      <c r="G6">
        <v>7.28</v>
      </c>
    </row>
    <row r="7" spans="1:7" x14ac:dyDescent="0.25">
      <c r="A7" t="s">
        <v>2482</v>
      </c>
      <c r="B7">
        <v>1</v>
      </c>
      <c r="C7">
        <v>500</v>
      </c>
      <c r="D7">
        <v>13.73</v>
      </c>
      <c r="E7">
        <v>14900</v>
      </c>
      <c r="F7">
        <v>6.87</v>
      </c>
      <c r="G7">
        <v>13.73</v>
      </c>
    </row>
    <row r="8" spans="1:7" x14ac:dyDescent="0.25">
      <c r="A8" t="s">
        <v>2483</v>
      </c>
      <c r="B8">
        <v>1</v>
      </c>
      <c r="C8">
        <v>250</v>
      </c>
      <c r="D8">
        <v>1148.29</v>
      </c>
      <c r="E8">
        <v>176194.6</v>
      </c>
      <c r="F8">
        <v>287.07</v>
      </c>
      <c r="G8">
        <v>1163.82</v>
      </c>
    </row>
    <row r="9" spans="1:7" x14ac:dyDescent="0.25">
      <c r="A9" t="s">
        <v>2483</v>
      </c>
      <c r="B9">
        <v>1</v>
      </c>
      <c r="C9">
        <v>250</v>
      </c>
      <c r="D9">
        <v>1194.07</v>
      </c>
      <c r="E9">
        <v>346300.3</v>
      </c>
      <c r="F9">
        <v>298.58999999999997</v>
      </c>
      <c r="G9">
        <v>1234.69</v>
      </c>
    </row>
    <row r="10" spans="1:7" x14ac:dyDescent="0.25">
      <c r="A10" t="s">
        <v>2484</v>
      </c>
      <c r="B10">
        <v>1</v>
      </c>
      <c r="C10">
        <v>250</v>
      </c>
      <c r="D10">
        <v>1756.19</v>
      </c>
      <c r="E10">
        <v>301560</v>
      </c>
      <c r="F10">
        <v>439.07</v>
      </c>
      <c r="G10">
        <v>2270.17</v>
      </c>
    </row>
    <row r="11" spans="1:7" x14ac:dyDescent="0.25">
      <c r="A11" t="s">
        <v>2485</v>
      </c>
      <c r="B11">
        <v>1</v>
      </c>
      <c r="C11">
        <v>100</v>
      </c>
      <c r="D11">
        <v>1.31</v>
      </c>
      <c r="E11">
        <v>7340</v>
      </c>
      <c r="F11">
        <v>0.13</v>
      </c>
      <c r="G11">
        <v>1.31</v>
      </c>
    </row>
    <row r="12" spans="1:7" x14ac:dyDescent="0.25">
      <c r="A12" t="s">
        <v>2485</v>
      </c>
      <c r="B12">
        <v>1</v>
      </c>
      <c r="C12">
        <v>250</v>
      </c>
      <c r="D12">
        <v>156.4</v>
      </c>
      <c r="E12">
        <v>55000</v>
      </c>
      <c r="F12">
        <v>39.1</v>
      </c>
      <c r="G12">
        <v>156.41</v>
      </c>
    </row>
    <row r="13" spans="1:7" x14ac:dyDescent="0.25">
      <c r="A13" t="s">
        <v>2485</v>
      </c>
      <c r="B13">
        <v>1</v>
      </c>
      <c r="C13">
        <v>250</v>
      </c>
      <c r="D13">
        <v>1625.47</v>
      </c>
      <c r="E13">
        <v>331300</v>
      </c>
      <c r="F13">
        <v>406.41</v>
      </c>
      <c r="G13">
        <v>1697.87</v>
      </c>
    </row>
    <row r="14" spans="1:7" x14ac:dyDescent="0.25">
      <c r="A14" t="s">
        <v>2486</v>
      </c>
      <c r="B14">
        <v>1</v>
      </c>
      <c r="C14">
        <v>250</v>
      </c>
      <c r="D14">
        <v>53.66</v>
      </c>
      <c r="E14">
        <v>31400</v>
      </c>
      <c r="F14">
        <v>13.41</v>
      </c>
      <c r="G14">
        <v>55.2</v>
      </c>
    </row>
    <row r="15" spans="1:7" x14ac:dyDescent="0.25">
      <c r="A15" t="s">
        <v>2486</v>
      </c>
      <c r="B15">
        <v>1</v>
      </c>
      <c r="C15">
        <v>250</v>
      </c>
      <c r="D15">
        <v>1714.14</v>
      </c>
      <c r="E15">
        <v>315000</v>
      </c>
      <c r="F15">
        <v>428.56</v>
      </c>
      <c r="G15">
        <v>2216.13</v>
      </c>
    </row>
    <row r="16" spans="1:7" x14ac:dyDescent="0.25">
      <c r="A16" t="s">
        <v>2487</v>
      </c>
      <c r="B16">
        <v>1</v>
      </c>
      <c r="C16">
        <v>100</v>
      </c>
      <c r="D16">
        <v>0.59</v>
      </c>
      <c r="E16">
        <v>3515.1</v>
      </c>
      <c r="F16">
        <v>0.06</v>
      </c>
      <c r="G16">
        <v>0.59</v>
      </c>
    </row>
    <row r="17" spans="1:7" x14ac:dyDescent="0.25">
      <c r="A17" t="s">
        <v>2487</v>
      </c>
      <c r="B17">
        <v>1</v>
      </c>
      <c r="C17">
        <v>250</v>
      </c>
      <c r="D17">
        <v>30.78</v>
      </c>
      <c r="E17">
        <v>22800</v>
      </c>
      <c r="F17">
        <v>7.7</v>
      </c>
      <c r="G17">
        <v>32.4</v>
      </c>
    </row>
    <row r="18" spans="1:7" x14ac:dyDescent="0.25">
      <c r="A18" t="s">
        <v>2487</v>
      </c>
      <c r="B18">
        <v>1</v>
      </c>
      <c r="C18">
        <v>250</v>
      </c>
      <c r="D18">
        <v>1719.6</v>
      </c>
      <c r="E18">
        <v>304300</v>
      </c>
      <c r="F18">
        <v>429.97</v>
      </c>
      <c r="G18">
        <v>2233.5500000000002</v>
      </c>
    </row>
    <row r="19" spans="1:7" x14ac:dyDescent="0.25">
      <c r="A19" t="s">
        <v>2488</v>
      </c>
      <c r="B19">
        <v>1</v>
      </c>
      <c r="C19">
        <v>250</v>
      </c>
      <c r="D19">
        <v>103.8</v>
      </c>
      <c r="E19">
        <v>46600</v>
      </c>
      <c r="F19">
        <v>25.95</v>
      </c>
      <c r="G19">
        <v>103.8</v>
      </c>
    </row>
    <row r="20" spans="1:7" x14ac:dyDescent="0.25">
      <c r="A20" t="s">
        <v>2488</v>
      </c>
      <c r="B20">
        <v>1</v>
      </c>
      <c r="C20">
        <v>250</v>
      </c>
      <c r="D20">
        <v>134.26</v>
      </c>
      <c r="E20">
        <v>47600</v>
      </c>
      <c r="F20">
        <v>34.17</v>
      </c>
      <c r="G20">
        <v>141.25</v>
      </c>
    </row>
    <row r="21" spans="1:7" x14ac:dyDescent="0.25">
      <c r="A21" t="s">
        <v>2488</v>
      </c>
      <c r="B21">
        <v>1</v>
      </c>
      <c r="C21">
        <v>250</v>
      </c>
      <c r="D21">
        <v>155.65</v>
      </c>
      <c r="E21">
        <v>52000</v>
      </c>
      <c r="F21">
        <v>39.22</v>
      </c>
      <c r="G21">
        <v>161.85</v>
      </c>
    </row>
    <row r="22" spans="1:7" x14ac:dyDescent="0.25">
      <c r="A22" t="s">
        <v>2488</v>
      </c>
      <c r="B22">
        <v>1</v>
      </c>
      <c r="C22">
        <v>250</v>
      </c>
      <c r="D22">
        <v>370.38</v>
      </c>
      <c r="E22">
        <v>92200</v>
      </c>
      <c r="F22">
        <v>92.6</v>
      </c>
      <c r="G22">
        <v>387.58</v>
      </c>
    </row>
    <row r="23" spans="1:7" x14ac:dyDescent="0.25">
      <c r="A23" t="s">
        <v>2488</v>
      </c>
      <c r="B23">
        <v>1</v>
      </c>
      <c r="C23">
        <v>250</v>
      </c>
      <c r="D23">
        <v>877.1</v>
      </c>
      <c r="E23">
        <v>217400</v>
      </c>
      <c r="F23">
        <v>219.27</v>
      </c>
      <c r="G23">
        <v>920.45</v>
      </c>
    </row>
    <row r="24" spans="1:7" x14ac:dyDescent="0.25">
      <c r="A24" t="s">
        <v>2488</v>
      </c>
      <c r="B24">
        <v>2</v>
      </c>
      <c r="C24">
        <v>250</v>
      </c>
      <c r="D24">
        <v>154.69999999999999</v>
      </c>
      <c r="E24">
        <v>76000</v>
      </c>
      <c r="F24">
        <v>38.68</v>
      </c>
      <c r="G24">
        <v>162.5</v>
      </c>
    </row>
    <row r="25" spans="1:7" x14ac:dyDescent="0.25">
      <c r="A25" t="s">
        <v>2489</v>
      </c>
      <c r="B25">
        <v>1</v>
      </c>
      <c r="C25">
        <v>250</v>
      </c>
      <c r="D25">
        <v>629.84</v>
      </c>
      <c r="E25">
        <v>132000</v>
      </c>
      <c r="F25">
        <v>158.91</v>
      </c>
      <c r="G25">
        <v>649.79</v>
      </c>
    </row>
    <row r="26" spans="1:7" x14ac:dyDescent="0.25">
      <c r="A26" t="s">
        <v>2489</v>
      </c>
      <c r="B26">
        <v>1</v>
      </c>
      <c r="C26">
        <v>250</v>
      </c>
      <c r="D26">
        <v>1222.6600000000001</v>
      </c>
      <c r="E26">
        <v>225200</v>
      </c>
      <c r="F26">
        <v>305.52</v>
      </c>
      <c r="G26">
        <v>1260.01</v>
      </c>
    </row>
    <row r="27" spans="1:7" x14ac:dyDescent="0.25">
      <c r="A27" t="s">
        <v>2490</v>
      </c>
      <c r="B27">
        <v>1</v>
      </c>
      <c r="C27">
        <v>250</v>
      </c>
      <c r="D27">
        <v>1240.1400000000001</v>
      </c>
      <c r="E27">
        <v>212000</v>
      </c>
      <c r="F27">
        <v>310.02999999999997</v>
      </c>
      <c r="G27">
        <v>1288.75</v>
      </c>
    </row>
    <row r="28" spans="1:7" x14ac:dyDescent="0.25">
      <c r="A28" t="s">
        <v>2491</v>
      </c>
      <c r="B28">
        <v>1</v>
      </c>
      <c r="C28">
        <v>1000</v>
      </c>
      <c r="D28">
        <v>2504.7399999999998</v>
      </c>
      <c r="E28">
        <v>235031.2</v>
      </c>
      <c r="F28">
        <v>2504.7399999999998</v>
      </c>
      <c r="G28">
        <v>2505.2399999999998</v>
      </c>
    </row>
    <row r="29" spans="1:7" x14ac:dyDescent="0.25">
      <c r="A29" t="s">
        <v>2491</v>
      </c>
      <c r="B29">
        <v>2</v>
      </c>
      <c r="C29">
        <v>500</v>
      </c>
      <c r="D29">
        <v>27.46</v>
      </c>
      <c r="E29">
        <v>29800</v>
      </c>
      <c r="F29">
        <v>13.74</v>
      </c>
      <c r="G29">
        <v>27.46</v>
      </c>
    </row>
    <row r="30" spans="1:7" x14ac:dyDescent="0.25">
      <c r="D30" t="s">
        <v>2492</v>
      </c>
      <c r="G30" t="s">
        <v>2493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11"/>
  <sheetViews>
    <sheetView workbookViewId="0">
      <selection sqref="A1:A2"/>
    </sheetView>
  </sheetViews>
  <sheetFormatPr defaultRowHeight="15" x14ac:dyDescent="0.25"/>
  <cols>
    <col min="1" max="3" width="15.7109375" style="1" customWidth="1"/>
    <col min="4" max="4" width="5.7109375" style="1" customWidth="1"/>
    <col min="5" max="5" width="8.28515625" style="1" customWidth="1"/>
    <col min="6" max="6" width="13.28515625" style="1" customWidth="1"/>
    <col min="7" max="16384" width="9.140625" style="1"/>
  </cols>
  <sheetData>
    <row r="1" spans="1:6" ht="42.6" customHeight="1" x14ac:dyDescent="0.25">
      <c r="A1" s="72" t="s">
        <v>2524</v>
      </c>
      <c r="B1" s="73" t="s">
        <v>2525</v>
      </c>
      <c r="C1" s="73" t="s">
        <v>2526</v>
      </c>
      <c r="D1" s="73" t="s">
        <v>2527</v>
      </c>
      <c r="E1" s="43" t="s">
        <v>2528</v>
      </c>
      <c r="F1" s="63" t="s">
        <v>2529</v>
      </c>
    </row>
    <row r="2" spans="1:6" ht="42.6" customHeight="1" x14ac:dyDescent="0.25">
      <c r="A2" s="65"/>
      <c r="B2" s="66"/>
      <c r="C2" s="66"/>
      <c r="D2" s="66"/>
      <c r="E2" s="42" t="s">
        <v>2530</v>
      </c>
      <c r="F2" s="64"/>
    </row>
    <row r="3" spans="1:6" ht="11.45" customHeight="1" x14ac:dyDescent="0.25">
      <c r="A3" s="40">
        <v>1</v>
      </c>
      <c r="B3" s="42">
        <v>2</v>
      </c>
      <c r="C3" s="42">
        <v>3</v>
      </c>
      <c r="D3" s="42">
        <v>4</v>
      </c>
      <c r="E3" s="42">
        <v>5</v>
      </c>
      <c r="F3" s="41">
        <v>6</v>
      </c>
    </row>
    <row r="4" spans="1:6" ht="33" x14ac:dyDescent="0.25">
      <c r="A4" s="65" t="s">
        <v>2531</v>
      </c>
      <c r="B4" s="42" t="s">
        <v>2532</v>
      </c>
      <c r="C4" s="42" t="s">
        <v>1715</v>
      </c>
      <c r="D4" s="42">
        <v>1</v>
      </c>
      <c r="E4" s="45">
        <v>0.1</v>
      </c>
      <c r="F4" s="46">
        <v>0.1</v>
      </c>
    </row>
    <row r="5" spans="1:6" ht="16.5" x14ac:dyDescent="0.25">
      <c r="A5" s="65"/>
      <c r="B5" s="66" t="s">
        <v>2401</v>
      </c>
      <c r="C5" s="66"/>
      <c r="D5" s="42">
        <v>2</v>
      </c>
      <c r="E5" s="45">
        <v>0.1</v>
      </c>
      <c r="F5" s="46">
        <v>0.1</v>
      </c>
    </row>
    <row r="6" spans="1:6" ht="16.5" x14ac:dyDescent="0.25">
      <c r="A6" s="65" t="s">
        <v>2533</v>
      </c>
      <c r="B6" s="66"/>
      <c r="C6" s="66"/>
      <c r="D6" s="42">
        <v>3</v>
      </c>
      <c r="E6" s="45">
        <v>0.1</v>
      </c>
      <c r="F6" s="46">
        <v>0.1</v>
      </c>
    </row>
    <row r="7" spans="1:6" ht="16.5" x14ac:dyDescent="0.25">
      <c r="A7" s="65" t="s">
        <v>2534</v>
      </c>
      <c r="B7" s="66"/>
      <c r="C7" s="66"/>
      <c r="D7" s="42">
        <v>4</v>
      </c>
      <c r="E7" s="45">
        <v>0.1</v>
      </c>
      <c r="F7" s="48">
        <v>0.1</v>
      </c>
    </row>
    <row r="8" spans="1:6" ht="16.5" x14ac:dyDescent="0.25">
      <c r="A8" s="65" t="s">
        <v>2535</v>
      </c>
      <c r="B8" s="66"/>
      <c r="C8" s="66"/>
      <c r="D8" s="42">
        <v>5</v>
      </c>
      <c r="E8" s="45" t="s">
        <v>2371</v>
      </c>
      <c r="F8" s="46" t="s">
        <v>2371</v>
      </c>
    </row>
    <row r="9" spans="1:6" ht="16.5" x14ac:dyDescent="0.25">
      <c r="A9" s="65" t="s">
        <v>6</v>
      </c>
      <c r="B9" s="66"/>
      <c r="C9" s="66"/>
      <c r="D9" s="42">
        <v>6</v>
      </c>
      <c r="E9" s="45">
        <v>0.1</v>
      </c>
      <c r="F9" s="46">
        <v>0.1</v>
      </c>
    </row>
    <row r="10" spans="1:6" ht="16.5" x14ac:dyDescent="0.25">
      <c r="A10" s="65" t="s">
        <v>2536</v>
      </c>
      <c r="B10" s="66"/>
      <c r="C10" s="66"/>
      <c r="D10" s="66"/>
      <c r="E10" s="67"/>
      <c r="F10" s="68"/>
    </row>
    <row r="11" spans="1:6" ht="17.25" thickBot="1" x14ac:dyDescent="0.3">
      <c r="A11" s="69" t="s">
        <v>2537</v>
      </c>
      <c r="B11" s="70"/>
      <c r="C11" s="70"/>
      <c r="D11" s="70" t="s">
        <v>2371</v>
      </c>
      <c r="E11" s="71"/>
      <c r="F11" s="47">
        <v>0.20599999999999999</v>
      </c>
    </row>
  </sheetData>
  <mergeCells count="14">
    <mergeCell ref="F1:F2"/>
    <mergeCell ref="A8:C8"/>
    <mergeCell ref="A9:C9"/>
    <mergeCell ref="A10:F10"/>
    <mergeCell ref="A11:C11"/>
    <mergeCell ref="D11:E11"/>
    <mergeCell ref="A1:A2"/>
    <mergeCell ref="A4:A5"/>
    <mergeCell ref="B1:B2"/>
    <mergeCell ref="B5:C5"/>
    <mergeCell ref="A6:C6"/>
    <mergeCell ref="A7:C7"/>
    <mergeCell ref="C1:C2"/>
    <mergeCell ref="D1:D2"/>
  </mergeCells>
  <conditionalFormatting sqref="A1:F11">
    <cfRule type="containsText" dxfId="38" priority="1" stopIfTrue="1" operator="containsText" text="С ЛИСТА">
      <formula>NOT(ISERROR(SEARCH("С ЛИСТА",A1)))</formula>
    </cfRule>
    <cfRule type="containsText" dxfId="37" priority="2" stopIfTrue="1" operator="containsText" text="ИЗ ФАЙЛА">
      <formula>NOT(ISERROR(SEARCH("ИЗ ФАЙЛА",A1)))</formula>
    </cfRule>
    <cfRule type="containsText" dxfId="36" priority="3" stopIfTrue="1" operator="containsText" text="!!!">
      <formula>NOT(ISERROR(SEARCH("!!!",A1)))</formula>
    </cfRule>
    <cfRule type="containsText" dxfId="35" priority="4" stopIfTrue="1" operator="containsText" text=" Изделия ">
      <formula>NOT(ISERROR(SEARCH(" Изделия ",A1)))</formula>
    </cfRule>
    <cfRule type="containsText" dxfId="34" priority="5" stopIfTrue="1" operator="containsText" text=" Прокат ">
      <formula>NOT(ISERROR(SEARCH(" Прокат ",A1)))</formula>
    </cfRule>
    <cfRule type="containsText" dxfId="33" priority="6" stopIfTrue="1" operator="containsText" text=" Сборочные единицы ">
      <formula>NOT(ISERROR(SEARCH(" Сборочные единицы ",A1)))</formula>
    </cfRule>
    <cfRule type="containsText" dxfId="32" priority="7" stopIfTrue="1" operator="containsText" text=" Материалы ">
      <formula>NOT(ISERROR(SEARCH(" Материалы ",A1)))</formula>
    </cfRule>
    <cfRule type="containsText" dxfId="31" priority="8" stopIfTrue="1" operator="containsText" text=", на ">
      <formula>NOT(ISERROR(SEARCH(", на ",A1)))</formula>
    </cfRule>
    <cfRule type="containsText" dxfId="3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|Содержание|</vt:lpstr>
      <vt:lpstr>|Лог|</vt:lpstr>
      <vt:lpstr>Тест полы_экспл</vt:lpstr>
      <vt:lpstr>Пример плиты_спец</vt:lpstr>
      <vt:lpstr>Изделия_спец.И</vt:lpstr>
      <vt:lpstr>Ведомость отделки АБК_правила</vt:lpstr>
      <vt:lpstr>Из архикада_плиты</vt:lpstr>
      <vt:lpstr>сталь_км</vt:lpstr>
      <vt:lpstr>!System</vt:lpstr>
      <vt:lpstr>'Из архикада_плиты'!КЖ_сист_ЖБ_Плиты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2019-01-10T13:03:03Z</cp:lastPrinted>
  <dcterms:created xsi:type="dcterms:W3CDTF">2014-07-19T16:57:30Z</dcterms:created>
  <dcterms:modified xsi:type="dcterms:W3CDTF">2019-01-18T09:51:49Z</dcterms:modified>
</cp:coreProperties>
</file>