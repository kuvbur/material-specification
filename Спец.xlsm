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29025" yWindow="0" windowWidth="16200" windowHeight="16575" tabRatio="850" firstSheet="13" activeTab="15"/>
  </bookViews>
  <sheets>
    <sheet name="|Содержание|" sheetId="661" r:id="rId1"/>
    <sheet name="Км1234_спец" sheetId="792" r:id="rId2"/>
    <sheet name="мость отделки-Чердак+29.100_вед" sheetId="781" r:id="rId3"/>
    <sheet name="Км1234_норм" sheetId="794" r:id="rId4"/>
    <sheet name="Км(2)_спец" sheetId="785" r:id="rId5"/>
    <sheet name="Ведомость отделки-Тест_вед" sheetId="783" r:id="rId6"/>
    <sheet name="Ведомость отделки-7 +24.750_вед" sheetId="779" r:id="rId7"/>
    <sheet name="Ведомость отделки-6 +20.700_вед" sheetId="778" r:id="rId8"/>
    <sheet name="Ведомость отделки-5 +16.650_вед" sheetId="777" r:id="rId9"/>
    <sheet name="Ведомость отделки--4.290_вед" sheetId="780" r:id="rId10"/>
    <sheet name="Ведомость отделки-4 +12.600_вед" sheetId="776" r:id="rId11"/>
    <sheet name="Ведомость отделки-3 +8.550_вед" sheetId="775" r:id="rId12"/>
    <sheet name="Ведомость отделки-2 +4.500_вед" sheetId="774" r:id="rId13"/>
    <sheet name="Ведомость отделки-1 0.000_вед" sheetId="773" r:id="rId14"/>
    <sheet name="Ведомость отделки_правила" sheetId="732" r:id="rId15"/>
    <sheet name="Км1234_гр" sheetId="789" r:id="rId16"/>
    <sheet name="Км1234" sheetId="788" r:id="rId17"/>
    <sheet name="Км1_кж" sheetId="787" r:id="rId18"/>
    <sheet name="Км1 2 3 4" sheetId="786" r:id="rId19"/>
    <sheet name="Из архикада плиты" sheetId="784" r:id="rId20"/>
    <sheet name="|Лог|" sheetId="751" state="hidden" r:id="rId21"/>
    <sheet name="Ведомость отделки_разб" sheetId="782" r:id="rId22"/>
    <sheet name="Км(2)_кж" sheetId="793" r:id="rId23"/>
    <sheet name="Км1234_грс" sheetId="790" r:id="rId24"/>
    <sheet name="Км1234_кж" sheetId="791" r:id="rId25"/>
    <sheet name="!System" sheetId="413" state="hidden" r:id="rId26"/>
  </sheets>
  <functionGroups builtInGroupCount="18"/>
  <externalReferences>
    <externalReference r:id="rId27"/>
  </externalReferences>
  <definedNames>
    <definedName name="КЖ_сист_ЖБ_Плиты" localSheetId="19">'Из архикада плиты'!$A$1:$H$30</definedName>
    <definedName name="_xlnm.Print_Area" localSheetId="5">'Ведомость отделки-Тест_вед'!$A$1:$L$116</definedName>
  </definedNames>
  <calcPr calcId="162913"/>
</workbook>
</file>

<file path=xl/calcChain.xml><?xml version="1.0" encoding="utf-8"?>
<calcChain xmlns="http://schemas.openxmlformats.org/spreadsheetml/2006/main">
  <c r="E449" i="792" l="1"/>
  <c r="E448" i="792"/>
  <c r="H445" i="792"/>
  <c r="E445" i="792"/>
  <c r="E444" i="792"/>
  <c r="E443" i="792"/>
  <c r="E442" i="792"/>
  <c r="H441" i="792"/>
  <c r="E441" i="792"/>
  <c r="H440" i="792"/>
  <c r="E440" i="792"/>
  <c r="H439" i="792"/>
  <c r="E439" i="792"/>
  <c r="H438" i="792"/>
  <c r="E438" i="792"/>
  <c r="E436" i="792"/>
  <c r="E435" i="792"/>
  <c r="E434" i="792"/>
  <c r="E433" i="792"/>
  <c r="E432" i="792"/>
  <c r="E431" i="792"/>
  <c r="A431" i="792"/>
  <c r="A432" i="792" s="1"/>
  <c r="A433" i="792" s="1"/>
  <c r="A434" i="792" s="1"/>
  <c r="A435" i="792" s="1"/>
  <c r="A436" i="792" s="1"/>
  <c r="A437" i="792" s="1"/>
  <c r="A438" i="792" s="1"/>
  <c r="A439" i="792" s="1"/>
  <c r="A440" i="792" s="1"/>
  <c r="A441" i="792" s="1"/>
  <c r="A442" i="792" s="1"/>
  <c r="A443" i="792" s="1"/>
  <c r="A444" i="792" s="1"/>
  <c r="A445" i="792" s="1"/>
  <c r="A446" i="792" s="1"/>
  <c r="A447" i="792" s="1"/>
  <c r="A448" i="792" s="1"/>
  <c r="A449" i="792" s="1"/>
  <c r="A450" i="792" s="1"/>
  <c r="E429" i="792"/>
  <c r="E428" i="792"/>
  <c r="H427" i="792"/>
  <c r="E427" i="792"/>
  <c r="E424" i="792"/>
  <c r="H423" i="792"/>
  <c r="E423" i="792"/>
  <c r="H422" i="792"/>
  <c r="E422" i="792"/>
  <c r="E421" i="792"/>
  <c r="E418" i="792"/>
  <c r="A418" i="792"/>
  <c r="A419" i="792" s="1"/>
  <c r="A420" i="792" s="1"/>
  <c r="A421" i="792" s="1"/>
  <c r="A422" i="792" s="1"/>
  <c r="A423" i="792" s="1"/>
  <c r="A424" i="792" s="1"/>
  <c r="A425" i="792" s="1"/>
  <c r="A426" i="792" s="1"/>
  <c r="A427" i="792" s="1"/>
  <c r="A428" i="792" s="1"/>
  <c r="A429" i="792" s="1"/>
  <c r="E415" i="792"/>
  <c r="E414" i="792"/>
  <c r="H412" i="792"/>
  <c r="E412" i="792"/>
  <c r="E410" i="792"/>
  <c r="A410" i="792"/>
  <c r="A411" i="792" s="1"/>
  <c r="A412" i="792" s="1"/>
  <c r="A413" i="792" s="1"/>
  <c r="A414" i="792" s="1"/>
  <c r="K407" i="792"/>
  <c r="E406" i="792"/>
  <c r="E405" i="792"/>
  <c r="H404" i="792"/>
  <c r="E404" i="792"/>
  <c r="E402" i="792"/>
  <c r="H400" i="792"/>
  <c r="E400" i="792"/>
  <c r="H399" i="792"/>
  <c r="E399" i="792"/>
  <c r="A396" i="792"/>
  <c r="A397" i="792" s="1"/>
  <c r="A398" i="792" s="1"/>
  <c r="K393" i="792"/>
  <c r="E392" i="792"/>
  <c r="E391" i="792"/>
  <c r="E389" i="792"/>
  <c r="H387" i="792"/>
  <c r="E387" i="792"/>
  <c r="A385" i="792"/>
  <c r="A386" i="792" s="1"/>
  <c r="A387" i="792" s="1"/>
  <c r="A388" i="792" s="1"/>
  <c r="K383" i="792"/>
  <c r="E382" i="792"/>
  <c r="E381" i="792"/>
  <c r="H378" i="792"/>
  <c r="E378" i="792"/>
  <c r="E375" i="792"/>
  <c r="H373" i="792"/>
  <c r="E373" i="792"/>
  <c r="H372" i="792"/>
  <c r="E372" i="792"/>
  <c r="A370" i="792"/>
  <c r="A371" i="792" s="1"/>
  <c r="A372" i="792" s="1"/>
  <c r="K367" i="792"/>
  <c r="E366" i="792"/>
  <c r="E365" i="792"/>
  <c r="H362" i="792"/>
  <c r="E362" i="792"/>
  <c r="E359" i="792"/>
  <c r="H357" i="792"/>
  <c r="E357" i="792"/>
  <c r="H356" i="792"/>
  <c r="E356" i="792"/>
  <c r="A354" i="792"/>
  <c r="A355" i="792" s="1"/>
  <c r="A356" i="792" s="1"/>
  <c r="K351" i="792"/>
  <c r="E350" i="792"/>
  <c r="E349" i="792"/>
  <c r="E343" i="792"/>
  <c r="H341" i="792"/>
  <c r="E341" i="792"/>
  <c r="A339" i="792"/>
  <c r="A340" i="792" s="1"/>
  <c r="A341" i="792" s="1"/>
  <c r="K336" i="792"/>
  <c r="E335" i="792"/>
  <c r="E334" i="792"/>
  <c r="E327" i="792"/>
  <c r="H325" i="792"/>
  <c r="E325" i="792"/>
  <c r="A323" i="792"/>
  <c r="A324" i="792" s="1"/>
  <c r="A325" i="792" s="1"/>
  <c r="K320" i="792"/>
  <c r="E319" i="792"/>
  <c r="E318" i="792"/>
  <c r="E316" i="792"/>
  <c r="H314" i="792"/>
  <c r="E314" i="792"/>
  <c r="A312" i="792"/>
  <c r="A313" i="792" s="1"/>
  <c r="A314" i="792" s="1"/>
  <c r="A315" i="792" s="1"/>
  <c r="K308" i="792"/>
  <c r="E307" i="792"/>
  <c r="E306" i="792"/>
  <c r="E303" i="792"/>
  <c r="H301" i="792"/>
  <c r="E301" i="792"/>
  <c r="A299" i="792"/>
  <c r="A300" i="792" s="1"/>
  <c r="A301" i="792" s="1"/>
  <c r="A302" i="792" s="1"/>
  <c r="K296" i="792"/>
  <c r="E295" i="792"/>
  <c r="E294" i="792"/>
  <c r="E291" i="792"/>
  <c r="H289" i="792"/>
  <c r="E289" i="792"/>
  <c r="A287" i="792"/>
  <c r="A288" i="792" s="1"/>
  <c r="A289" i="792" s="1"/>
  <c r="A290" i="792" s="1"/>
  <c r="K284" i="792"/>
  <c r="E283" i="792"/>
  <c r="E282" i="792"/>
  <c r="E277" i="792"/>
  <c r="H275" i="792"/>
  <c r="E275" i="792"/>
  <c r="E273" i="792"/>
  <c r="A273" i="792"/>
  <c r="A274" i="792" s="1"/>
  <c r="A275" i="792" s="1"/>
  <c r="K271" i="792"/>
  <c r="E270" i="792"/>
  <c r="E269" i="792"/>
  <c r="E265" i="792"/>
  <c r="H263" i="792"/>
  <c r="E263" i="792"/>
  <c r="E261" i="792"/>
  <c r="A261" i="792"/>
  <c r="A262" i="792" s="1"/>
  <c r="A263" i="792" s="1"/>
  <c r="K259" i="792"/>
  <c r="E258" i="792"/>
  <c r="E257" i="792"/>
  <c r="E253" i="792"/>
  <c r="H251" i="792"/>
  <c r="E251" i="792"/>
  <c r="E249" i="792"/>
  <c r="A249" i="792"/>
  <c r="A250" i="792" s="1"/>
  <c r="A251" i="792" s="1"/>
  <c r="K247" i="792"/>
  <c r="E246" i="792"/>
  <c r="E245" i="792"/>
  <c r="E241" i="792"/>
  <c r="H239" i="792"/>
  <c r="E239" i="792"/>
  <c r="E237" i="792"/>
  <c r="A237" i="792"/>
  <c r="A238" i="792" s="1"/>
  <c r="A239" i="792" s="1"/>
  <c r="A240" i="792" s="1"/>
  <c r="K235" i="792"/>
  <c r="E234" i="792"/>
  <c r="E233" i="792"/>
  <c r="E226" i="792"/>
  <c r="H224" i="792"/>
  <c r="E224" i="792"/>
  <c r="E222" i="792"/>
  <c r="A222" i="792"/>
  <c r="A223" i="792" s="1"/>
  <c r="A224" i="792" s="1"/>
  <c r="K219" i="792"/>
  <c r="E218" i="792"/>
  <c r="E217" i="792"/>
  <c r="E212" i="792"/>
  <c r="H210" i="792"/>
  <c r="E210" i="792"/>
  <c r="E208" i="792"/>
  <c r="A208" i="792"/>
  <c r="A209" i="792" s="1"/>
  <c r="A210" i="792" s="1"/>
  <c r="A211" i="792" s="1"/>
  <c r="K203" i="792"/>
  <c r="E202" i="792"/>
  <c r="E201" i="792"/>
  <c r="E198" i="792"/>
  <c r="H196" i="792"/>
  <c r="E196" i="792"/>
  <c r="A194" i="792"/>
  <c r="A195" i="792" s="1"/>
  <c r="A196" i="792" s="1"/>
  <c r="A197" i="792" s="1"/>
  <c r="K191" i="792"/>
  <c r="E190" i="792"/>
  <c r="E189" i="792"/>
  <c r="H188" i="792"/>
  <c r="E188" i="792"/>
  <c r="E185" i="792"/>
  <c r="A181" i="792"/>
  <c r="A182" i="792" s="1"/>
  <c r="A183" i="792" s="1"/>
  <c r="A184" i="792" s="1"/>
  <c r="A185" i="792" s="1"/>
  <c r="A186" i="792" s="1"/>
  <c r="K177" i="792"/>
  <c r="E176" i="792"/>
  <c r="E175" i="792"/>
  <c r="H174" i="792"/>
  <c r="H173" i="792"/>
  <c r="E173" i="792"/>
  <c r="E168" i="792"/>
  <c r="H166" i="792"/>
  <c r="E166" i="792"/>
  <c r="H165" i="792"/>
  <c r="E165" i="792"/>
  <c r="A162" i="792"/>
  <c r="A163" i="792" s="1"/>
  <c r="A164" i="792" s="1"/>
  <c r="A165" i="792" s="1"/>
  <c r="K159" i="792"/>
  <c r="E158" i="792"/>
  <c r="E157" i="792"/>
  <c r="H156" i="792"/>
  <c r="H155" i="792"/>
  <c r="E155" i="792"/>
  <c r="E150" i="792"/>
  <c r="H148" i="792"/>
  <c r="E148" i="792"/>
  <c r="H147" i="792"/>
  <c r="E147" i="792"/>
  <c r="A144" i="792"/>
  <c r="A145" i="792" s="1"/>
  <c r="A146" i="792" s="1"/>
  <c r="A147" i="792" s="1"/>
  <c r="K141" i="792"/>
  <c r="E140" i="792"/>
  <c r="E139" i="792"/>
  <c r="H138" i="792"/>
  <c r="E138" i="792"/>
  <c r="E135" i="792"/>
  <c r="H133" i="792"/>
  <c r="E133" i="792"/>
  <c r="H132" i="792"/>
  <c r="E132" i="792"/>
  <c r="A129" i="792"/>
  <c r="A130" i="792" s="1"/>
  <c r="A131" i="792" s="1"/>
  <c r="A132" i="792" s="1"/>
  <c r="K126" i="792"/>
  <c r="E125" i="792"/>
  <c r="E124" i="792"/>
  <c r="E121" i="792"/>
  <c r="H119" i="792"/>
  <c r="E119" i="792"/>
  <c r="A117" i="792"/>
  <c r="A118" i="792" s="1"/>
  <c r="A119" i="792" s="1"/>
  <c r="A120" i="792" s="1"/>
  <c r="K114" i="792"/>
  <c r="E113" i="792"/>
  <c r="E112" i="792"/>
  <c r="E109" i="792"/>
  <c r="H107" i="792"/>
  <c r="E107" i="792"/>
  <c r="A105" i="792"/>
  <c r="A106" i="792" s="1"/>
  <c r="A107" i="792" s="1"/>
  <c r="A108" i="792" s="1"/>
  <c r="K102" i="792"/>
  <c r="E101" i="792"/>
  <c r="E100" i="792"/>
  <c r="E97" i="792"/>
  <c r="H95" i="792"/>
  <c r="E95" i="792"/>
  <c r="E93" i="792"/>
  <c r="A93" i="792"/>
  <c r="A94" i="792" s="1"/>
  <c r="A95" i="792" s="1"/>
  <c r="A96" i="792" s="1"/>
  <c r="K88" i="792"/>
  <c r="E87" i="792"/>
  <c r="E86" i="792"/>
  <c r="H85" i="792"/>
  <c r="E85" i="792"/>
  <c r="E83" i="792"/>
  <c r="H78" i="792"/>
  <c r="E78" i="792"/>
  <c r="H77" i="792"/>
  <c r="E77" i="792"/>
  <c r="A74" i="792"/>
  <c r="A75" i="792" s="1"/>
  <c r="A77" i="792" s="1"/>
  <c r="A79" i="792" s="1"/>
  <c r="K72" i="792"/>
  <c r="E71" i="792"/>
  <c r="H70" i="792"/>
  <c r="E70" i="792"/>
  <c r="E68" i="792"/>
  <c r="H67" i="792"/>
  <c r="E67" i="792"/>
  <c r="H66" i="792"/>
  <c r="E66" i="792"/>
  <c r="E63" i="792"/>
  <c r="A63" i="792"/>
  <c r="A64" i="792" s="1"/>
  <c r="E58" i="792"/>
  <c r="E57" i="792"/>
  <c r="H55" i="792"/>
  <c r="E55" i="792"/>
  <c r="E53" i="792"/>
  <c r="A53" i="792"/>
  <c r="A54" i="792" s="1"/>
  <c r="A55" i="792" s="1"/>
  <c r="A56" i="792" s="1"/>
  <c r="A57" i="792" s="1"/>
  <c r="K50" i="792"/>
  <c r="E49" i="792"/>
  <c r="E48" i="792"/>
  <c r="H47" i="792"/>
  <c r="E47" i="792"/>
  <c r="E44" i="792"/>
  <c r="H43" i="792"/>
  <c r="E43" i="792"/>
  <c r="H42" i="792"/>
  <c r="E42" i="792"/>
  <c r="E41" i="792"/>
  <c r="E38" i="792"/>
  <c r="A38" i="792"/>
  <c r="A39" i="792" s="1"/>
  <c r="H33" i="792"/>
  <c r="E33" i="792"/>
  <c r="E32" i="792"/>
  <c r="E31" i="792"/>
  <c r="E30" i="792"/>
  <c r="H29" i="792"/>
  <c r="E29" i="792"/>
  <c r="H28" i="792"/>
  <c r="E28" i="792"/>
  <c r="H27" i="792"/>
  <c r="E27" i="792"/>
  <c r="H26" i="792"/>
  <c r="E26" i="792"/>
  <c r="E24" i="792"/>
  <c r="E23" i="792"/>
  <c r="E22" i="792"/>
  <c r="E21" i="792"/>
  <c r="E20" i="792"/>
  <c r="E19" i="792"/>
  <c r="A19" i="792"/>
  <c r="A27" i="792" s="1"/>
  <c r="E15" i="792"/>
  <c r="E14" i="792"/>
  <c r="E11" i="792"/>
  <c r="H9" i="792"/>
  <c r="E9" i="792"/>
  <c r="E7" i="792"/>
  <c r="A7" i="792"/>
  <c r="A8" i="792" s="1"/>
  <c r="A3" i="792"/>
  <c r="M35" i="785"/>
  <c r="K35" i="785"/>
  <c r="F35" i="785"/>
  <c r="E34" i="785"/>
  <c r="E33" i="785"/>
  <c r="H32" i="785"/>
  <c r="E32" i="785"/>
  <c r="H24" i="785"/>
  <c r="E24" i="785"/>
  <c r="H23" i="785"/>
  <c r="E23" i="785"/>
  <c r="A20" i="785"/>
  <c r="A21" i="785" s="1"/>
  <c r="F17" i="785"/>
  <c r="M16" i="785"/>
  <c r="K16" i="785"/>
  <c r="F16" i="785"/>
  <c r="E15" i="785"/>
  <c r="E14" i="785"/>
  <c r="E12" i="785"/>
  <c r="H10" i="785"/>
  <c r="E10" i="785"/>
  <c r="A9" i="785"/>
  <c r="A10" i="785" s="1"/>
  <c r="A11" i="785" s="1"/>
  <c r="A12" i="785" s="1"/>
  <c r="A13" i="785" s="1"/>
  <c r="A14" i="785" s="1"/>
  <c r="A15" i="785" s="1"/>
  <c r="A16" i="785" s="1"/>
  <c r="A17" i="785" s="1"/>
  <c r="A8" i="785"/>
  <c r="C4" i="785"/>
  <c r="A3" i="785"/>
  <c r="E4" i="785"/>
  <c r="A22" i="785" l="1"/>
  <c r="A23" i="785"/>
  <c r="A26" i="785" s="1"/>
  <c r="A76" i="792"/>
  <c r="A78" i="792" s="1"/>
  <c r="A83" i="792" s="1"/>
  <c r="A85" i="792" s="1"/>
  <c r="A87" i="792" s="1"/>
  <c r="A215" i="792"/>
  <c r="A214" i="792"/>
  <c r="A213" i="792"/>
  <c r="A217" i="792" s="1"/>
  <c r="A219" i="792" s="1"/>
  <c r="A212" i="792"/>
  <c r="A216" i="792" s="1"/>
  <c r="A218" i="792" s="1"/>
  <c r="A40" i="792"/>
  <c r="A42" i="792"/>
  <c r="A109" i="792"/>
  <c r="A111" i="792" s="1"/>
  <c r="A113" i="792" s="1"/>
  <c r="A114" i="792" s="1"/>
  <c r="A110" i="792"/>
  <c r="A112" i="792" s="1"/>
  <c r="A331" i="792"/>
  <c r="A336" i="792" s="1"/>
  <c r="A330" i="792"/>
  <c r="A335" i="792" s="1"/>
  <c r="A329" i="792"/>
  <c r="A334" i="792" s="1"/>
  <c r="A326" i="792"/>
  <c r="A198" i="792"/>
  <c r="A200" i="792" s="1"/>
  <c r="A202" i="792" s="1"/>
  <c r="A199" i="792"/>
  <c r="A201" i="792" s="1"/>
  <c r="A203" i="792" s="1"/>
  <c r="A59" i="792"/>
  <c r="A58" i="792"/>
  <c r="A98" i="792"/>
  <c r="A100" i="792" s="1"/>
  <c r="A102" i="792" s="1"/>
  <c r="A97" i="792"/>
  <c r="A99" i="792" s="1"/>
  <c r="A101" i="792" s="1"/>
  <c r="A401" i="792"/>
  <c r="A402" i="792" s="1"/>
  <c r="A403" i="792" s="1"/>
  <c r="A404" i="792" s="1"/>
  <c r="A405" i="792" s="1"/>
  <c r="A406" i="792" s="1"/>
  <c r="A407" i="792" s="1"/>
  <c r="A399" i="792"/>
  <c r="A400" i="792" s="1"/>
  <c r="A225" i="792"/>
  <c r="A231" i="792"/>
  <c r="A229" i="792"/>
  <c r="A134" i="792"/>
  <c r="A133" i="792"/>
  <c r="A149" i="792"/>
  <c r="A148" i="792"/>
  <c r="A155" i="792"/>
  <c r="A264" i="792"/>
  <c r="A267" i="792"/>
  <c r="A317" i="792"/>
  <c r="A318" i="792" s="1"/>
  <c r="A316" i="792"/>
  <c r="A291" i="792"/>
  <c r="A293" i="792" s="1"/>
  <c r="A295" i="792" s="1"/>
  <c r="A296" i="792" s="1"/>
  <c r="A292" i="792"/>
  <c r="A294" i="792" s="1"/>
  <c r="A373" i="792"/>
  <c r="A374" i="792"/>
  <c r="A375" i="792" s="1"/>
  <c r="A376" i="792" s="1"/>
  <c r="A377" i="792" s="1"/>
  <c r="A378" i="792" s="1"/>
  <c r="A379" i="792" s="1"/>
  <c r="A380" i="792" s="1"/>
  <c r="A381" i="792" s="1"/>
  <c r="A382" i="792" s="1"/>
  <c r="A383" i="792" s="1"/>
  <c r="A416" i="792"/>
  <c r="A415" i="792"/>
  <c r="A280" i="792"/>
  <c r="A278" i="792"/>
  <c r="A283" i="792" s="1"/>
  <c r="A276" i="792"/>
  <c r="A358" i="792"/>
  <c r="A359" i="792" s="1"/>
  <c r="A360" i="792" s="1"/>
  <c r="A361" i="792" s="1"/>
  <c r="A362" i="792" s="1"/>
  <c r="A363" i="792" s="1"/>
  <c r="A364" i="792" s="1"/>
  <c r="A365" i="792" s="1"/>
  <c r="A366" i="792" s="1"/>
  <c r="A367" i="792" s="1"/>
  <c r="A357" i="792"/>
  <c r="A30" i="785"/>
  <c r="A32" i="785" s="1"/>
  <c r="A33" i="785" s="1"/>
  <c r="A34" i="785" s="1"/>
  <c r="A35" i="785" s="1"/>
  <c r="A29" i="785"/>
  <c r="A31" i="785" s="1"/>
  <c r="A255" i="792"/>
  <c r="A252" i="792"/>
  <c r="A389" i="792"/>
  <c r="A390" i="792"/>
  <c r="A391" i="792" s="1"/>
  <c r="A65" i="792"/>
  <c r="A67" i="792" s="1"/>
  <c r="A68" i="792" s="1"/>
  <c r="A69" i="792" s="1"/>
  <c r="A70" i="792" s="1"/>
  <c r="A71" i="792" s="1"/>
  <c r="A72" i="792" s="1"/>
  <c r="A66" i="792"/>
  <c r="A84" i="792"/>
  <c r="A86" i="792" s="1"/>
  <c r="A88" i="792" s="1"/>
  <c r="A81" i="792"/>
  <c r="A173" i="792"/>
  <c r="A167" i="792"/>
  <c r="A166" i="792"/>
  <c r="A187" i="792"/>
  <c r="A188" i="792" s="1"/>
  <c r="A189" i="792" s="1"/>
  <c r="A190" i="792" s="1"/>
  <c r="A191" i="792"/>
  <c r="A24" i="785"/>
  <c r="A27" i="785" s="1"/>
  <c r="A25" i="785"/>
  <c r="A28" i="785" s="1"/>
  <c r="A122" i="792"/>
  <c r="A124" i="792" s="1"/>
  <c r="A121" i="792"/>
  <c r="A123" i="792" s="1"/>
  <c r="A125" i="792" s="1"/>
  <c r="A126" i="792" s="1"/>
  <c r="A241" i="792"/>
  <c r="A244" i="792"/>
  <c r="A246" i="792" s="1"/>
  <c r="A304" i="792"/>
  <c r="A306" i="792" s="1"/>
  <c r="A303" i="792"/>
  <c r="A305" i="792" s="1"/>
  <c r="A307" i="792" s="1"/>
  <c r="A308" i="792" s="1"/>
  <c r="A346" i="792"/>
  <c r="A351" i="792" s="1"/>
  <c r="A345" i="792"/>
  <c r="A350" i="792" s="1"/>
  <c r="A342" i="792"/>
  <c r="A9" i="792"/>
  <c r="A10" i="792" s="1"/>
  <c r="A243" i="792"/>
  <c r="A20" i="792"/>
  <c r="A4" i="785"/>
  <c r="C6" i="732"/>
  <c r="A80" i="792" l="1"/>
  <c r="A82" i="792" s="1"/>
  <c r="A332" i="792"/>
  <c r="A327" i="792"/>
  <c r="A256" i="792"/>
  <c r="A258" i="792" s="1"/>
  <c r="A253" i="792"/>
  <c r="A232" i="792"/>
  <c r="A226" i="792"/>
  <c r="A347" i="792"/>
  <c r="A343" i="792"/>
  <c r="A21" i="792"/>
  <c r="A31" i="792"/>
  <c r="A32" i="792" s="1"/>
  <c r="A33" i="792" s="1"/>
  <c r="A34" i="792" s="1"/>
  <c r="A35" i="792" s="1"/>
  <c r="A36" i="792" s="1"/>
  <c r="A12" i="792"/>
  <c r="A14" i="792" s="1"/>
  <c r="A11" i="792"/>
  <c r="A13" i="792" s="1"/>
  <c r="A15" i="792" s="1"/>
  <c r="A16" i="792" s="1"/>
  <c r="A168" i="792"/>
  <c r="A174" i="792"/>
  <c r="A277" i="792"/>
  <c r="A281" i="792"/>
  <c r="A268" i="792"/>
  <c r="A270" i="792" s="1"/>
  <c r="A265" i="792"/>
  <c r="A41" i="792"/>
  <c r="A43" i="792"/>
  <c r="A44" i="792" s="1"/>
  <c r="A45" i="792" s="1"/>
  <c r="A46" i="792" s="1"/>
  <c r="A47" i="792" s="1"/>
  <c r="A48" i="792" s="1"/>
  <c r="A49" i="792" s="1"/>
  <c r="A50" i="792" s="1"/>
  <c r="A139" i="792"/>
  <c r="A136" i="792"/>
  <c r="A141" i="792" s="1"/>
  <c r="A169" i="792"/>
  <c r="A175" i="792"/>
  <c r="A242" i="792"/>
  <c r="A245" i="792"/>
  <c r="A247" i="792" s="1"/>
  <c r="A156" i="792"/>
  <c r="A150" i="792"/>
  <c r="A320" i="792"/>
  <c r="A319" i="792"/>
  <c r="A157" i="792"/>
  <c r="A151" i="792"/>
  <c r="A393" i="792"/>
  <c r="A392" i="792"/>
  <c r="A135" i="792"/>
  <c r="A138" i="792"/>
  <c r="A348" i="792" l="1"/>
  <c r="A344" i="792"/>
  <c r="A349" i="792" s="1"/>
  <c r="A257" i="792"/>
  <c r="A259" i="792" s="1"/>
  <c r="A254" i="792"/>
  <c r="A154" i="792"/>
  <c r="A159" i="792"/>
  <c r="A233" i="792"/>
  <c r="A230" i="792"/>
  <c r="A227" i="792"/>
  <c r="A140" i="792"/>
  <c r="A137" i="792"/>
  <c r="A269" i="792"/>
  <c r="A271" i="792" s="1"/>
  <c r="A266" i="792"/>
  <c r="A333" i="792"/>
  <c r="A328" i="792"/>
  <c r="A172" i="792"/>
  <c r="A177" i="792"/>
  <c r="A29" i="792"/>
  <c r="A30" i="792" s="1"/>
  <c r="A22" i="792"/>
  <c r="A153" i="792"/>
  <c r="A152" i="792"/>
  <c r="A158" i="792"/>
  <c r="A279" i="792"/>
  <c r="A284" i="792" s="1"/>
  <c r="A282" i="792"/>
  <c r="A171" i="792"/>
  <c r="A170" i="792"/>
  <c r="A176" i="792"/>
  <c r="A234" i="792" l="1"/>
  <c r="A228" i="792"/>
  <c r="A235" i="792" s="1"/>
  <c r="A23" i="792"/>
  <c r="A26" i="792"/>
  <c r="A25" i="792" l="1"/>
  <c r="A24" i="792"/>
  <c r="A28" i="792" s="1"/>
</calcChain>
</file>

<file path=xl/comments1.xml><?xml version="1.0" encoding="utf-8"?>
<comments xmlns="http://schemas.openxmlformats.org/spreadsheetml/2006/main">
  <authors>
    <author>admin</author>
  </authors>
  <commentList>
    <comment ref="M16" authorId="0" shapeId="0">
      <text>
        <r>
          <rPr>
            <sz val="9"/>
            <color indexed="81"/>
            <rFont val="Tahoma"/>
            <family val="2"/>
            <charset val="204"/>
          </rPr>
          <t>Проверьте толщину, должно начинаться с --</t>
        </r>
      </text>
    </comment>
    <comment ref="M35" authorId="0" shapeId="0">
      <text>
        <r>
          <rPr>
            <sz val="9"/>
            <color indexed="81"/>
            <rFont val="Tahoma"/>
            <family val="2"/>
            <charset val="204"/>
          </rPr>
          <t>Проверьте толщину, должно начинаться с --</t>
        </r>
      </text>
    </comment>
  </commentList>
</comments>
</file>

<file path=xl/connections.xml><?xml version="1.0" encoding="utf-8"?>
<connections xmlns="http://schemas.openxmlformats.org/spreadsheetml/2006/main">
  <connection id="1" name="КЖ_сист ЖБ Плиты" type="6" refreshedVersion="3" background="1" saveData="1">
    <textPr codePage="1251" sourceFile="\\192.168.10.5\объекты\Поликлиника Владивосток\Проект\В работе\Отдел СК\Поликлиника\Спецификации\import\КЖ_сист ЖБ Плиты.txt" decimal="," thousands=" ">
      <textFields count="8"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<sst xmlns="http://schemas.openxmlformats.org/spreadsheetml/2006/main" count="11541" uniqueCount="3219">
  <si>
    <t>*</t>
  </si>
  <si>
    <t>A-I(A240)</t>
  </si>
  <si>
    <t>A500C</t>
  </si>
  <si>
    <t>куб.м.</t>
  </si>
  <si>
    <t>-</t>
  </si>
  <si>
    <t>Лист_черн</t>
  </si>
  <si>
    <t>С245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</si>
  <si>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</si>
  <si>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</si>
  <si>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</si>
  <si>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</si>
  <si>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</si>
  <si>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</si>
  <si>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</si>
  <si>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</si>
  <si>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</si>
  <si>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</si>
  <si>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</si>
  <si>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</si>
  <si>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</si>
  <si>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</si>
  <si>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</si>
  <si>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</si>
  <si>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</si>
  <si>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</si>
  <si>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</si>
  <si>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</si>
  <si>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</si>
  <si>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</si>
  <si>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</si>
  <si>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</si>
  <si>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</si>
  <si>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</si>
  <si>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</si>
  <si>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</si>
  <si>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</si>
  <si>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</si>
  <si>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</si>
  <si>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</si>
  <si>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</si>
  <si>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</si>
  <si>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</si>
  <si>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</si>
  <si>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</si>
  <si>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</si>
  <si>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</si>
  <si>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</si>
  <si>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</si>
  <si>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</si>
  <si>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</si>
  <si>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</si>
  <si>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</si>
  <si>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</si>
  <si>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</si>
  <si>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</si>
  <si>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</si>
  <si>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</si>
  <si>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</si>
  <si>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</si>
  <si>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</si>
  <si>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</si>
  <si>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</si>
  <si>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</si>
  <si>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</si>
  <si>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</si>
  <si>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</si>
  <si>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</si>
  <si>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</si>
  <si>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</si>
  <si>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</si>
  <si>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</si>
  <si>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</si>
  <si>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</si>
  <si>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</si>
  <si>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</si>
  <si>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</si>
  <si>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</si>
  <si>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</si>
  <si>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</si>
  <si>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</si>
  <si>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</si>
  <si>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</si>
  <si>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</si>
  <si>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</si>
  <si>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</si>
  <si>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</si>
  <si>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</si>
  <si>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</si>
  <si>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</si>
  <si>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</si>
  <si>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</si>
  <si>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</si>
  <si>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</si>
  <si>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</si>
  <si>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</si>
  <si>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</si>
  <si>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</si>
  <si>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</si>
  <si>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</si>
  <si>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</si>
  <si>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</si>
  <si>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</si>
  <si>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</si>
  <si>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</si>
  <si>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</si>
  <si>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</si>
  <si>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</si>
  <si>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</si>
  <si>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</si>
  <si>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</si>
  <si>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</si>
  <si>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</si>
  <si>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</si>
  <si>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</si>
  <si>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</si>
  <si>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</si>
  <si>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</si>
  <si>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</si>
  <si>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</si>
  <si>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</si>
  <si>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</si>
  <si>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</si>
  <si>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</si>
  <si>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</si>
  <si>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</si>
  <si>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</si>
  <si>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</si>
  <si>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</si>
  <si>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</si>
  <si>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</si>
  <si>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</si>
  <si>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</si>
  <si>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</si>
  <si>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</si>
  <si>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</si>
  <si>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</si>
  <si>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</si>
  <si>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</si>
  <si>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</si>
  <si>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</si>
  <si>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</si>
  <si>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</si>
  <si>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</si>
  <si>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</si>
  <si>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</si>
  <si>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</si>
  <si>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</si>
  <si>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</si>
  <si>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</si>
  <si>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</si>
  <si>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</si>
  <si>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</si>
  <si>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</si>
  <si>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</si>
  <si>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</si>
  <si>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</si>
  <si>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</si>
  <si>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</si>
  <si>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</si>
  <si>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</si>
  <si>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</si>
  <si>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</si>
  <si>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</si>
  <si>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</si>
  <si>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</si>
  <si>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</si>
  <si>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</si>
  <si>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</si>
  <si>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</si>
  <si>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</si>
  <si>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</si>
  <si>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</si>
  <si>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</si>
  <si>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</si>
  <si>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</si>
  <si>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</si>
  <si>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</si>
  <si>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</si>
  <si>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</si>
  <si>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</si>
  <si>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</si>
  <si>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</si>
  <si>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</si>
  <si>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</si>
  <si>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</si>
  <si>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</si>
  <si>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</si>
  <si>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</si>
  <si>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</si>
  <si>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</si>
  <si>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</si>
  <si>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</si>
  <si>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</si>
  <si>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</si>
  <si>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</si>
  <si>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</si>
  <si>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</si>
  <si>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</si>
  <si>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</si>
  <si>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</si>
  <si>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</si>
  <si>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</si>
  <si>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</si>
  <si>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</si>
  <si>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</si>
  <si>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</si>
  <si>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</si>
  <si>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</si>
  <si>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</si>
  <si>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</si>
  <si>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</si>
  <si>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</si>
  <si>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</si>
  <si>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</si>
  <si>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</si>
  <si>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</si>
  <si>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</si>
  <si>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</si>
  <si>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</si>
  <si>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</si>
  <si>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</si>
  <si>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</si>
  <si>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</si>
  <si>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</si>
  <si>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</si>
  <si>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</si>
  <si>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</si>
  <si>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</si>
  <si>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</si>
  <si>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</si>
  <si>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</si>
  <si>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</si>
  <si>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</si>
  <si>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</si>
  <si>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</si>
  <si>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</si>
  <si>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</si>
  <si>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</si>
  <si>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</si>
  <si>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</si>
  <si>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</si>
  <si>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</si>
  <si>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</si>
  <si>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</si>
  <si>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</si>
  <si>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</si>
  <si>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</si>
  <si>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</si>
  <si>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</si>
  <si>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</si>
  <si>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</si>
  <si>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</si>
  <si>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</si>
  <si>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</si>
  <si>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</si>
  <si>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</si>
  <si>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</si>
  <si>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</si>
  <si>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</si>
  <si>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</si>
  <si>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</si>
  <si>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</si>
  <si>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</si>
  <si>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</si>
  <si>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</si>
  <si>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</si>
  <si>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</si>
  <si>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</si>
  <si>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</si>
  <si>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</si>
  <si>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</si>
  <si>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</si>
  <si>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</si>
  <si>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</si>
  <si>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</si>
  <si>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</si>
  <si>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</si>
  <si>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</si>
  <si>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</si>
  <si>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</si>
  <si>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</si>
  <si>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</si>
  <si>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</si>
  <si>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</si>
  <si>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</si>
  <si>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</si>
  <si>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</si>
  <si>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</si>
  <si>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</si>
  <si>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</si>
  <si>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</si>
  <si>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</si>
  <si>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</si>
  <si>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</si>
  <si>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</si>
  <si>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</si>
  <si>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</si>
  <si>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</si>
  <si>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</si>
  <si>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</si>
  <si>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</si>
  <si>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</si>
  <si>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</si>
  <si>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</si>
  <si>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</si>
  <si>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</si>
  <si>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</si>
  <si>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</si>
  <si>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</si>
  <si>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</si>
  <si>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</si>
  <si>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</si>
  <si>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</si>
  <si>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</si>
  <si>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</si>
  <si>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</si>
  <si>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</si>
  <si>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</si>
  <si>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</si>
  <si>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</si>
  <si>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</si>
  <si>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</si>
  <si>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</si>
  <si>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</si>
  <si>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</si>
  <si>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</si>
  <si>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</si>
  <si>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</si>
  <si>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</si>
  <si>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</si>
  <si>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</si>
  <si>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</si>
  <si>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</si>
  <si>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</si>
  <si>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</si>
  <si>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</si>
  <si>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</si>
  <si>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</si>
  <si>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</si>
  <si>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</si>
  <si>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</si>
  <si>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</si>
  <si>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</si>
  <si>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</si>
  <si>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</si>
  <si>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</si>
  <si>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</si>
  <si>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</si>
  <si>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</si>
  <si>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</si>
  <si>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</si>
  <si>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</si>
  <si>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</si>
  <si>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</si>
  <si>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</si>
  <si>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</si>
  <si>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</si>
  <si>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</si>
  <si>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</si>
  <si>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</si>
  <si>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</si>
  <si>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</si>
  <si>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</si>
  <si>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</si>
  <si>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</si>
  <si>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</si>
  <si>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</si>
  <si>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</si>
  <si>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</si>
  <si>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</si>
  <si>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</si>
  <si>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</si>
  <si>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</si>
  <si>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</si>
  <si>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</si>
  <si>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</si>
  <si>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</si>
  <si>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</si>
  <si>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</si>
  <si>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</si>
  <si>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</si>
  <si>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</si>
  <si>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</si>
  <si>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</si>
  <si>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</si>
  <si>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</si>
  <si>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</si>
  <si>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</si>
  <si>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</si>
  <si>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</si>
  <si>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</si>
  <si>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</si>
  <si>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</si>
  <si>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</si>
  <si>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</si>
  <si>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</si>
  <si>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</si>
  <si>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</si>
  <si>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</si>
  <si>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</si>
  <si>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</si>
  <si>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</si>
  <si>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</si>
  <si>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</si>
  <si>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</si>
  <si>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</si>
  <si>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</si>
  <si>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</si>
  <si>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</si>
  <si>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</si>
  <si>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</si>
  <si>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</si>
  <si>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</si>
  <si>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</si>
  <si>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</si>
  <si>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</si>
  <si>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</si>
  <si>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</si>
  <si>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</si>
  <si>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</si>
  <si>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</si>
  <si>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</si>
  <si>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</si>
  <si>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</si>
  <si>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</si>
  <si>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</si>
  <si>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</si>
  <si>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</si>
  <si>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</si>
  <si>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</si>
  <si>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</si>
  <si>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</si>
  <si>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</si>
  <si>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</si>
  <si>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</si>
  <si>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</si>
  <si>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</si>
  <si>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</si>
  <si>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</si>
  <si>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</si>
  <si>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</si>
  <si>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</si>
  <si>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</si>
  <si>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</si>
  <si>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</si>
  <si>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</si>
  <si>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</si>
  <si>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</si>
  <si>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</si>
  <si>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</si>
  <si>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</si>
  <si>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</si>
  <si>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</si>
  <si>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</si>
  <si>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</si>
  <si>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</si>
  <si>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</si>
  <si>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</si>
  <si>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</si>
  <si>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</si>
  <si>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</si>
  <si>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</si>
  <si>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</si>
  <si>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</si>
  <si>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</si>
  <si>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</si>
  <si>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</si>
  <si>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</si>
  <si>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</si>
  <si>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</si>
  <si>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</si>
  <si>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</si>
  <si>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</si>
  <si>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</si>
  <si>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</si>
  <si>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</si>
  <si>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</si>
  <si>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</si>
  <si>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</si>
  <si>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</si>
  <si>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</si>
  <si>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</si>
  <si>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</si>
  <si>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</si>
  <si>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</si>
  <si>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</si>
  <si>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</si>
  <si>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</si>
  <si>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</si>
  <si>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</si>
  <si>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</si>
  <si>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</si>
  <si>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</si>
  <si>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</si>
  <si>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</si>
  <si>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</si>
  <si>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</si>
  <si>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</si>
  <si>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</si>
  <si>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</si>
  <si>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</si>
  <si>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</si>
  <si>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</si>
  <si>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</si>
  <si>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</si>
  <si>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</si>
  <si>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</si>
  <si>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</si>
  <si>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</si>
  <si>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</si>
  <si>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</si>
  <si>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</si>
  <si>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</si>
  <si>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</si>
  <si>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</si>
  <si>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</si>
  <si>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</si>
  <si>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</si>
  <si>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</si>
  <si>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</si>
  <si>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</si>
  <si>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</si>
  <si>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</si>
  <si>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</si>
  <si>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</si>
  <si>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</si>
  <si>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</si>
  <si>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</si>
  <si>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</si>
  <si>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</si>
  <si>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</si>
  <si>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</si>
  <si>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</si>
  <si>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</si>
  <si>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</si>
  <si>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</si>
  <si>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</si>
  <si>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</si>
  <si>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</si>
  <si>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</si>
  <si>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</si>
  <si>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</si>
  <si>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</si>
  <si>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</si>
  <si>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</si>
  <si>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</si>
  <si>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</si>
  <si>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</si>
  <si>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</si>
  <si>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</si>
  <si>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</si>
  <si>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</si>
  <si>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</si>
  <si>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</si>
  <si>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</si>
  <si>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</si>
  <si>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</si>
  <si>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</si>
  <si>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</si>
  <si>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</si>
  <si>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</si>
  <si>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</si>
  <si>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</si>
  <si>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</si>
  <si>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</si>
  <si>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</si>
  <si>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</si>
  <si>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</si>
  <si>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</si>
  <si>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</si>
  <si>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</si>
  <si>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</si>
  <si>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</si>
  <si>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</si>
  <si>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</si>
  <si>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</si>
  <si>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</si>
  <si>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</si>
  <si>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</si>
  <si>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</si>
  <si>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</si>
  <si>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</si>
  <si>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</si>
  <si>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</si>
  <si>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</si>
  <si>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</si>
  <si>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</si>
  <si>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</si>
  <si>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</si>
  <si>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</si>
  <si>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</si>
  <si>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</si>
  <si>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</si>
  <si>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</si>
  <si>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</si>
  <si>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</si>
  <si>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</si>
  <si>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</si>
  <si>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</si>
  <si>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</si>
  <si>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</si>
  <si>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</si>
  <si>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</si>
  <si>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</si>
  <si>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</si>
  <si>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</si>
  <si>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</si>
  <si>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</si>
  <si>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</si>
  <si>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</si>
  <si>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</si>
  <si>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</si>
  <si>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</si>
  <si>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</si>
  <si>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</si>
  <si>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</si>
  <si>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</si>
  <si>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</si>
  <si>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</si>
  <si>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</si>
  <si>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</si>
  <si>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</si>
  <si>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</si>
  <si>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</si>
  <si>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</si>
  <si>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</si>
  <si>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</si>
  <si>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</si>
  <si>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</si>
  <si>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</si>
  <si>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</si>
  <si>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</si>
  <si>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</si>
  <si>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</si>
  <si>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</si>
  <si>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</si>
  <si>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</si>
  <si>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</si>
  <si>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</si>
  <si>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</si>
  <si>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</si>
  <si>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</si>
  <si>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</si>
  <si>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</si>
  <si>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</si>
  <si>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</si>
  <si>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</si>
  <si>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</si>
  <si>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</si>
  <si>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</si>
  <si>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</si>
  <si>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</si>
  <si>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</si>
  <si>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</si>
  <si>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</si>
  <si>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</si>
  <si>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</si>
  <si>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</si>
  <si>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</si>
  <si>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</si>
  <si>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</si>
  <si>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</si>
  <si>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</si>
  <si>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</si>
  <si>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</si>
  <si>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</si>
  <si>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</si>
  <si>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</si>
  <si>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</si>
  <si>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</si>
  <si>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</si>
  <si>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</si>
  <si>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</si>
  <si>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</si>
  <si>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</si>
  <si>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</si>
  <si>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</si>
  <si>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</si>
  <si>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</si>
  <si>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</si>
  <si>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</si>
  <si>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</si>
  <si>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</si>
  <si>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</si>
  <si>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</si>
  <si>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</si>
  <si>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</si>
  <si>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</si>
  <si>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</si>
  <si>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</si>
  <si>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</si>
  <si>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</si>
  <si>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</si>
  <si>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</si>
  <si>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</si>
  <si>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</si>
  <si>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</si>
  <si>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</si>
  <si>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</si>
  <si>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</si>
  <si>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</si>
  <si>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</si>
  <si>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</si>
  <si>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</si>
  <si>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</si>
  <si>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</si>
  <si>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</si>
  <si>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</si>
  <si>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</si>
  <si>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</si>
  <si>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</si>
  <si>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</si>
  <si>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</si>
  <si>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</si>
  <si>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</si>
  <si>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</si>
  <si>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</si>
  <si>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</si>
  <si>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</si>
  <si>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</si>
  <si>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</si>
  <si>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</si>
  <si>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</si>
  <si>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</si>
  <si>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</si>
  <si>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</si>
  <si>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</si>
  <si>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</si>
  <si>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</si>
  <si>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</si>
  <si>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</si>
  <si>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</si>
  <si>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</si>
  <si>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</si>
  <si>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</si>
  <si>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</si>
  <si>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</si>
  <si>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</si>
  <si>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</si>
  <si>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</si>
  <si>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</si>
  <si>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</si>
  <si>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</si>
  <si>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</si>
  <si>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</si>
  <si>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</si>
  <si>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</si>
  <si>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</si>
  <si>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</si>
  <si>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</si>
  <si>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</si>
  <si>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</si>
  <si>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</si>
  <si>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</si>
  <si>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</si>
  <si>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</si>
  <si>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</si>
  <si>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</si>
  <si>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</si>
  <si>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</si>
  <si>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</si>
  <si>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</si>
  <si>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</si>
  <si>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</si>
  <si>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</si>
  <si>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</si>
  <si>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</si>
  <si>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</si>
  <si>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</si>
  <si>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</si>
  <si>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</si>
  <si>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</si>
  <si>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</si>
  <si>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</si>
  <si>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</si>
  <si>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</si>
  <si>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</si>
  <si>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</si>
  <si>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</si>
  <si>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</si>
  <si>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</si>
  <si>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</si>
  <si>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</si>
  <si>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</si>
  <si>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</si>
  <si>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</si>
  <si>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</si>
  <si>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</si>
  <si>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</si>
  <si>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</si>
  <si>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</si>
  <si>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</si>
  <si>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</si>
  <si>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</si>
  <si>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</si>
  <si>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</si>
  <si>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</si>
  <si>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</si>
  <si>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</si>
  <si>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</si>
  <si>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</si>
  <si>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</si>
  <si>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</si>
  <si>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</si>
  <si>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</si>
  <si>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</si>
  <si>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</si>
  <si>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</si>
  <si>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</si>
  <si>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</si>
  <si>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</si>
  <si>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</si>
  <si>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</si>
  <si>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тр_к_Труба_54157_2010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</si>
  <si>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</si>
  <si>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</si>
  <si>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</si>
  <si>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</si>
  <si>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</si>
  <si>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</si>
  <si>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</si>
  <si>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</si>
  <si>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</si>
  <si>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</si>
  <si>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</si>
  <si>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</si>
  <si>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</si>
  <si>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</si>
  <si>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</si>
  <si>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</si>
  <si>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</si>
  <si>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</si>
  <si>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</si>
  <si>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</si>
  <si>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</si>
  <si>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</si>
  <si>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</si>
  <si>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</si>
  <si>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</si>
  <si>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</si>
  <si>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</si>
  <si>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</si>
  <si>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</si>
  <si>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</si>
  <si>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</si>
  <si>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</si>
  <si>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</si>
  <si>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</si>
  <si>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</si>
  <si>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</si>
  <si>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</si>
  <si>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</si>
  <si>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</si>
  <si>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</si>
  <si>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</si>
  <si>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</si>
  <si>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</si>
  <si>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</si>
  <si>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</si>
  <si>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</si>
  <si>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</si>
  <si>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</si>
  <si>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</si>
  <si>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</si>
  <si>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</si>
  <si>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</si>
  <si>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</si>
  <si>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</si>
  <si>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</si>
  <si>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</si>
  <si>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</si>
  <si>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</si>
  <si>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</si>
  <si>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</si>
  <si>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</si>
  <si>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</si>
  <si>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</si>
  <si>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</si>
  <si>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</si>
  <si>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</si>
  <si>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</si>
  <si>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</si>
  <si>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</si>
  <si>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</si>
  <si>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</si>
  <si>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</si>
  <si>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</si>
  <si>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</si>
  <si>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</si>
  <si>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</si>
  <si>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</si>
  <si>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</si>
  <si>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</si>
  <si>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</si>
  <si>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</si>
  <si>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</si>
  <si>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</si>
  <si>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</si>
  <si>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</si>
  <si>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</si>
  <si>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</si>
  <si>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</si>
  <si>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</si>
  <si>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</si>
  <si>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</si>
  <si>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</si>
  <si>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</si>
  <si>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</si>
  <si>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</si>
  <si>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</si>
  <si>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</si>
  <si>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</si>
  <si>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</si>
  <si>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</si>
  <si>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</si>
  <si>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</si>
  <si>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</si>
  <si>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</si>
  <si>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</si>
  <si>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</si>
  <si>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</si>
  <si>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</si>
  <si>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</si>
  <si>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</si>
  <si>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</si>
  <si>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</si>
  <si>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</si>
  <si>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</si>
  <si>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</si>
  <si>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</si>
  <si>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</si>
  <si>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</si>
  <si>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</si>
  <si>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</si>
  <si>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</si>
  <si>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</si>
  <si>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</si>
  <si>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</si>
  <si>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</si>
  <si>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</si>
  <si>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</si>
  <si>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</si>
  <si>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</si>
  <si>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</si>
  <si>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</si>
  <si>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</si>
  <si>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</si>
  <si>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</si>
  <si>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</si>
  <si>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</si>
  <si>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</si>
  <si>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</si>
  <si>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</si>
  <si>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</si>
  <si>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</si>
  <si>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</si>
  <si>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</si>
  <si>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</si>
  <si>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</si>
  <si>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</si>
  <si>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</si>
  <si>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</si>
  <si>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</si>
  <si>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</si>
  <si>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</si>
  <si>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</si>
  <si>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</si>
  <si>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</si>
  <si>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</si>
  <si>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</si>
  <si>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</si>
  <si>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</si>
  <si>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</si>
  <si>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</si>
  <si>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</si>
  <si>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</si>
  <si>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</si>
  <si>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</si>
  <si>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</si>
  <si>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</si>
  <si>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</si>
  <si>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</si>
  <si>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</si>
  <si>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</si>
  <si>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</si>
  <si>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</si>
  <si>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</si>
  <si>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</si>
  <si>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</si>
  <si>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</si>
  <si>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</si>
  <si>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</si>
  <si>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</si>
  <si>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</si>
  <si>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</si>
  <si>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</si>
  <si>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</si>
  <si>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</si>
  <si>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</si>
  <si>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</si>
  <si>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</si>
  <si>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</si>
  <si>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</si>
  <si>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</si>
  <si>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</si>
  <si>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</si>
  <si>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</si>
  <si>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</si>
  <si>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</si>
  <si>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</si>
  <si>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</si>
  <si>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</si>
  <si>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</si>
  <si>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</si>
  <si>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</si>
  <si>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</si>
  <si>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</si>
  <si>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</si>
  <si>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</si>
  <si>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</si>
  <si>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</si>
  <si>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</si>
  <si>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</si>
  <si>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</si>
  <si>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</si>
  <si>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</si>
  <si>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</si>
  <si>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</si>
  <si>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</si>
  <si>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</si>
  <si>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</si>
  <si>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</si>
  <si>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</si>
  <si>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</si>
  <si>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</si>
  <si>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</si>
  <si>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</si>
  <si>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</si>
  <si>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</si>
  <si>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</si>
  <si>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</si>
  <si>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</si>
  <si>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</si>
  <si>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</si>
  <si>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</si>
  <si>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</si>
  <si>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</si>
  <si>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</si>
  <si>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</si>
  <si>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</si>
  <si>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</si>
  <si>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</si>
  <si>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</si>
  <si>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</si>
  <si>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</si>
  <si>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</si>
  <si>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</si>
  <si>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</si>
  <si>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</si>
  <si>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</si>
  <si>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</si>
  <si>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</si>
  <si>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</si>
  <si>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</si>
  <si>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</si>
  <si>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</si>
  <si>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</si>
  <si>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</si>
  <si>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</si>
  <si>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</si>
  <si>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</si>
  <si>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</si>
  <si>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</si>
  <si>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</si>
  <si>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</si>
  <si>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</si>
  <si>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</si>
  <si>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</si>
  <si>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</si>
  <si>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</si>
  <si>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</si>
  <si>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</si>
  <si>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</si>
  <si>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</si>
  <si>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</si>
  <si>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</si>
  <si>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</si>
  <si>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</si>
  <si>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</si>
  <si>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</si>
  <si>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</si>
  <si>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</si>
  <si>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</si>
  <si>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</si>
  <si>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</si>
  <si>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</si>
  <si>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</si>
  <si>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</si>
  <si>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</si>
  <si>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</si>
  <si>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</si>
  <si>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</si>
  <si>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</si>
  <si>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</si>
  <si>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</si>
  <si>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</si>
  <si>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</si>
  <si>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</si>
  <si>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</si>
  <si>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</si>
  <si>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</si>
  <si>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</si>
  <si>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</si>
  <si>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</si>
  <si>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</si>
  <si>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</si>
  <si>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</si>
  <si>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</si>
  <si>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</si>
  <si>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</si>
  <si>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</si>
  <si>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</si>
  <si>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</si>
  <si>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</si>
  <si>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</si>
  <si>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</si>
  <si>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</si>
  <si>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</si>
  <si>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</si>
  <si>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</si>
  <si>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</si>
  <si>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</si>
  <si>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</si>
  <si>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</si>
  <si>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</si>
  <si>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</si>
  <si>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</si>
  <si>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</si>
  <si>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</si>
  <si>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</si>
  <si>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</si>
  <si>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</si>
  <si>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</si>
  <si>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</si>
  <si>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</si>
  <si>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</si>
  <si>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</si>
  <si>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</si>
  <si>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</si>
  <si>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</si>
  <si>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</si>
  <si>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</si>
  <si>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</si>
  <si>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</si>
  <si>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</si>
  <si>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</si>
  <si>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</si>
  <si>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</si>
  <si>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</si>
  <si>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</si>
  <si>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</si>
  <si>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</si>
  <si>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</si>
  <si>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</si>
  <si>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</si>
  <si>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</si>
  <si>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</si>
  <si>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</si>
  <si>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</si>
  <si>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</si>
  <si>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</si>
  <si>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</si>
  <si>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</si>
  <si>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</si>
  <si>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</si>
  <si>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</si>
  <si>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</si>
  <si>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</si>
  <si>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</si>
  <si>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</si>
  <si>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</si>
  <si>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</si>
  <si>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</si>
  <si>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</si>
  <si>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</si>
  <si>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</si>
  <si>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</si>
  <si>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</si>
  <si>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</si>
  <si>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</si>
  <si>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</si>
  <si>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</si>
  <si>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</si>
  <si>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</si>
  <si>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</si>
  <si>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</si>
  <si>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</si>
  <si>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</si>
  <si>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</si>
  <si>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</si>
  <si>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</si>
  <si>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</si>
  <si>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</si>
  <si>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</si>
  <si>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</si>
  <si>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</si>
  <si>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</si>
  <si>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</si>
  <si>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</si>
  <si>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</si>
  <si>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</si>
  <si>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</si>
  <si>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</si>
  <si>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</si>
  <si>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</si>
  <si>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</si>
  <si>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</si>
  <si>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</si>
  <si>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</si>
  <si>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</si>
  <si>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</si>
  <si>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</si>
  <si>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</si>
  <si>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</si>
  <si>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</si>
  <si>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</si>
  <si>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</si>
  <si>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</si>
  <si>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</si>
  <si>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</si>
  <si>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</si>
  <si>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</si>
  <si>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</si>
  <si>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</si>
  <si>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</si>
  <si>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</si>
  <si>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</si>
  <si>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</si>
  <si>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</si>
  <si>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</si>
  <si>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</si>
  <si>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</si>
  <si>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</si>
  <si>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</si>
  <si>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</si>
  <si>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</si>
  <si>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</si>
  <si>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</si>
  <si>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</si>
  <si>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</si>
  <si>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</si>
  <si>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</si>
  <si>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</si>
  <si>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</si>
  <si>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</si>
  <si>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</si>
  <si>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</si>
  <si>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</si>
  <si>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</si>
  <si>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</si>
  <si>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</si>
  <si>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</si>
  <si>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</si>
  <si>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</si>
  <si>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</si>
  <si>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</si>
  <si>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</si>
  <si>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</si>
  <si>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</si>
  <si>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</si>
  <si>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</si>
  <si>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</si>
  <si>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</si>
  <si>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</si>
  <si>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</si>
  <si>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</si>
  <si>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</si>
  <si>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</si>
  <si>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</si>
  <si>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</si>
  <si>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</si>
  <si>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</si>
  <si>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</si>
  <si>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</si>
  <si>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</si>
  <si>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</si>
  <si>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</si>
  <si>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</si>
  <si>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</si>
  <si>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</si>
  <si>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</si>
  <si>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</si>
  <si>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</si>
  <si>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</si>
  <si>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</si>
  <si>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</si>
  <si>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</si>
  <si>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</si>
  <si>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</si>
  <si>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</si>
  <si>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</si>
  <si>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</si>
  <si>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</si>
  <si>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</si>
  <si>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</si>
  <si>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</si>
  <si>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</si>
  <si>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</si>
  <si>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</si>
  <si>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</si>
  <si>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</si>
  <si>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</si>
  <si>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</si>
  <si>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</si>
  <si>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</si>
  <si>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</si>
  <si>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</si>
  <si>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</si>
  <si>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</si>
  <si>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</si>
  <si>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</si>
  <si>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</si>
  <si>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</si>
  <si>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</si>
  <si>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</si>
  <si>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</si>
  <si>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</si>
  <si>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</si>
  <si>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</si>
  <si>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</si>
  <si>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</si>
  <si>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</si>
  <si>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</si>
  <si>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</si>
  <si>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</si>
  <si>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</si>
  <si>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</si>
  <si>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</si>
  <si>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</si>
  <si>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</si>
  <si>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</si>
  <si>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</si>
  <si>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</si>
  <si>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</si>
  <si>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</si>
  <si>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</si>
  <si>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</si>
  <si>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</si>
  <si>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</si>
  <si>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</si>
  <si>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</si>
  <si>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</si>
  <si>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</si>
  <si>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</si>
  <si>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</si>
  <si>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</si>
  <si>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</si>
  <si>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</si>
  <si>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</si>
  <si>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</si>
  <si>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</si>
  <si>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</si>
  <si>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</si>
  <si>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</si>
  <si>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</si>
  <si>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</si>
  <si>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</si>
  <si>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</si>
  <si>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</si>
  <si>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</si>
  <si>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</si>
  <si>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</si>
  <si>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</si>
  <si>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</si>
  <si>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</si>
  <si>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</si>
  <si>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</si>
  <si>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</si>
  <si>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</si>
  <si>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</si>
  <si>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</si>
  <si>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</si>
  <si>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</si>
  <si>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</si>
  <si>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</si>
  <si>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</si>
  <si>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</si>
  <si>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</si>
  <si>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</si>
  <si>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</si>
  <si>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</si>
  <si>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</si>
  <si>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</si>
  <si>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</si>
  <si>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</si>
  <si>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</si>
  <si>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</si>
  <si>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</si>
  <si>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</si>
  <si>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</si>
  <si>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</si>
  <si>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</si>
  <si>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</si>
  <si>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</si>
  <si>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</si>
  <si>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</si>
  <si>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</si>
  <si>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</si>
  <si>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</si>
  <si>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</si>
  <si>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</si>
  <si>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</si>
  <si>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</si>
  <si>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</si>
  <si>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</si>
  <si>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</si>
  <si>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</si>
  <si>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</si>
  <si>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</si>
  <si>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</si>
  <si>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</si>
  <si>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</si>
  <si>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</si>
  <si>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</si>
  <si>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</si>
  <si>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</si>
  <si>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</si>
  <si>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</si>
  <si>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</si>
  <si>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</si>
  <si>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</si>
  <si>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</si>
  <si>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</si>
  <si>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</si>
  <si>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</si>
  <si>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</si>
  <si>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</si>
  <si>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</si>
  <si>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</si>
  <si>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</si>
  <si>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</si>
  <si>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</si>
  <si>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</si>
  <si>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</si>
  <si>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</si>
  <si>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</si>
  <si>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</si>
  <si>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</si>
  <si>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</si>
  <si>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</si>
  <si>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</si>
  <si>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</si>
  <si>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</si>
  <si>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</si>
  <si>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</si>
  <si>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</si>
  <si>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</si>
  <si>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</si>
  <si>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</si>
  <si>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</si>
  <si>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</si>
  <si>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</si>
  <si>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</si>
  <si>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</si>
  <si>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</si>
  <si>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</si>
  <si>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</si>
  <si>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</si>
  <si>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</si>
  <si>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</si>
  <si>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</si>
  <si>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</si>
  <si>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</si>
  <si>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</si>
  <si>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</si>
  <si>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</si>
  <si>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</si>
  <si>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</si>
  <si>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</si>
  <si>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</si>
  <si>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</si>
  <si>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</si>
  <si>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</si>
  <si>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</si>
  <si>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</si>
  <si>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</si>
  <si>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</si>
  <si>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</si>
  <si>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</si>
  <si>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</si>
  <si>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</si>
  <si>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</si>
  <si>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</si>
  <si>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</si>
  <si>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</si>
  <si>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</si>
  <si>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</si>
  <si>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</si>
  <si>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</si>
  <si>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</si>
  <si>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</si>
  <si>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</si>
  <si>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</si>
  <si>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</si>
  <si>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</si>
  <si>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</si>
  <si>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</si>
  <si>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</si>
  <si>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</si>
  <si>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</si>
  <si>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</si>
  <si>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</si>
  <si>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</si>
  <si>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</si>
  <si>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</si>
  <si>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</si>
  <si>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</si>
  <si>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</si>
  <si>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</si>
  <si>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</si>
  <si>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</si>
  <si>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</si>
  <si>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</si>
  <si>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</si>
  <si>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</si>
  <si>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</si>
  <si>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</si>
  <si>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</si>
  <si>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</si>
  <si>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</si>
  <si>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</si>
  <si>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</si>
  <si>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</si>
  <si>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</si>
  <si>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</si>
  <si>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</si>
  <si>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</si>
  <si>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</si>
  <si>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</si>
  <si>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</si>
  <si>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</si>
  <si>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</si>
  <si>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</si>
  <si>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</si>
  <si>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</si>
  <si>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</si>
  <si>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</si>
  <si>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</si>
  <si>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</si>
  <si>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</si>
  <si>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</si>
  <si>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</si>
  <si>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</si>
  <si>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</si>
  <si>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</si>
  <si>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</si>
  <si>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</si>
  <si>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</si>
  <si>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</si>
  <si>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</si>
  <si>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</si>
  <si>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</si>
  <si>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</si>
  <si>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</si>
  <si>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</si>
  <si>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</si>
  <si>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</si>
  <si>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</si>
  <si>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</si>
  <si>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</si>
  <si>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</si>
  <si>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</si>
  <si>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</si>
  <si>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</si>
  <si>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</si>
  <si>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</si>
  <si>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</si>
  <si>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</si>
  <si>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</si>
  <si>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</si>
  <si>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</si>
  <si>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</si>
  <si>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</si>
  <si>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</si>
  <si>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</si>
  <si>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</si>
  <si>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</si>
  <si>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</si>
  <si>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</si>
  <si>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</si>
  <si>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</si>
  <si>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</si>
  <si>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</si>
  <si>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</si>
  <si>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</si>
  <si>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</si>
  <si>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</si>
  <si>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</si>
  <si>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</t>
  </si>
  <si>
    <t>80x3.5</t>
  </si>
  <si>
    <t>80x4</t>
  </si>
  <si>
    <t>80x4.5</t>
  </si>
  <si>
    <t>80x5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</si>
  <si>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</si>
  <si>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</si>
  <si>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</si>
  <si>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</si>
  <si>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</si>
  <si>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</si>
  <si>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</si>
  <si>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</si>
  <si>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</si>
  <si>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</si>
  <si>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</si>
  <si>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</si>
  <si>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</si>
  <si>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</si>
  <si>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</si>
  <si>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</si>
  <si>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</si>
  <si>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</si>
  <si>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</si>
  <si>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</si>
  <si>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</si>
  <si>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</si>
  <si>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</si>
  <si>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</si>
  <si>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</si>
  <si>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</t>
  </si>
  <si>
    <t>100x7.5</t>
  </si>
  <si>
    <t>100x8</t>
  </si>
  <si>
    <t>120x3</t>
  </si>
  <si>
    <t>120x3.5</t>
  </si>
  <si>
    <t>120x4</t>
  </si>
  <si>
    <t>120x4.5</t>
  </si>
  <si>
    <t>120x5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</si>
  <si>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</si>
  <si>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</si>
  <si>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</si>
  <si>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</si>
  <si>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</si>
  <si>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</si>
  <si>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</si>
  <si>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</si>
  <si>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</si>
  <si>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</si>
  <si>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</si>
  <si>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</si>
  <si>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</si>
  <si>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</si>
  <si>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</si>
  <si>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</si>
  <si>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</si>
  <si>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</si>
  <si>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</si>
  <si>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</si>
  <si>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</si>
  <si>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</si>
  <si>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</si>
  <si>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</si>
  <si>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</si>
  <si>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</si>
  <si>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</si>
  <si>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</si>
  <si>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</si>
  <si>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</si>
  <si>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</si>
  <si>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</si>
  <si>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</si>
  <si>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</si>
  <si>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</si>
  <si>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</si>
  <si>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</si>
  <si>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</si>
  <si>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</si>
  <si>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</si>
  <si>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</si>
  <si>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</si>
  <si>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</si>
  <si>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</si>
  <si>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</si>
  <si>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</si>
  <si>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</si>
  <si>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</si>
  <si>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</si>
  <si>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</si>
  <si>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</si>
  <si>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</si>
  <si>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</si>
  <si>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</si>
  <si>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</si>
  <si>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</si>
  <si>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</si>
  <si>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</si>
  <si>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</si>
  <si>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</si>
  <si>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</si>
  <si>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</si>
  <si>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</si>
  <si>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</si>
  <si>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</si>
  <si>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</si>
  <si>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</si>
  <si>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</si>
  <si>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</si>
  <si>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</si>
  <si>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</si>
  <si>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</si>
  <si>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</si>
  <si>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</si>
  <si>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</si>
  <si>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</si>
  <si>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</si>
  <si>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</si>
  <si>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тр_квадрат_по_ГОСТ 8639_82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</si>
  <si>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</si>
  <si>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</si>
  <si>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</si>
  <si>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</si>
  <si>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</si>
  <si>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</si>
  <si>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</si>
  <si>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</si>
  <si>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</si>
  <si>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</si>
  <si>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</si>
  <si>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</si>
  <si>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</si>
  <si>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</si>
  <si>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</si>
  <si>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</si>
  <si>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</si>
  <si>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</si>
  <si>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</si>
  <si>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</si>
  <si>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</si>
  <si>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</si>
  <si>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</si>
  <si>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</si>
  <si>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</si>
  <si>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</si>
  <si>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</si>
  <si>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</si>
  <si>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</si>
  <si>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</si>
  <si>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</si>
  <si>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</si>
  <si>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</si>
  <si>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</si>
  <si>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</si>
  <si>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</si>
  <si>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</si>
  <si>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</si>
  <si>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</si>
  <si>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</si>
  <si>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</si>
  <si>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</si>
  <si>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</si>
  <si>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</si>
  <si>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</si>
  <si>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</si>
  <si>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</si>
  <si>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</si>
  <si>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</si>
  <si>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</si>
  <si>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</si>
  <si>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</si>
  <si>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</si>
  <si>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</si>
  <si>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</si>
  <si>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</si>
  <si>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</si>
  <si>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</si>
  <si>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</si>
  <si>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</si>
  <si>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</si>
  <si>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</si>
  <si>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</si>
  <si>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</si>
  <si>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</si>
  <si>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</si>
  <si>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</si>
  <si>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</si>
  <si>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</si>
  <si>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</si>
  <si>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</si>
  <si>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</si>
  <si>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</si>
  <si>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</si>
  <si>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</si>
  <si>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</si>
  <si>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</si>
  <si>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</si>
  <si>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</si>
  <si>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</si>
  <si>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</si>
  <si>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</si>
  <si>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</si>
  <si>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</si>
  <si>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</si>
  <si>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</si>
  <si>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</si>
  <si>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</si>
  <si>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</si>
  <si>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</si>
  <si>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</si>
  <si>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</si>
  <si>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</si>
  <si>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</si>
  <si>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</si>
  <si>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</si>
  <si>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</si>
  <si>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</si>
  <si>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</si>
  <si>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</si>
  <si>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</si>
  <si>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</si>
  <si>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</si>
  <si>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</si>
  <si>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</si>
  <si>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</si>
  <si>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</si>
  <si>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</si>
  <si>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</si>
  <si>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</si>
  <si>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</si>
  <si>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</si>
  <si>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</si>
  <si>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</si>
  <si>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</si>
  <si>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</si>
  <si>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</si>
  <si>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</si>
  <si>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</si>
  <si>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</si>
  <si>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</si>
  <si>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</si>
  <si>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</si>
  <si>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</si>
  <si>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</si>
  <si>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</si>
  <si>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</si>
  <si>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</si>
  <si>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</si>
  <si>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</si>
  <si>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</si>
  <si>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</si>
  <si>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</si>
  <si>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</si>
  <si>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</si>
  <si>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</si>
  <si>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</si>
  <si>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</si>
  <si>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</si>
  <si>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</si>
  <si>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</si>
  <si>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</si>
  <si>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</si>
  <si>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</si>
  <si>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</si>
  <si>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</si>
  <si>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</si>
  <si>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</si>
  <si>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</si>
  <si>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</si>
  <si>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</si>
  <si>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</si>
  <si>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</si>
  <si>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</si>
  <si>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</si>
  <si>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</si>
  <si>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</si>
  <si>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</si>
  <si>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</si>
  <si>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</si>
  <si>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</si>
  <si>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</si>
  <si>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</si>
  <si>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</si>
  <si>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</si>
  <si>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</si>
  <si>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</si>
  <si>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</si>
  <si>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</si>
  <si>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</si>
  <si>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</si>
  <si>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</si>
  <si>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</si>
  <si>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</si>
  <si>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</si>
  <si>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</si>
  <si>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</si>
  <si>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</si>
  <si>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</si>
  <si>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</si>
  <si>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</si>
  <si>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</si>
  <si>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</si>
  <si>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</si>
  <si>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</si>
  <si>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</si>
  <si>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</si>
  <si>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</si>
  <si>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</si>
  <si>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</si>
  <si>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</si>
  <si>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</si>
  <si>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</si>
  <si>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</si>
  <si>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</si>
  <si>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</si>
  <si>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</si>
  <si>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</si>
  <si>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</si>
  <si>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</si>
  <si>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</si>
  <si>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</si>
  <si>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</si>
  <si>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</si>
  <si>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</si>
  <si>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</si>
  <si>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</si>
  <si>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</si>
  <si>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</si>
  <si>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</si>
  <si>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</si>
  <si>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</si>
  <si>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</si>
  <si>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</si>
  <si>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</si>
  <si>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</si>
  <si>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</si>
  <si>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</si>
  <si>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</si>
  <si>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</si>
  <si>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</si>
  <si>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</si>
  <si>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</si>
  <si>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</si>
  <si>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</si>
  <si>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</si>
  <si>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</si>
  <si>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</si>
  <si>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</si>
  <si>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</si>
  <si>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</si>
  <si>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</si>
  <si>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</si>
  <si>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</si>
  <si>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</si>
  <si>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</si>
  <si>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</si>
  <si>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</si>
  <si>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</si>
  <si>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</si>
  <si>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</si>
  <si>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</si>
  <si>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</si>
  <si>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</si>
  <si>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</si>
  <si>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</si>
  <si>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</si>
  <si>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</si>
  <si>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</si>
  <si>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</si>
  <si>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</si>
  <si>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</si>
  <si>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</si>
  <si>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</si>
  <si>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30Ш2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</si>
  <si>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</si>
  <si>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</si>
  <si>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</si>
  <si>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</si>
  <si>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</si>
  <si>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</si>
  <si>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</si>
  <si>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</si>
  <si>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</si>
  <si>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</si>
  <si>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</si>
  <si>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</si>
  <si>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</si>
  <si>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</si>
  <si>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</si>
  <si>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</si>
  <si>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</si>
  <si>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</si>
  <si>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</si>
  <si>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</si>
  <si>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</si>
  <si>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</si>
  <si>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</si>
  <si>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</si>
  <si>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</si>
  <si>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</si>
  <si>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</si>
  <si>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</si>
  <si>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</si>
  <si>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</si>
  <si>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</si>
  <si>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</si>
  <si>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</si>
  <si>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</si>
  <si>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</si>
  <si>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</si>
  <si>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</si>
  <si>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</si>
  <si>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</si>
  <si>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</si>
  <si>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</si>
  <si>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</si>
  <si>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</si>
  <si>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</si>
  <si>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</si>
  <si>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</si>
  <si>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</si>
  <si>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</si>
  <si>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</si>
  <si>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</si>
  <si>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</si>
  <si>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</si>
  <si>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</si>
  <si>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</si>
  <si>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</si>
  <si>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</si>
  <si>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</si>
  <si>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</si>
  <si>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</si>
  <si>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</si>
  <si>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</si>
  <si>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</si>
  <si>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</si>
  <si>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</si>
  <si>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</si>
  <si>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</si>
  <si>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</si>
  <si>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</si>
  <si>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</si>
  <si>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</si>
  <si>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</si>
  <si>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</si>
  <si>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</si>
  <si>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</si>
  <si>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</si>
  <si>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</si>
  <si>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</si>
  <si>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</si>
  <si>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</si>
  <si>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</si>
  <si>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</si>
  <si>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</si>
  <si>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</si>
  <si>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</si>
  <si>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</si>
  <si>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</si>
  <si>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</si>
  <si>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</si>
  <si>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</si>
  <si>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</si>
  <si>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</si>
  <si>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</si>
  <si>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</si>
  <si>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</si>
  <si>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</si>
  <si>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</si>
  <si>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</si>
  <si>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</si>
  <si>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</si>
  <si>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</si>
  <si>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</si>
  <si>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</si>
  <si>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</si>
  <si>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</si>
  <si>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</si>
  <si>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</si>
  <si>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</si>
  <si>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</si>
  <si>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</si>
  <si>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</si>
  <si>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</si>
  <si>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</si>
  <si>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</si>
  <si>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</si>
  <si>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</si>
  <si>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</si>
  <si>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</si>
  <si>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</si>
  <si>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</si>
  <si>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</si>
  <si>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</si>
  <si>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</si>
  <si>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</si>
  <si>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</si>
  <si>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</si>
  <si>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</si>
  <si>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</si>
  <si>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</si>
  <si>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</si>
  <si>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</si>
  <si>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</si>
  <si>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</si>
  <si>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</si>
  <si>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</si>
  <si>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</si>
  <si>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</si>
  <si>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</si>
  <si>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</si>
  <si>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</si>
  <si>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</si>
  <si>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</si>
  <si>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</si>
  <si>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</si>
  <si>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</si>
  <si>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</si>
  <si>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</si>
  <si>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</si>
  <si>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</si>
  <si>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</si>
  <si>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</si>
  <si>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</si>
  <si>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</si>
  <si>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</si>
  <si>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</si>
  <si>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</si>
  <si>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</si>
  <si>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</si>
  <si>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</si>
  <si>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</si>
  <si>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</si>
  <si>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</si>
  <si>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</si>
  <si>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</si>
  <si>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</si>
  <si>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</si>
  <si>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</si>
  <si>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</si>
  <si>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</si>
  <si>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</si>
  <si>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</si>
  <si>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</si>
  <si>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</si>
  <si>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</si>
  <si>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</si>
  <si>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</si>
  <si>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</si>
  <si>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</si>
  <si>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</si>
  <si>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</si>
  <si>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</si>
  <si>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</si>
  <si>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</si>
  <si>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</si>
  <si>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</si>
  <si>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</si>
  <si>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</si>
  <si>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</si>
  <si>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</si>
  <si>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</si>
  <si>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</si>
  <si>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</si>
  <si>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</si>
  <si>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</si>
  <si>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</si>
  <si>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</si>
  <si>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</si>
  <si>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</si>
  <si>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</si>
  <si>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</si>
  <si>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</si>
  <si>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</si>
  <si>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</si>
  <si>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</si>
  <si>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</si>
  <si>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</si>
  <si>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</si>
  <si>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</si>
  <si>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</si>
  <si>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</si>
  <si>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</si>
  <si>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</si>
  <si>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</si>
  <si>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</si>
  <si>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</si>
  <si>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</si>
  <si>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</si>
  <si>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</si>
  <si>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</si>
  <si>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</si>
  <si>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</si>
  <si>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</si>
  <si>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</si>
  <si>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</si>
  <si>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</si>
  <si>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</si>
  <si>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</si>
  <si>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</si>
  <si>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</si>
  <si>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</si>
  <si>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</si>
  <si>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</si>
  <si>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</si>
  <si>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</si>
  <si>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</si>
  <si>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</si>
  <si>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</si>
  <si>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</si>
  <si>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</si>
  <si>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</si>
  <si>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</si>
  <si>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</si>
  <si>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</si>
  <si>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</si>
  <si>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</si>
  <si>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</si>
  <si>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</si>
  <si>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</si>
  <si>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</si>
  <si>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</si>
  <si>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</si>
  <si>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</si>
  <si>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</si>
  <si>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</si>
  <si>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</si>
  <si>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</si>
  <si>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</si>
  <si>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</si>
  <si>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</si>
  <si>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</si>
  <si>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</si>
  <si>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</si>
  <si>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</si>
  <si>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</si>
  <si>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</si>
  <si>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</si>
  <si>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</si>
  <si>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</si>
  <si>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</si>
  <si>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</si>
  <si>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</si>
  <si>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</si>
  <si>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</si>
  <si>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</si>
  <si>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</si>
  <si>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</si>
  <si>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</si>
  <si>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</si>
  <si>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</si>
  <si>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</si>
  <si>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</si>
  <si>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</si>
  <si>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</si>
  <si>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</si>
  <si>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</si>
  <si>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</si>
  <si>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</si>
  <si>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</si>
  <si>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</si>
  <si>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</si>
  <si>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</si>
  <si>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</si>
  <si>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</si>
  <si>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</si>
  <si>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</si>
  <si>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</si>
  <si>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</si>
  <si>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</si>
  <si>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</si>
  <si>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</si>
  <si>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</si>
  <si>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</si>
  <si>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</si>
  <si>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</si>
  <si>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</si>
  <si>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</si>
  <si>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</si>
  <si>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</si>
  <si>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</si>
  <si>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</si>
  <si>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</si>
  <si>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</si>
  <si>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</si>
  <si>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</si>
  <si>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</si>
  <si>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</si>
  <si>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</si>
  <si>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</si>
  <si>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</si>
  <si>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</si>
  <si>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</si>
  <si>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</si>
  <si>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</si>
  <si>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</si>
  <si>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</si>
  <si>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</si>
  <si>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</si>
  <si>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</si>
  <si>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</si>
  <si>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</si>
  <si>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</si>
  <si>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</si>
  <si>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</si>
  <si>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</si>
  <si>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</si>
  <si>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</si>
  <si>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</si>
  <si>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</si>
  <si>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</si>
  <si>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</si>
  <si>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</si>
  <si>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</si>
  <si>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</si>
  <si>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</si>
  <si>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</si>
  <si>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</si>
  <si>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</si>
  <si>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</si>
  <si>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</si>
  <si>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</si>
  <si>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</si>
  <si>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</si>
  <si>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</si>
  <si>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</si>
  <si>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</si>
  <si>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</si>
  <si>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</si>
  <si>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</si>
  <si>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</si>
  <si>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</si>
  <si>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</si>
  <si>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</si>
  <si>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-- 4</t>
  </si>
  <si>
    <t>-- 5</t>
  </si>
  <si>
    <t>-- 6</t>
  </si>
  <si>
    <t>-- 7</t>
  </si>
  <si>
    <t>-- 8</t>
  </si>
  <si>
    <t>-- 9</t>
  </si>
  <si>
    <t>-- 10</t>
  </si>
  <si>
    <t>-- 11</t>
  </si>
  <si>
    <t>-- 12</t>
  </si>
  <si>
    <t>-- 14</t>
  </si>
  <si>
    <t>-- 15</t>
  </si>
  <si>
    <t>-- 16</t>
  </si>
  <si>
    <t>-- 18</t>
  </si>
  <si>
    <t>Лист_пласт</t>
  </si>
  <si>
    <t>A-III(A400)</t>
  </si>
  <si>
    <t>A-IV</t>
  </si>
  <si>
    <t>A-V</t>
  </si>
  <si>
    <t>A-II(A300)</t>
  </si>
  <si>
    <t>Вр-I</t>
  </si>
  <si>
    <t>Вр-II</t>
  </si>
  <si>
    <t>С235</t>
  </si>
  <si>
    <t>ГОСТ 27772-88</t>
  </si>
  <si>
    <t>С255</t>
  </si>
  <si>
    <t>С285</t>
  </si>
  <si>
    <t>С345-3</t>
  </si>
  <si>
    <t>С375</t>
  </si>
  <si>
    <t>12Х18Н10Т</t>
  </si>
  <si>
    <t>ГОСТ 5632-72</t>
  </si>
  <si>
    <t>ОН-КР-1</t>
  </si>
  <si>
    <t>ГОСТ 14918-80</t>
  </si>
  <si>
    <t>п.м.</t>
  </si>
  <si>
    <t>кв.м.</t>
  </si>
  <si>
    <t>кг.</t>
  </si>
  <si>
    <t>л.</t>
  </si>
  <si>
    <t>Тип 1</t>
  </si>
  <si>
    <t>Тип 2</t>
  </si>
  <si>
    <t>Тип 3</t>
  </si>
  <si>
    <t>Тип 4</t>
  </si>
  <si>
    <t>Тип</t>
  </si>
  <si>
    <t>Потолок</t>
  </si>
  <si>
    <t>|Содержание|</t>
  </si>
  <si>
    <t>!System</t>
  </si>
  <si>
    <t>ЖБ</t>
  </si>
  <si>
    <t>Колонны</t>
  </si>
  <si>
    <t>П1</t>
  </si>
  <si>
    <t>Стены наружные кирпич.АР</t>
  </si>
  <si>
    <t>Кирпич 120 штукатурка с 2х сторон</t>
  </si>
  <si>
    <t>Перегородки кирпич.АР</t>
  </si>
  <si>
    <t>ГКЛ - обшивка по каркасу С623 55 мм</t>
  </si>
  <si>
    <t>Перегородки ГКЛ.АР</t>
  </si>
  <si>
    <t>Кирпич 250 штукатурка с 2х сторон</t>
  </si>
  <si>
    <t>ГКЛВ - перегородка C112 125 мм</t>
  </si>
  <si>
    <t>|Лог|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</si>
  <si>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</si>
  <si>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</si>
  <si>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</si>
  <si>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</si>
  <si>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</si>
  <si>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</si>
  <si>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</si>
  <si>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</si>
  <si>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</si>
  <si>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</si>
  <si>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</si>
  <si>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</si>
  <si>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</si>
  <si>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</si>
  <si>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</si>
  <si>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</si>
  <si>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</si>
  <si>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Шпатлёвка</t>
  </si>
  <si>
    <t>decode</t>
  </si>
  <si>
    <t>---</t>
  </si>
  <si>
    <t>ОК</t>
  </si>
  <si>
    <t>kuvbur</t>
  </si>
  <si>
    <t>Ведомость отделки</t>
  </si>
  <si>
    <t>_вед</t>
  </si>
  <si>
    <t>!!Исключить</t>
  </si>
  <si>
    <t>!!Добавить</t>
  </si>
  <si>
    <t>Обработка бетоноконтактом</t>
  </si>
  <si>
    <t>!!П1</t>
  </si>
  <si>
    <t>ГКЛ - перегородка C112 125 мм</t>
  </si>
  <si>
    <t>Кирпич 120 штукатурка с 1-й стороны</t>
  </si>
  <si>
    <t>Витражная перегородка 100 мм</t>
  </si>
  <si>
    <t>Ст г/б 300 утеп 60 штукатурка с 1 стор вз 140 н/фасад</t>
  </si>
  <si>
    <t>Стены наружные газоблок.АР</t>
  </si>
  <si>
    <t>ГКЛВ - обшивка по каркасу С623 55 мм</t>
  </si>
  <si>
    <t>Бетон - В25 (стены)</t>
  </si>
  <si>
    <t>Стены.КЖ</t>
  </si>
  <si>
    <t>Стена г/б 300+ штукатурка с 1 стороны</t>
  </si>
  <si>
    <t>Стена ж/б 250 + утеплитель 120 (подземный)</t>
  </si>
  <si>
    <t>Ст ж/б 200  утеп 160 вз 40 н/фасад</t>
  </si>
  <si>
    <t>ГКЛ - обшивка по каркасу С666 75 мм</t>
  </si>
  <si>
    <t>Стена крп 250 утеплитель 120 штукатурка с 1 стороны н/фасад</t>
  </si>
  <si>
    <t>Кирпич 250 штукатурка с 1х стороны</t>
  </si>
  <si>
    <t>Парапетная стена кирпич 250</t>
  </si>
  <si>
    <t>Ст ж/б 250 утеп160 вз 40н/фасад</t>
  </si>
  <si>
    <t>Ст г/б 300 утеп 60 штукатурка с 1 стор вз 40 н/фасад</t>
  </si>
  <si>
    <t>Ст ж/б 200 утеп 160 вз 90 н/фасад</t>
  </si>
  <si>
    <t>П2</t>
  </si>
  <si>
    <t>П3</t>
  </si>
  <si>
    <t>П4</t>
  </si>
  <si>
    <t>Итог</t>
  </si>
  <si>
    <t>Глазурованная керамическая плитка по ГОСТ 6141-91</t>
  </si>
  <si>
    <t>Ведомость отделки_правила</t>
  </si>
  <si>
    <t>Армстронг 1; Без отделки</t>
  </si>
  <si>
    <t>Армстронг 2; Без отделки</t>
  </si>
  <si>
    <t>Армстронг 3; Без отделки</t>
  </si>
  <si>
    <t>Армстронг 4; Без отделки</t>
  </si>
  <si>
    <t>Стены наружные металл.АР</t>
  </si>
  <si>
    <t>Обрамление вентшахт</t>
  </si>
  <si>
    <t>Витраж</t>
  </si>
  <si>
    <t>Наружный газоблок</t>
  </si>
  <si>
    <t>Кирпич 120</t>
  </si>
  <si>
    <t>Ж/б колонна</t>
  </si>
  <si>
    <t>Внутренний газоблок</t>
  </si>
  <si>
    <t>Внутренний Ж/б</t>
  </si>
  <si>
    <t>Обшивка ГКЛВ</t>
  </si>
  <si>
    <t>Перегородка ГКЛВ</t>
  </si>
  <si>
    <t>Перегородка ГКЛ</t>
  </si>
  <si>
    <t>Обшивка ГКЛ</t>
  </si>
  <si>
    <t>Подземный Ж/б</t>
  </si>
  <si>
    <t>Кирпич 250</t>
  </si>
  <si>
    <t>Наружный Ж/б</t>
  </si>
  <si>
    <t>Обшивка ГКЛ С666</t>
  </si>
  <si>
    <t>Наружный кирпич 250</t>
  </si>
  <si>
    <t>Парапет</t>
  </si>
  <si>
    <t>Вентшахта</t>
  </si>
  <si>
    <t>Время</t>
  </si>
  <si>
    <t>Логин</t>
  </si>
  <si>
    <t>Лист</t>
  </si>
  <si>
    <t>Результат</t>
  </si>
  <si>
    <t>calc</t>
  </si>
  <si>
    <t>common</t>
  </si>
  <si>
    <t>form</t>
  </si>
  <si>
    <t>Коэфф. запаса</t>
  </si>
  <si>
    <t>Арм п.м.</t>
  </si>
  <si>
    <t>Про п.м.</t>
  </si>
  <si>
    <t>Поз</t>
  </si>
  <si>
    <t>На одну</t>
  </si>
  <si>
    <t>Сборки</t>
  </si>
  <si>
    <t>Игнор</t>
  </si>
  <si>
    <t>Имя листа</t>
  </si>
  <si>
    <t>Список значений параметров зоны</t>
  </si>
  <si>
    <t>Номер столбца параметров</t>
  </si>
  <si>
    <t>Номера помещений</t>
  </si>
  <si>
    <t>Ведомость отделки элементов интерьера</t>
  </si>
  <si>
    <t>Примечание</t>
  </si>
  <si>
    <t xml:space="preserve"> </t>
  </si>
  <si>
    <t>Потолка</t>
  </si>
  <si>
    <t>Площадь, кв.м.</t>
  </si>
  <si>
    <t>Стены и перегородки</t>
  </si>
  <si>
    <t>Колонн</t>
  </si>
  <si>
    <t>Низа стен/колонн</t>
  </si>
  <si>
    <t>Высота, м.</t>
  </si>
  <si>
    <t>Тип_Б</t>
  </si>
  <si>
    <t>445.1, 445.2, 445.3, 445.4, 445.5, 445.6, 440а, 440б, Т0.6</t>
  </si>
  <si>
    <t>Клеевая побелка</t>
  </si>
  <si>
    <t>Окраска водоэмульсионными составами</t>
  </si>
  <si>
    <t>1,8</t>
  </si>
  <si>
    <t>Общяя площадь отделки, кв.м.</t>
  </si>
  <si>
    <t>Потолок: Клеевая побелка</t>
  </si>
  <si>
    <t>Тип_Г</t>
  </si>
  <si>
    <t>Армстронг 4</t>
  </si>
  <si>
    <t>Окраска влагостойкими в/э составами</t>
  </si>
  <si>
    <t>Потолок: Армстронг 4</t>
  </si>
  <si>
    <t>Тип_А</t>
  </si>
  <si>
    <t>Потолок: Окраска влагостойкими в/э составами</t>
  </si>
  <si>
    <t>Армстронг 1</t>
  </si>
  <si>
    <t>Армстронг 2</t>
  </si>
  <si>
    <t>Армстронг 3</t>
  </si>
  <si>
    <t>Потолок: Армстронг 1</t>
  </si>
  <si>
    <t>Потолок: Армстронг 2</t>
  </si>
  <si>
    <t>Потолок: Армстронг 3</t>
  </si>
  <si>
    <t>Тип_Д</t>
  </si>
  <si>
    <t>Отбойная доска из алюминиевого профиля ZIN-23 150x4000</t>
  </si>
  <si>
    <t>0,2</t>
  </si>
  <si>
    <t>Данные отсутвуют</t>
  </si>
  <si>
    <t>Тип_В</t>
  </si>
  <si>
    <t>Известковая побелка</t>
  </si>
  <si>
    <t>Потолок: Известковая побелка</t>
  </si>
  <si>
    <t>Тип_Е</t>
  </si>
  <si>
    <t>9.4, 10, 54, 55.2, 69, 228, 230, 258.1, 258.2, 259.1, 259.2, 260, 261, 262.1, 262.2, 263, 264, 265, 266, 267, 269, 272, 276, 277, 278, 279, 280, 282, 283, 284, 215а, 231а, 231б, 232а, 232б, 272а, 281а, 287а, 287б, 288а, 288б, 288в, 50б, 70а, 70б, 9.1а, 9.1б, 9.2а, 9.2б</t>
  </si>
  <si>
    <t>281, И1.1</t>
  </si>
  <si>
    <t>1, 1.1, 1.2, 2, 4.1, 4.2, 4.3, 5, 6, 6.1, 8, 9.3, 46, 46.1, 46.2, 49, 50, 51, 52, 53, 57, 59, 59.1, 60.1, 60.2, 61, 62, 63, 64, 65, 66.1, 66.2, 66.3, 217.1, 217.2, 218, 219, 220, 221, 222, 224, 225, 226, 227, 273, 274, 275, 360, 360.1, 366, 211а, 214а, 215б, 216а, 216б, 217.1а, 217.2а, 50а, 50в, 51а, 52а, 53а, 61а, 62а, В1.1, К1.2, Л1.1, Л1.2, Л1.3, Л1.4, Л1.5, Л1.6</t>
  </si>
  <si>
    <t>48, 60.3, К1.1, К1.3, К1.4, К1.5, Ш1.1, Ш1.2, Ш1.3, Ш1.4</t>
  </si>
  <si>
    <t>56, 67, 68, 229, 285, 286, 56а</t>
  </si>
  <si>
    <t>Тип_Ж</t>
  </si>
  <si>
    <t>55, 55.1</t>
  </si>
  <si>
    <t>Облицовка HPL панелями FunderMAX по подвесной системе DEKOTECH</t>
  </si>
  <si>
    <t>Тип_И</t>
  </si>
  <si>
    <t>211, 214, 215, 216</t>
  </si>
  <si>
    <t>Рентгензащитные панели (смотри раздел ИОС-7)</t>
  </si>
  <si>
    <t>Ведомость отделки-1 0.000_вед</t>
  </si>
  <si>
    <t>40, 41, 42.2, 258.3, 258.4, 17в, 18г, 19д, 209а, 209б, 20в, 210а, 210б, 29г, 301г, 301д, 40а, 42.1а, 42.1б, 42.2а, 43.1а, 43.1б, 43.2а, 43.2б</t>
  </si>
  <si>
    <t>13.1, 13.2, 13.3, 13.4, 13.5, 14, 15, 16.1, 16.2, 20, 27, 28, 30, 31, 33, 34.1, 34.2, 35, 35.1, 35.2, 35.3, 36, 39, 198.1, 198.2, 199, 202, 203.1, 203.2, 204.1, 204.2, 205, 206, 324, 427, 428, 441, 13.1а, 13.2а, 13.3а, 13.4а, 13.5а, 14а, 15а, 16.1а, 16.2а, 17а, 17б, 17г, 17д, 18а, 18б, 18в, 197б, 197в, 19а, 19б, 19в, 19г, 200а, 20а, 20б, 213а, 21а, 21б, 21в, 22а, 22б, 26а, 26б, 29а, 29б, 29в, 301а, 301б, 32а, 32б, В2.1, Л2.1, Л2.2, Л2.3, Л2.4, Т2.1, Т2.2, Т2.3</t>
  </si>
  <si>
    <t>К2.1, К2.2, К2.3, К2.4, К2.5, К2.6, Ш2.1, Ш2.2, Ш2.3, Ш2.4</t>
  </si>
  <si>
    <t>37, 38, 207, 208, 200б, 200в, 200г, 301в</t>
  </si>
  <si>
    <t>197а</t>
  </si>
  <si>
    <t>213б</t>
  </si>
  <si>
    <t>Тип_К</t>
  </si>
  <si>
    <t>22в</t>
  </si>
  <si>
    <t>Окраска в/э составами черного цвета</t>
  </si>
  <si>
    <t>Потолок: Окраска в/э составами черного цвета</t>
  </si>
  <si>
    <t>Ведомость отделки-2 +4.500_вед</t>
  </si>
  <si>
    <t>Т3.1, Т3.2</t>
  </si>
  <si>
    <t>351, 352, 353, 354, 355, 356, 361, 362, 368, 369.1, 369.2, 369.3, 369.4, 369.5, 373, 378.1, 378.2, 378.3, 378.4, 378.5, 379.1, 379.2, 379.3, 379.4, 379.5, 380.1, 380.2, 381, 382, 383.1, 383.2, 384, 388, 389, 390, 391, 394, 396, 397, 426.1, 426.3, 347а, 347б, 348а, 348б, 349а, 349б, 350а, 350б, 357а, 357б, 357в, 358а, 358б, 367а, 367б, 370а, 370б, 370в, 371а, 371б, 372а, 377а, 377б, В3.1, К3.1, К3.2, К3.3, К3.4, К3.5, Л3.1, Л3.2, Л3.3, Л3.4, Ш3.1, Ш3.2, Ш3.3, Ш3.4</t>
  </si>
  <si>
    <t>363, 374, 385, 364а, 364б, 365а, 365б, 375.1а, 375.1б, 375.2а, 375.2б, 376а, 376б, 386а, 386б, 387а, 387б, 398а, 398б</t>
  </si>
  <si>
    <t>372б</t>
  </si>
  <si>
    <t>155, 156, 169, 170, 151.1г, 151.2г, 153.1г, 153.2г, 153.3г, 153.4г, 153.5г, 153.6г, 153.7г, 153.8г, 169а, 171а, 171б, 172а, 172в, 244а, 244б, 245а, 245б</t>
  </si>
  <si>
    <t>Т4.1, Т4.2</t>
  </si>
  <si>
    <t>154.1, 154.2, 157, 158.1, 158.2, 159, 160.1, 160.2, 160.3, 160.4, 160.5, 161.1, 161.2, 162, 163, 164, 165.2, 166, 233, 234, 235, 236, 237, 238, 239, 241, 149а, 149б, 149в, 150.1а, 150.1б, 150.2а, 150.2б, 151.1а, 151.1б, 151.1в, 151.2а, 151.2б, 151.2в, 152а, 152б, 153.1а, 153.1б, 153.1в, 153.2а, 153.2б, 153.2в, 153.3а, 153.3б, 153.3в, 153.4а, 153.4б, 153.4в, 153.5а, 153.5б, 153.5в, 153.6а, 153.6б, 153.6в, 153.7а, 153.7б, 153.7в, 153.8а, 153.8б, 153.8в, 154.1а, 155а, 156а, 159а, 233а, 234а, 235а, 236а, 236б, 237а, 240а, 240б, В4.1, Л4.1, Л4.2, Л4.3, Л4.4</t>
  </si>
  <si>
    <t>148.1, 148.2, 148.3, 148.4, К4.1, К4.2, К4.3, К4.4</t>
  </si>
  <si>
    <t>165.1, 167, 168, 242, 243, 149г, 150.1в, 150.2в, 151.1д, 151.2д, 152в, 153.1д, 153.2д, 153.3д, 153.4д, 153.5д, 153.6д, 153.7д, 153.8д, 172б</t>
  </si>
  <si>
    <t>194, 311, 313, 174г, 176г, 177.1г, 177.2г, 177.3г, 177.4г, 177.5г, 193б, 195а, 195б, 196а, 196б, 314.1а, 314.1б, 314.2а, 314.2б, 315а, 315б</t>
  </si>
  <si>
    <t>Т5.1, Т5.2</t>
  </si>
  <si>
    <t>180, 181, 182, 183, 185.1, 185.2, 186, 187, 188, 189.2, 190, 290, 292, 293, 295, 296, 297, 298, 302, 304, 305, 306, 307, 308, 309, 310.1, 310.2, 310.3, 174а, 174б, 174в, 175.1а, 175.1б, 175.2а, 175.2б, 176а, 176б, 176в, 177.1а, 177.1б, 177.1в, 177.2а, 177.2б, 177.2в, 177.3а, 177.3б, 177.3в, 177.4а, 177.4б, 177.4в, 177.5а, 177.5б, 177.5в, 178а, 178б, 179а, 179б, 180а, 184а, 184б, 184в, 184г, 184д, 193а, 289а, 289б, 290а, 292а, 293а, 293б, 295а, 296а, 297а, 297б, 299а, 299б, В5.1, Л5.1, Л5.2, Л5.3, Л5.4</t>
  </si>
  <si>
    <t>173.1, 173.2, К5.1, К5.2, К5.3, К5.4, Ш5.1, Ш5.3</t>
  </si>
  <si>
    <t>189.1, 191, 192, 312, 175.1в, 175.2в, 176д, 177.1д, 177.2д, 177.3д, 177.4д, 177.5д, 196в</t>
  </si>
  <si>
    <t>99.1, 100, 101а, 101б, 102а, 102б, 74.1г, 74.2г, 75г, 76.1г, 76.2г, 77.1г, 77.2г, 77.3г, 77.4г, 81а</t>
  </si>
  <si>
    <t>Т6.1, Т6.2</t>
  </si>
  <si>
    <t>78.1, 78.2, 79, 80, 86, 87, 88.1, 88.2, 89, 90, 91.1, 91.2, 92, 93, 94, 95.2, 96, 72а, 72б, 72г, 73.1а, 73.1б, 73.2а, 73.2б, 74.1а, 74.1б, 74.1в, 74.2а, 74.2б, 74.2в, 75а, 75б, 75в, 76.1а, 76.1б, 76.1в, 76.2а, 76.2б, 76.2в, 77.1а, 77.1б, 77.1в, 77.2а, 77.2б, 77.2в, 77.3а, 77.3б, 77.3в, 77.4а, 77.4б, 77.4в, 78.1а, 79а, 80а, 82а, 84а, 85а, 86а, 89а, 90а, 90б, 90в, 90г, В6.1, Л6.1, Л6.2, Л6.3, Л6.4</t>
  </si>
  <si>
    <t>71.1, 71.2, 71.3, 71.4, К6.1, К6.2, К6.3, К6.4</t>
  </si>
  <si>
    <t>81, 82, 83, 84, 85, 95.1, 97, 97.1, 98, 99, 102в, 72в, 73.1в, 73.2в, 74.1д, 74.2д, 75д, 76.1д, 76.2д, 77.1д, 77.2д, 77.3д, 77.4д</t>
  </si>
  <si>
    <t>126, 129.1, 129.2, 129.4, 146, 248.4, 255, 346, 144а, 147а, 147б, 256а, 256б, 257а, 257б</t>
  </si>
  <si>
    <t>114, 115, 115.1, 115.2, 116, 118, 120, 121, 130.1, 130.2, 130.3, 131, 132, 133, 134, 135, 136, 138, 139, 140.1, 140.2, 141, 249, 250, 252, 342, 131П, 134М, 134Н, В7.1, К7.2, К7.5, Л7.1, Л7.2, Л7.3, Л7.4</t>
  </si>
  <si>
    <t>103, 117, 128.1, 128.2, К10, К7.1, К7.3, К7.4, К7.6, К7.7, К7.8, К9, Ш7.1, Ш7.2, Ш7.3, Ш7.4</t>
  </si>
  <si>
    <t>105.1, 105.2, 106, 109, 109.1, 110, 110.1, 112, 112.1, 113, 119, 122, 123, 124, 125, 127, 129.3, 130.4, 130.5, 137, 142, 143, 144, 246.1, 246.2, 247.1, 247.2, 248.1, 248.2, 248.3, 251, 253, 254, 328, 329, 330, 331, 332, 334, 335, 336, 337, 338, 339, 340, 341, 343, 344, 345, 104Ж1, 104Ж2, 104Ж3, 104Ж4, 104Ж5, 104М1, 104М2, 104М3, 104М4, 104М5, 131А, 333а, 333б</t>
  </si>
  <si>
    <t>107, 108, 111</t>
  </si>
  <si>
    <t>44.1, 44.2, 44.3, 45, 399, 400, 401, 403, 405, 406, 407, 408, 409, 410, 411, 412, 414, 417, 419, 420, 421, 422, 423.1, 423.2, 424, 425, 429, 430, 433, 435, 436, 437, 438, 399а, 400а</t>
  </si>
  <si>
    <t>318, В0.2, В0.3, В0.4, В0.5, И0.1, И0.2, И0.3а, И0.3б, Т0.1</t>
  </si>
  <si>
    <t>3, 7, 316, 317, 319, 320, 321, 322, 322.1, 323.1, 323.2, 325, 359.1, 359.2, 392, 393, 395.1, 395.2, 395.3, 402.1, 402.2, 423, 442, 442а, В0.1, К0.1, К0.10, К0.2а, К0.2б, К0.3, К0.4, К0.5, К0.6, К0.7, К0.8, К0.9, Л0.3, Л0.3а, Л0.4, Л0.5, Л0.6, Т0.4, Т0.5, Ш0.1, Ш0.2, Ш0.3, Ш0.5, Ш0.6</t>
  </si>
  <si>
    <t>11, 12, 46.3, 47, 145, 326, 404, 413, 415, 416, 418, 431, 443, 447, 448, 449, 449.1, 449.2, 458, 459, 327а, 327б, 401а, 401б, 401в, 430а, 430б, 44.1а, 44.1б, 44.1в, 44.2а, 44.2б, 44.2в, 44.3а, 44.3б, 44.3в, 444а, 444б, 45а, 45б, 45в</t>
  </si>
  <si>
    <t>Ведомость отделки--4.290_вед</t>
  </si>
  <si>
    <t>Л8.3, Л8.4, ПЧ</t>
  </si>
  <si>
    <t>Ведомость отделки-3 +8.550_вед</t>
  </si>
  <si>
    <t>Ведомость отделки-4 +12.600_вед</t>
  </si>
  <si>
    <t>Ведомость отделки-5 +16.650_вед</t>
  </si>
  <si>
    <t>Ведомость отделки-6 +20.700_вед</t>
  </si>
  <si>
    <t>Ведомость отделки-7 +24.750_вед</t>
  </si>
  <si>
    <t>мость отделки-Чердак+29.100_вед</t>
  </si>
  <si>
    <t>Тест</t>
  </si>
  <si>
    <t>admin</t>
  </si>
  <si>
    <t>9.4, 10, 40, 41, 42.2, 44.1, 44.2, 44.3, 45, 54, 55.2, 69, 99.1, 100, 126, 129.1, 129.2, 129.4, 146, 155, 156, 169, 170, 194, 228, 230, 248.4, 255, 258.1, 258.2, 258.3, 258.4, 259.1, 259.2, 260, 261, 262.1, 262.2, 263, 264, 265, 266, 267, 269, 272, 276, 277, 278, 279, 280, 282, 283, 284, 311, 313, 346, 399, 400, 401, 403, 405, 406, 407, 408, 409, 410, 411, 412, 414, 417, 419, 420, 421, 422, 423.1, 423.2, 424, 425, 426.2, 429, 430, 433, 434, 435, 436, 437, 438, 101а, 101б, 102а, 102б, 144а, 147а, 147б, 151.1г, 151.2г, 153.1г, 153.2г, 153.3г, 153.4г, 153.5г, 153.6г, 153.7г, 153.8г, 169а, 171а, 171б, 172а, 172в, 174г, 176г, 177.1г, 177.2г, 177.3г, 177.4г, 177.5г, 17в, 18г, 193б, 195а, 195б, 196а, 196б, 19д, 209а, 209б, 20в, 210а, 210б, 215а, 231а, 231б, 232а, 232б, 244а, 244б, 245а, 245б, 256а, 256б, 257а, 257б, 272а, 281а, 287а, 287б, 288а, 288б, 288в, 29г, 301г, 301д, 314.1а, 314.1б, 314.2а, 314.2б, 315а, 315б, 399а, 400а, 40а, 42.1а, 42.1б, 42.2а, 43.1а, 43.1б, 43.2а, 43.2б, 50б, 70а, 70б, 74.1г, 74.2г, 75г, 76.1г, 76.2г, 77.1г, 77.2г, 77.3г, 77.4г, 81а, 9.1а, 9.1б, 9.2а, 9.2б</t>
  </si>
  <si>
    <t>Ведомость отделки_разб</t>
  </si>
  <si>
    <t>Ведомость отделки-Тест_вед</t>
  </si>
  <si>
    <t>Разница площади помещения 106,79 и потолка 641,4 в помещении 1</t>
  </si>
  <si>
    <t>Ошибка</t>
  </si>
  <si>
    <t>-534,61</t>
  </si>
  <si>
    <t>Разница площади помещения 200,91 и потолка 25,5 в помещении 4,1</t>
  </si>
  <si>
    <t>175,41</t>
  </si>
  <si>
    <t>Разница площади помещения 4,31 и потолка 4,8 в помещении 9,4</t>
  </si>
  <si>
    <t>-0,49</t>
  </si>
  <si>
    <t>Разница площади помещения 4,86 и потолка 5 в помещении 10</t>
  </si>
  <si>
    <t>-0,14</t>
  </si>
  <si>
    <t>Разница площади помещения 14,43 и потолка 37,5 в помещении 13,1</t>
  </si>
  <si>
    <t>-23,07</t>
  </si>
  <si>
    <t>Разница площади помещения 14,37 и потолка 37,2 в помещении 13,2</t>
  </si>
  <si>
    <t>-22,83</t>
  </si>
  <si>
    <t>Разница площади помещения 16,7 и потолка 44,4 в помещении 13,3</t>
  </si>
  <si>
    <t>-27,7</t>
  </si>
  <si>
    <t>Разница площади помещения 17,99 и потолка 48 в помещении 13,4</t>
  </si>
  <si>
    <t>-30,01</t>
  </si>
  <si>
    <t>Разница площади помещения 17,52 и потолка 46,8 в помещении 13,5</t>
  </si>
  <si>
    <t>-29,28</t>
  </si>
  <si>
    <t>Разница площади помещения 17,29 и потолка 46,2 в помещении 14</t>
  </si>
  <si>
    <t>-28,91</t>
  </si>
  <si>
    <t>Разница площади помещения 17,52 и потолка 46,8 в помещении 15</t>
  </si>
  <si>
    <t>Разница площади помещения 18,85 и потолка 50,7 в помещении 16,1</t>
  </si>
  <si>
    <t>-31,85</t>
  </si>
  <si>
    <t>Разница площади помещения 15,87 и потолка 42 в помещении 16,2</t>
  </si>
  <si>
    <t>-26,13</t>
  </si>
  <si>
    <t>Разница площади помещения 16 и потолка 42,3 в помещении 20</t>
  </si>
  <si>
    <t>-26,3</t>
  </si>
  <si>
    <t>Разница площади помещения 20,54 и потолка 21 в помещении 46,1</t>
  </si>
  <si>
    <t>-0,460000000000001</t>
  </si>
  <si>
    <t>Разница площади помещения 5,66 и потолка 5,8 в помещении 46,2</t>
  </si>
  <si>
    <t>Разница площади помещения 142,78 и потолка 196,8 в помещении 48</t>
  </si>
  <si>
    <t>-54,02</t>
  </si>
  <si>
    <t>Разница площади помещения 15,88 и потолка 16 в помещении 82</t>
  </si>
  <si>
    <t>-0,119999999999999</t>
  </si>
  <si>
    <t>Разница площади помещения 16,49 и потолка 16,6 в помещении 87</t>
  </si>
  <si>
    <t>-0,110000000000003</t>
  </si>
  <si>
    <t>Разница площади помещения 7,99 и потолка 10,3 в помещении 90</t>
  </si>
  <si>
    <t>-2,31</t>
  </si>
  <si>
    <t>Разница площади помещения 15,72 и потолка 15,9 в помещении 91,1</t>
  </si>
  <si>
    <t>-0,18</t>
  </si>
  <si>
    <t>Разница площади помещения 12,59 и потолка 12,7 в помещении 91,2</t>
  </si>
  <si>
    <t>-0,109999999999999</t>
  </si>
  <si>
    <t>Разница площади помещения 15,86 и потолка 16 в помещении 92</t>
  </si>
  <si>
    <t>-0,140000000000001</t>
  </si>
  <si>
    <t>Разница площади помещения 4,59 и потолка 4,4 в помещении 97,1</t>
  </si>
  <si>
    <t>0,19</t>
  </si>
  <si>
    <t>Разница площади помещения 36,8 и потолка 36 в помещении 107</t>
  </si>
  <si>
    <t>0,799999999999997</t>
  </si>
  <si>
    <t>Разница площади помещения 56,08 и потолка 26,4 в помещении 165,2</t>
  </si>
  <si>
    <t>29,68</t>
  </si>
  <si>
    <t>Разница площади помещения 56,08 и потолка 141,6 в помещении 166</t>
  </si>
  <si>
    <t>-85,52</t>
  </si>
  <si>
    <t>Разница площади помещения 19,43 и потолка 51,6 в помещении 180</t>
  </si>
  <si>
    <t>-32,17</t>
  </si>
  <si>
    <t>Разница площади помещения 15,94 и потолка 15,8 в помещении 181</t>
  </si>
  <si>
    <t>0,139999999999999</t>
  </si>
  <si>
    <t>Разница площади помещения 38,67 и потолка 26,4 в помещении 189,2</t>
  </si>
  <si>
    <t>12,27</t>
  </si>
  <si>
    <t>Разница площади помещения 38,67 и потолка 89,4 в помещении 190</t>
  </si>
  <si>
    <t>-50,73</t>
  </si>
  <si>
    <t>Разница площади помещения 13,7 и потолка 13,8 в помещении 259,2</t>
  </si>
  <si>
    <t>-0,100000000000001</t>
  </si>
  <si>
    <t>Разница площади помещения 12,96 и потолка 13,1 в помещении 264</t>
  </si>
  <si>
    <t>-0,139999999999999</t>
  </si>
  <si>
    <t>Разница площади помещения 24,6 и потолка 24,1 в помещении 267</t>
  </si>
  <si>
    <t>0,5</t>
  </si>
  <si>
    <t>Разница площади помещения 23,36 и потолка 24,6 в помещении 269</t>
  </si>
  <si>
    <t>-1,24</t>
  </si>
  <si>
    <t>Разница площади помещения 11,43 и потолка 10,9 в помещении 279</t>
  </si>
  <si>
    <t>0,529999999999999</t>
  </si>
  <si>
    <t>Разница площади помещения 41,78 и потолка 107,1 в помещении 292</t>
  </si>
  <si>
    <t>-65,32</t>
  </si>
  <si>
    <t>Разница площади помещения 22,74 и потолка 50,1 в помещении 297</t>
  </si>
  <si>
    <t>-27,36</t>
  </si>
  <si>
    <t>Разница площади помещения 61,4 и потолка 20,1 в помещении 323,2</t>
  </si>
  <si>
    <t>41,3</t>
  </si>
  <si>
    <t>Разница площади помещения 17,67 и потолка 18 в помещении 339</t>
  </si>
  <si>
    <t>-0,329999999999998</t>
  </si>
  <si>
    <t>Разница площади помещения 30,18 и потолка 30,5 в помещении 360</t>
  </si>
  <si>
    <t>-0,32</t>
  </si>
  <si>
    <t>Разница площади помещения 127,46 и потолка 94,2 в помещении 362</t>
  </si>
  <si>
    <t>33,26</t>
  </si>
  <si>
    <t>Разница площади помещения 56,34 и потолка 107,7 в помещении 409</t>
  </si>
  <si>
    <t>-51,36</t>
  </si>
  <si>
    <t>Разница площади помещения 56,34 и потолка 61,5 в помещении 410</t>
  </si>
  <si>
    <t>-5,16</t>
  </si>
  <si>
    <t>Разница площади помещения 49,44 и потолка 121,8 в помещении 426,1</t>
  </si>
  <si>
    <t>-72,36</t>
  </si>
  <si>
    <t>Разница площади помещения 49,44 и потолка 26,4 в помещении 426,3</t>
  </si>
  <si>
    <t>23,04</t>
  </si>
  <si>
    <t>Разница площади помещения 118,91 и потолка 73,5 в помещении 434</t>
  </si>
  <si>
    <t>45,41</t>
  </si>
  <si>
    <t>Разница площади помещения 14,43 и потолка 5,7 в помещении 13.1а</t>
  </si>
  <si>
    <t>8,73</t>
  </si>
  <si>
    <t>Разница площади помещения 14,37 и потолка 5,7 в помещении 13.2а</t>
  </si>
  <si>
    <t>8,67</t>
  </si>
  <si>
    <t>Разница площади помещения 16,7 и потолка 5,7 в помещении 13.3а</t>
  </si>
  <si>
    <t>Разница площади помещения 17,99 и потолка 6 в помещении 13.4а</t>
  </si>
  <si>
    <t>11,99</t>
  </si>
  <si>
    <t>Разница площади помещения 17,52 и потолка 5,7 в помещении 13.5а</t>
  </si>
  <si>
    <t>11,82</t>
  </si>
  <si>
    <t>Разница площади помещения 17,29 и потолка 5,7 в помещении 14а</t>
  </si>
  <si>
    <t>11,59</t>
  </si>
  <si>
    <t>Разница площади помещения 2,87 и потолка 3 в помещении 151.1г</t>
  </si>
  <si>
    <t>-0,13</t>
  </si>
  <si>
    <t>Разница площади помещения 17,52 и потолка 5,7 в помещении 15а</t>
  </si>
  <si>
    <t>Разница площади помещения 18,85 и потолка 5,7 в помещении 16.1а</t>
  </si>
  <si>
    <t>13,15</t>
  </si>
  <si>
    <t>Разница площади помещения 15,87 и потолка 5,7 в помещении 16.2а</t>
  </si>
  <si>
    <t>10,17</t>
  </si>
  <si>
    <t>Разница площади помещения 19,43 и потолка 6,6 в помещении 180а</t>
  </si>
  <si>
    <t>12,83</t>
  </si>
  <si>
    <t>129.1, 399, 400, 401, 406, 407, 408, 409, 410, 411, 412, 414, 417, 429, 430, 434, 147а, 147б</t>
  </si>
  <si>
    <t>9.4, 10, 40, 41, 42.2, 44.1, 44.2, 44.3, 45, 69, 99.1, 100, 126, 129.2, 129.4, 146, 169, 170, 194, 228, 230, 248.4, 255, 276, 277, 278, 279, 283, 284, 311, 313, 346, 426.2, 101а, 101б, 102а, 102б, 144а, 151.1г, 151.2г, 153.1г, 153.2г, 153.3г, 153.4г, 153.5г, 153.6г, 153.7г, 153.8г, 169а, 171а, 171б, 172а, 172в, 174г, 176г, 177.1г, 177.2г, 177.3г, 177.4г, 177.5г, 17в, 18г, 193б, 195а, 195б, 196а, 196б, 19д, 209а, 209б, 20в, 210а, 210б, 215а, 231а, 231б, 232а, 232б, 244а, 244б, 245а, 245б, 256а, 256б, 257а, 257б, 272а, 287а, 287б, 288а, 288б, 288в, 29г, 301г, 301д, 314.1а, 314.1б, 314.2а, 314.2б, 315а, 315б, 40а, 42.1а, 42.1б, 42.2а, 43.1а, 43.1б, 43.2а, 43.2б, 50б, 70а, 70б, 74.1г, 74.2г, 75г, 76.1г, 76.2г, 77.1г, 77.2г, 77.3г, 77.4г, 81а, 9.1а, 9.1б, 9.2а, 9.2б</t>
  </si>
  <si>
    <t>54, 55.2, 258.1, 258.2, 258.3, 258.4, 259.1, 259.2, 260, 261, 262.1, 262.2, 263, 264, 265, 266, 267, 269, 272</t>
  </si>
  <si>
    <t>155, 156</t>
  </si>
  <si>
    <t>281, 318, В0.2, В0.3, В0.4, В0.5, И0.1, И0.2, И0.3а, И0.3б, И1.1, Т0.1, Т3.1, Т3.2, Т4.1, Т4.2, Т5.1, Т5.2, Т6.1, Т6.2</t>
  </si>
  <si>
    <t>1, 1.1, 1.2, 2, 3, 4.1, 4.2, 4.3, 5, 6, 6.1, 7, 8, 9.3, 13.1, 13.2, 13.3, 13.4, 13.5, 14, 15, 16.1, 16.2, 20, 27, 28, 30, 31, 33, 34.1, 34.2, 35, 35.1, 35.2, 35.3, 36, 39, 46, 46.1, 46.2, 49, 50, 51, 52, 53, 57, 59, 59.1, 60.1, 60.2, 61, 62, 63, 64, 65, 66.1, 66.2, 66.3, 78.1, 78.2, 79, 80, 86, 87, 88.1, 88.2, 89, 90, 91.1, 91.2, 92, 93, 94, 95.2, 96, 114, 115, 115.1, 115.2, 116, 118, 120, 121, 130.1, 130.2, 130.3, 131, 132, 133, 134, 135, 136, 138, 139, 140.1, 140.2, 141, 154.1, 154.2, 157, 158.1, 158.2, 159, 160.1, 160.2, 160.3, 160.4, 160.5, 161.1, 161.2, 162, 163, 164, 165.2, 166, 180, 181, 182, 183, 185.1, 185.2, 186, 187, 188, 189.2, 190, 198.1, 198.2, 199, 202, 203.1, 203.2, 204.1, 204.2, 205, 206, 217.1, 217.2, 218, 219, 220, 221, 222, 224, 225, 226, 227, 233, 234, 235, 236, 237, 238, 239, 241, 249, 250, 252, 273, 274, 275, 290, 292, 293, 295, 296, 297, 298, 302, 304, 305, 306, 307, 308, 309, 310.1, 310.2, 310.3, 316, 317, 319, 320, 321, 322, 322.1, 323.1, 323.2, 324, 325, 342, 351, 352, 353, 354, 355, 356, 359.1, 359.2, 360, 360.1, 361, 362, 366, 368, 369.1, 369.2, 369.3, 369.4, 369.5, 373, 378.1, 378.2, 378.3, 378.4, 378.5, 379.1, 379.2, 379.3, 379.4, 379.5, 380.1, 380.2, 381, 382, 383.1, 383.2, 384, 388, 389, 390, 391, 392, 393, 394, 395.1, 395.2, 395.3, 396, 397, 402.1, 402.2, 423, 426.1, 426.3, 427, 428, 441, 442, 13.1а, 13.2а, 13.3а, 13.4а, 13.5а, 131П, 134М, 134Н, 149а, 149б, 149в, 14а, 150.1а, 150.1б, 150.2а, 150.2б, 151.1а, 151.1б, 151.1в, 151.2а, 151.2б, 151.2в, 152а, 152б, 153.1а, 153.1б, 153.1в, 153.2а, 153.2б, 153.2в, 153.3а, 153.3б, 153.3в, 153.4а, 153.4б, 153.4в, 153.5а, 153.5б, 153.5в, 153.6а, 153.6б, 153.6в, 153.7а, 153.7б, 153.7в, 153.8а, 153.8б, 153.8в, 154.1а, 155а, 156а, 159а, 15а, 16.1а, 16.2а, 174а, 174б, 174в, 175.1а, 175.1б, 175.2а, 175.2б, 176а, 176б, 176в, 177.1а, 177.1б, 177.1в, 177.2а, 177.2б, 177.2в, 177.3а, 177.3б, 177.3в, 177.4а, 177.4б, 177.4в, 177.5а, 177.5б, 177.5в, 178а, 178б, 179а, 179б, 17а, 17б, 17г, 17д, 180а, 184а, 184б, 184в, 184г, 184д, 18а, 18б, 18в, 193а, 197б, 197в, 19а, 19б, 19в, 19г, 200а, 20а, 20б, 211а, 213а, 214а, 215б, 216а, 216б, 217.1а, 217.2а, 21а, 21б, 21в, 22а, 22б, 233а, 234а, 235а, 236а, 236б, 237а, 240а, 240б, 26а, 26б, 289а, 289б, 290а, 292а, 293а, 293б, 295а, 296а, 297а, 297б, 299а, 299б, 29а, 29б, 29в, 301а, 301б, 32а, 32б, 347а, 347б, 348а, 348б, 349а, 349б, 350а, 350б, 357а, 357б, 357в, 358а, 358б, 367а, 367б, 370а, 370б, 370в, 371а, 371б, 372а, 377а, 377б, 442а, 50а, 50в, 51а, 52а, 53а, 61а, 62а, 72а, 72б, 72г, 73.1а, 73.1б, 73.2а, 73.2б, 74.1а, 74.1б, 74.1в, 74.2а, 74.2б, 74.2в, 75а, 75б, 75в, 76.1а, 76.1б, 76.1в, 76.2а, 76.2б, 76.2в, 77.1а, 77.1б, 77.1в, 77.2а, 77.2б, 77.2в, 77.3а, 77.3б, 77.3в, 77.4а, 77.4б, 77.4в, 78.1а, 79а, 80а, 82а, 84а, 85а, 86а, 89а, 90а, 90б, 90в, 90г, В0.1, В1.1, В2.1, В3.1, В4.1, В5.1, В6.1, В7.1, К0.1, К0.10, К0.2а, К0.2б, К0.3, К0.4, К0.5, К0.6, К0.7, К0.8, К0.9, К1.2, К3.1, К3.2, К3.3, К3.4, К3.5, К7.2, К7.5, Л0.3, Л0.3а, Л0.4, Л0.5, Л0.6, Л1.1, Л1.2, Л1.3, Л1.4, Л1.5, Л1.6, Л2.1, Л2.2, Л2.3, Л2.4, Л3.1, Л3.2, Л3.3, Л3.4, Л4.1, Л4.2, Л4.3, Л4.4, Л5.1, Л5.2, Л5.3, Л5.4, Л6.1, Л6.2, Л6.3, Л6.4, Л7.1, Л7.2, Л7.3, Л7.4, Л8.3, Л8.4, ПЧ, Т0.4, Т0.5, Т2.1, Т2.2, Т2.3, Ш0.1, Ш0.2, Ш0.3, Ш0.5, Ш0.6, Ш3.1, Ш3.2, Ш3.3, Ш3.4</t>
  </si>
  <si>
    <t>1, 1.1, 1.2, 3, 4.1, 4.2, 4.3, 5, 6, 6.1, 8, 9.3, 114, 115, 115.1, 115.2, 116, 118, 120, 121, 132, 185.2, 217.1, 217.2, 218, 219, 220, 249, 250, 252, 273, 274, 275, 323.1, 323.2, 342, 352, 353, 354, 355, 359.1, 359.2, 360, 361, 368, 369.1, 369.2, 369.3, 369.4, 369.5, 373, 378.1, 378.2, 378.3, 378.4, 378.5, 379.1, 379.2, 379.3, 379.4, 379.5, 380.1, 380.2, 381, 382, 383.1, 383.2, 384, 394, 402.1, 402.2, 426.3, 426.1, 180а, 211а, 214а, 215б, 217.1а, 217.2а, 367а, 367б, 370а, 370б, 370в, 371а, 372а, 377а, 377б, 50в, 61а, 62а, К0.6, К0.7, К1.2, К7.2, К7.5, Л1.5, Л1.6, Ш3.1, Ш3.2, Ш3.3, Ш3.4</t>
  </si>
  <si>
    <t>35.2, 35.3, 36, 46.2, 130.3, 205, 310.2, 322, 325, 17б, 17д, 18в, 193а, 19б, 19г, 51а, 52а, 90а</t>
  </si>
  <si>
    <t>130.1, 130.2, 131, 133, 134, 135, 136, 138, 139, 140.1, 140.2, 141, 131П, 134М, 134Н</t>
  </si>
  <si>
    <t>13.1, 13.2, 13.3, 13.4, 13.5, 14, 15, 16.1, 16.2, 20, 27, 28, 30, 31, 33, 34.1, 34.2, 35, 35.1, 39, 46, 46.1, 49, 50, 51, 52, 53, 57, 59, 59.1, 60.1, 60.2, 61, 62, 63, 78.1, 78.2, 79, 80, 86, 87, 88.1, 88.2, 89, 90, 91.1, 91.2, 92, 94, 95.2, 96, 154.1, 154.2, 157, 158.1, 158.2, 159, 160.1, 160.2, 160.3, 160.4, 160.5, 161.1, 161.2, 162, 163, 164, 165.2, 166, 180, 181, 182, 183, 185.1, 186, 187, 188, 189.2, 190, 198.1, 198.2, 199, 202, 203.1, 203.2, 204.1, 204.2, 206, 233, 234, 235, 236, 237, 238, 239, 241, 290, 292, 293, 295, 296, 297, 298, 302, 304, 305, 306, 307, 324, 351, 356, 362, 388, 389, 390, 391, 396, 427, 428, 441, 13.1а, 13.2а, 13.3а, 13.4а, 13.5а, 149а, 149б, 149в, 14а, 150.1а, 150.1б, 150.2а, 150.2б, 151.1а, 151.1б, 151.1в, 151.2а, 151.2б, 151.2в, 152а, 152б, 153.1а, 153.1б, 153.1в, 153.2а, 153.2б, 153.2в, 153.3а, 153.3б, 153.3в, 153.4а, 153.4б, 153.4в, 153.5а, 153.5б, 153.5в, 153.6а, 153.6б, 153.6в, 153.7а, 153.7б, 153.7в, 153.8а, 153.8б, 153.8в, 154.1а, 155а, 156а, 159а, 15а, 16.1а, 16.2а, 174а, 174б, 174в, 175.1а, 175.1б, 175.2а, 175.2б, 176а, 176б, 176в, 177.1а, 177.1б, 177.1в, 177.2а, 177.2б, 177.2в, 177.3а, 177.3б, 177.3в, 177.4а, 177.4б, 177.4в, 177.5а, 177.5б, 177.5в, 178а, 178б, 179а, 179б, 17а, 17г, 184а, 184б, 184в, 184д, 18а, 18б, 197б, 197в, 19а, 19в, 200а, 20а, 20б, 213а, 21а, 21б, 21в, 22а, 22б, 233а, 234а, 235а, 236а, 236б, 237а, 240а, 240б, 26а, 26б, 289а, 289б, 290а, 292а, 293а, 293б, 295а, 296а, 297а, 297б, 299а, 299б, 29а, 29б, 29в, 301а, 301б, 32а, 32б, 347а, 347б, 348а, 348б, 349а, 349б, 350а, 350б, 357а, 357б, 357в, 358а, 358б, 50а, 53а, 72а, 72б, 72г, 73.1а, 73.1б, 73.2а, 73.2б, 74.1а, 74.1б, 74.1в, 74.2а, 74.2б, 74.2в, 75а, 75б, 75в, 76.1а, 76.1б, 76.1в, 76.2а, 76.2б, 76.2в, 77.1а, 77.1б, 77.1в, 77.2а, 77.2б, 77.2в, 77.3а, 77.3б, 77.3в, 77.4а, 77.4б, 77.4в, 78.1а, 79а, 80а, 82а, 84а, 85а, 86а, 89а, 90б, 90в, 90г, К0.1, К0.10, К0.2а, К0.3, К0.4, К0.5, К0.8, К0.9, К3.1, К3.2, К3.3, К3.4, К3.5, Ш0.1, Ш0.2, Ш0.3, Ш0.5, Ш0.6</t>
  </si>
  <si>
    <t>48, 60.3, 103, 117, 128.1, 128.2, К1.3, К1.5, К10, К2.5, К2.6, К7.1, К7.3, К7.4, К7.6, К9, Ш7.1, Ш7.2, Ш7.3, Ш7.4</t>
  </si>
  <si>
    <t>71.1, 71.2, 71.3, 71.4, 148.1, 148.2, 148.3, 148.4, 173.1, 173.2, К2.1, К2.2, К2.3, К4.1, К4.2, К4.3, К4.4, К5.1, К5.3, К5.4, К6.1, К6.2, К6.3, К6.4, Ш1.1, Ш1.2, Ш1.3, Ш1.4, Ш2.1, Ш2.2, Ш2.3, Ш2.4, Ш5.1, Ш5.3</t>
  </si>
  <si>
    <t>46.3, 47, 105.1, 105.2, 109, 109.1, 119, 122, 144, 246.1, 246.2, 247.1, 247.2, 248.1, 248.2, 248.3, 413, 415, 416, 418, 447, 448, 449, 449.1, 449.2, 104Ж1, 104Ж4, 104Ж5, 104М1, 104М4, 104М5</t>
  </si>
  <si>
    <t>11, 37, 38, 67, 68, 95.1, 97, 97.1, 98, 112, 112.1, 113, 123, 124, 125, 127, 129.3, 130.4, 130.5, 143, 145, 165.1, 167, 168, 191, 192, 207, 208, 229, 242, 243, 251, 253, 254, 285, 286, 312, 326, 343, 345, 363, 374, 385, 404, 431, 443, 458, 459, 102в, 104Ж2, 104Ж3, 104М2, 104М3, 131А, 149г, 150.1в, 150.2в, 151.1д, 151.2д, 152в, 153.1д, 153.2д, 153.3д, 153.4д, 153.5д, 153.6д, 153.7д, 153.8д, 172б, 175.1в, 175.2в, 176д, 177.1д, 177.2д, 177.3д, 177.4д, 177.5д, 196в, 301в, 327а, 327б, 364а, 364б, 365а, 365б, 375.1а, 375.1б, 375.2а, 375.2б, 376а, 376б, 386а, 386б, 387а, 387б, 398а, 398б, 401а, 401б, 401в, 430а, 430б, 44.1а, 44.1б, 44.1в, 44.2а, 44.2б, 44.2в, 44.3а, 44.3б, 44.3в, 444а, 444б, 45а, 45б, 45в, 56а, 72в, 73.1в, 73.2в, 74.1д, 74.2д, 75д, 76.1д, 76.2д, 77.1д, 77.2д, 77.3д, 77.4д</t>
  </si>
  <si>
    <t>56, 106, 110, 110.1, 137, 142, 329, 330, 331, 332, 334, 336, 337, 338, 339, 340, 344, 333а, 333б</t>
  </si>
  <si>
    <t>81, 82, 83, 84, 85, 99, 189.1, 328, 341, 200б, 200в, 200г</t>
  </si>
  <si>
    <t>55, 55.1, 107, 108, 111</t>
  </si>
  <si>
    <t>211, 214, 215, 216, 213б</t>
  </si>
  <si>
    <t>22в, 372б</t>
  </si>
  <si>
    <t>D:\Рогожин ДА\prog\YandexDisk\Работа\material-specification\list\Спец_Ведомость отделки-Тест_вед_10.pdf</t>
  </si>
  <si>
    <t>PDF</t>
  </si>
  <si>
    <t>Тест2</t>
  </si>
  <si>
    <t>КЖ_сист ЖБ Плиты</t>
  </si>
  <si>
    <t>Name (Реквизиты)</t>
  </si>
  <si>
    <t>Количество</t>
  </si>
  <si>
    <t>Толщина Слоя</t>
  </si>
  <si>
    <t>Площадь Верхней Поверхности</t>
  </si>
  <si>
    <t>Периметр</t>
  </si>
  <si>
    <t>Объем Слоя/Компонента</t>
  </si>
  <si>
    <t>Общая Площадь Верхней Поверхности Перекрытия</t>
  </si>
  <si>
    <t>Пм1.1</t>
  </si>
  <si>
    <t>Пм1.3</t>
  </si>
  <si>
    <t>Пм2.1</t>
  </si>
  <si>
    <t>Пм3.1</t>
  </si>
  <si>
    <t>Пм4.1</t>
  </si>
  <si>
    <t>Пм5.1</t>
  </si>
  <si>
    <t>Пм6.1</t>
  </si>
  <si>
    <t>Пм7.1</t>
  </si>
  <si>
    <t>Пм8.1</t>
  </si>
  <si>
    <t>Пм9.1</t>
  </si>
  <si>
    <t>Пфм1</t>
  </si>
  <si>
    <t>19175,35 м?</t>
  </si>
  <si>
    <t>21060,18 м?</t>
  </si>
  <si>
    <t>Марка
элемента</t>
  </si>
  <si>
    <t>Поз.</t>
  </si>
  <si>
    <t>Обозначение</t>
  </si>
  <si>
    <t>Наименование</t>
  </si>
  <si>
    <t>Кол-во
на один элемент</t>
  </si>
  <si>
    <t>Масса, кг</t>
  </si>
  <si>
    <t>Примечание
(на лист)</t>
  </si>
  <si>
    <t>Арматура</t>
  </si>
  <si>
    <t>Прокат</t>
  </si>
  <si>
    <t>Комментарий</t>
  </si>
  <si>
    <t>Всё в мм</t>
  </si>
  <si>
    <t>Длина, мм</t>
  </si>
  <si>
    <t>Диаметр</t>
  </si>
  <si>
    <t>Класс</t>
  </si>
  <si>
    <t>Длина
(площадь кв.мм для пластин), мм</t>
  </si>
  <si>
    <t>ГОСТ профиля</t>
  </si>
  <si>
    <t>Профиль</t>
  </si>
  <si>
    <t>Тип конструкции</t>
  </si>
  <si>
    <t>Сталь</t>
  </si>
  <si>
    <t>Окраска</t>
  </si>
  <si>
    <t>Огнезащита</t>
  </si>
  <si>
    <t>Анкеровка</t>
  </si>
  <si>
    <t>Нахлёст</t>
  </si>
  <si>
    <t>Радиус оправки</t>
  </si>
  <si>
    <t>!!!</t>
  </si>
  <si>
    <t>Основной</t>
  </si>
  <si>
    <t>Бетон В30</t>
  </si>
  <si>
    <t>Км1.3</t>
  </si>
  <si>
    <t>Монолитная колонна Км1.3</t>
  </si>
  <si>
    <t>ГОСТ Р 52544-2006</t>
  </si>
  <si>
    <t>Вертикал. Подвал</t>
  </si>
  <si>
    <t>ГОСТ 5781-82*</t>
  </si>
  <si>
    <t>Хомут на 500</t>
  </si>
  <si>
    <t>Вертикал. 1 эт</t>
  </si>
  <si>
    <t>Вертикал. 2, 3, 4. 5,6 эт</t>
  </si>
  <si>
    <t>Вертикал. 7 эт</t>
  </si>
  <si>
    <t>ГОСТ 25192-2012</t>
  </si>
  <si>
    <t>Бетон В30,F150,W6(ниже 0)</t>
  </si>
  <si>
    <t>Бетон В30,F75,W4(выше 0)</t>
  </si>
  <si>
    <t>ГОСТ 106-2003</t>
  </si>
  <si>
    <t>120*120</t>
  </si>
  <si>
    <t>Км12.2</t>
  </si>
  <si>
    <t>Монолитная колонна Км12.2</t>
  </si>
  <si>
    <t>НЕТ БЕТОНА</t>
  </si>
  <si>
    <t>Хомут на 600</t>
  </si>
  <si>
    <t>Вертикал. 2 эт</t>
  </si>
  <si>
    <t>Вертикал. 2эт</t>
  </si>
  <si>
    <t>Вертикал. 3эт</t>
  </si>
  <si>
    <t>Вертикал. 2, 4. 5,6 эт</t>
  </si>
  <si>
    <t>Кол-во</t>
  </si>
  <si>
    <t>Масса ед., кг.</t>
  </si>
  <si>
    <t>Км1.1</t>
  </si>
  <si>
    <t>Монолитная колонна Км1.1</t>
  </si>
  <si>
    <t xml:space="preserve"> 1150.4 кг.</t>
  </si>
  <si>
    <t>Км14</t>
  </si>
  <si>
    <t>Монолитная колонна Км14</t>
  </si>
  <si>
    <t xml:space="preserve"> 1719.28 кг.</t>
  </si>
  <si>
    <t>Км3.1</t>
  </si>
  <si>
    <t>Монолитная колонна Км3.1</t>
  </si>
  <si>
    <t xml:space="preserve"> 1262.52 кг.</t>
  </si>
  <si>
    <t>Км5</t>
  </si>
  <si>
    <t>Монолитная колонна Км5</t>
  </si>
  <si>
    <t xml:space="preserve"> 934.08 кг.</t>
  </si>
  <si>
    <t>Км4</t>
  </si>
  <si>
    <t>Монолитная колонна Км4</t>
  </si>
  <si>
    <t xml:space="preserve"> 1169 кг.</t>
  </si>
  <si>
    <t>Км12.1</t>
  </si>
  <si>
    <t>Монолитная колонна Км12.1</t>
  </si>
  <si>
    <t xml:space="preserve"> 805.28 кг.</t>
  </si>
  <si>
    <t>Км1.3.1</t>
  </si>
  <si>
    <t>Монолитная колонна Км1.3.1</t>
  </si>
  <si>
    <t xml:space="preserve"> 1072.08 кг.</t>
  </si>
  <si>
    <t>Км1.2</t>
  </si>
  <si>
    <t>Монолитная колонна Км1.2</t>
  </si>
  <si>
    <t xml:space="preserve"> 575.96 кг.</t>
  </si>
  <si>
    <t>Км10.1</t>
  </si>
  <si>
    <t>Монолитная колонна Км10.1</t>
  </si>
  <si>
    <t xml:space="preserve"> 574.44 кг.</t>
  </si>
  <si>
    <t>Км3.1.2</t>
  </si>
  <si>
    <t>Монолитная колонна Км3.1.2</t>
  </si>
  <si>
    <t xml:space="preserve"> 631.38 кг.</t>
  </si>
  <si>
    <t>Км6.1.1</t>
  </si>
  <si>
    <t>Монолитная колонна Км6.1.1</t>
  </si>
  <si>
    <t xml:space="preserve"> 734.3 кг.</t>
  </si>
  <si>
    <t>Км6.1.2</t>
  </si>
  <si>
    <t>Монолитная колонна Км6.1.2</t>
  </si>
  <si>
    <t xml:space="preserve"> 735.06 кг.</t>
  </si>
  <si>
    <t>Км3.2</t>
  </si>
  <si>
    <t>Монолитная колонна Км3.2</t>
  </si>
  <si>
    <t xml:space="preserve"> 595.68 кг.</t>
  </si>
  <si>
    <t>Км1.4</t>
  </si>
  <si>
    <t>Монолитная колонна Км1.4</t>
  </si>
  <si>
    <t xml:space="preserve"> 536.04 кг.</t>
  </si>
  <si>
    <t>Км1.1.2</t>
  </si>
  <si>
    <t>Монолитная колонна Км1.1.2</t>
  </si>
  <si>
    <t xml:space="preserve"> 576.72 кг.</t>
  </si>
  <si>
    <t>Км11.1</t>
  </si>
  <si>
    <t>Монолитная колонна Км11.1</t>
  </si>
  <si>
    <t xml:space="preserve"> 605.2 кг.</t>
  </si>
  <si>
    <t>Км8.1.2</t>
  </si>
  <si>
    <t>Монолитная колонна Км8.1.2</t>
  </si>
  <si>
    <t xml:space="preserve"> 753.44 кг.</t>
  </si>
  <si>
    <t>Км11.1.3</t>
  </si>
  <si>
    <t>Монолитная колонна Км11.1.3</t>
  </si>
  <si>
    <t xml:space="preserve"> 1101.36 кг.</t>
  </si>
  <si>
    <t>Км11.1.1</t>
  </si>
  <si>
    <t>Монолитная колонна Км11.1.1</t>
  </si>
  <si>
    <t xml:space="preserve"> 1785.36 кг.</t>
  </si>
  <si>
    <t>Км11.1.2</t>
  </si>
  <si>
    <t>Монолитная колонна Км11.1.2</t>
  </si>
  <si>
    <t xml:space="preserve"> 1193.28 кг.</t>
  </si>
  <si>
    <t>Км8.2.1</t>
  </si>
  <si>
    <t>Монолитная колонна Км8.2.1</t>
  </si>
  <si>
    <t xml:space="preserve"> 707.68 кг.</t>
  </si>
  <si>
    <t>Км10.2</t>
  </si>
  <si>
    <t>Монолитная колонна Км10.2</t>
  </si>
  <si>
    <t xml:space="preserve"> 560.88 кг.</t>
  </si>
  <si>
    <t>Км11.3.1</t>
  </si>
  <si>
    <t>Монолитная колонна Км11.3.1</t>
  </si>
  <si>
    <t xml:space="preserve"> 562.4 кг.</t>
  </si>
  <si>
    <t>Км1.3.2</t>
  </si>
  <si>
    <t>Монолитная колонна Км1.3.2</t>
  </si>
  <si>
    <t xml:space="preserve"> 535.28 кг.</t>
  </si>
  <si>
    <t>Км7.1.1</t>
  </si>
  <si>
    <t>Монолитная колонна Км7.1.1</t>
  </si>
  <si>
    <t xml:space="preserve"> 787.32 кг.</t>
  </si>
  <si>
    <t>Км7.2</t>
  </si>
  <si>
    <t>Монолитная колонна Км7.2</t>
  </si>
  <si>
    <t xml:space="preserve"> 788.16 кг.</t>
  </si>
  <si>
    <t>Марка элемента</t>
  </si>
  <si>
    <t>Изделия арматурные</t>
  </si>
  <si>
    <t>Всего</t>
  </si>
  <si>
    <t>Арматура класса</t>
  </si>
  <si>
    <t>С235
ГОСТ 27772-88</t>
  </si>
  <si>
    <t>ГОСТ Р 52544—2006</t>
  </si>
  <si>
    <t>⌀20</t>
  </si>
  <si>
    <t>⌀22</t>
  </si>
  <si>
    <t>⌀8</t>
  </si>
  <si>
    <t>Км1.1, на все</t>
  </si>
  <si>
    <t xml:space="preserve"> 1670.52 кг.</t>
  </si>
  <si>
    <t xml:space="preserve"> 1628.64 кг.</t>
  </si>
  <si>
    <t xml:space="preserve"> 1216.4 кг.</t>
  </si>
  <si>
    <t xml:space="preserve"> 1055.6 кг.</t>
  </si>
  <si>
    <t xml:space="preserve"> 1674.57 кг.</t>
  </si>
  <si>
    <t xml:space="preserve"> 699.7 кг.</t>
  </si>
  <si>
    <t xml:space="preserve"> 1024.06 кг.</t>
  </si>
  <si>
    <t xml:space="preserve"> 550.13 кг.</t>
  </si>
  <si>
    <t xml:space="preserve"> 548.67 кг.</t>
  </si>
  <si>
    <t xml:space="preserve"> 608.32 кг.</t>
  </si>
  <si>
    <t xml:space="preserve"> 706.36 кг.</t>
  </si>
  <si>
    <t xml:space="preserve"> 707.09 кг.</t>
  </si>
  <si>
    <t xml:space="preserve"> 574.16 кг.</t>
  </si>
  <si>
    <t xml:space="preserve"> 512.03 кг.</t>
  </si>
  <si>
    <t xml:space="preserve"> 577.97 кг.</t>
  </si>
  <si>
    <t xml:space="preserve"> 719.23 кг.</t>
  </si>
  <si>
    <t xml:space="preserve"> 1052.16 кг.</t>
  </si>
  <si>
    <t xml:space="preserve"> 1705.17 кг.</t>
  </si>
  <si>
    <t xml:space="preserve"> 1139.7 кг.</t>
  </si>
  <si>
    <t xml:space="preserve"> 675.58 кг.</t>
  </si>
  <si>
    <t xml:space="preserve"> 535.62 кг.</t>
  </si>
  <si>
    <t xml:space="preserve"> 537.08 кг.</t>
  </si>
  <si>
    <t xml:space="preserve"> 511.26 кг.</t>
  </si>
  <si>
    <t xml:space="preserve"> 751.53 кг.</t>
  </si>
  <si>
    <t xml:space="preserve"> 752.34 кг.</t>
  </si>
  <si>
    <t>Км2.1</t>
  </si>
  <si>
    <t>Монолитная колонна Км2.1</t>
  </si>
  <si>
    <t xml:space="preserve"> 853.76 кг.</t>
  </si>
  <si>
    <t>Км9.2.1</t>
  </si>
  <si>
    <t>Монолитная колонна Км9.2.1</t>
  </si>
  <si>
    <t xml:space="preserve"> 759.87 кг.</t>
  </si>
  <si>
    <t xml:space="preserve"> 511.99 кг.</t>
  </si>
  <si>
    <t xml:space="preserve"> 660.53 кг.</t>
  </si>
  <si>
    <t>Км5.1</t>
  </si>
  <si>
    <t>Монолитная колонна Км5.1</t>
  </si>
  <si>
    <t xml:space="preserve"> 297.22 кг.</t>
  </si>
  <si>
    <t>Км3.1.1</t>
  </si>
  <si>
    <t>Монолитная колонна Км3.1.1</t>
  </si>
  <si>
    <t xml:space="preserve"> 602 кг.</t>
  </si>
  <si>
    <t>Км14.1</t>
  </si>
  <si>
    <t>Монолитная колонна Км14.1</t>
  </si>
  <si>
    <t xml:space="preserve"> 814.32 кг.</t>
  </si>
  <si>
    <t>Марка
изделия.</t>
  </si>
  <si>
    <t>Поз.
дет.</t>
  </si>
  <si>
    <t>Кол-во*</t>
  </si>
  <si>
    <t>Масса, кг.</t>
  </si>
  <si>
    <t>Масса изделий, кг.</t>
  </si>
  <si>
    <t>Км1.1,
на все</t>
  </si>
  <si>
    <t>⌀22 A500C L=5070мм.</t>
  </si>
  <si>
    <t xml:space="preserve"> 1664.16 кг.</t>
  </si>
  <si>
    <t>⌀8 A-I(A240) L=1830мм.*</t>
  </si>
  <si>
    <t>⌀20 A500C L=4500мм.</t>
  </si>
  <si>
    <t>⌀20 A500C L=4050мм.</t>
  </si>
  <si>
    <t>⌀20 A500C L=3820мм.</t>
  </si>
  <si>
    <t>⌀20 A500C L=1430мм.</t>
  </si>
  <si>
    <t xml:space="preserve"> Лист ГОСТ 106-2003 -- 12x120x120</t>
  </si>
  <si>
    <t>Бетон В30,F150,W6(ниже 0) по ГОСТ 25192-2012, куб.м.</t>
  </si>
  <si>
    <t>Бетон В30,F75,W4(выше 0) по ГОСТ 25192-2012, куб.м.</t>
  </si>
  <si>
    <t>Км14,
на все</t>
  </si>
  <si>
    <t xml:space="preserve"> 1624.4 кг.</t>
  </si>
  <si>
    <t>⌀22 A500C L=5080мм.*</t>
  </si>
  <si>
    <t>⌀16 A500C L=5870мм.*</t>
  </si>
  <si>
    <t>⌀8 A-I(A240) L=2630мм.*</t>
  </si>
  <si>
    <t>⌀8 A-I(A240) L=1950мм.*</t>
  </si>
  <si>
    <t>⌀16 A500C L=5370мм.*</t>
  </si>
  <si>
    <t>⌀8 A-I(A240) L=2230мм.*</t>
  </si>
  <si>
    <t>⌀8 A-I(A240) L=1630мм.*</t>
  </si>
  <si>
    <t>⌀16 A500C L=4870мм.*</t>
  </si>
  <si>
    <t>⌀20 A500C L=4060мм.*</t>
  </si>
  <si>
    <t>⌀16 A500C L=4400мм.*</t>
  </si>
  <si>
    <t>⌀16 A500C L=2630мм.*</t>
  </si>
  <si>
    <t>Км3.1,
на все</t>
  </si>
  <si>
    <t xml:space="preserve"> 1216.32 кг.</t>
  </si>
  <si>
    <t>⌀20 A500C L=4270мм.</t>
  </si>
  <si>
    <t>⌀20 A500C L=5080мм.*</t>
  </si>
  <si>
    <t>Км5,
на все</t>
  </si>
  <si>
    <t xml:space="preserve"> 1040.76 кг.</t>
  </si>
  <si>
    <t>⌀22 A500C L=2770мм.</t>
  </si>
  <si>
    <t>Км4,
на все</t>
  </si>
  <si>
    <t xml:space="preserve"> 1674.45 кг.</t>
  </si>
  <si>
    <t>⌀16 A500C L=5020мм.*</t>
  </si>
  <si>
    <t>⌀20 A500C L=2720мм.</t>
  </si>
  <si>
    <t>Км12.1,
на все</t>
  </si>
  <si>
    <t xml:space="preserve"> 699.66 кг.</t>
  </si>
  <si>
    <t>⌀16 A500C L=5970мм.*</t>
  </si>
  <si>
    <t>⌀20 A500C L=5070мм.</t>
  </si>
  <si>
    <t>Км1.3.1,
на все</t>
  </si>
  <si>
    <t xml:space="preserve"> 1023.98 кг.</t>
  </si>
  <si>
    <t>⌀20 A500C L=3500мм.</t>
  </si>
  <si>
    <t>⌀20 A500C L=3270мм.</t>
  </si>
  <si>
    <t>Км1.2,
на все</t>
  </si>
  <si>
    <t xml:space="preserve"> 550.09 кг.</t>
  </si>
  <si>
    <t>Км10.1,
на все</t>
  </si>
  <si>
    <t xml:space="preserve"> 548.63 кг.</t>
  </si>
  <si>
    <t>Км3.1.2,
на все</t>
  </si>
  <si>
    <t xml:space="preserve"> 608.28 кг.</t>
  </si>
  <si>
    <t>Км6.1.1,
на все</t>
  </si>
  <si>
    <t xml:space="preserve"> 706.28 кг.</t>
  </si>
  <si>
    <t>⌀22 A500C L=3820мм.</t>
  </si>
  <si>
    <t>⌀22 A500C L=1430мм.</t>
  </si>
  <si>
    <t>⌀16 A500C L=1800мм.</t>
  </si>
  <si>
    <t>⌀8 A-I(A240) L=1390мм.*</t>
  </si>
  <si>
    <t>Км6.1.2,
на все</t>
  </si>
  <si>
    <t xml:space="preserve"> 707.01 кг.</t>
  </si>
  <si>
    <t>Км3.2,
на все</t>
  </si>
  <si>
    <t>⌀22 A500C L=5070мм.*</t>
  </si>
  <si>
    <t xml:space="preserve"> 574.12 кг.</t>
  </si>
  <si>
    <t>⌀16 A500C L=4320мм.</t>
  </si>
  <si>
    <t>Км1.4,
на все</t>
  </si>
  <si>
    <t>Км11.1,
на все</t>
  </si>
  <si>
    <t xml:space="preserve"> 577.93 кг.</t>
  </si>
  <si>
    <t>⌀16 A500C L=2630мм.</t>
  </si>
  <si>
    <t>Км8.1.2,
на все</t>
  </si>
  <si>
    <t xml:space="preserve"> 719.15 кг.</t>
  </si>
  <si>
    <t>⌀20 A500C L=3800мм.</t>
  </si>
  <si>
    <t>⌀22 A500C L=5020мм.</t>
  </si>
  <si>
    <t>⌀20 A500C L=4300мм.</t>
  </si>
  <si>
    <t>⌀22 A500C L=4500мм.</t>
  </si>
  <si>
    <t>Км11.1.3,
на все</t>
  </si>
  <si>
    <t xml:space="preserve"> 1052.08 кг.</t>
  </si>
  <si>
    <t>Км11.1.1,
на все</t>
  </si>
  <si>
    <t xml:space="preserve"> 1704.93 кг.</t>
  </si>
  <si>
    <t>Км11.1.2,
на все</t>
  </si>
  <si>
    <t xml:space="preserve"> 1139.54 кг.</t>
  </si>
  <si>
    <t>Км8.2.1,
на все</t>
  </si>
  <si>
    <t xml:space="preserve"> 675.5 кг.</t>
  </si>
  <si>
    <t>Км10.2,
на все</t>
  </si>
  <si>
    <t xml:space="preserve"> 535.58 кг.</t>
  </si>
  <si>
    <t>Км11.3.1,
на все</t>
  </si>
  <si>
    <t xml:space="preserve"> 537.04 кг.</t>
  </si>
  <si>
    <t>Км1.3.2,
на все</t>
  </si>
  <si>
    <t xml:space="preserve"> 511.22 кг.</t>
  </si>
  <si>
    <t>Км7.1.1,
на все</t>
  </si>
  <si>
    <t xml:space="preserve"> 751.45 кг.</t>
  </si>
  <si>
    <t>⌀22 A500C L=4050мм.</t>
  </si>
  <si>
    <t>⌀22 A500C L=3800мм.</t>
  </si>
  <si>
    <t>⌀16 A500C L=5040мм.*</t>
  </si>
  <si>
    <t>Км7.2,
на все</t>
  </si>
  <si>
    <t xml:space="preserve"> 752.26 кг.</t>
  </si>
  <si>
    <t>Км2.1,
на все</t>
  </si>
  <si>
    <t xml:space="preserve"> 853.68 кг.</t>
  </si>
  <si>
    <t>⌀25 A500C L=5070мм.</t>
  </si>
  <si>
    <t>⌀8 A-I(A240) L=1870мм.*</t>
  </si>
  <si>
    <t>⌀8 A-I(A240) L=1430мм.*</t>
  </si>
  <si>
    <t>⌀25 A500C L=3820мм.</t>
  </si>
  <si>
    <t>⌀25 A500C L=1430мм.</t>
  </si>
  <si>
    <t>Км9.2.1,
на все</t>
  </si>
  <si>
    <t xml:space="preserve"> 759.83 кг.</t>
  </si>
  <si>
    <t>Км1.3,
на все</t>
  </si>
  <si>
    <t xml:space="preserve"> 511.95 кг.</t>
  </si>
  <si>
    <t>Км12.2,
на все</t>
  </si>
  <si>
    <t xml:space="preserve"> 629.53 кг.</t>
  </si>
  <si>
    <t>Км5.1,
на все</t>
  </si>
  <si>
    <t xml:space="preserve"> 292.98 кг.</t>
  </si>
  <si>
    <t>Км3.1.1,
на все</t>
  </si>
  <si>
    <t>Км14.1,
на все</t>
  </si>
  <si>
    <t xml:space="preserve"> 812.2 кг.</t>
  </si>
  <si>
    <t xml:space="preserve">                                                            * расход на все изделия</t>
  </si>
  <si>
    <t>Кол-во на все</t>
  </si>
  <si>
    <t xml:space="preserve"> 1452.48 кг.</t>
  </si>
  <si>
    <t>1*</t>
  </si>
  <si>
    <t xml:space="preserve"> 60.52 кг.</t>
  </si>
  <si>
    <t>2*</t>
  </si>
  <si>
    <t>⌀8 A-I(A240) L=1830мм.</t>
  </si>
  <si>
    <t xml:space="preserve"> 7329.93 кг.</t>
  </si>
  <si>
    <t xml:space="preserve"> 1198.8 кг.</t>
  </si>
  <si>
    <t xml:space="preserve"> 6793.2 кг.</t>
  </si>
  <si>
    <t xml:space="preserve"> 754.4 кг.</t>
  </si>
  <si>
    <t xml:space="preserve"> 37.52 кг.</t>
  </si>
  <si>
    <t xml:space="preserve"> 211.8 кг.</t>
  </si>
  <si>
    <t xml:space="preserve"> 85.4 кг.</t>
  </si>
  <si>
    <t xml:space="preserve"> 252.72 кг.</t>
  </si>
  <si>
    <t xml:space="preserve"> 14.12 кг.</t>
  </si>
  <si>
    <t>8*</t>
  </si>
  <si>
    <t>⌀22 A500C L=5080мм.</t>
  </si>
  <si>
    <t xml:space="preserve"> 181.92 кг.</t>
  </si>
  <si>
    <t>9*</t>
  </si>
  <si>
    <t>⌀16 A500C L=5870мм.</t>
  </si>
  <si>
    <t xml:space="preserve"> 333.72 кг.</t>
  </si>
  <si>
    <t>10*</t>
  </si>
  <si>
    <t>⌀8 A-I(A240) L=2630мм.</t>
  </si>
  <si>
    <t xml:space="preserve"> 115.44 кг.</t>
  </si>
  <si>
    <t>11*</t>
  </si>
  <si>
    <t>⌀8 A-I(A240) L=1950мм.</t>
  </si>
  <si>
    <t xml:space="preserve"> 86.58 кг.</t>
  </si>
  <si>
    <t>12*</t>
  </si>
  <si>
    <t>⌀16 A500C L=5370мм.</t>
  </si>
  <si>
    <t xml:space="preserve"> 101.76 кг.</t>
  </si>
  <si>
    <t>⌀16 A500C L=5970мм.</t>
  </si>
  <si>
    <t xml:space="preserve"> 37.72 кг.</t>
  </si>
  <si>
    <t>13*</t>
  </si>
  <si>
    <t>⌀8 A-I(A240) L=2230мм.</t>
  </si>
  <si>
    <t xml:space="preserve"> 774.3 кг.</t>
  </si>
  <si>
    <t>⌀8 A-I(A240) L=1630мм.</t>
  </si>
  <si>
    <t xml:space="preserve"> 83.85 кг.</t>
  </si>
  <si>
    <t>14*</t>
  </si>
  <si>
    <t xml:space="preserve"> 481.65 кг.</t>
  </si>
  <si>
    <t>15*</t>
  </si>
  <si>
    <t>⌀16 A500C L=4870мм.</t>
  </si>
  <si>
    <t xml:space="preserve"> 123.04 кг.</t>
  </si>
  <si>
    <t>16*</t>
  </si>
  <si>
    <t>⌀20 A500C L=4060мм.</t>
  </si>
  <si>
    <t xml:space="preserve"> 160.32 кг.</t>
  </si>
  <si>
    <t>17*</t>
  </si>
  <si>
    <t>⌀16 A500C L=4400мм.</t>
  </si>
  <si>
    <t xml:space="preserve"> 111.2 кг.</t>
  </si>
  <si>
    <t>18*</t>
  </si>
  <si>
    <t xml:space="preserve"> 183.04 кг.</t>
  </si>
  <si>
    <t xml:space="preserve"> 199.68 кг.</t>
  </si>
  <si>
    <t>19*</t>
  </si>
  <si>
    <t>⌀20 A500C L=5080мм.</t>
  </si>
  <si>
    <t xml:space="preserve"> 451.08 кг.</t>
  </si>
  <si>
    <t xml:space="preserve"> 544.68 кг.</t>
  </si>
  <si>
    <t xml:space="preserve"> 162.63 кг.</t>
  </si>
  <si>
    <t xml:space="preserve"> 297.72 кг.</t>
  </si>
  <si>
    <t>22*</t>
  </si>
  <si>
    <t xml:space="preserve"> 111.24 кг.</t>
  </si>
  <si>
    <t>⌀16 A500C L=5020мм.</t>
  </si>
  <si>
    <t xml:space="preserve"> 95.16 кг.</t>
  </si>
  <si>
    <t xml:space="preserve"> 241.56 кг.</t>
  </si>
  <si>
    <t xml:space="preserve"> 81.84 кг.</t>
  </si>
  <si>
    <t xml:space="preserve"> 103.68 кг.</t>
  </si>
  <si>
    <t xml:space="preserve"> 96.84 кг.</t>
  </si>
  <si>
    <t xml:space="preserve"> 273.6 кг.</t>
  </si>
  <si>
    <t xml:space="preserve"> 239.12 кг.</t>
  </si>
  <si>
    <t xml:space="preserve"> 45.6 кг.</t>
  </si>
  <si>
    <t>30*</t>
  </si>
  <si>
    <t>⌀8 A-I(A240) L=1390мм.</t>
  </si>
  <si>
    <t xml:space="preserve"> 22 кг.</t>
  </si>
  <si>
    <t xml:space="preserve"> 918.84 кг.</t>
  </si>
  <si>
    <t xml:space="preserve"> 199.8 кг.</t>
  </si>
  <si>
    <t xml:space="preserve"> 359.52 кг.</t>
  </si>
  <si>
    <t xml:space="preserve"> 42.44 кг.</t>
  </si>
  <si>
    <t xml:space="preserve"> 322.32 кг.</t>
  </si>
  <si>
    <t xml:space="preserve"> 44.4 кг.</t>
  </si>
  <si>
    <t xml:space="preserve"> 45.36 кг.</t>
  </si>
  <si>
    <t>36*</t>
  </si>
  <si>
    <t>⌀16 A500C L=5040мм.</t>
  </si>
  <si>
    <t xml:space="preserve"> 63.68 кг.</t>
  </si>
  <si>
    <t xml:space="preserve"> 156.32 кг.</t>
  </si>
  <si>
    <t>38*</t>
  </si>
  <si>
    <t>⌀8 A-I(A240) L=1870мм.</t>
  </si>
  <si>
    <t xml:space="preserve"> 130.24 кг.</t>
  </si>
  <si>
    <t>39*</t>
  </si>
  <si>
    <t>⌀8 A-I(A240) L=1430мм.</t>
  </si>
  <si>
    <t xml:space="preserve"> 100.32 кг.</t>
  </si>
  <si>
    <t xml:space="preserve"> 117.76 кг.</t>
  </si>
  <si>
    <t xml:space="preserve"> 44.08 кг.</t>
  </si>
  <si>
    <t xml:space="preserve"> Лист  -- 12x120x120</t>
  </si>
  <si>
    <t>⌀16</t>
  </si>
  <si>
    <t>Км14, на все</t>
  </si>
  <si>
    <t>Км3.1, на все</t>
  </si>
  <si>
    <t>Км5, на все</t>
  </si>
  <si>
    <t>Км4, на все</t>
  </si>
  <si>
    <t>Км12.1, на все</t>
  </si>
  <si>
    <t>Км1.3.1, на все</t>
  </si>
  <si>
    <t>Км1.2, на все</t>
  </si>
  <si>
    <t>Км10.1, на все</t>
  </si>
  <si>
    <t>Км3.1.2, на все</t>
  </si>
  <si>
    <t>Км6.1.1, на все</t>
  </si>
  <si>
    <t>Км6.1.2, на все</t>
  </si>
  <si>
    <t>Км3.2, на все</t>
  </si>
  <si>
    <t>Км1.4, на все</t>
  </si>
  <si>
    <t>Км11.1, на все</t>
  </si>
  <si>
    <t>Км8.1.2, на все</t>
  </si>
  <si>
    <t>Км11.1.3, на все</t>
  </si>
  <si>
    <t>Км11.1.1, на все</t>
  </si>
  <si>
    <t>Км11.1.2, на все</t>
  </si>
  <si>
    <t>Км8.2.1, на все</t>
  </si>
  <si>
    <t>Км10.2, на все</t>
  </si>
  <si>
    <t>Км11.3.1, на все</t>
  </si>
  <si>
    <t>Км1.3.2, на все</t>
  </si>
  <si>
    <t>Км7.1.1, на все</t>
  </si>
  <si>
    <t>Км7.2, на все</t>
  </si>
  <si>
    <t>Итого</t>
  </si>
  <si>
    <t>Вертикал.7 эт</t>
  </si>
  <si>
    <t>Вертикал. Чердак</t>
  </si>
  <si>
    <t>ГОСТ Р 52544-2007</t>
  </si>
  <si>
    <t>Вертикал.1 эт</t>
  </si>
  <si>
    <t>Вертикал. 1 эт.</t>
  </si>
  <si>
    <t>Вертикал.2,4,5,6эт</t>
  </si>
  <si>
    <t>Хомутна 700х700</t>
  </si>
  <si>
    <t>Хомут на 700х700</t>
  </si>
  <si>
    <t>Хомутна 600х600</t>
  </si>
  <si>
    <t>Хомут на 600х600</t>
  </si>
  <si>
    <t>ГОСТ Р 52544-2008</t>
  </si>
  <si>
    <t>Вертикал. 3 эт</t>
  </si>
  <si>
    <t>ГОСТ Р 52544-2009</t>
  </si>
  <si>
    <t>Хомут на 500х500</t>
  </si>
  <si>
    <t>Вертикал.1,2 эт</t>
  </si>
  <si>
    <t>Вертикал.3,4,5,6 эт</t>
  </si>
  <si>
    <t>Вертикал. 1эт</t>
  </si>
  <si>
    <t>Хомут</t>
  </si>
  <si>
    <t>Вертикал.1,,2,3,4,5,6 эт</t>
  </si>
  <si>
    <t>Вертикал. 1эт.</t>
  </si>
  <si>
    <t>Вертикал. 2, 3, 4. 5 эт</t>
  </si>
  <si>
    <t>Вертикал. 6 эт</t>
  </si>
  <si>
    <t>ГОСТ Р 52544-2005</t>
  </si>
  <si>
    <t>Вертикал. 2, 5. 6 эт</t>
  </si>
  <si>
    <t>Вертикал. 4 эт</t>
  </si>
  <si>
    <t>Вертикал. 6эт</t>
  </si>
  <si>
    <t>Вертикал. 7эт</t>
  </si>
  <si>
    <t>ГОСТ Р 52544-2004</t>
  </si>
  <si>
    <t>Вертикал. 2,3,4, 5 эт</t>
  </si>
  <si>
    <t>Вертикал. 2,3,4, 5,6 эт</t>
  </si>
  <si>
    <t>Вертикал. 2,3,4, 5. 6 эт</t>
  </si>
  <si>
    <t>Вертикал. 2,  4. 5,6 эт</t>
  </si>
  <si>
    <t>Вертикал. 2,3,  4. 5,6 эт</t>
  </si>
  <si>
    <t>Хомут на 500 д.25</t>
  </si>
  <si>
    <t>Вертикал. 2,3, 4. 5,6 эт</t>
  </si>
  <si>
    <t>Спец (Км).xlsm</t>
  </si>
  <si>
    <t>Импорт книги закончен</t>
  </si>
  <si>
    <t>Из архикада плиты</t>
  </si>
  <si>
    <t>Км(2)_спец</t>
  </si>
  <si>
    <t>Км1 2 3 4</t>
  </si>
  <si>
    <t>Км1_кж</t>
  </si>
  <si>
    <t>Км1234</t>
  </si>
  <si>
    <t>Км1234_гр</t>
  </si>
  <si>
    <t>Км1234_грс</t>
  </si>
  <si>
    <t>Км1234_кж</t>
  </si>
  <si>
    <t>Км1234_спец</t>
  </si>
  <si>
    <t>check</t>
  </si>
  <si>
    <t>Км1.3, на все</t>
  </si>
  <si>
    <t>Км12.2, на все</t>
  </si>
  <si>
    <t>_кж</t>
  </si>
  <si>
    <t>Км(2)_кж</t>
  </si>
  <si>
    <t>19 2 4/ 15 45 30</t>
  </si>
  <si>
    <t xml:space="preserve"> 331.84 кг.</t>
  </si>
  <si>
    <t>_грс</t>
  </si>
  <si>
    <t>Марка бетона</t>
  </si>
  <si>
    <t>Объём
бетона, куб.м.</t>
  </si>
  <si>
    <t>Вес арматуры, кг.</t>
  </si>
  <si>
    <t>Расход, кг/куб.м</t>
  </si>
  <si>
    <t>_норм</t>
  </si>
  <si>
    <t>Км1234_норм</t>
  </si>
  <si>
    <t>19 2 4/ 16 43 44</t>
  </si>
  <si>
    <t>Бетон В7,5</t>
  </si>
  <si>
    <t xml:space="preserve">
Бетон В30,F150,W6(ниже 0)</t>
  </si>
  <si>
    <t xml:space="preserve">
Бетон В30,F150,W6(ниже 0)
Бетон В30,F75,W4(выше 0)</t>
  </si>
  <si>
    <t xml:space="preserve">
Бетон В7,5</t>
  </si>
  <si>
    <t xml:space="preserve">
Бетон В30,F150,W6(ниже 0)
Бетон В7,5</t>
  </si>
  <si>
    <t>⌀25</t>
  </si>
  <si>
    <t>Км14.1, на все</t>
  </si>
  <si>
    <t>Км2.1, на все</t>
  </si>
  <si>
    <t>Км3.1.1, на все</t>
  </si>
  <si>
    <t>Км5.1, на все</t>
  </si>
  <si>
    <t>Км9.2.1, на все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</si>
</sst>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0"/>
      <color theme="1"/>
      <name val="ISOCPEUR"/>
      <family val="2"/>
      <charset val="204"/>
    </font>
    <font>
      <sz val="12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  <font>
      <sz val="9"/>
      <color indexed="81"/>
      <name val="Tahoma"/>
      <family val="2"/>
      <charset val="204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3D3D3"/>
        <bgColor indexed="64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FF0000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147">
    <xf numFmtId="0" fontId="0" fillId="0" borderId="0" xfId="0"/>
    <xf numFmtId="0" fontId="0" fillId="0" borderId="0" xfId="0" applyBorder="1"/>
    <xf numFmtId="0" fontId="20" fillId="0" borderId="12" xfId="0" applyFont="1" applyBorder="1" applyAlignment="1">
      <alignment horizontal="center" vertical="center" wrapText="1"/>
    </xf>
    <xf numFmtId="0" fontId="20" fillId="0" borderId="11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2" fillId="0" borderId="0" xfId="0" applyFont="1" applyBorder="1"/>
    <xf numFmtId="0" fontId="22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20" fillId="0" borderId="16" xfId="0" applyFont="1" applyBorder="1" applyAlignment="1">
      <alignment horizontal="center" vertical="center" wrapText="1"/>
    </xf>
    <xf numFmtId="0" fontId="20" fillId="0" borderId="19" xfId="0" applyFont="1" applyBorder="1" applyAlignment="1">
      <alignment horizontal="center" vertical="center" wrapText="1"/>
    </xf>
    <xf numFmtId="0" fontId="20" fillId="0" borderId="21" xfId="0" applyFont="1" applyBorder="1" applyAlignment="1">
      <alignment horizontal="center" vertical="center" wrapText="1"/>
    </xf>
    <xf numFmtId="49" fontId="0" fillId="0" borderId="0" xfId="0" applyNumberFormat="1" applyBorder="1"/>
    <xf numFmtId="49" fontId="23" fillId="0" borderId="14" xfId="0" applyNumberFormat="1" applyFont="1" applyFill="1" applyBorder="1" applyAlignment="1">
      <alignment horizontal="center" vertical="center" wrapText="1"/>
    </xf>
    <xf numFmtId="49" fontId="23" fillId="0" borderId="16" xfId="0" applyNumberFormat="1" applyFont="1" applyFill="1" applyBorder="1" applyAlignment="1">
      <alignment horizontal="center" vertical="center" wrapText="1"/>
    </xf>
    <xf numFmtId="49" fontId="23" fillId="0" borderId="17" xfId="0" applyNumberFormat="1" applyFont="1" applyFill="1" applyBorder="1" applyAlignment="1">
      <alignment horizontal="center" vertical="center" wrapText="1"/>
    </xf>
    <xf numFmtId="49" fontId="23" fillId="0" borderId="0" xfId="0" applyNumberFormat="1" applyFont="1" applyBorder="1" applyAlignment="1">
      <alignment horizontal="center" vertical="center" wrapText="1"/>
    </xf>
    <xf numFmtId="49" fontId="23" fillId="0" borderId="21" xfId="0" applyNumberFormat="1" applyFont="1" applyFill="1" applyBorder="1" applyAlignment="1">
      <alignment horizontal="center" vertical="center" wrapText="1"/>
    </xf>
    <xf numFmtId="49" fontId="23" fillId="0" borderId="12" xfId="0" applyNumberFormat="1" applyFont="1" applyFill="1" applyBorder="1" applyAlignment="1">
      <alignment horizontal="center" vertical="center" wrapText="1"/>
    </xf>
    <xf numFmtId="49" fontId="24" fillId="0" borderId="16" xfId="0" applyNumberFormat="1" applyFont="1" applyFill="1" applyBorder="1" applyAlignment="1">
      <alignment horizontal="center" vertical="center" wrapText="1"/>
    </xf>
    <xf numFmtId="49" fontId="24" fillId="0" borderId="16" xfId="0" applyNumberFormat="1" applyFont="1" applyFill="1" applyBorder="1" applyAlignment="1">
      <alignment horizontal="center" vertical="center" textRotation="90" wrapText="1"/>
    </xf>
    <xf numFmtId="49" fontId="20" fillId="0" borderId="17" xfId="0" applyNumberFormat="1" applyFont="1" applyFill="1" applyBorder="1" applyAlignment="1">
      <alignment horizontal="center" vertical="center" wrapText="1" shrinkToFit="1"/>
    </xf>
    <xf numFmtId="49" fontId="20" fillId="0" borderId="16" xfId="0" applyNumberFormat="1" applyFont="1" applyFill="1" applyBorder="1" applyAlignment="1">
      <alignment horizontal="center" vertical="center" wrapText="1" shrinkToFit="1"/>
    </xf>
    <xf numFmtId="0" fontId="21" fillId="0" borderId="0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 wrapText="1"/>
    </xf>
    <xf numFmtId="0" fontId="20" fillId="0" borderId="15" xfId="0" applyFont="1" applyBorder="1" applyAlignment="1">
      <alignment horizontal="center" vertical="center" wrapText="1"/>
    </xf>
    <xf numFmtId="0" fontId="20" fillId="0" borderId="14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49" fontId="23" fillId="0" borderId="23" xfId="0" applyNumberFormat="1" applyFont="1" applyFill="1" applyBorder="1" applyAlignment="1">
      <alignment horizontal="center" vertical="center" wrapText="1"/>
    </xf>
    <xf numFmtId="49" fontId="20" fillId="0" borderId="14" xfId="0" applyNumberFormat="1" applyFont="1" applyFill="1" applyBorder="1" applyAlignment="1">
      <alignment horizontal="center" vertical="center" wrapText="1" shrinkToFit="1"/>
    </xf>
    <xf numFmtId="49" fontId="24" fillId="0" borderId="11" xfId="0" applyNumberFormat="1" applyFont="1" applyFill="1" applyBorder="1" applyAlignment="1">
      <alignment horizontal="center" vertical="center" wrapText="1"/>
    </xf>
    <xf numFmtId="49" fontId="24" fillId="0" borderId="11" xfId="0" applyNumberFormat="1" applyFont="1" applyFill="1" applyBorder="1" applyAlignment="1">
      <alignment horizontal="center" vertical="center" textRotation="90" wrapText="1"/>
    </xf>
    <xf numFmtId="49" fontId="20" fillId="0" borderId="23" xfId="0" applyNumberFormat="1" applyFont="1" applyFill="1" applyBorder="1" applyAlignment="1">
      <alignment horizontal="center" vertical="center" wrapText="1" shrinkToFit="1"/>
    </xf>
    <xf numFmtId="0" fontId="24" fillId="0" borderId="16" xfId="0" applyFont="1" applyFill="1" applyBorder="1" applyAlignment="1">
      <alignment horizontal="center" vertical="center" wrapText="1"/>
    </xf>
    <xf numFmtId="0" fontId="24" fillId="0" borderId="21" xfId="0" applyFont="1" applyFill="1" applyBorder="1" applyAlignment="1">
      <alignment horizontal="center" vertical="center" wrapText="1"/>
    </xf>
    <xf numFmtId="0" fontId="24" fillId="33" borderId="19" xfId="0" applyFont="1" applyFill="1" applyBorder="1" applyAlignment="1">
      <alignment horizontal="center" vertical="center" wrapText="1"/>
    </xf>
    <xf numFmtId="0" fontId="24" fillId="33" borderId="16" xfId="0" applyFont="1" applyFill="1" applyBorder="1" applyAlignment="1">
      <alignment horizontal="center" vertical="center" wrapText="1"/>
    </xf>
    <xf numFmtId="0" fontId="24" fillId="33" borderId="21" xfId="0" applyFont="1" applyFill="1" applyBorder="1" applyAlignment="1">
      <alignment horizontal="center" vertical="center" wrapText="1"/>
    </xf>
    <xf numFmtId="0" fontId="24" fillId="34" borderId="34" xfId="0" applyFont="1" applyFill="1" applyBorder="1" applyAlignment="1">
      <alignment horizontal="center" vertical="center" wrapText="1"/>
    </xf>
    <xf numFmtId="0" fontId="24" fillId="35" borderId="19" xfId="0" applyFont="1" applyFill="1" applyBorder="1" applyAlignment="1">
      <alignment horizontal="center" vertical="center" wrapText="1"/>
    </xf>
    <xf numFmtId="0" fontId="24" fillId="35" borderId="16" xfId="0" applyFont="1" applyFill="1" applyBorder="1" applyAlignment="1">
      <alignment horizontal="center" vertical="center" wrapText="1"/>
    </xf>
    <xf numFmtId="0" fontId="24" fillId="35" borderId="21" xfId="0" applyFont="1" applyFill="1" applyBorder="1" applyAlignment="1">
      <alignment horizontal="center" vertical="center" wrapText="1"/>
    </xf>
    <xf numFmtId="0" fontId="24" fillId="0" borderId="19" xfId="0" applyFont="1" applyFill="1" applyBorder="1" applyAlignment="1">
      <alignment horizontal="center" vertical="center" wrapText="1"/>
    </xf>
    <xf numFmtId="0" fontId="24" fillId="36" borderId="16" xfId="0" applyFont="1" applyFill="1" applyBorder="1" applyAlignment="1">
      <alignment horizontal="center" vertical="center" wrapText="1"/>
    </xf>
    <xf numFmtId="0" fontId="24" fillId="0" borderId="10" xfId="0" applyFont="1" applyFill="1" applyBorder="1" applyAlignment="1">
      <alignment horizontal="center" vertical="center" wrapText="1"/>
    </xf>
    <xf numFmtId="0" fontId="24" fillId="0" borderId="11" xfId="0" applyFont="1" applyFill="1" applyBorder="1" applyAlignment="1">
      <alignment horizontal="center" vertical="center" wrapText="1"/>
    </xf>
    <xf numFmtId="0" fontId="24" fillId="33" borderId="11" xfId="0" applyFont="1" applyFill="1" applyBorder="1" applyAlignment="1">
      <alignment horizontal="center" vertical="center" wrapText="1"/>
    </xf>
    <xf numFmtId="0" fontId="24" fillId="0" borderId="12" xfId="0" applyFont="1" applyFill="1" applyBorder="1" applyAlignment="1">
      <alignment horizontal="center" vertical="center" wrapText="1"/>
    </xf>
    <xf numFmtId="0" fontId="24" fillId="0" borderId="15" xfId="0" applyFont="1" applyFill="1" applyBorder="1" applyAlignment="1">
      <alignment horizontal="center" vertical="center" wrapText="1"/>
    </xf>
    <xf numFmtId="0" fontId="24" fillId="0" borderId="14" xfId="0" applyFont="1" applyFill="1" applyBorder="1" applyAlignment="1">
      <alignment horizontal="center" vertical="center" wrapText="1"/>
    </xf>
    <xf numFmtId="0" fontId="24" fillId="0" borderId="13" xfId="0" applyFont="1" applyFill="1" applyBorder="1" applyAlignment="1">
      <alignment horizontal="center" vertical="center" wrapText="1"/>
    </xf>
    <xf numFmtId="0" fontId="24" fillId="0" borderId="19" xfId="0" applyFont="1" applyFill="1" applyBorder="1" applyAlignment="1">
      <alignment horizontal="center" vertical="center" wrapText="1"/>
    </xf>
    <xf numFmtId="0" fontId="24" fillId="0" borderId="16" xfId="0" applyFont="1" applyFill="1" applyBorder="1" applyAlignment="1">
      <alignment horizontal="center" vertical="center" wrapText="1"/>
    </xf>
    <xf numFmtId="0" fontId="24" fillId="0" borderId="21" xfId="0" applyFont="1" applyFill="1" applyBorder="1" applyAlignment="1">
      <alignment horizontal="center" vertical="center" wrapText="1"/>
    </xf>
    <xf numFmtId="0" fontId="25" fillId="0" borderId="10" xfId="0" applyFont="1" applyFill="1" applyBorder="1" applyAlignment="1">
      <alignment horizontal="center" vertical="center" wrapText="1"/>
    </xf>
    <xf numFmtId="0" fontId="25" fillId="0" borderId="11" xfId="0" applyFont="1" applyFill="1" applyBorder="1" applyAlignment="1">
      <alignment horizontal="center" vertical="center" shrinkToFit="1"/>
    </xf>
    <xf numFmtId="0" fontId="25" fillId="37" borderId="12" xfId="0" applyFont="1" applyFill="1" applyBorder="1" applyAlignment="1">
      <alignment horizontal="center" vertical="center" shrinkToFit="1"/>
    </xf>
    <xf numFmtId="0" fontId="24" fillId="0" borderId="10" xfId="0" applyFont="1" applyFill="1" applyBorder="1" applyAlignment="1">
      <alignment horizontal="center" vertical="center" wrapText="1"/>
    </xf>
    <xf numFmtId="0" fontId="24" fillId="0" borderId="11" xfId="0" applyFont="1" applyFill="1" applyBorder="1" applyAlignment="1">
      <alignment horizontal="center" vertical="center" wrapText="1"/>
    </xf>
    <xf numFmtId="0" fontId="24" fillId="0" borderId="12" xfId="0" applyFont="1" applyFill="1" applyBorder="1" applyAlignment="1">
      <alignment horizontal="center" vertical="center" wrapText="1"/>
    </xf>
    <xf numFmtId="0" fontId="24" fillId="0" borderId="16" xfId="0" applyFont="1" applyFill="1" applyBorder="1" applyAlignment="1">
      <alignment horizontal="center" vertical="center" shrinkToFit="1"/>
    </xf>
    <xf numFmtId="0" fontId="24" fillId="0" borderId="21" xfId="0" applyFont="1" applyFill="1" applyBorder="1" applyAlignment="1">
      <alignment horizontal="center" vertical="center" shrinkToFit="1"/>
    </xf>
    <xf numFmtId="0" fontId="24" fillId="0" borderId="16" xfId="0" applyFont="1" applyFill="1" applyBorder="1" applyAlignment="1">
      <alignment horizontal="center" vertical="center" wrapText="1"/>
    </xf>
    <xf numFmtId="0" fontId="24" fillId="0" borderId="15" xfId="0" applyFont="1" applyFill="1" applyBorder="1" applyAlignment="1">
      <alignment horizontal="center" vertical="center" wrapText="1"/>
    </xf>
    <xf numFmtId="0" fontId="24" fillId="0" borderId="19" xfId="0" applyFont="1" applyFill="1" applyBorder="1" applyAlignment="1">
      <alignment horizontal="center" vertical="center" wrapText="1"/>
    </xf>
    <xf numFmtId="0" fontId="24" fillId="0" borderId="21" xfId="0" applyFont="1" applyFill="1" applyBorder="1" applyAlignment="1">
      <alignment horizontal="center" vertical="center" wrapText="1"/>
    </xf>
    <xf numFmtId="0" fontId="24" fillId="0" borderId="10" xfId="0" applyFont="1" applyFill="1" applyBorder="1" applyAlignment="1">
      <alignment horizontal="center" vertical="center" wrapText="1"/>
    </xf>
    <xf numFmtId="0" fontId="24" fillId="0" borderId="11" xfId="0" applyFont="1" applyFill="1" applyBorder="1" applyAlignment="1">
      <alignment horizontal="center" vertical="center" wrapText="1"/>
    </xf>
    <xf numFmtId="0" fontId="24" fillId="0" borderId="12" xfId="0" applyFont="1" applyFill="1" applyBorder="1" applyAlignment="1">
      <alignment horizontal="center" vertical="center" wrapText="1"/>
    </xf>
    <xf numFmtId="0" fontId="24" fillId="38" borderId="16" xfId="0" applyFont="1" applyFill="1" applyBorder="1" applyAlignment="1">
      <alignment horizontal="center" vertical="center" wrapText="1"/>
    </xf>
    <xf numFmtId="0" fontId="24" fillId="38" borderId="11" xfId="0" applyFont="1" applyFill="1" applyBorder="1" applyAlignment="1">
      <alignment horizontal="center" vertical="center" wrapText="1"/>
    </xf>
    <xf numFmtId="0" fontId="25" fillId="0" borderId="15" xfId="0" applyFont="1" applyFill="1" applyBorder="1" applyAlignment="1">
      <alignment horizontal="center" vertical="center" wrapText="1"/>
    </xf>
    <xf numFmtId="0" fontId="25" fillId="0" borderId="14" xfId="0" applyFont="1" applyFill="1" applyBorder="1" applyAlignment="1">
      <alignment horizontal="center" vertical="center" wrapText="1"/>
    </xf>
    <xf numFmtId="0" fontId="25" fillId="0" borderId="13" xfId="0" applyFont="1" applyFill="1" applyBorder="1" applyAlignment="1">
      <alignment horizontal="center" vertical="center" wrapText="1"/>
    </xf>
    <xf numFmtId="0" fontId="24" fillId="0" borderId="19" xfId="0" applyFont="1" applyFill="1" applyBorder="1" applyAlignment="1">
      <alignment horizontal="center" vertical="center" shrinkToFit="1"/>
    </xf>
    <xf numFmtId="0" fontId="25" fillId="0" borderId="10" xfId="0" applyFont="1" applyFill="1" applyBorder="1" applyAlignment="1">
      <alignment horizontal="center" vertical="center" shrinkToFit="1"/>
    </xf>
    <xf numFmtId="0" fontId="24" fillId="0" borderId="0" xfId="0" applyFont="1" applyFill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center" vertical="center" wrapText="1"/>
    </xf>
    <xf numFmtId="0" fontId="24" fillId="0" borderId="0" xfId="0" applyFont="1" applyFill="1" applyBorder="1" applyAlignment="1">
      <alignment horizontal="center" vertical="center" shrinkToFit="1"/>
    </xf>
    <xf numFmtId="0" fontId="25" fillId="0" borderId="0" xfId="0" applyFont="1" applyFill="1" applyBorder="1" applyAlignment="1">
      <alignment horizontal="center" vertical="center" shrinkToFit="1"/>
    </xf>
    <xf numFmtId="0" fontId="25" fillId="37" borderId="0" xfId="0" applyFont="1" applyFill="1" applyBorder="1" applyAlignment="1">
      <alignment horizontal="center" vertical="center" shrinkToFit="1"/>
    </xf>
    <xf numFmtId="0" fontId="24" fillId="39" borderId="16" xfId="0" applyFont="1" applyFill="1" applyBorder="1" applyAlignment="1">
      <alignment horizontal="center" vertical="center" wrapText="1"/>
    </xf>
    <xf numFmtId="0" fontId="24" fillId="39" borderId="11" xfId="0" applyFont="1" applyFill="1" applyBorder="1" applyAlignment="1">
      <alignment horizontal="center" vertical="center" wrapText="1"/>
    </xf>
    <xf numFmtId="0" fontId="24" fillId="0" borderId="17" xfId="0" applyFont="1" applyFill="1" applyBorder="1" applyAlignment="1">
      <alignment horizontal="center" vertical="center" wrapText="1"/>
    </xf>
    <xf numFmtId="0" fontId="24" fillId="0" borderId="14" xfId="0" applyFont="1" applyFill="1" applyBorder="1" applyAlignment="1">
      <alignment horizontal="center" vertical="center" shrinkToFit="1"/>
    </xf>
    <xf numFmtId="0" fontId="24" fillId="0" borderId="13" xfId="0" applyFont="1" applyFill="1" applyBorder="1" applyAlignment="1">
      <alignment horizontal="center" vertical="center" shrinkToFit="1"/>
    </xf>
    <xf numFmtId="0" fontId="24" fillId="0" borderId="28" xfId="0" applyFont="1" applyFill="1" applyBorder="1" applyAlignment="1">
      <alignment horizontal="center" vertical="center" wrapText="1"/>
    </xf>
    <xf numFmtId="0" fontId="24" fillId="0" borderId="23" xfId="0" applyFont="1" applyFill="1" applyBorder="1" applyAlignment="1">
      <alignment horizontal="center" vertical="center" wrapText="1"/>
    </xf>
    <xf numFmtId="0" fontId="24" fillId="0" borderId="30" xfId="0" applyFont="1" applyFill="1" applyBorder="1" applyAlignment="1">
      <alignment horizontal="center" vertical="center" wrapText="1"/>
    </xf>
    <xf numFmtId="0" fontId="24" fillId="0" borderId="31" xfId="0" applyFont="1" applyFill="1" applyBorder="1" applyAlignment="1">
      <alignment horizontal="center" vertical="center" wrapText="1"/>
    </xf>
    <xf numFmtId="0" fontId="24" fillId="0" borderId="32" xfId="0" applyFont="1" applyFill="1" applyBorder="1" applyAlignment="1">
      <alignment horizontal="center" vertical="center" wrapText="1"/>
    </xf>
    <xf numFmtId="0" fontId="24" fillId="0" borderId="33" xfId="0" applyFont="1" applyFill="1" applyBorder="1" applyAlignment="1">
      <alignment horizontal="center" vertical="center" wrapText="1"/>
    </xf>
    <xf numFmtId="0" fontId="24" fillId="0" borderId="22" xfId="0" applyFont="1" applyFill="1" applyBorder="1" applyAlignment="1">
      <alignment horizontal="center" vertical="center" wrapText="1"/>
    </xf>
    <xf numFmtId="0" fontId="24" fillId="0" borderId="18" xfId="0" applyFont="1" applyFill="1" applyBorder="1" applyAlignment="1">
      <alignment horizontal="center" vertical="center" wrapText="1"/>
    </xf>
    <xf numFmtId="49" fontId="24" fillId="0" borderId="13" xfId="0" applyNumberFormat="1" applyFont="1" applyFill="1" applyBorder="1" applyAlignment="1">
      <alignment horizontal="center" vertical="center" wrapText="1"/>
    </xf>
    <xf numFmtId="49" fontId="24" fillId="0" borderId="21" xfId="0" applyNumberFormat="1" applyFont="1" applyFill="1" applyBorder="1" applyAlignment="1">
      <alignment horizontal="center" vertical="center" wrapText="1"/>
    </xf>
    <xf numFmtId="49" fontId="23" fillId="0" borderId="19" xfId="0" applyNumberFormat="1" applyFont="1" applyFill="1" applyBorder="1" applyAlignment="1">
      <alignment horizontal="center" vertical="center" wrapText="1"/>
    </xf>
    <xf numFmtId="49" fontId="23" fillId="0" borderId="20" xfId="0" applyNumberFormat="1" applyFont="1" applyFill="1" applyBorder="1" applyAlignment="1">
      <alignment horizontal="center" vertical="center" wrapText="1"/>
    </xf>
    <xf numFmtId="49" fontId="23" fillId="0" borderId="16" xfId="0" applyNumberFormat="1" applyFont="1" applyFill="1" applyBorder="1" applyAlignment="1">
      <alignment horizontal="center" vertical="center" wrapText="1"/>
    </xf>
    <xf numFmtId="49" fontId="23" fillId="0" borderId="17" xfId="0" applyNumberFormat="1" applyFont="1" applyFill="1" applyBorder="1" applyAlignment="1">
      <alignment horizontal="center" vertical="center" wrapText="1"/>
    </xf>
    <xf numFmtId="49" fontId="23" fillId="0" borderId="21" xfId="0" applyNumberFormat="1" applyFont="1" applyFill="1" applyBorder="1" applyAlignment="1">
      <alignment horizontal="center" vertical="center" wrapText="1"/>
    </xf>
    <xf numFmtId="49" fontId="23" fillId="0" borderId="12" xfId="0" applyNumberFormat="1" applyFont="1" applyFill="1" applyBorder="1" applyAlignment="1">
      <alignment horizontal="center" vertical="center" wrapText="1"/>
    </xf>
    <xf numFmtId="49" fontId="20" fillId="0" borderId="16" xfId="0" applyNumberFormat="1" applyFont="1" applyFill="1" applyBorder="1" applyAlignment="1">
      <alignment horizontal="center" vertical="center" wrapText="1" shrinkToFit="1"/>
    </xf>
    <xf numFmtId="49" fontId="20" fillId="0" borderId="17" xfId="0" applyNumberFormat="1" applyFont="1" applyFill="1" applyBorder="1" applyAlignment="1">
      <alignment horizontal="center" vertical="center" wrapText="1" shrinkToFit="1"/>
    </xf>
    <xf numFmtId="49" fontId="23" fillId="0" borderId="11" xfId="0" applyNumberFormat="1" applyFont="1" applyFill="1" applyBorder="1" applyAlignment="1">
      <alignment horizontal="center" vertical="center" wrapText="1"/>
    </xf>
    <xf numFmtId="49" fontId="23" fillId="0" borderId="0" xfId="0" applyNumberFormat="1" applyFont="1" applyBorder="1" applyAlignment="1">
      <alignment horizontal="center" vertical="center" wrapText="1"/>
    </xf>
    <xf numFmtId="49" fontId="24" fillId="0" borderId="22" xfId="0" applyNumberFormat="1" applyFont="1" applyFill="1" applyBorder="1" applyAlignment="1">
      <alignment horizontal="center" vertical="center" textRotation="90" wrapText="1"/>
    </xf>
    <xf numFmtId="49" fontId="24" fillId="0" borderId="18" xfId="0" applyNumberFormat="1" applyFont="1" applyFill="1" applyBorder="1" applyAlignment="1">
      <alignment horizontal="center" vertical="center" textRotation="90" wrapText="1"/>
    </xf>
    <xf numFmtId="49" fontId="24" fillId="0" borderId="14" xfId="0" applyNumberFormat="1" applyFont="1" applyFill="1" applyBorder="1" applyAlignment="1">
      <alignment horizontal="center" vertical="center" wrapText="1"/>
    </xf>
    <xf numFmtId="49" fontId="24" fillId="0" borderId="16" xfId="0" applyNumberFormat="1" applyFont="1" applyFill="1" applyBorder="1" applyAlignment="1">
      <alignment horizontal="center" vertical="center" wrapText="1"/>
    </xf>
    <xf numFmtId="49" fontId="20" fillId="0" borderId="11" xfId="0" applyNumberFormat="1" applyFont="1" applyFill="1" applyBorder="1" applyAlignment="1">
      <alignment horizontal="center" vertical="center" wrapText="1" shrinkToFit="1"/>
    </xf>
    <xf numFmtId="49" fontId="23" fillId="0" borderId="15" xfId="0" applyNumberFormat="1" applyFont="1" applyFill="1" applyBorder="1" applyAlignment="1">
      <alignment horizontal="center" vertical="center" wrapText="1"/>
    </xf>
    <xf numFmtId="49" fontId="23" fillId="0" borderId="14" xfId="0" applyNumberFormat="1" applyFont="1" applyFill="1" applyBorder="1" applyAlignment="1">
      <alignment horizontal="center" vertical="center" wrapText="1"/>
    </xf>
    <xf numFmtId="49" fontId="23" fillId="0" borderId="13" xfId="0" applyNumberFormat="1" applyFont="1" applyFill="1" applyBorder="1" applyAlignment="1">
      <alignment horizontal="center" vertical="center" wrapText="1"/>
    </xf>
    <xf numFmtId="49" fontId="23" fillId="0" borderId="10" xfId="0" applyNumberFormat="1" applyFont="1" applyFill="1" applyBorder="1" applyAlignment="1">
      <alignment horizontal="center" vertical="center" wrapText="1"/>
    </xf>
    <xf numFmtId="49" fontId="23" fillId="0" borderId="28" xfId="0" applyNumberFormat="1" applyFont="1" applyFill="1" applyBorder="1" applyAlignment="1">
      <alignment horizontal="center" vertical="center" wrapText="1"/>
    </xf>
    <xf numFmtId="49" fontId="23" fillId="0" borderId="25" xfId="0" applyNumberFormat="1" applyFont="1" applyFill="1" applyBorder="1" applyAlignment="1">
      <alignment horizontal="center" vertical="center" wrapText="1"/>
    </xf>
    <xf numFmtId="49" fontId="23" fillId="0" borderId="29" xfId="0" applyNumberFormat="1" applyFont="1" applyFill="1" applyBorder="1" applyAlignment="1">
      <alignment horizontal="center" vertical="center" wrapText="1"/>
    </xf>
    <xf numFmtId="49" fontId="20" fillId="0" borderId="25" xfId="0" applyNumberFormat="1" applyFont="1" applyFill="1" applyBorder="1" applyAlignment="1">
      <alignment horizontal="center" vertical="center" wrapText="1" shrinkToFit="1"/>
    </xf>
    <xf numFmtId="49" fontId="20" fillId="0" borderId="29" xfId="0" applyNumberFormat="1" applyFont="1" applyFill="1" applyBorder="1" applyAlignment="1">
      <alignment horizontal="center" vertical="center" wrapText="1" shrinkToFit="1"/>
    </xf>
    <xf numFmtId="49" fontId="20" fillId="0" borderId="28" xfId="0" applyNumberFormat="1" applyFont="1" applyFill="1" applyBorder="1" applyAlignment="1">
      <alignment horizontal="center" vertical="center" wrapText="1" shrinkToFit="1"/>
    </xf>
    <xf numFmtId="49" fontId="23" fillId="0" borderId="26" xfId="0" applyNumberFormat="1" applyFont="1" applyFill="1" applyBorder="1" applyAlignment="1">
      <alignment horizontal="center" vertical="center" wrapText="1"/>
    </xf>
    <xf numFmtId="49" fontId="23" fillId="0" borderId="18" xfId="0" applyNumberFormat="1" applyFont="1" applyFill="1" applyBorder="1" applyAlignment="1">
      <alignment horizontal="center" vertical="center" wrapText="1"/>
    </xf>
    <xf numFmtId="49" fontId="23" fillId="0" borderId="24" xfId="0" applyNumberFormat="1" applyFont="1" applyFill="1" applyBorder="1" applyAlignment="1">
      <alignment horizontal="center" vertical="center" wrapText="1"/>
    </xf>
    <xf numFmtId="49" fontId="24" fillId="0" borderId="27" xfId="0" applyNumberFormat="1" applyFont="1" applyFill="1" applyBorder="1" applyAlignment="1">
      <alignment horizontal="center" vertical="center" textRotation="90" wrapText="1"/>
    </xf>
    <xf numFmtId="49" fontId="24" fillId="0" borderId="11" xfId="0" applyNumberFormat="1" applyFont="1" applyFill="1" applyBorder="1" applyAlignment="1">
      <alignment horizontal="center" vertical="center" wrapText="1"/>
    </xf>
    <xf numFmtId="49" fontId="24" fillId="0" borderId="12" xfId="0" applyNumberFormat="1" applyFont="1" applyFill="1" applyBorder="1" applyAlignment="1">
      <alignment horizontal="center" vertical="center" wrapText="1"/>
    </xf>
    <xf numFmtId="0" fontId="24" fillId="0" borderId="19" xfId="0" applyFont="1" applyFill="1" applyBorder="1" applyAlignment="1">
      <alignment horizontal="center" vertical="center" wrapText="1"/>
    </xf>
    <xf numFmtId="0" fontId="24" fillId="0" borderId="21" xfId="0" applyFont="1" applyFill="1" applyBorder="1" applyAlignment="1">
      <alignment horizontal="center" vertical="center" wrapText="1"/>
    </xf>
    <xf numFmtId="0" fontId="24" fillId="0" borderId="10" xfId="0" applyFont="1" applyFill="1" applyBorder="1" applyAlignment="1">
      <alignment horizontal="center" vertical="center" wrapText="1"/>
    </xf>
    <xf numFmtId="0" fontId="24" fillId="0" borderId="11" xfId="0" applyFont="1" applyFill="1" applyBorder="1" applyAlignment="1">
      <alignment horizontal="center" vertical="center" wrapText="1"/>
    </xf>
    <xf numFmtId="0" fontId="24" fillId="0" borderId="12" xfId="0" applyFont="1" applyFill="1" applyBorder="1" applyAlignment="1">
      <alignment horizontal="center" vertical="center" wrapText="1"/>
    </xf>
    <xf numFmtId="0" fontId="24" fillId="0" borderId="16" xfId="0" applyFont="1" applyFill="1" applyBorder="1" applyAlignment="1">
      <alignment horizontal="center" vertical="center" wrapText="1"/>
    </xf>
    <xf numFmtId="0" fontId="24" fillId="0" borderId="15" xfId="0" applyFont="1" applyFill="1" applyBorder="1" applyAlignment="1">
      <alignment horizontal="center" vertical="center" wrapText="1"/>
    </xf>
    <xf numFmtId="0" fontId="24" fillId="0" borderId="14" xfId="0" applyFont="1" applyFill="1" applyBorder="1" applyAlignment="1">
      <alignment horizontal="center" vertical="center" wrapText="1"/>
    </xf>
    <xf numFmtId="0" fontId="24" fillId="0" borderId="13" xfId="0" applyFont="1" applyFill="1" applyBorder="1" applyAlignment="1">
      <alignment horizontal="center" vertical="center" wrapText="1"/>
    </xf>
    <xf numFmtId="0" fontId="0" fillId="0" borderId="0" xfId="0" applyBorder="1"/>
    <xf numFmtId="0" fontId="24" fillId="0" borderId="0" xfId="0" applyFont="1" applyFill="1" applyBorder="1" applyAlignment="1">
      <alignment horizontal="center" vertical="center" wrapText="1"/>
    </xf>
    <xf numFmtId="0" fontId="24" fillId="0" borderId="35" xfId="0" applyFont="1" applyFill="1" applyBorder="1" applyAlignment="1">
      <alignment horizontal="center" vertical="center" wrapText="1"/>
    </xf>
    <xf numFmtId="0" fontId="24" fillId="0" borderId="24" xfId="0" applyFont="1" applyFill="1" applyBorder="1" applyAlignment="1">
      <alignment horizontal="center" vertical="center" wrapText="1"/>
    </xf>
    <xf numFmtId="0" fontId="24" fillId="0" borderId="26" xfId="0" applyFont="1" applyFill="1" applyBorder="1" applyAlignment="1">
      <alignment horizontal="center" vertical="center" wrapText="1"/>
    </xf>
    <xf numFmtId="0" fontId="24" fillId="0" borderId="17" xfId="0" applyFont="1" applyFill="1" applyBorder="1" applyAlignment="1">
      <alignment horizontal="center" vertical="center" wrapText="1"/>
    </xf>
    <xf numFmtId="0" fontId="24" fillId="0" borderId="20" xfId="0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12"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mpimport/706&#1057;&#1087;&#1077;&#1094;%20(&#1050;&#1084;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|Лог|"/>
      <sheetName val="|Содержание|"/>
      <sheetName val="Км1234_спец"/>
      <sheetName val="Км(2)_спец"/>
      <sheetName val="Из архикада плиты"/>
      <sheetName val="Км1_кж"/>
      <sheetName val="Км1 2 3 4"/>
      <sheetName val="Км1234_кж"/>
      <sheetName val="Км1234"/>
      <sheetName val="Км1234_гр"/>
      <sheetName val="Км1234_грс"/>
      <sheetName val="!System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">
          <cell r="A3" t="str">
            <v>Пм1.1</v>
          </cell>
          <cell r="B3">
            <v>1</v>
          </cell>
          <cell r="C3">
            <v>250</v>
          </cell>
          <cell r="D3">
            <v>116.36</v>
          </cell>
          <cell r="E3">
            <v>45400</v>
          </cell>
          <cell r="F3">
            <v>29.09</v>
          </cell>
          <cell r="G3">
            <v>118.02</v>
          </cell>
        </row>
        <row r="4">
          <cell r="A4" t="str">
            <v>Пм1.1</v>
          </cell>
          <cell r="B4">
            <v>1</v>
          </cell>
          <cell r="C4">
            <v>250</v>
          </cell>
          <cell r="D4">
            <v>287.52</v>
          </cell>
          <cell r="E4">
            <v>87300</v>
          </cell>
          <cell r="F4">
            <v>71.88</v>
          </cell>
          <cell r="G4">
            <v>288.45</v>
          </cell>
        </row>
        <row r="5">
          <cell r="A5" t="str">
            <v>Пм1.1</v>
          </cell>
          <cell r="B5">
            <v>1</v>
          </cell>
          <cell r="C5">
            <v>250</v>
          </cell>
          <cell r="D5">
            <v>1929.23</v>
          </cell>
          <cell r="E5">
            <v>259228.3</v>
          </cell>
          <cell r="F5">
            <v>482.34</v>
          </cell>
          <cell r="G5">
            <v>1961.88</v>
          </cell>
        </row>
        <row r="6">
          <cell r="A6" t="str">
            <v>Пм1.3</v>
          </cell>
          <cell r="B6">
            <v>1</v>
          </cell>
          <cell r="C6">
            <v>250</v>
          </cell>
          <cell r="D6">
            <v>7.28</v>
          </cell>
          <cell r="E6">
            <v>10900</v>
          </cell>
          <cell r="F6">
            <v>1.82</v>
          </cell>
          <cell r="G6">
            <v>7.28</v>
          </cell>
        </row>
        <row r="7">
          <cell r="A7" t="str">
            <v>Пм1.3</v>
          </cell>
          <cell r="B7">
            <v>1</v>
          </cell>
          <cell r="C7">
            <v>500</v>
          </cell>
          <cell r="D7">
            <v>13.73</v>
          </cell>
          <cell r="E7">
            <v>14900</v>
          </cell>
          <cell r="F7">
            <v>6.87</v>
          </cell>
          <cell r="G7">
            <v>13.73</v>
          </cell>
        </row>
        <row r="8">
          <cell r="A8" t="str">
            <v>Пм2.1</v>
          </cell>
          <cell r="B8">
            <v>1</v>
          </cell>
          <cell r="C8">
            <v>250</v>
          </cell>
          <cell r="D8">
            <v>1148.29</v>
          </cell>
          <cell r="E8">
            <v>176194.6</v>
          </cell>
          <cell r="F8">
            <v>287.07</v>
          </cell>
          <cell r="G8">
            <v>1163.82</v>
          </cell>
        </row>
        <row r="9">
          <cell r="A9" t="str">
            <v>Пм2.1</v>
          </cell>
          <cell r="B9">
            <v>1</v>
          </cell>
          <cell r="C9">
            <v>250</v>
          </cell>
          <cell r="D9">
            <v>1194.07</v>
          </cell>
          <cell r="E9">
            <v>346300.3</v>
          </cell>
          <cell r="F9">
            <v>298.58999999999997</v>
          </cell>
          <cell r="G9">
            <v>1234.69</v>
          </cell>
        </row>
        <row r="10">
          <cell r="A10" t="str">
            <v>Пм3.1</v>
          </cell>
          <cell r="B10">
            <v>1</v>
          </cell>
          <cell r="C10">
            <v>250</v>
          </cell>
          <cell r="D10">
            <v>1756.19</v>
          </cell>
          <cell r="E10">
            <v>301560</v>
          </cell>
          <cell r="F10">
            <v>439.07</v>
          </cell>
          <cell r="G10">
            <v>2270.17</v>
          </cell>
        </row>
        <row r="11">
          <cell r="A11" t="str">
            <v>Пм4.1</v>
          </cell>
          <cell r="B11">
            <v>1</v>
          </cell>
          <cell r="C11">
            <v>100</v>
          </cell>
          <cell r="D11">
            <v>1.31</v>
          </cell>
          <cell r="E11">
            <v>7340</v>
          </cell>
          <cell r="F11">
            <v>0.13</v>
          </cell>
          <cell r="G11">
            <v>1.31</v>
          </cell>
        </row>
        <row r="12">
          <cell r="A12" t="str">
            <v>Пм4.1</v>
          </cell>
          <cell r="B12">
            <v>1</v>
          </cell>
          <cell r="C12">
            <v>250</v>
          </cell>
          <cell r="D12">
            <v>156.4</v>
          </cell>
          <cell r="E12">
            <v>55000</v>
          </cell>
          <cell r="F12">
            <v>39.1</v>
          </cell>
          <cell r="G12">
            <v>156.41</v>
          </cell>
        </row>
        <row r="13">
          <cell r="A13" t="str">
            <v>Пм4.1</v>
          </cell>
          <cell r="B13">
            <v>1</v>
          </cell>
          <cell r="C13">
            <v>250</v>
          </cell>
          <cell r="D13">
            <v>1625.47</v>
          </cell>
          <cell r="E13">
            <v>331300</v>
          </cell>
          <cell r="F13">
            <v>406.41</v>
          </cell>
          <cell r="G13">
            <v>1697.87</v>
          </cell>
        </row>
        <row r="14">
          <cell r="A14" t="str">
            <v>Пм5.1</v>
          </cell>
          <cell r="B14">
            <v>1</v>
          </cell>
          <cell r="C14">
            <v>250</v>
          </cell>
          <cell r="D14">
            <v>53.66</v>
          </cell>
          <cell r="E14">
            <v>31400</v>
          </cell>
          <cell r="F14">
            <v>13.41</v>
          </cell>
          <cell r="G14">
            <v>55.2</v>
          </cell>
        </row>
        <row r="15">
          <cell r="A15" t="str">
            <v>Пм5.1</v>
          </cell>
          <cell r="B15">
            <v>1</v>
          </cell>
          <cell r="C15">
            <v>250</v>
          </cell>
          <cell r="D15">
            <v>1714.14</v>
          </cell>
          <cell r="E15">
            <v>315000</v>
          </cell>
          <cell r="F15">
            <v>428.56</v>
          </cell>
          <cell r="G15">
            <v>2216.13</v>
          </cell>
        </row>
        <row r="16">
          <cell r="A16" t="str">
            <v>Пм6.1</v>
          </cell>
          <cell r="B16">
            <v>1</v>
          </cell>
          <cell r="C16">
            <v>100</v>
          </cell>
          <cell r="D16">
            <v>0.59</v>
          </cell>
          <cell r="E16">
            <v>3515.1</v>
          </cell>
          <cell r="F16">
            <v>0.06</v>
          </cell>
          <cell r="G16">
            <v>0.59</v>
          </cell>
        </row>
        <row r="17">
          <cell r="A17" t="str">
            <v>Пм6.1</v>
          </cell>
          <cell r="B17">
            <v>1</v>
          </cell>
          <cell r="C17">
            <v>250</v>
          </cell>
          <cell r="D17">
            <v>30.78</v>
          </cell>
          <cell r="E17">
            <v>22800</v>
          </cell>
          <cell r="F17">
            <v>7.7</v>
          </cell>
          <cell r="G17">
            <v>32.4</v>
          </cell>
        </row>
        <row r="18">
          <cell r="A18" t="str">
            <v>Пм6.1</v>
          </cell>
          <cell r="B18">
            <v>1</v>
          </cell>
          <cell r="C18">
            <v>250</v>
          </cell>
          <cell r="D18">
            <v>1719.6</v>
          </cell>
          <cell r="E18">
            <v>304300</v>
          </cell>
          <cell r="F18">
            <v>429.97</v>
          </cell>
          <cell r="G18">
            <v>2233.5500000000002</v>
          </cell>
        </row>
        <row r="19">
          <cell r="A19" t="str">
            <v>Пм7.1</v>
          </cell>
          <cell r="B19">
            <v>1</v>
          </cell>
          <cell r="C19">
            <v>250</v>
          </cell>
          <cell r="D19">
            <v>103.8</v>
          </cell>
          <cell r="E19">
            <v>46600</v>
          </cell>
          <cell r="F19">
            <v>25.95</v>
          </cell>
          <cell r="G19">
            <v>103.8</v>
          </cell>
        </row>
        <row r="20">
          <cell r="A20" t="str">
            <v>Пм7.1</v>
          </cell>
          <cell r="B20">
            <v>1</v>
          </cell>
          <cell r="C20">
            <v>250</v>
          </cell>
          <cell r="D20">
            <v>134.26</v>
          </cell>
          <cell r="E20">
            <v>47600</v>
          </cell>
          <cell r="F20">
            <v>34.17</v>
          </cell>
          <cell r="G20">
            <v>141.25</v>
          </cell>
        </row>
        <row r="21">
          <cell r="A21" t="str">
            <v>Пм7.1</v>
          </cell>
          <cell r="B21">
            <v>1</v>
          </cell>
          <cell r="C21">
            <v>250</v>
          </cell>
          <cell r="D21">
            <v>155.65</v>
          </cell>
          <cell r="E21">
            <v>52000</v>
          </cell>
          <cell r="F21">
            <v>39.22</v>
          </cell>
          <cell r="G21">
            <v>161.85</v>
          </cell>
        </row>
        <row r="22">
          <cell r="A22" t="str">
            <v>Пм7.1</v>
          </cell>
          <cell r="B22">
            <v>1</v>
          </cell>
          <cell r="C22">
            <v>250</v>
          </cell>
          <cell r="D22">
            <v>370.38</v>
          </cell>
          <cell r="E22">
            <v>92200</v>
          </cell>
          <cell r="F22">
            <v>92.6</v>
          </cell>
          <cell r="G22">
            <v>387.58</v>
          </cell>
        </row>
        <row r="23">
          <cell r="A23" t="str">
            <v>Пм7.1</v>
          </cell>
          <cell r="B23">
            <v>1</v>
          </cell>
          <cell r="C23">
            <v>250</v>
          </cell>
          <cell r="D23">
            <v>877.1</v>
          </cell>
          <cell r="E23">
            <v>217400</v>
          </cell>
          <cell r="F23">
            <v>219.27</v>
          </cell>
          <cell r="G23">
            <v>920.45</v>
          </cell>
        </row>
        <row r="24">
          <cell r="A24" t="str">
            <v>Пм7.1</v>
          </cell>
          <cell r="B24">
            <v>2</v>
          </cell>
          <cell r="C24">
            <v>250</v>
          </cell>
          <cell r="D24">
            <v>154.69999999999999</v>
          </cell>
          <cell r="E24">
            <v>76000</v>
          </cell>
          <cell r="F24">
            <v>38.68</v>
          </cell>
          <cell r="G24">
            <v>162.5</v>
          </cell>
        </row>
        <row r="25">
          <cell r="A25" t="str">
            <v>Пм8.1</v>
          </cell>
          <cell r="B25">
            <v>1</v>
          </cell>
          <cell r="C25">
            <v>250</v>
          </cell>
          <cell r="D25">
            <v>629.84</v>
          </cell>
          <cell r="E25">
            <v>132000</v>
          </cell>
          <cell r="F25">
            <v>158.91</v>
          </cell>
          <cell r="G25">
            <v>649.79</v>
          </cell>
        </row>
        <row r="26">
          <cell r="A26" t="str">
            <v>Пм8.1</v>
          </cell>
          <cell r="B26">
            <v>1</v>
          </cell>
          <cell r="C26">
            <v>250</v>
          </cell>
          <cell r="D26">
            <v>1222.6600000000001</v>
          </cell>
          <cell r="E26">
            <v>225200</v>
          </cell>
          <cell r="F26">
            <v>305.52</v>
          </cell>
          <cell r="G26">
            <v>1260.01</v>
          </cell>
        </row>
        <row r="27">
          <cell r="A27" t="str">
            <v>Пм9.1</v>
          </cell>
          <cell r="B27">
            <v>1</v>
          </cell>
          <cell r="C27">
            <v>250</v>
          </cell>
          <cell r="D27">
            <v>1240.1400000000001</v>
          </cell>
          <cell r="E27">
            <v>212000</v>
          </cell>
          <cell r="F27">
            <v>310.02999999999997</v>
          </cell>
          <cell r="G27">
            <v>1288.75</v>
          </cell>
        </row>
        <row r="28">
          <cell r="A28" t="str">
            <v>Пфм1</v>
          </cell>
          <cell r="B28">
            <v>1</v>
          </cell>
          <cell r="C28">
            <v>1000</v>
          </cell>
          <cell r="D28">
            <v>2504.7399999999998</v>
          </cell>
          <cell r="E28">
            <v>235031.2</v>
          </cell>
          <cell r="F28">
            <v>2504.7399999999998</v>
          </cell>
          <cell r="G28">
            <v>2505.2399999999998</v>
          </cell>
        </row>
        <row r="29">
          <cell r="A29" t="str">
            <v>Пфм1</v>
          </cell>
          <cell r="B29">
            <v>2</v>
          </cell>
          <cell r="C29">
            <v>500</v>
          </cell>
          <cell r="D29">
            <v>27.46</v>
          </cell>
          <cell r="E29">
            <v>29800</v>
          </cell>
          <cell r="F29">
            <v>13.74</v>
          </cell>
          <cell r="G29">
            <v>27.46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queryTables/queryTable1.xml><?xml version="1.0" encoding="utf-8"?>
<queryTable xmlns="http://schemas.openxmlformats.org/spreadsheetml/2006/main" name="КЖ_сист ЖБ Плиты" growShrinkType="overwriteClear" fillFormulas="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27"/>
  <sheetViews>
    <sheetView workbookViewId="0"/>
  </sheetViews>
  <sheetFormatPr defaultRowHeight="15" x14ac:dyDescent="0.25"/>
  <cols>
    <col min="1" max="5" width="36.7109375" style="11" customWidth="1"/>
    <col min="6" max="6" width="9.140625" style="11"/>
    <col min="7" max="7" width="8.7109375" style="11" customWidth="1"/>
    <col min="8" max="8" width="15.7109375" style="11" customWidth="1"/>
    <col min="9" max="22" width="10.7109375" style="11" customWidth="1"/>
    <col min="23" max="16384" width="9.140625" style="1"/>
  </cols>
  <sheetData>
    <row r="1" spans="1:22" s="9" customFormat="1" ht="27.95" customHeight="1" x14ac:dyDescent="0.25">
      <c r="A1" s="10" t="s">
        <v>2384</v>
      </c>
      <c r="B1" s="10" t="s">
        <v>2385</v>
      </c>
      <c r="C1" s="10" t="s">
        <v>2365</v>
      </c>
      <c r="D1" s="10" t="s">
        <v>2366</v>
      </c>
      <c r="E1" s="10" t="s">
        <v>2367</v>
      </c>
      <c r="F1" s="10"/>
      <c r="G1" s="10" t="s">
        <v>2386</v>
      </c>
      <c r="H1" s="10" t="s">
        <v>2387</v>
      </c>
      <c r="I1" s="10" t="s">
        <v>2388</v>
      </c>
      <c r="J1" s="10" t="s">
        <v>2389</v>
      </c>
      <c r="K1" s="10" t="s">
        <v>2390</v>
      </c>
      <c r="L1" s="10" t="s">
        <v>2391</v>
      </c>
      <c r="M1" s="10" t="s">
        <v>2392</v>
      </c>
      <c r="N1" s="10" t="s">
        <v>2393</v>
      </c>
      <c r="O1" s="10" t="s">
        <v>2394</v>
      </c>
      <c r="P1" s="10" t="s">
        <v>2395</v>
      </c>
      <c r="Q1" s="10" t="s">
        <v>2396</v>
      </c>
      <c r="R1" s="10" t="s">
        <v>2397</v>
      </c>
      <c r="S1" s="10" t="s">
        <v>2398</v>
      </c>
      <c r="T1" s="10" t="s">
        <v>2399</v>
      </c>
      <c r="U1" s="10" t="s">
        <v>2400</v>
      </c>
      <c r="V1" s="10" t="s">
        <v>2402</v>
      </c>
    </row>
    <row r="2" spans="1:22" x14ac:dyDescent="0.25">
      <c r="E2" s="12" t="s">
        <v>2435</v>
      </c>
      <c r="G2" s="11">
        <v>1</v>
      </c>
      <c r="H2" s="11" t="s">
        <v>2403</v>
      </c>
      <c r="I2" s="11" t="b">
        <v>0</v>
      </c>
      <c r="J2" s="11" t="b">
        <v>0</v>
      </c>
      <c r="K2" s="11" t="b">
        <v>0</v>
      </c>
      <c r="L2" s="11" t="b">
        <v>0</v>
      </c>
      <c r="M2" s="11" t="b">
        <v>1</v>
      </c>
      <c r="N2" s="11" t="b">
        <v>0</v>
      </c>
      <c r="O2" s="11" t="b">
        <v>1</v>
      </c>
      <c r="P2" s="11" t="b">
        <v>1</v>
      </c>
      <c r="Q2" s="11" t="b">
        <v>0</v>
      </c>
      <c r="R2" s="11" t="b">
        <v>0</v>
      </c>
      <c r="S2" s="11" t="b">
        <v>1</v>
      </c>
      <c r="T2" s="11" t="b">
        <v>0</v>
      </c>
      <c r="U2" s="11" t="b">
        <v>0</v>
      </c>
      <c r="V2" s="11" t="b">
        <v>0</v>
      </c>
    </row>
    <row r="3" spans="1:22" x14ac:dyDescent="0.25">
      <c r="D3" s="12" t="s">
        <v>2575</v>
      </c>
      <c r="G3" s="11">
        <v>1</v>
      </c>
      <c r="H3" s="11" t="s">
        <v>2403</v>
      </c>
      <c r="I3" s="11" t="b">
        <v>0</v>
      </c>
      <c r="J3" s="11" t="b">
        <v>0</v>
      </c>
      <c r="K3" s="11" t="b">
        <v>0</v>
      </c>
      <c r="L3" s="11" t="b">
        <v>0</v>
      </c>
      <c r="M3" s="11" t="b">
        <v>1</v>
      </c>
      <c r="N3" s="11" t="b">
        <v>0</v>
      </c>
      <c r="O3" s="11" t="b">
        <v>1</v>
      </c>
      <c r="P3" s="11" t="b">
        <v>1</v>
      </c>
      <c r="Q3" s="11" t="b">
        <v>0</v>
      </c>
      <c r="R3" s="11" t="b">
        <v>0</v>
      </c>
      <c r="S3" s="11" t="b">
        <v>1</v>
      </c>
      <c r="T3" s="11" t="b">
        <v>0</v>
      </c>
      <c r="U3" s="11" t="b">
        <v>0</v>
      </c>
      <c r="V3" s="11" t="b">
        <v>0</v>
      </c>
    </row>
    <row r="4" spans="1:22" x14ac:dyDescent="0.25">
      <c r="C4" s="12" t="s">
        <v>2524</v>
      </c>
      <c r="G4" s="11">
        <v>1</v>
      </c>
      <c r="H4" s="11" t="s">
        <v>2403</v>
      </c>
      <c r="I4" s="11" t="b">
        <v>0</v>
      </c>
      <c r="J4" s="11" t="b">
        <v>0</v>
      </c>
      <c r="K4" s="11" t="b">
        <v>0</v>
      </c>
      <c r="L4" s="11" t="b">
        <v>0</v>
      </c>
      <c r="M4" s="11" t="b">
        <v>1</v>
      </c>
      <c r="N4" s="11" t="b">
        <v>0</v>
      </c>
      <c r="O4" s="11" t="b">
        <v>1</v>
      </c>
      <c r="P4" s="11" t="b">
        <v>1</v>
      </c>
      <c r="Q4" s="11" t="b">
        <v>0</v>
      </c>
      <c r="R4" s="11" t="b">
        <v>0</v>
      </c>
      <c r="S4" s="11" t="b">
        <v>1</v>
      </c>
      <c r="T4" s="11" t="b">
        <v>0</v>
      </c>
      <c r="U4" s="11" t="b">
        <v>0</v>
      </c>
      <c r="V4" s="11" t="b">
        <v>0</v>
      </c>
    </row>
    <row r="5" spans="1:22" x14ac:dyDescent="0.25">
      <c r="C5" s="12" t="s">
        <v>2535</v>
      </c>
      <c r="G5" s="11">
        <v>1</v>
      </c>
      <c r="H5" s="11" t="s">
        <v>2403</v>
      </c>
      <c r="I5" s="11" t="b">
        <v>0</v>
      </c>
      <c r="J5" s="11" t="b">
        <v>0</v>
      </c>
      <c r="K5" s="11" t="b">
        <v>0</v>
      </c>
      <c r="L5" s="11" t="b">
        <v>0</v>
      </c>
      <c r="M5" s="11" t="b">
        <v>1</v>
      </c>
      <c r="N5" s="11" t="b">
        <v>0</v>
      </c>
      <c r="O5" s="11" t="b">
        <v>1</v>
      </c>
      <c r="P5" s="11" t="b">
        <v>1</v>
      </c>
      <c r="Q5" s="11" t="b">
        <v>0</v>
      </c>
      <c r="R5" s="11" t="b">
        <v>0</v>
      </c>
      <c r="S5" s="11" t="b">
        <v>1</v>
      </c>
      <c r="T5" s="11" t="b">
        <v>0</v>
      </c>
      <c r="U5" s="11" t="b">
        <v>0</v>
      </c>
      <c r="V5" s="11" t="b">
        <v>0</v>
      </c>
    </row>
    <row r="6" spans="1:22" x14ac:dyDescent="0.25">
      <c r="C6" s="12" t="s">
        <v>2566</v>
      </c>
      <c r="G6" s="11">
        <v>1</v>
      </c>
      <c r="H6" s="11" t="s">
        <v>2403</v>
      </c>
      <c r="I6" s="11" t="b">
        <v>0</v>
      </c>
      <c r="J6" s="11" t="b">
        <v>0</v>
      </c>
      <c r="K6" s="11" t="b">
        <v>0</v>
      </c>
      <c r="L6" s="11" t="b">
        <v>0</v>
      </c>
      <c r="M6" s="11" t="b">
        <v>1</v>
      </c>
      <c r="N6" s="11" t="b">
        <v>0</v>
      </c>
      <c r="O6" s="11" t="b">
        <v>1</v>
      </c>
      <c r="P6" s="11" t="b">
        <v>1</v>
      </c>
      <c r="Q6" s="11" t="b">
        <v>0</v>
      </c>
      <c r="R6" s="11" t="b">
        <v>0</v>
      </c>
      <c r="S6" s="11" t="b">
        <v>1</v>
      </c>
      <c r="T6" s="11" t="b">
        <v>0</v>
      </c>
      <c r="U6" s="11" t="b">
        <v>0</v>
      </c>
      <c r="V6" s="11" t="b">
        <v>0</v>
      </c>
    </row>
    <row r="7" spans="1:22" x14ac:dyDescent="0.25">
      <c r="C7" s="12" t="s">
        <v>2567</v>
      </c>
      <c r="G7" s="11">
        <v>1</v>
      </c>
      <c r="H7" s="11" t="s">
        <v>2403</v>
      </c>
      <c r="I7" s="11" t="b">
        <v>0</v>
      </c>
      <c r="J7" s="11" t="b">
        <v>0</v>
      </c>
      <c r="K7" s="11" t="b">
        <v>0</v>
      </c>
      <c r="L7" s="11" t="b">
        <v>0</v>
      </c>
      <c r="M7" s="11" t="b">
        <v>1</v>
      </c>
      <c r="N7" s="11" t="b">
        <v>0</v>
      </c>
      <c r="O7" s="11" t="b">
        <v>1</v>
      </c>
      <c r="P7" s="11" t="b">
        <v>1</v>
      </c>
      <c r="Q7" s="11" t="b">
        <v>0</v>
      </c>
      <c r="R7" s="11" t="b">
        <v>0</v>
      </c>
      <c r="S7" s="11" t="b">
        <v>1</v>
      </c>
      <c r="T7" s="11" t="b">
        <v>0</v>
      </c>
      <c r="U7" s="11" t="b">
        <v>0</v>
      </c>
      <c r="V7" s="11" t="b">
        <v>0</v>
      </c>
    </row>
    <row r="8" spans="1:22" x14ac:dyDescent="0.25">
      <c r="C8" s="12" t="s">
        <v>2564</v>
      </c>
      <c r="G8" s="11">
        <v>1</v>
      </c>
      <c r="H8" s="11" t="s">
        <v>2403</v>
      </c>
      <c r="I8" s="11" t="b">
        <v>0</v>
      </c>
      <c r="J8" s="11" t="b">
        <v>0</v>
      </c>
      <c r="K8" s="11" t="b">
        <v>0</v>
      </c>
      <c r="L8" s="11" t="b">
        <v>0</v>
      </c>
      <c r="M8" s="11" t="b">
        <v>1</v>
      </c>
      <c r="N8" s="11" t="b">
        <v>0</v>
      </c>
      <c r="O8" s="11" t="b">
        <v>1</v>
      </c>
      <c r="P8" s="11" t="b">
        <v>1</v>
      </c>
      <c r="Q8" s="11" t="b">
        <v>0</v>
      </c>
      <c r="R8" s="11" t="b">
        <v>0</v>
      </c>
      <c r="S8" s="11" t="b">
        <v>1</v>
      </c>
      <c r="T8" s="11" t="b">
        <v>0</v>
      </c>
      <c r="U8" s="11" t="b">
        <v>0</v>
      </c>
      <c r="V8" s="11" t="b">
        <v>0</v>
      </c>
    </row>
    <row r="9" spans="1:22" x14ac:dyDescent="0.25">
      <c r="C9" s="12" t="s">
        <v>2568</v>
      </c>
      <c r="G9" s="11">
        <v>1</v>
      </c>
      <c r="H9" s="11" t="s">
        <v>2403</v>
      </c>
      <c r="I9" s="11" t="b">
        <v>0</v>
      </c>
      <c r="J9" s="11" t="b">
        <v>0</v>
      </c>
      <c r="K9" s="11" t="b">
        <v>0</v>
      </c>
      <c r="L9" s="11" t="b">
        <v>0</v>
      </c>
      <c r="M9" s="11" t="b">
        <v>1</v>
      </c>
      <c r="N9" s="11" t="b">
        <v>0</v>
      </c>
      <c r="O9" s="11" t="b">
        <v>1</v>
      </c>
      <c r="P9" s="11" t="b">
        <v>1</v>
      </c>
      <c r="Q9" s="11" t="b">
        <v>0</v>
      </c>
      <c r="R9" s="11" t="b">
        <v>0</v>
      </c>
      <c r="S9" s="11" t="b">
        <v>1</v>
      </c>
      <c r="T9" s="11" t="b">
        <v>0</v>
      </c>
      <c r="U9" s="11" t="b">
        <v>0</v>
      </c>
      <c r="V9" s="11" t="b">
        <v>0</v>
      </c>
    </row>
    <row r="10" spans="1:22" x14ac:dyDescent="0.25">
      <c r="C10" s="12" t="s">
        <v>2569</v>
      </c>
      <c r="G10" s="11">
        <v>1</v>
      </c>
      <c r="H10" s="11" t="s">
        <v>2403</v>
      </c>
      <c r="I10" s="11" t="b">
        <v>0</v>
      </c>
      <c r="J10" s="11" t="b">
        <v>0</v>
      </c>
      <c r="K10" s="11" t="b">
        <v>0</v>
      </c>
      <c r="L10" s="11" t="b">
        <v>0</v>
      </c>
      <c r="M10" s="11" t="b">
        <v>1</v>
      </c>
      <c r="N10" s="11" t="b">
        <v>0</v>
      </c>
      <c r="O10" s="11" t="b">
        <v>1</v>
      </c>
      <c r="P10" s="11" t="b">
        <v>1</v>
      </c>
      <c r="Q10" s="11" t="b">
        <v>0</v>
      </c>
      <c r="R10" s="11" t="b">
        <v>0</v>
      </c>
      <c r="S10" s="11" t="b">
        <v>1</v>
      </c>
      <c r="T10" s="11" t="b">
        <v>0</v>
      </c>
      <c r="U10" s="11" t="b">
        <v>0</v>
      </c>
      <c r="V10" s="11" t="b">
        <v>0</v>
      </c>
    </row>
    <row r="11" spans="1:22" x14ac:dyDescent="0.25">
      <c r="C11" s="12" t="s">
        <v>2570</v>
      </c>
      <c r="G11" s="11">
        <v>1</v>
      </c>
      <c r="H11" s="11" t="s">
        <v>2403</v>
      </c>
      <c r="I11" s="11" t="b">
        <v>0</v>
      </c>
      <c r="J11" s="11" t="b">
        <v>0</v>
      </c>
      <c r="K11" s="11" t="b">
        <v>0</v>
      </c>
      <c r="L11" s="11" t="b">
        <v>0</v>
      </c>
      <c r="M11" s="11" t="b">
        <v>1</v>
      </c>
      <c r="N11" s="11" t="b">
        <v>0</v>
      </c>
      <c r="O11" s="11" t="b">
        <v>1</v>
      </c>
      <c r="P11" s="11" t="b">
        <v>1</v>
      </c>
      <c r="Q11" s="11" t="b">
        <v>0</v>
      </c>
      <c r="R11" s="11" t="b">
        <v>0</v>
      </c>
      <c r="S11" s="11" t="b">
        <v>1</v>
      </c>
      <c r="T11" s="11" t="b">
        <v>0</v>
      </c>
      <c r="U11" s="11" t="b">
        <v>0</v>
      </c>
      <c r="V11" s="11" t="b">
        <v>0</v>
      </c>
    </row>
    <row r="12" spans="1:22" x14ac:dyDescent="0.25">
      <c r="C12" s="12" t="s">
        <v>2576</v>
      </c>
      <c r="G12" s="11">
        <v>1</v>
      </c>
      <c r="H12" s="11" t="s">
        <v>2403</v>
      </c>
      <c r="I12" s="11" t="b">
        <v>0</v>
      </c>
      <c r="J12" s="11" t="b">
        <v>0</v>
      </c>
      <c r="K12" s="11" t="b">
        <v>0</v>
      </c>
      <c r="L12" s="11" t="b">
        <v>0</v>
      </c>
      <c r="M12" s="11" t="b">
        <v>1</v>
      </c>
      <c r="N12" s="11" t="b">
        <v>0</v>
      </c>
      <c r="O12" s="11" t="b">
        <v>1</v>
      </c>
      <c r="P12" s="11" t="b">
        <v>1</v>
      </c>
      <c r="Q12" s="11" t="b">
        <v>0</v>
      </c>
      <c r="R12" s="11" t="b">
        <v>0</v>
      </c>
      <c r="S12" s="11" t="b">
        <v>1</v>
      </c>
      <c r="T12" s="11" t="b">
        <v>0</v>
      </c>
      <c r="U12" s="11" t="b">
        <v>0</v>
      </c>
      <c r="V12" s="11" t="b">
        <v>0</v>
      </c>
    </row>
    <row r="13" spans="1:22" x14ac:dyDescent="0.25">
      <c r="D13" s="12" t="s">
        <v>3184</v>
      </c>
      <c r="G13" s="11">
        <v>1</v>
      </c>
      <c r="H13" s="11" t="s">
        <v>2403</v>
      </c>
      <c r="I13" s="11" t="b">
        <v>0</v>
      </c>
      <c r="J13" s="11" t="b">
        <v>0</v>
      </c>
      <c r="K13" s="11" t="b">
        <v>0</v>
      </c>
      <c r="L13" s="11" t="b">
        <v>0</v>
      </c>
      <c r="M13" s="11" t="b">
        <v>1</v>
      </c>
      <c r="N13" s="11" t="b">
        <v>0</v>
      </c>
      <c r="O13" s="11" t="b">
        <v>1</v>
      </c>
      <c r="P13" s="11" t="b">
        <v>1</v>
      </c>
      <c r="Q13" s="11" t="b">
        <v>0</v>
      </c>
      <c r="R13" s="11" t="b">
        <v>0</v>
      </c>
      <c r="S13" s="11" t="b">
        <v>1</v>
      </c>
      <c r="T13" s="11" t="b">
        <v>0</v>
      </c>
      <c r="U13" s="11" t="b">
        <v>0</v>
      </c>
      <c r="V13" s="11" t="b">
        <v>0</v>
      </c>
    </row>
    <row r="14" spans="1:22" x14ac:dyDescent="0.25">
      <c r="E14" s="12" t="s">
        <v>3185</v>
      </c>
      <c r="G14" s="11">
        <v>1</v>
      </c>
      <c r="H14" s="11" t="s">
        <v>2403</v>
      </c>
      <c r="I14" s="11" t="b">
        <v>0</v>
      </c>
      <c r="J14" s="11" t="b">
        <v>0</v>
      </c>
      <c r="K14" s="11" t="b">
        <v>0</v>
      </c>
      <c r="L14" s="11" t="b">
        <v>0</v>
      </c>
      <c r="M14" s="11" t="b">
        <v>1</v>
      </c>
      <c r="N14" s="11" t="b">
        <v>0</v>
      </c>
      <c r="O14" s="11" t="b">
        <v>1</v>
      </c>
      <c r="P14" s="11" t="b">
        <v>1</v>
      </c>
      <c r="Q14" s="11" t="b">
        <v>0</v>
      </c>
      <c r="R14" s="11" t="b">
        <v>0</v>
      </c>
      <c r="S14" s="11" t="b">
        <v>1</v>
      </c>
      <c r="T14" s="11" t="b">
        <v>0</v>
      </c>
      <c r="U14" s="11" t="b">
        <v>0</v>
      </c>
      <c r="V14" s="11" t="b">
        <v>0</v>
      </c>
    </row>
    <row r="15" spans="1:22" x14ac:dyDescent="0.25">
      <c r="D15" s="12" t="s">
        <v>3186</v>
      </c>
      <c r="G15" s="11">
        <v>1</v>
      </c>
      <c r="H15" s="11" t="s">
        <v>2403</v>
      </c>
      <c r="I15" s="11" t="b">
        <v>0</v>
      </c>
      <c r="J15" s="11" t="b">
        <v>0</v>
      </c>
      <c r="K15" s="11" t="b">
        <v>0</v>
      </c>
      <c r="L15" s="11" t="b">
        <v>0</v>
      </c>
      <c r="M15" s="11" t="b">
        <v>1</v>
      </c>
      <c r="N15" s="11" t="b">
        <v>0</v>
      </c>
      <c r="O15" s="11" t="b">
        <v>1</v>
      </c>
      <c r="P15" s="11" t="b">
        <v>1</v>
      </c>
      <c r="Q15" s="11" t="b">
        <v>0</v>
      </c>
      <c r="R15" s="11" t="b">
        <v>0</v>
      </c>
      <c r="S15" s="11" t="b">
        <v>1</v>
      </c>
      <c r="T15" s="11" t="b">
        <v>0</v>
      </c>
      <c r="U15" s="11" t="b">
        <v>0</v>
      </c>
      <c r="V15" s="11" t="b">
        <v>0</v>
      </c>
    </row>
    <row r="16" spans="1:22" x14ac:dyDescent="0.25">
      <c r="D16" s="12" t="s">
        <v>3187</v>
      </c>
      <c r="G16" s="11">
        <v>1</v>
      </c>
      <c r="H16" s="11" t="s">
        <v>2403</v>
      </c>
      <c r="I16" s="11" t="b">
        <v>0</v>
      </c>
      <c r="J16" s="11" t="b">
        <v>0</v>
      </c>
      <c r="K16" s="11" t="b">
        <v>0</v>
      </c>
      <c r="L16" s="11" t="b">
        <v>0</v>
      </c>
      <c r="M16" s="11" t="b">
        <v>1</v>
      </c>
      <c r="N16" s="11" t="b">
        <v>0</v>
      </c>
      <c r="O16" s="11" t="b">
        <v>1</v>
      </c>
      <c r="P16" s="11" t="b">
        <v>1</v>
      </c>
      <c r="Q16" s="11" t="b">
        <v>0</v>
      </c>
      <c r="R16" s="11" t="b">
        <v>0</v>
      </c>
      <c r="S16" s="11" t="b">
        <v>1</v>
      </c>
      <c r="T16" s="11" t="b">
        <v>0</v>
      </c>
      <c r="U16" s="11" t="b">
        <v>0</v>
      </c>
      <c r="V16" s="11" t="b">
        <v>0</v>
      </c>
    </row>
    <row r="17" spans="1:22" x14ac:dyDescent="0.25">
      <c r="D17" s="12" t="s">
        <v>3188</v>
      </c>
      <c r="G17" s="11">
        <v>1</v>
      </c>
      <c r="H17" s="11" t="s">
        <v>2403</v>
      </c>
      <c r="I17" s="11" t="b">
        <v>0</v>
      </c>
      <c r="J17" s="11" t="b">
        <v>0</v>
      </c>
      <c r="K17" s="11" t="b">
        <v>0</v>
      </c>
      <c r="L17" s="11" t="b">
        <v>0</v>
      </c>
      <c r="M17" s="11" t="b">
        <v>1</v>
      </c>
      <c r="N17" s="11" t="b">
        <v>0</v>
      </c>
      <c r="O17" s="11" t="b">
        <v>1</v>
      </c>
      <c r="P17" s="11" t="b">
        <v>1</v>
      </c>
      <c r="Q17" s="11" t="b">
        <v>0</v>
      </c>
      <c r="R17" s="11" t="b">
        <v>0</v>
      </c>
      <c r="S17" s="11" t="b">
        <v>1</v>
      </c>
      <c r="T17" s="11" t="b">
        <v>0</v>
      </c>
      <c r="U17" s="11" t="b">
        <v>0</v>
      </c>
      <c r="V17" s="11" t="b">
        <v>0</v>
      </c>
    </row>
    <row r="18" spans="1:22" x14ac:dyDescent="0.25">
      <c r="D18" s="12" t="s">
        <v>3189</v>
      </c>
      <c r="G18" s="11">
        <v>1</v>
      </c>
      <c r="H18" s="11" t="s">
        <v>2403</v>
      </c>
      <c r="I18" s="11" t="b">
        <v>0</v>
      </c>
      <c r="J18" s="11" t="b">
        <v>0</v>
      </c>
      <c r="K18" s="11" t="b">
        <v>0</v>
      </c>
      <c r="L18" s="11" t="b">
        <v>0</v>
      </c>
      <c r="M18" s="11" t="b">
        <v>1</v>
      </c>
      <c r="N18" s="11" t="b">
        <v>0</v>
      </c>
      <c r="O18" s="11" t="b">
        <v>1</v>
      </c>
      <c r="P18" s="11" t="b">
        <v>1</v>
      </c>
      <c r="Q18" s="11" t="b">
        <v>0</v>
      </c>
      <c r="R18" s="11" t="b">
        <v>0</v>
      </c>
      <c r="S18" s="11" t="b">
        <v>1</v>
      </c>
      <c r="T18" s="11" t="b">
        <v>0</v>
      </c>
      <c r="U18" s="11" t="b">
        <v>0</v>
      </c>
      <c r="V18" s="11" t="b">
        <v>0</v>
      </c>
    </row>
    <row r="19" spans="1:22" x14ac:dyDescent="0.25">
      <c r="D19" s="12" t="s">
        <v>3190</v>
      </c>
      <c r="G19" s="11">
        <v>1</v>
      </c>
      <c r="H19" s="11" t="s">
        <v>2403</v>
      </c>
      <c r="I19" s="11" t="b">
        <v>0</v>
      </c>
      <c r="J19" s="11" t="b">
        <v>0</v>
      </c>
      <c r="K19" s="11" t="b">
        <v>0</v>
      </c>
      <c r="L19" s="11" t="b">
        <v>0</v>
      </c>
      <c r="M19" s="11" t="b">
        <v>1</v>
      </c>
      <c r="N19" s="11" t="b">
        <v>0</v>
      </c>
      <c r="O19" s="11" t="b">
        <v>1</v>
      </c>
      <c r="P19" s="11" t="b">
        <v>1</v>
      </c>
      <c r="Q19" s="11" t="b">
        <v>0</v>
      </c>
      <c r="R19" s="11" t="b">
        <v>0</v>
      </c>
      <c r="S19" s="11" t="b">
        <v>1</v>
      </c>
      <c r="T19" s="11" t="b">
        <v>0</v>
      </c>
      <c r="U19" s="11" t="b">
        <v>0</v>
      </c>
      <c r="V19" s="11" t="b">
        <v>0</v>
      </c>
    </row>
    <row r="20" spans="1:22" x14ac:dyDescent="0.25">
      <c r="D20" s="12" t="s">
        <v>3191</v>
      </c>
      <c r="G20" s="11">
        <v>1</v>
      </c>
      <c r="H20" s="11" t="s">
        <v>2403</v>
      </c>
      <c r="I20" s="11" t="b">
        <v>0</v>
      </c>
      <c r="J20" s="11" t="b">
        <v>0</v>
      </c>
      <c r="K20" s="11" t="b">
        <v>0</v>
      </c>
      <c r="L20" s="11" t="b">
        <v>0</v>
      </c>
      <c r="M20" s="11" t="b">
        <v>1</v>
      </c>
      <c r="N20" s="11" t="b">
        <v>0</v>
      </c>
      <c r="O20" s="11" t="b">
        <v>1</v>
      </c>
      <c r="P20" s="11" t="b">
        <v>1</v>
      </c>
      <c r="Q20" s="11" t="b">
        <v>0</v>
      </c>
      <c r="R20" s="11" t="b">
        <v>0</v>
      </c>
      <c r="S20" s="11" t="b">
        <v>1</v>
      </c>
      <c r="T20" s="11" t="b">
        <v>0</v>
      </c>
      <c r="U20" s="11" t="b">
        <v>0</v>
      </c>
      <c r="V20" s="11" t="b">
        <v>0</v>
      </c>
    </row>
    <row r="21" spans="1:22" x14ac:dyDescent="0.25">
      <c r="E21" s="12" t="s">
        <v>3192</v>
      </c>
      <c r="G21" s="11">
        <v>1</v>
      </c>
      <c r="H21" s="11" t="s">
        <v>2403</v>
      </c>
      <c r="I21" s="11" t="b">
        <v>0</v>
      </c>
      <c r="J21" s="11" t="b">
        <v>0</v>
      </c>
      <c r="K21" s="11" t="b">
        <v>0</v>
      </c>
      <c r="L21" s="11" t="b">
        <v>0</v>
      </c>
      <c r="M21" s="11" t="b">
        <v>1</v>
      </c>
      <c r="N21" s="11" t="b">
        <v>0</v>
      </c>
      <c r="O21" s="11" t="b">
        <v>1</v>
      </c>
      <c r="P21" s="11" t="b">
        <v>1</v>
      </c>
      <c r="Q21" s="11" t="b">
        <v>0</v>
      </c>
      <c r="R21" s="11" t="b">
        <v>0</v>
      </c>
      <c r="S21" s="11" t="b">
        <v>1</v>
      </c>
      <c r="T21" s="11" t="b">
        <v>0</v>
      </c>
      <c r="U21" s="11" t="b">
        <v>0</v>
      </c>
      <c r="V21" s="11" t="b">
        <v>0</v>
      </c>
    </row>
    <row r="22" spans="1:22" x14ac:dyDescent="0.25">
      <c r="C22" s="12" t="s">
        <v>2571</v>
      </c>
      <c r="G22" s="11">
        <v>1</v>
      </c>
      <c r="H22" s="11" t="s">
        <v>2403</v>
      </c>
      <c r="I22" s="11" t="b">
        <v>0</v>
      </c>
      <c r="J22" s="11" t="b">
        <v>0</v>
      </c>
      <c r="K22" s="11" t="b">
        <v>0</v>
      </c>
      <c r="L22" s="11" t="b">
        <v>0</v>
      </c>
      <c r="M22" s="11" t="b">
        <v>1</v>
      </c>
      <c r="N22" s="11" t="b">
        <v>0</v>
      </c>
      <c r="O22" s="11" t="b">
        <v>1</v>
      </c>
      <c r="P22" s="11" t="b">
        <v>1</v>
      </c>
      <c r="Q22" s="11" t="b">
        <v>0</v>
      </c>
      <c r="R22" s="11" t="b">
        <v>0</v>
      </c>
      <c r="S22" s="11" t="b">
        <v>1</v>
      </c>
      <c r="T22" s="11" t="b">
        <v>0</v>
      </c>
      <c r="U22" s="11" t="b">
        <v>0</v>
      </c>
      <c r="V22" s="11" t="b">
        <v>0</v>
      </c>
    </row>
    <row r="23" spans="1:22" x14ac:dyDescent="0.25">
      <c r="D23" s="12" t="s">
        <v>3197</v>
      </c>
      <c r="G23" s="11">
        <v>1</v>
      </c>
      <c r="H23" s="11" t="s">
        <v>3198</v>
      </c>
      <c r="I23" s="11" t="b">
        <v>0</v>
      </c>
      <c r="J23" s="11" t="b">
        <v>0</v>
      </c>
      <c r="K23" s="11" t="b">
        <v>0</v>
      </c>
      <c r="L23" s="11" t="b">
        <v>0</v>
      </c>
      <c r="M23" s="11" t="b">
        <v>1</v>
      </c>
      <c r="N23" s="11" t="b">
        <v>0</v>
      </c>
      <c r="O23" s="11" t="b">
        <v>1</v>
      </c>
      <c r="P23" s="11" t="b">
        <v>1</v>
      </c>
      <c r="Q23" s="11" t="b">
        <v>0</v>
      </c>
      <c r="R23" s="11" t="b">
        <v>0</v>
      </c>
      <c r="S23" s="11" t="b">
        <v>1</v>
      </c>
      <c r="T23" s="11" t="b">
        <v>0</v>
      </c>
      <c r="U23" s="11" t="b">
        <v>0</v>
      </c>
      <c r="V23" s="11" t="b">
        <v>0</v>
      </c>
    </row>
    <row r="24" spans="1:22" x14ac:dyDescent="0.25">
      <c r="C24" s="12" t="s">
        <v>3206</v>
      </c>
      <c r="G24" s="11">
        <v>1</v>
      </c>
      <c r="H24" s="11" t="s">
        <v>3207</v>
      </c>
      <c r="I24" s="11" t="b">
        <v>0</v>
      </c>
      <c r="J24" s="11" t="b">
        <v>0</v>
      </c>
      <c r="K24" s="11" t="b">
        <v>0</v>
      </c>
      <c r="L24" s="11" t="b">
        <v>0</v>
      </c>
      <c r="M24" s="11" t="b">
        <v>1</v>
      </c>
      <c r="N24" s="11" t="b">
        <v>0</v>
      </c>
      <c r="O24" s="11" t="b">
        <v>1</v>
      </c>
      <c r="P24" s="11" t="b">
        <v>1</v>
      </c>
      <c r="Q24" s="11" t="b">
        <v>0</v>
      </c>
      <c r="R24" s="11" t="b">
        <v>0</v>
      </c>
      <c r="S24" s="11" t="b">
        <v>1</v>
      </c>
      <c r="T24" s="11" t="b">
        <v>0</v>
      </c>
      <c r="U24" s="11" t="b">
        <v>0</v>
      </c>
      <c r="V24" s="11" t="b">
        <v>0</v>
      </c>
    </row>
    <row r="25" spans="1:22" x14ac:dyDescent="0.25">
      <c r="B25" s="12" t="s">
        <v>2372</v>
      </c>
    </row>
    <row r="26" spans="1:22" x14ac:dyDescent="0.25">
      <c r="A26" s="12" t="s">
        <v>2383</v>
      </c>
    </row>
    <row r="27" spans="1:22" x14ac:dyDescent="0.25">
      <c r="A27" s="12" t="s">
        <v>2371</v>
      </c>
    </row>
  </sheetData>
  <sortState ref="A2:V27">
    <sortCondition ref="H2:H600"/>
  </sortState>
  <conditionalFormatting sqref="A1:V1048576">
    <cfRule type="containsText" dxfId="111" priority="7" operator="containsText" text="_спец">
      <formula>NOT(ISERROR(SEARCH("_спец",A1)))</formula>
    </cfRule>
    <cfRule type="containsText" dxfId="110" priority="6" operator="containsText" text="!">
      <formula>NOT(ISERROR(SEARCH("!",A1)))</formula>
    </cfRule>
    <cfRule type="expression" dxfId="109" priority="5">
      <formula>LEN(TRIM(A1))=0</formula>
    </cfRule>
    <cfRule type="containsText" dxfId="108" priority="4" operator="containsText" text="|">
      <formula>NOT(ISERROR(SEARCH("|",A1)))</formula>
    </cfRule>
    <cfRule type="containsText" dxfId="107" priority="3" operator="containsText" text="_кж">
      <formula>NOT(ISERROR(SEARCH("_кж",A1)))</formula>
    </cfRule>
    <cfRule type="containsText" dxfId="106" priority="2" operator="containsText" text="_км">
      <formula>NOT(ISERROR(SEARCH("_км",A1)))</formula>
    </cfRule>
    <cfRule type="containsText" dxfId="105" priority="1" operator="containsText" text="_поз">
      <formula>NOT(ISERROR(SEARCH("_поз",A1)))</formula>
    </cfRule>
  </conditionalFormatting>
  <hyperlinks>
    <hyperlink ref="B25" location="'!System'!B2" display="'!System'!B2"/>
    <hyperlink ref="A26" location="'|Лог|'!A1" display="'|Лог|'!A1"/>
    <hyperlink ref="A27" location="'|Содержание|'!A1" display="'|Содержание|'!A1"/>
    <hyperlink ref="E2" location="'Ведомость отделки_правила'!E3" display="'Ведомость отделки_правила'!E3"/>
    <hyperlink ref="D3" location="'Ведомость отделки_разб'!D4" display="'Ведомость отделки_разб'!D4"/>
    <hyperlink ref="C4" location="'Ведомость отделки-1 0.000_вед'!C3" display="'Ведомость отделки-1 0.000_вед'!C3"/>
    <hyperlink ref="C5" location="'Ведомость отделки-2 +4.500_вед'!C3" display="'Ведомость отделки-2 +4.500_вед'!C3"/>
    <hyperlink ref="C6" location="'Ведомость отделки-3 +8.550_вед'!C3" display="'Ведомость отделки-3 +8.550_вед'!C3"/>
    <hyperlink ref="C7" location="'Ведомость отделки-4 +12.600_вед'!C3" display="'Ведомость отделки-4 +12.600_вед'!C3"/>
    <hyperlink ref="C8" location="'Ведомость отделки--4.290_вед'!C3" display="'Ведомость отделки--4.290_вед'!C3"/>
    <hyperlink ref="C9" location="'Ведомость отделки-5 +16.650_вед'!C3" display="'Ведомость отделки-5 +16.650_вед'!C3"/>
    <hyperlink ref="C10" location="'Ведомость отделки-6 +20.700_вед'!C3" display="'Ведомость отделки-6 +20.700_вед'!C3"/>
    <hyperlink ref="C11" location="'Ведомость отделки-7 +24.750_вед'!C3" display="'Ведомость отделки-7 +24.750_вед'!C3"/>
    <hyperlink ref="C12" location="'Ведомость отделки-Тест_вед'!C3" display="'Ведомость отделки-Тест_вед'!C3"/>
    <hyperlink ref="D13" location="'Из архикада плиты'!D4" display="'Из архикада плиты'!D4"/>
    <hyperlink ref="D23" location="'Км(2)_кж'!D4" display="'Км(2)_кж'!D4"/>
    <hyperlink ref="E14" location="'Км(2)_спец'!E3" display="'Км(2)_спец'!E3"/>
    <hyperlink ref="D15" location="'Км1 2 3 4'!D4" display="'Км1 2 3 4'!D4"/>
    <hyperlink ref="D16" location="'Км1_кж'!D4" display="'Км1_кж'!D4"/>
    <hyperlink ref="D17" location="'Км1234'!D4" display="'Км1234'!D4"/>
    <hyperlink ref="D18" location="'Км1234_гр'!D4" display="'Км1234_гр'!D4"/>
    <hyperlink ref="D19" location="'Км1234_грс'!D4" display="'Км1234_грс'!D4"/>
    <hyperlink ref="D20" location="'Км1234_кж'!D4" display="'Км1234_кж'!D4"/>
    <hyperlink ref="C24" location="'Км1234_норм'!C3" display="'Км1234_норм'!C3"/>
    <hyperlink ref="E21" location="'Км1234_спец'!E3" display="'Км1234_спец'!E3"/>
    <hyperlink ref="C22" location="'мость отделки-Чердак+29.100_вед'!C3" display="'мость отделки-Чердак+29.100_вед'!C3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>
    <tabColor theme="7" tint="0.39997558519241921"/>
  </sheetPr>
  <dimension ref="A1:AR450"/>
  <sheetViews>
    <sheetView zoomScale="85" zoomScaleNormal="85" workbookViewId="0">
      <selection activeCell="D24" sqref="D24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44" ht="16.5" x14ac:dyDescent="0.25">
      <c r="A1" s="96" t="s">
        <v>2733</v>
      </c>
      <c r="B1" s="90" t="s">
        <v>2734</v>
      </c>
      <c r="C1" s="90" t="s">
        <v>2735</v>
      </c>
      <c r="D1" s="90" t="s">
        <v>2736</v>
      </c>
      <c r="E1" s="90" t="s">
        <v>2737</v>
      </c>
      <c r="F1" s="90" t="s">
        <v>2738</v>
      </c>
      <c r="G1" s="90" t="s">
        <v>2739</v>
      </c>
      <c r="H1" s="92" t="s">
        <v>2740</v>
      </c>
      <c r="I1" s="93"/>
      <c r="J1" s="94"/>
      <c r="K1" s="92" t="s">
        <v>2741</v>
      </c>
      <c r="L1" s="93"/>
      <c r="M1" s="93"/>
      <c r="N1" s="93"/>
      <c r="O1" s="93"/>
      <c r="P1" s="93"/>
      <c r="Q1" s="94"/>
      <c r="R1" s="90" t="s">
        <v>2742</v>
      </c>
      <c r="S1" s="92" t="s">
        <v>2743</v>
      </c>
      <c r="T1" s="93"/>
      <c r="U1" s="95"/>
    </row>
    <row r="2" spans="1:44" ht="66" x14ac:dyDescent="0.25">
      <c r="A2" s="97"/>
      <c r="B2" s="91"/>
      <c r="C2" s="91"/>
      <c r="D2" s="91"/>
      <c r="E2" s="91"/>
      <c r="F2" s="91"/>
      <c r="G2" s="91"/>
      <c r="H2" s="66" t="s">
        <v>2744</v>
      </c>
      <c r="I2" s="66" t="s">
        <v>2745</v>
      </c>
      <c r="J2" s="66" t="s">
        <v>2746</v>
      </c>
      <c r="K2" s="66" t="s">
        <v>2747</v>
      </c>
      <c r="L2" s="66" t="s">
        <v>2748</v>
      </c>
      <c r="M2" s="66" t="s">
        <v>2749</v>
      </c>
      <c r="N2" s="66" t="s">
        <v>2750</v>
      </c>
      <c r="O2" s="66" t="s">
        <v>2751</v>
      </c>
      <c r="P2" s="66" t="s">
        <v>2752</v>
      </c>
      <c r="Q2" s="66" t="s">
        <v>2753</v>
      </c>
      <c r="R2" s="91"/>
      <c r="S2" s="66" t="s">
        <v>2754</v>
      </c>
      <c r="T2" s="66" t="s">
        <v>2755</v>
      </c>
      <c r="U2" s="69" t="s">
        <v>2756</v>
      </c>
    </row>
    <row r="3" spans="1:44" ht="16.5" x14ac:dyDescent="0.25">
      <c r="A3" s="39" t="str">
        <f>B7</f>
        <v>Км1.1</v>
      </c>
      <c r="B3" s="40" t="s">
        <v>2757</v>
      </c>
      <c r="C3" s="40" t="s">
        <v>2758</v>
      </c>
      <c r="D3" s="40" t="s">
        <v>2759</v>
      </c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1"/>
    </row>
    <row r="4" spans="1:44" ht="16.5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</row>
    <row r="5" spans="1:44" ht="16.5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</row>
    <row r="6" spans="1:44" ht="16.5" x14ac:dyDescent="0.25">
      <c r="A6" s="39" t="s">
        <v>2757</v>
      </c>
      <c r="B6" s="40" t="s">
        <v>2757</v>
      </c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1"/>
    </row>
    <row r="7" spans="1:44" ht="16.5" x14ac:dyDescent="0.25">
      <c r="A7" s="43" t="str">
        <f>B7</f>
        <v>Км1.1</v>
      </c>
      <c r="B7" s="44" t="s">
        <v>2784</v>
      </c>
      <c r="C7" s="44"/>
      <c r="D7" s="44" t="s">
        <v>2785</v>
      </c>
      <c r="E7" s="44">
        <f>1+1+1</f>
        <v>3</v>
      </c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5"/>
    </row>
    <row r="8" spans="1:44" ht="16.5" x14ac:dyDescent="0.25">
      <c r="A8" s="68" t="str">
        <f>A7</f>
        <v>Км1.1</v>
      </c>
      <c r="B8" s="66">
        <v>1</v>
      </c>
      <c r="C8" s="66" t="s">
        <v>2762</v>
      </c>
      <c r="D8" s="66" t="s">
        <v>2763</v>
      </c>
      <c r="E8" s="66">
        <v>4</v>
      </c>
      <c r="F8" s="40">
        <v>2.984</v>
      </c>
      <c r="G8" s="66"/>
      <c r="H8" s="66">
        <v>5070</v>
      </c>
      <c r="I8" s="66">
        <v>22</v>
      </c>
      <c r="J8" s="66" t="s">
        <v>2</v>
      </c>
      <c r="K8" s="66"/>
      <c r="L8" s="66"/>
      <c r="M8" s="66"/>
      <c r="N8" s="66"/>
      <c r="O8" s="66"/>
      <c r="P8" s="66"/>
      <c r="Q8" s="66"/>
      <c r="R8" s="66"/>
      <c r="S8" s="66">
        <v>800</v>
      </c>
      <c r="T8" s="66">
        <v>960</v>
      </c>
      <c r="U8" s="69">
        <v>88</v>
      </c>
      <c r="AP8">
        <v>650</v>
      </c>
      <c r="AQ8">
        <v>780</v>
      </c>
      <c r="AR8">
        <v>30</v>
      </c>
    </row>
    <row r="9" spans="1:44" ht="16.5" x14ac:dyDescent="0.25">
      <c r="A9" s="68" t="str">
        <f>A8</f>
        <v>Км1.1</v>
      </c>
      <c r="B9" s="66">
        <v>2</v>
      </c>
      <c r="C9" s="66" t="s">
        <v>2764</v>
      </c>
      <c r="D9" s="66" t="s">
        <v>2765</v>
      </c>
      <c r="E9" s="66">
        <f>38+34+29+29+29+29+28+32+16</f>
        <v>264</v>
      </c>
      <c r="F9" s="40">
        <v>0.39500000000000002</v>
      </c>
      <c r="G9" s="66" t="s">
        <v>0</v>
      </c>
      <c r="H9" s="66">
        <f>420*4+150</f>
        <v>1830</v>
      </c>
      <c r="I9" s="66">
        <v>8</v>
      </c>
      <c r="J9" s="66" t="s">
        <v>1</v>
      </c>
      <c r="K9" s="66"/>
      <c r="L9" s="66"/>
      <c r="M9" s="66"/>
      <c r="N9" s="66"/>
      <c r="O9" s="66"/>
      <c r="P9" s="66"/>
      <c r="Q9" s="66"/>
      <c r="R9" s="66"/>
      <c r="S9" s="66">
        <v>200</v>
      </c>
      <c r="T9" s="66">
        <v>250</v>
      </c>
      <c r="U9" s="69">
        <v>10</v>
      </c>
    </row>
    <row r="10" spans="1:44" ht="16.5" x14ac:dyDescent="0.25">
      <c r="A10" s="68" t="str">
        <f>A9</f>
        <v>Км1.1</v>
      </c>
      <c r="B10" s="66">
        <v>3</v>
      </c>
      <c r="C10" s="66" t="s">
        <v>2762</v>
      </c>
      <c r="D10" s="66" t="s">
        <v>2766</v>
      </c>
      <c r="E10" s="66">
        <v>4</v>
      </c>
      <c r="F10" s="40">
        <v>2.4660000000000002</v>
      </c>
      <c r="G10" s="66"/>
      <c r="H10" s="66">
        <v>4500</v>
      </c>
      <c r="I10" s="66">
        <v>20</v>
      </c>
      <c r="J10" s="66" t="s">
        <v>2</v>
      </c>
      <c r="K10" s="66"/>
      <c r="L10" s="66"/>
      <c r="M10" s="66"/>
      <c r="N10" s="66"/>
      <c r="O10" s="66"/>
      <c r="P10" s="66"/>
      <c r="Q10" s="66"/>
      <c r="R10" s="66"/>
      <c r="S10" s="66">
        <v>725</v>
      </c>
      <c r="T10" s="66">
        <v>870</v>
      </c>
      <c r="U10" s="69">
        <v>80</v>
      </c>
      <c r="AP10">
        <v>970</v>
      </c>
      <c r="AQ10">
        <v>1165</v>
      </c>
      <c r="AR10">
        <v>45</v>
      </c>
    </row>
    <row r="11" spans="1:44" ht="16.5" x14ac:dyDescent="0.25">
      <c r="A11" s="68" t="str">
        <f>A10</f>
        <v>Км1.1</v>
      </c>
      <c r="B11" s="66">
        <v>4</v>
      </c>
      <c r="C11" s="66" t="s">
        <v>2762</v>
      </c>
      <c r="D11" s="66" t="s">
        <v>2767</v>
      </c>
      <c r="E11" s="66">
        <f>4*5</f>
        <v>20</v>
      </c>
      <c r="F11" s="40">
        <v>2.4660000000000002</v>
      </c>
      <c r="G11" s="66"/>
      <c r="H11" s="66">
        <v>4050</v>
      </c>
      <c r="I11" s="66">
        <v>20</v>
      </c>
      <c r="J11" s="66" t="s">
        <v>2</v>
      </c>
      <c r="K11" s="66"/>
      <c r="L11" s="66"/>
      <c r="M11" s="66"/>
      <c r="N11" s="66"/>
      <c r="O11" s="66"/>
      <c r="P11" s="66"/>
      <c r="Q11" s="66"/>
      <c r="R11" s="66"/>
      <c r="S11" s="66">
        <v>725</v>
      </c>
      <c r="T11" s="66">
        <v>870</v>
      </c>
      <c r="U11" s="69">
        <v>80</v>
      </c>
    </row>
    <row r="12" spans="1:44" ht="16.5" x14ac:dyDescent="0.25">
      <c r="A12" s="68" t="str">
        <f>A10</f>
        <v>Км1.1</v>
      </c>
      <c r="B12" s="66">
        <v>5</v>
      </c>
      <c r="C12" s="66" t="s">
        <v>2762</v>
      </c>
      <c r="D12" s="66" t="s">
        <v>3147</v>
      </c>
      <c r="E12" s="66">
        <v>4</v>
      </c>
      <c r="F12" s="40">
        <v>2.4660000000000002</v>
      </c>
      <c r="G12" s="66"/>
      <c r="H12" s="66">
        <v>3820</v>
      </c>
      <c r="I12" s="66">
        <v>20</v>
      </c>
      <c r="J12" s="66" t="s">
        <v>2</v>
      </c>
      <c r="K12" s="66"/>
      <c r="L12" s="66"/>
      <c r="M12" s="66"/>
      <c r="N12" s="66"/>
      <c r="O12" s="66"/>
      <c r="P12" s="66"/>
      <c r="Q12" s="66"/>
      <c r="R12" s="66"/>
      <c r="S12" s="66">
        <v>725</v>
      </c>
      <c r="T12" s="66">
        <v>870</v>
      </c>
      <c r="U12" s="69">
        <v>80</v>
      </c>
    </row>
    <row r="13" spans="1:44" ht="16.5" x14ac:dyDescent="0.25">
      <c r="A13" s="68" t="str">
        <f>A11</f>
        <v>Км1.1</v>
      </c>
      <c r="B13" s="66">
        <v>6</v>
      </c>
      <c r="C13" s="66" t="s">
        <v>2762</v>
      </c>
      <c r="D13" s="66" t="s">
        <v>3148</v>
      </c>
      <c r="E13" s="66">
        <v>4</v>
      </c>
      <c r="F13" s="40">
        <v>2.4660000000000002</v>
      </c>
      <c r="G13" s="66"/>
      <c r="H13" s="66">
        <v>1430</v>
      </c>
      <c r="I13" s="66">
        <v>20</v>
      </c>
      <c r="J13" s="66" t="s">
        <v>2</v>
      </c>
      <c r="K13" s="66"/>
      <c r="L13" s="66"/>
      <c r="M13" s="66"/>
      <c r="N13" s="66"/>
      <c r="O13" s="66"/>
      <c r="P13" s="66"/>
      <c r="Q13" s="66"/>
      <c r="R13" s="66"/>
      <c r="S13" s="66">
        <v>725</v>
      </c>
      <c r="T13" s="66">
        <v>870</v>
      </c>
      <c r="U13" s="69">
        <v>80</v>
      </c>
      <c r="AP13">
        <v>865</v>
      </c>
      <c r="AQ13">
        <v>1035</v>
      </c>
      <c r="AR13">
        <v>40</v>
      </c>
    </row>
    <row r="14" spans="1:44" ht="33" x14ac:dyDescent="0.25">
      <c r="A14" s="68" t="str">
        <f>A12</f>
        <v>Км1.1</v>
      </c>
      <c r="B14" s="66"/>
      <c r="C14" s="47" t="s">
        <v>2769</v>
      </c>
      <c r="D14" s="47" t="s">
        <v>2770</v>
      </c>
      <c r="E14" s="47">
        <f>4.82*0.5*0.5</f>
        <v>1.2050000000000001</v>
      </c>
      <c r="F14" s="47" t="s">
        <v>4</v>
      </c>
      <c r="G14" s="47" t="s">
        <v>3</v>
      </c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9"/>
      <c r="AP14">
        <v>970</v>
      </c>
      <c r="AQ14">
        <v>1165</v>
      </c>
      <c r="AR14">
        <v>45</v>
      </c>
    </row>
    <row r="15" spans="1:44" ht="16.5" x14ac:dyDescent="0.25">
      <c r="A15" s="68" t="str">
        <f>A13</f>
        <v>Км1.1</v>
      </c>
      <c r="B15" s="66"/>
      <c r="C15" s="47" t="s">
        <v>2769</v>
      </c>
      <c r="D15" s="47" t="s">
        <v>3208</v>
      </c>
      <c r="E15" s="47">
        <f>29*0.5*0.5</f>
        <v>7.25</v>
      </c>
      <c r="F15" s="47" t="s">
        <v>4</v>
      </c>
      <c r="G15" s="47" t="s">
        <v>3</v>
      </c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6"/>
      <c r="U15" s="69"/>
      <c r="AP15">
        <v>865</v>
      </c>
      <c r="AQ15">
        <v>1035</v>
      </c>
      <c r="AR15">
        <v>40</v>
      </c>
    </row>
    <row r="16" spans="1:44" ht="16.5" x14ac:dyDescent="0.25">
      <c r="A16" s="68" t="str">
        <f>A15</f>
        <v>Км1.1</v>
      </c>
      <c r="B16" s="66"/>
      <c r="C16" s="73" t="s">
        <v>2772</v>
      </c>
      <c r="D16" s="73" t="s">
        <v>2773</v>
      </c>
      <c r="E16" s="73">
        <v>4</v>
      </c>
      <c r="F16" s="73">
        <v>94.2</v>
      </c>
      <c r="G16" s="73"/>
      <c r="H16" s="66"/>
      <c r="I16" s="66"/>
      <c r="J16" s="66"/>
      <c r="K16" s="40">
        <v>14400</v>
      </c>
      <c r="L16" s="66" t="s">
        <v>2344</v>
      </c>
      <c r="M16" s="66" t="s">
        <v>2339</v>
      </c>
      <c r="N16" s="66"/>
      <c r="O16" s="66" t="s">
        <v>2351</v>
      </c>
      <c r="P16" s="66"/>
      <c r="Q16" s="66"/>
      <c r="R16" s="66"/>
      <c r="S16" s="66"/>
      <c r="T16" s="66"/>
      <c r="U16" s="69"/>
      <c r="AP16">
        <v>970</v>
      </c>
      <c r="AQ16">
        <v>1165</v>
      </c>
      <c r="AR16">
        <v>45</v>
      </c>
    </row>
    <row r="17" spans="1:21" ht="16.5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</row>
    <row r="18" spans="1:21" ht="16.5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</row>
    <row r="19" spans="1:21" ht="16.5" x14ac:dyDescent="0.25">
      <c r="A19" s="43" t="str">
        <f>B19</f>
        <v>Км14</v>
      </c>
      <c r="B19" s="44" t="s">
        <v>2787</v>
      </c>
      <c r="C19" s="44"/>
      <c r="D19" s="44" t="s">
        <v>2788</v>
      </c>
      <c r="E19" s="44">
        <f>1+1</f>
        <v>2</v>
      </c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5"/>
    </row>
    <row r="20" spans="1:21" ht="33" x14ac:dyDescent="0.25">
      <c r="A20" s="68" t="str">
        <f>A19</f>
        <v>Км14</v>
      </c>
      <c r="B20" s="66">
        <v>8</v>
      </c>
      <c r="C20" s="66" t="s">
        <v>3149</v>
      </c>
      <c r="D20" s="66" t="s">
        <v>2763</v>
      </c>
      <c r="E20" s="66">
        <f>4</f>
        <v>4</v>
      </c>
      <c r="F20" s="40">
        <v>2.984</v>
      </c>
      <c r="G20" s="66" t="s">
        <v>0</v>
      </c>
      <c r="H20" s="66">
        <v>5080</v>
      </c>
      <c r="I20" s="66">
        <v>22</v>
      </c>
      <c r="J20" s="66" t="s">
        <v>2</v>
      </c>
      <c r="K20" s="66"/>
      <c r="L20" s="66"/>
      <c r="M20" s="66"/>
      <c r="N20" s="66"/>
      <c r="O20" s="66"/>
      <c r="P20" s="66"/>
      <c r="Q20" s="66"/>
      <c r="R20" s="66"/>
      <c r="S20" s="66" t="s">
        <v>2776</v>
      </c>
      <c r="T20" s="66" t="s">
        <v>2776</v>
      </c>
      <c r="U20" s="69">
        <v>88</v>
      </c>
    </row>
    <row r="21" spans="1:21" ht="33" x14ac:dyDescent="0.25">
      <c r="A21" s="68" t="str">
        <f t="shared" ref="A21:A30" si="0">A20</f>
        <v>Км14</v>
      </c>
      <c r="B21" s="66">
        <v>9</v>
      </c>
      <c r="C21" s="66" t="s">
        <v>3149</v>
      </c>
      <c r="D21" s="66" t="s">
        <v>2763</v>
      </c>
      <c r="E21" s="66">
        <f>4</f>
        <v>4</v>
      </c>
      <c r="F21" s="40">
        <v>1.5780000000000001</v>
      </c>
      <c r="G21" s="66" t="s">
        <v>0</v>
      </c>
      <c r="H21" s="66">
        <v>5870</v>
      </c>
      <c r="I21" s="66">
        <v>16</v>
      </c>
      <c r="J21" s="66" t="s">
        <v>2</v>
      </c>
      <c r="K21" s="66"/>
      <c r="L21" s="66"/>
      <c r="M21" s="66"/>
      <c r="N21" s="66"/>
      <c r="O21" s="66"/>
      <c r="P21" s="66"/>
      <c r="Q21" s="66"/>
      <c r="R21" s="66"/>
      <c r="S21" s="66" t="s">
        <v>2776</v>
      </c>
      <c r="T21" s="66" t="s">
        <v>2776</v>
      </c>
      <c r="U21" s="69">
        <v>40</v>
      </c>
    </row>
    <row r="22" spans="1:21" ht="33" x14ac:dyDescent="0.25">
      <c r="A22" s="68" t="str">
        <f t="shared" si="0"/>
        <v>Км14</v>
      </c>
      <c r="B22" s="66">
        <v>3</v>
      </c>
      <c r="C22" s="66" t="s">
        <v>3149</v>
      </c>
      <c r="D22" s="66" t="s">
        <v>3150</v>
      </c>
      <c r="E22" s="66">
        <f>4</f>
        <v>4</v>
      </c>
      <c r="F22" s="40">
        <v>2.4660000000000002</v>
      </c>
      <c r="G22" s="66"/>
      <c r="H22" s="66">
        <v>4500</v>
      </c>
      <c r="I22" s="66">
        <v>20</v>
      </c>
      <c r="J22" s="66" t="s">
        <v>2</v>
      </c>
      <c r="K22" s="66"/>
      <c r="L22" s="66"/>
      <c r="M22" s="66"/>
      <c r="N22" s="66"/>
      <c r="O22" s="66"/>
      <c r="P22" s="66"/>
      <c r="Q22" s="66"/>
      <c r="R22" s="66"/>
      <c r="S22" s="66" t="s">
        <v>2776</v>
      </c>
      <c r="T22" s="66" t="s">
        <v>2776</v>
      </c>
      <c r="U22" s="69">
        <v>80</v>
      </c>
    </row>
    <row r="23" spans="1:21" ht="33" x14ac:dyDescent="0.25">
      <c r="A23" s="68" t="str">
        <f t="shared" si="0"/>
        <v>Км14</v>
      </c>
      <c r="B23" s="66">
        <v>12</v>
      </c>
      <c r="C23" s="66" t="s">
        <v>3149</v>
      </c>
      <c r="D23" s="66" t="s">
        <v>3151</v>
      </c>
      <c r="E23" s="66">
        <f>4</f>
        <v>4</v>
      </c>
      <c r="F23" s="40">
        <v>1.5780000000000001</v>
      </c>
      <c r="G23" s="66" t="s">
        <v>0</v>
      </c>
      <c r="H23" s="66">
        <v>5370</v>
      </c>
      <c r="I23" s="66">
        <v>16</v>
      </c>
      <c r="J23" s="66" t="s">
        <v>2</v>
      </c>
      <c r="K23" s="66"/>
      <c r="L23" s="66"/>
      <c r="M23" s="66"/>
      <c r="N23" s="66"/>
      <c r="O23" s="66"/>
      <c r="P23" s="66"/>
      <c r="Q23" s="66"/>
      <c r="R23" s="66"/>
      <c r="S23" s="66" t="s">
        <v>2776</v>
      </c>
      <c r="T23" s="66" t="s">
        <v>2776</v>
      </c>
      <c r="U23" s="69">
        <v>40</v>
      </c>
    </row>
    <row r="24" spans="1:21" ht="33" x14ac:dyDescent="0.25">
      <c r="A24" s="68" t="str">
        <f t="shared" si="0"/>
        <v>Км14</v>
      </c>
      <c r="B24" s="66">
        <v>4</v>
      </c>
      <c r="C24" s="66" t="s">
        <v>3149</v>
      </c>
      <c r="D24" s="66" t="s">
        <v>3152</v>
      </c>
      <c r="E24" s="66">
        <f>4*4</f>
        <v>16</v>
      </c>
      <c r="F24" s="40">
        <v>2.4660000000000002</v>
      </c>
      <c r="G24" s="66"/>
      <c r="H24" s="66">
        <v>4050</v>
      </c>
      <c r="I24" s="66">
        <v>20</v>
      </c>
      <c r="J24" s="66" t="s">
        <v>2</v>
      </c>
      <c r="K24" s="66"/>
      <c r="L24" s="66"/>
      <c r="M24" s="66"/>
      <c r="N24" s="66"/>
      <c r="O24" s="66"/>
      <c r="P24" s="66"/>
      <c r="Q24" s="66"/>
      <c r="R24" s="66"/>
      <c r="S24" s="66" t="s">
        <v>2776</v>
      </c>
      <c r="T24" s="66" t="s">
        <v>2776</v>
      </c>
      <c r="U24" s="69">
        <v>80</v>
      </c>
    </row>
    <row r="25" spans="1:21" ht="33" x14ac:dyDescent="0.25">
      <c r="A25" s="68" t="str">
        <f>A23</f>
        <v>Км14</v>
      </c>
      <c r="B25" s="66">
        <v>5</v>
      </c>
      <c r="C25" s="66" t="s">
        <v>2762</v>
      </c>
      <c r="D25" s="66" t="s">
        <v>3147</v>
      </c>
      <c r="E25" s="66">
        <v>4</v>
      </c>
      <c r="F25" s="40">
        <v>2.4660000000000002</v>
      </c>
      <c r="G25" s="66"/>
      <c r="H25" s="66">
        <v>3820</v>
      </c>
      <c r="I25" s="66">
        <v>20</v>
      </c>
      <c r="J25" s="66" t="s">
        <v>2</v>
      </c>
      <c r="K25" s="66"/>
      <c r="L25" s="66"/>
      <c r="M25" s="66"/>
      <c r="N25" s="66"/>
      <c r="O25" s="66"/>
      <c r="P25" s="66"/>
      <c r="Q25" s="66"/>
      <c r="R25" s="66"/>
      <c r="S25" s="66" t="s">
        <v>2776</v>
      </c>
      <c r="T25" s="66" t="s">
        <v>2776</v>
      </c>
      <c r="U25" s="69">
        <v>80</v>
      </c>
    </row>
    <row r="26" spans="1:21" ht="33" x14ac:dyDescent="0.25">
      <c r="A26" s="68" t="str">
        <f>A22</f>
        <v>Км14</v>
      </c>
      <c r="B26" s="66">
        <v>10</v>
      </c>
      <c r="C26" s="66" t="s">
        <v>2764</v>
      </c>
      <c r="D26" s="66" t="s">
        <v>3153</v>
      </c>
      <c r="E26" s="66">
        <f>37</f>
        <v>37</v>
      </c>
      <c r="F26" s="40">
        <v>0.39500000000000002</v>
      </c>
      <c r="G26" s="66" t="s">
        <v>0</v>
      </c>
      <c r="H26" s="66">
        <f>620*4+150</f>
        <v>2630</v>
      </c>
      <c r="I26" s="66">
        <v>8</v>
      </c>
      <c r="J26" s="66" t="s">
        <v>1</v>
      </c>
      <c r="K26" s="66"/>
      <c r="L26" s="66"/>
      <c r="M26" s="66"/>
      <c r="N26" s="66"/>
      <c r="O26" s="66"/>
      <c r="P26" s="66"/>
      <c r="Q26" s="66"/>
      <c r="R26" s="66"/>
      <c r="S26" s="66" t="s">
        <v>2776</v>
      </c>
      <c r="T26" s="66" t="s">
        <v>2776</v>
      </c>
      <c r="U26" s="69">
        <v>10</v>
      </c>
    </row>
    <row r="27" spans="1:21" ht="33" x14ac:dyDescent="0.25">
      <c r="A27" s="68" t="str">
        <f>A19</f>
        <v>Км14</v>
      </c>
      <c r="B27" s="66">
        <v>11</v>
      </c>
      <c r="C27" s="66" t="s">
        <v>2764</v>
      </c>
      <c r="D27" s="66" t="s">
        <v>3154</v>
      </c>
      <c r="E27" s="66">
        <f>37</f>
        <v>37</v>
      </c>
      <c r="F27" s="40">
        <v>0.39500000000000002</v>
      </c>
      <c r="G27" s="66" t="s">
        <v>0</v>
      </c>
      <c r="H27" s="66">
        <f>450*4+150</f>
        <v>1950</v>
      </c>
      <c r="I27" s="66">
        <v>8</v>
      </c>
      <c r="J27" s="66" t="s">
        <v>1</v>
      </c>
      <c r="K27" s="66"/>
      <c r="L27" s="66"/>
      <c r="M27" s="66"/>
      <c r="N27" s="66"/>
      <c r="O27" s="66"/>
      <c r="P27" s="66"/>
      <c r="Q27" s="66"/>
      <c r="R27" s="66"/>
      <c r="S27" s="66" t="s">
        <v>2776</v>
      </c>
      <c r="T27" s="66" t="s">
        <v>2776</v>
      </c>
      <c r="U27" s="69">
        <v>10</v>
      </c>
    </row>
    <row r="28" spans="1:21" ht="33" x14ac:dyDescent="0.25">
      <c r="A28" s="68" t="str">
        <f>A24</f>
        <v>Км14</v>
      </c>
      <c r="B28" s="66">
        <v>13</v>
      </c>
      <c r="C28" s="66" t="s">
        <v>2764</v>
      </c>
      <c r="D28" s="66" t="s">
        <v>3155</v>
      </c>
      <c r="E28" s="66">
        <f>32+29+29</f>
        <v>90</v>
      </c>
      <c r="F28" s="40">
        <v>0.39500000000000002</v>
      </c>
      <c r="G28" s="66" t="s">
        <v>0</v>
      </c>
      <c r="H28" s="66">
        <f>520*4+150</f>
        <v>2230</v>
      </c>
      <c r="I28" s="66">
        <v>8</v>
      </c>
      <c r="J28" s="66" t="s">
        <v>1</v>
      </c>
      <c r="K28" s="66"/>
      <c r="L28" s="66"/>
      <c r="M28" s="66"/>
      <c r="N28" s="66"/>
      <c r="O28" s="66"/>
      <c r="P28" s="66"/>
      <c r="Q28" s="66"/>
      <c r="R28" s="66"/>
      <c r="S28" s="66" t="s">
        <v>2776</v>
      </c>
      <c r="T28" s="66" t="s">
        <v>2776</v>
      </c>
      <c r="U28" s="69">
        <v>10</v>
      </c>
    </row>
    <row r="29" spans="1:21" ht="33" x14ac:dyDescent="0.25">
      <c r="A29" s="68" t="str">
        <f>A21</f>
        <v>Км14</v>
      </c>
      <c r="B29" s="66">
        <v>14</v>
      </c>
      <c r="C29" s="66" t="s">
        <v>2764</v>
      </c>
      <c r="D29" s="66" t="s">
        <v>3156</v>
      </c>
      <c r="E29" s="66">
        <f>32+29+29</f>
        <v>90</v>
      </c>
      <c r="F29" s="40">
        <v>0.39500000000000002</v>
      </c>
      <c r="G29" s="66" t="s">
        <v>0</v>
      </c>
      <c r="H29" s="66">
        <f>370*4+150</f>
        <v>1630</v>
      </c>
      <c r="I29" s="66">
        <v>8</v>
      </c>
      <c r="J29" s="66" t="s">
        <v>1</v>
      </c>
      <c r="K29" s="66"/>
      <c r="L29" s="66"/>
      <c r="M29" s="66"/>
      <c r="N29" s="66"/>
      <c r="O29" s="66"/>
      <c r="P29" s="66"/>
      <c r="Q29" s="66"/>
      <c r="R29" s="66"/>
      <c r="S29" s="66" t="s">
        <v>2776</v>
      </c>
      <c r="T29" s="66" t="s">
        <v>2776</v>
      </c>
      <c r="U29" s="69">
        <v>10</v>
      </c>
    </row>
    <row r="30" spans="1:21" ht="33" x14ac:dyDescent="0.25">
      <c r="A30" s="68" t="str">
        <f t="shared" si="0"/>
        <v>Км14</v>
      </c>
      <c r="B30" s="66">
        <v>15</v>
      </c>
      <c r="C30" s="66" t="s">
        <v>3149</v>
      </c>
      <c r="D30" s="66" t="s">
        <v>2778</v>
      </c>
      <c r="E30" s="66">
        <f>4</f>
        <v>4</v>
      </c>
      <c r="F30" s="40">
        <v>1.5780000000000001</v>
      </c>
      <c r="G30" s="66" t="s">
        <v>0</v>
      </c>
      <c r="H30" s="66">
        <v>4870</v>
      </c>
      <c r="I30" s="66">
        <v>16</v>
      </c>
      <c r="J30" s="66" t="s">
        <v>2</v>
      </c>
      <c r="K30" s="66"/>
      <c r="L30" s="66"/>
      <c r="M30" s="66"/>
      <c r="N30" s="66"/>
      <c r="O30" s="66"/>
      <c r="P30" s="66"/>
      <c r="Q30" s="66"/>
      <c r="R30" s="66"/>
      <c r="S30" s="66" t="s">
        <v>2776</v>
      </c>
      <c r="T30" s="66" t="s">
        <v>2776</v>
      </c>
      <c r="U30" s="69">
        <v>40</v>
      </c>
    </row>
    <row r="31" spans="1:21" ht="33" x14ac:dyDescent="0.25">
      <c r="A31" s="68" t="str">
        <f>A20</f>
        <v>Км14</v>
      </c>
      <c r="B31" s="66">
        <v>16</v>
      </c>
      <c r="C31" s="66" t="s">
        <v>3157</v>
      </c>
      <c r="D31" s="66" t="s">
        <v>3158</v>
      </c>
      <c r="E31" s="66">
        <f>4</f>
        <v>4</v>
      </c>
      <c r="F31" s="40">
        <v>2.4660000000000002</v>
      </c>
      <c r="G31" s="66" t="s">
        <v>0</v>
      </c>
      <c r="H31" s="66">
        <v>4060</v>
      </c>
      <c r="I31" s="66">
        <v>20</v>
      </c>
      <c r="J31" s="66" t="s">
        <v>2</v>
      </c>
      <c r="K31" s="66"/>
      <c r="L31" s="66"/>
      <c r="M31" s="66"/>
      <c r="N31" s="66"/>
      <c r="O31" s="66"/>
      <c r="P31" s="66"/>
      <c r="Q31" s="66"/>
      <c r="R31" s="66"/>
      <c r="S31" s="66" t="s">
        <v>2776</v>
      </c>
      <c r="T31" s="66" t="s">
        <v>2776</v>
      </c>
      <c r="U31" s="69">
        <v>80</v>
      </c>
    </row>
    <row r="32" spans="1:21" ht="33" x14ac:dyDescent="0.25">
      <c r="A32" s="68" t="str">
        <f t="shared" ref="A32:A35" si="1">A31</f>
        <v>Км14</v>
      </c>
      <c r="B32" s="66">
        <v>17</v>
      </c>
      <c r="C32" s="66" t="s">
        <v>3159</v>
      </c>
      <c r="D32" s="66" t="s">
        <v>3158</v>
      </c>
      <c r="E32" s="66">
        <f>4</f>
        <v>4</v>
      </c>
      <c r="F32" s="40">
        <v>1.5780000000000001</v>
      </c>
      <c r="G32" s="66" t="s">
        <v>0</v>
      </c>
      <c r="H32" s="66">
        <v>4400</v>
      </c>
      <c r="I32" s="66">
        <v>16</v>
      </c>
      <c r="J32" s="66" t="s">
        <v>2</v>
      </c>
      <c r="K32" s="66"/>
      <c r="L32" s="66"/>
      <c r="M32" s="66"/>
      <c r="N32" s="66"/>
      <c r="O32" s="66"/>
      <c r="P32" s="66"/>
      <c r="Q32" s="66"/>
      <c r="R32" s="66"/>
      <c r="S32" s="66" t="s">
        <v>2776</v>
      </c>
      <c r="T32" s="66" t="s">
        <v>2776</v>
      </c>
      <c r="U32" s="69">
        <v>40</v>
      </c>
    </row>
    <row r="33" spans="1:44" ht="33" x14ac:dyDescent="0.25">
      <c r="A33" s="68" t="str">
        <f t="shared" si="1"/>
        <v>Км14</v>
      </c>
      <c r="B33" s="66">
        <v>2</v>
      </c>
      <c r="C33" s="66" t="s">
        <v>2764</v>
      </c>
      <c r="D33" s="66" t="s">
        <v>3160</v>
      </c>
      <c r="E33" s="66">
        <f>29+29+28+32+16</f>
        <v>134</v>
      </c>
      <c r="F33" s="40">
        <v>0.39500000000000002</v>
      </c>
      <c r="G33" s="66" t="s">
        <v>0</v>
      </c>
      <c r="H33" s="66">
        <f>420*4+150</f>
        <v>1830</v>
      </c>
      <c r="I33" s="66">
        <v>8</v>
      </c>
      <c r="J33" s="66" t="s">
        <v>1</v>
      </c>
      <c r="K33" s="66"/>
      <c r="L33" s="66"/>
      <c r="M33" s="66"/>
      <c r="N33" s="66"/>
      <c r="O33" s="66"/>
      <c r="P33" s="66"/>
      <c r="Q33" s="66"/>
      <c r="R33" s="66"/>
      <c r="S33" s="66" t="s">
        <v>2776</v>
      </c>
      <c r="T33" s="66" t="s">
        <v>2776</v>
      </c>
      <c r="U33" s="69">
        <v>10</v>
      </c>
    </row>
    <row r="34" spans="1:44" ht="33" x14ac:dyDescent="0.25">
      <c r="A34" s="68" t="str">
        <f t="shared" si="1"/>
        <v>Км14</v>
      </c>
      <c r="B34" s="66">
        <v>6</v>
      </c>
      <c r="C34" s="66" t="s">
        <v>2762</v>
      </c>
      <c r="D34" s="66" t="s">
        <v>3148</v>
      </c>
      <c r="E34" s="66">
        <v>4</v>
      </c>
      <c r="F34" s="40">
        <v>2.4660000000000002</v>
      </c>
      <c r="G34" s="66"/>
      <c r="H34" s="66">
        <v>1430</v>
      </c>
      <c r="I34" s="66">
        <v>20</v>
      </c>
      <c r="J34" s="66" t="s">
        <v>2</v>
      </c>
      <c r="K34" s="66"/>
      <c r="L34" s="66"/>
      <c r="M34" s="66"/>
      <c r="N34" s="66"/>
      <c r="O34" s="66"/>
      <c r="P34" s="66"/>
      <c r="Q34" s="66"/>
      <c r="R34" s="66"/>
      <c r="S34" s="66" t="s">
        <v>2776</v>
      </c>
      <c r="T34" s="66" t="s">
        <v>2776</v>
      </c>
      <c r="U34" s="69">
        <v>80</v>
      </c>
    </row>
    <row r="35" spans="1:44" ht="33" x14ac:dyDescent="0.25">
      <c r="A35" s="68" t="str">
        <f t="shared" si="1"/>
        <v>Км14</v>
      </c>
      <c r="B35" s="66">
        <v>18</v>
      </c>
      <c r="C35" s="66" t="s">
        <v>2762</v>
      </c>
      <c r="D35" s="66" t="s">
        <v>3148</v>
      </c>
      <c r="E35" s="66">
        <v>4</v>
      </c>
      <c r="F35" s="40">
        <v>1.5780000000000001</v>
      </c>
      <c r="G35" s="66" t="s">
        <v>0</v>
      </c>
      <c r="H35" s="66">
        <v>2630</v>
      </c>
      <c r="I35" s="66">
        <v>16</v>
      </c>
      <c r="J35" s="66" t="s">
        <v>2</v>
      </c>
      <c r="K35" s="66"/>
      <c r="L35" s="66"/>
      <c r="M35" s="66"/>
      <c r="N35" s="66"/>
      <c r="O35" s="66"/>
      <c r="P35" s="66"/>
      <c r="Q35" s="66"/>
      <c r="R35" s="66"/>
      <c r="S35" s="66" t="s">
        <v>2776</v>
      </c>
      <c r="T35" s="66" t="s">
        <v>2776</v>
      </c>
      <c r="U35" s="69">
        <v>40</v>
      </c>
    </row>
    <row r="36" spans="1:44" ht="16.5" x14ac:dyDescent="0.25">
      <c r="A36" s="68" t="str">
        <f>A35</f>
        <v>Км14</v>
      </c>
      <c r="B36" s="66"/>
      <c r="C36" s="73" t="s">
        <v>2772</v>
      </c>
      <c r="D36" s="73" t="s">
        <v>2773</v>
      </c>
      <c r="E36" s="73">
        <v>4</v>
      </c>
      <c r="F36" s="73">
        <v>94.2</v>
      </c>
      <c r="G36" s="73"/>
      <c r="H36" s="66"/>
      <c r="I36" s="66"/>
      <c r="J36" s="66"/>
      <c r="K36" s="40">
        <v>14400</v>
      </c>
      <c r="L36" s="66" t="s">
        <v>2344</v>
      </c>
      <c r="M36" s="66" t="s">
        <v>2339</v>
      </c>
      <c r="N36" s="66"/>
      <c r="O36" s="66" t="s">
        <v>2351</v>
      </c>
      <c r="P36" s="66"/>
      <c r="Q36" s="66"/>
      <c r="R36" s="66"/>
      <c r="S36" s="66"/>
      <c r="T36" s="66"/>
      <c r="U36" s="69"/>
    </row>
    <row r="37" spans="1:44" ht="16.5" x14ac:dyDescent="0.25">
      <c r="A37" s="39" t="s">
        <v>2757</v>
      </c>
      <c r="B37" s="40" t="s">
        <v>2757</v>
      </c>
      <c r="C37" s="40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1"/>
      <c r="AP37">
        <v>970</v>
      </c>
      <c r="AQ37">
        <v>1165</v>
      </c>
      <c r="AR37">
        <v>45</v>
      </c>
    </row>
    <row r="38" spans="1:44" ht="16.5" x14ac:dyDescent="0.25">
      <c r="A38" s="43" t="str">
        <f>B38</f>
        <v>Км3.1</v>
      </c>
      <c r="B38" s="44" t="s">
        <v>2790</v>
      </c>
      <c r="C38" s="44"/>
      <c r="D38" s="44" t="s">
        <v>2791</v>
      </c>
      <c r="E38" s="44">
        <f>1+1</f>
        <v>2</v>
      </c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5"/>
      <c r="AP38">
        <v>650</v>
      </c>
      <c r="AQ38">
        <v>780</v>
      </c>
      <c r="AR38">
        <v>30</v>
      </c>
    </row>
    <row r="39" spans="1:44" ht="33" x14ac:dyDescent="0.25">
      <c r="A39" s="68" t="str">
        <f>A38</f>
        <v>Км3.1</v>
      </c>
      <c r="B39" s="66">
        <v>19</v>
      </c>
      <c r="C39" s="66" t="s">
        <v>2762</v>
      </c>
      <c r="D39" s="66" t="s">
        <v>2763</v>
      </c>
      <c r="E39" s="66">
        <v>4</v>
      </c>
      <c r="F39" s="40">
        <v>2.4660000000000002</v>
      </c>
      <c r="G39" s="66" t="s">
        <v>0</v>
      </c>
      <c r="H39" s="66">
        <v>5080</v>
      </c>
      <c r="I39" s="66">
        <v>20</v>
      </c>
      <c r="J39" s="66" t="s">
        <v>2</v>
      </c>
      <c r="K39" s="66"/>
      <c r="L39" s="66"/>
      <c r="M39" s="66"/>
      <c r="N39" s="66"/>
      <c r="O39" s="66"/>
      <c r="P39" s="66"/>
      <c r="Q39" s="66"/>
      <c r="R39" s="66"/>
      <c r="S39" s="66" t="s">
        <v>2776</v>
      </c>
      <c r="T39" s="66" t="s">
        <v>2776</v>
      </c>
      <c r="U39" s="69">
        <v>80</v>
      </c>
    </row>
    <row r="40" spans="1:44" ht="33" x14ac:dyDescent="0.25">
      <c r="A40" s="68" t="str">
        <f>A39</f>
        <v>Км3.1</v>
      </c>
      <c r="B40" s="66">
        <v>22</v>
      </c>
      <c r="C40" s="66" t="s">
        <v>2762</v>
      </c>
      <c r="D40" s="66" t="s">
        <v>2763</v>
      </c>
      <c r="E40" s="66">
        <v>4</v>
      </c>
      <c r="F40" s="40">
        <v>1.5780000000000001</v>
      </c>
      <c r="G40" s="66" t="s">
        <v>0</v>
      </c>
      <c r="H40" s="66">
        <v>5870</v>
      </c>
      <c r="I40" s="66">
        <v>16</v>
      </c>
      <c r="J40" s="66" t="s">
        <v>2</v>
      </c>
      <c r="K40" s="66"/>
      <c r="L40" s="66"/>
      <c r="M40" s="66"/>
      <c r="N40" s="66"/>
      <c r="O40" s="66"/>
      <c r="P40" s="66"/>
      <c r="Q40" s="66"/>
      <c r="R40" s="66"/>
      <c r="S40" s="66" t="s">
        <v>2776</v>
      </c>
      <c r="T40" s="66" t="s">
        <v>2776</v>
      </c>
      <c r="U40" s="69">
        <v>40</v>
      </c>
    </row>
    <row r="41" spans="1:44" ht="33" x14ac:dyDescent="0.25">
      <c r="A41" s="68" t="str">
        <f>A40</f>
        <v>Км3.1</v>
      </c>
      <c r="B41" s="66">
        <v>7</v>
      </c>
      <c r="C41" s="66" t="s">
        <v>2762</v>
      </c>
      <c r="D41" s="66" t="s">
        <v>3161</v>
      </c>
      <c r="E41" s="66">
        <f>4+4</f>
        <v>8</v>
      </c>
      <c r="F41" s="40">
        <v>2.4660000000000002</v>
      </c>
      <c r="G41" s="66"/>
      <c r="H41" s="66">
        <v>4270</v>
      </c>
      <c r="I41" s="66">
        <v>20</v>
      </c>
      <c r="J41" s="66" t="s">
        <v>2</v>
      </c>
      <c r="K41" s="66"/>
      <c r="L41" s="66"/>
      <c r="M41" s="66"/>
      <c r="N41" s="66"/>
      <c r="O41" s="66"/>
      <c r="P41" s="66"/>
      <c r="Q41" s="66"/>
      <c r="R41" s="66"/>
      <c r="S41" s="66" t="s">
        <v>2776</v>
      </c>
      <c r="T41" s="66" t="s">
        <v>2776</v>
      </c>
      <c r="U41" s="69">
        <v>80</v>
      </c>
    </row>
    <row r="42" spans="1:44" ht="33" x14ac:dyDescent="0.25">
      <c r="A42" s="68" t="str">
        <f>A39</f>
        <v>Км3.1</v>
      </c>
      <c r="B42" s="66">
        <v>13</v>
      </c>
      <c r="C42" s="66" t="s">
        <v>2764</v>
      </c>
      <c r="D42" s="66" t="s">
        <v>3155</v>
      </c>
      <c r="E42" s="66">
        <f>38</f>
        <v>38</v>
      </c>
      <c r="F42" s="40">
        <v>0.39500000000000002</v>
      </c>
      <c r="G42" s="66" t="s">
        <v>0</v>
      </c>
      <c r="H42" s="66">
        <f>520*4+150</f>
        <v>2230</v>
      </c>
      <c r="I42" s="66">
        <v>8</v>
      </c>
      <c r="J42" s="66" t="s">
        <v>1</v>
      </c>
      <c r="K42" s="66"/>
      <c r="L42" s="66"/>
      <c r="M42" s="66"/>
      <c r="N42" s="66"/>
      <c r="O42" s="66"/>
      <c r="P42" s="66"/>
      <c r="Q42" s="66"/>
      <c r="R42" s="66"/>
      <c r="S42" s="66" t="s">
        <v>2776</v>
      </c>
      <c r="T42" s="66" t="s">
        <v>2776</v>
      </c>
      <c r="U42" s="69">
        <v>10</v>
      </c>
    </row>
    <row r="43" spans="1:44" ht="33" x14ac:dyDescent="0.25">
      <c r="A43" s="68" t="str">
        <f>A40</f>
        <v>Км3.1</v>
      </c>
      <c r="B43" s="66">
        <v>14</v>
      </c>
      <c r="C43" s="66" t="s">
        <v>2764</v>
      </c>
      <c r="D43" s="66" t="s">
        <v>3156</v>
      </c>
      <c r="E43" s="66">
        <f>38</f>
        <v>38</v>
      </c>
      <c r="F43" s="40">
        <v>0.39500000000000002</v>
      </c>
      <c r="G43" s="66" t="s">
        <v>0</v>
      </c>
      <c r="H43" s="66">
        <f>370*4+150</f>
        <v>1630</v>
      </c>
      <c r="I43" s="66">
        <v>8</v>
      </c>
      <c r="J43" s="66" t="s">
        <v>1</v>
      </c>
      <c r="K43" s="66"/>
      <c r="L43" s="66"/>
      <c r="M43" s="66"/>
      <c r="N43" s="66"/>
      <c r="O43" s="66"/>
      <c r="P43" s="66"/>
      <c r="Q43" s="66"/>
      <c r="R43" s="66"/>
      <c r="S43" s="66" t="s">
        <v>2776</v>
      </c>
      <c r="T43" s="66" t="s">
        <v>2776</v>
      </c>
      <c r="U43" s="69">
        <v>10</v>
      </c>
    </row>
    <row r="44" spans="1:44" ht="33" x14ac:dyDescent="0.25">
      <c r="A44" s="68" t="str">
        <f t="shared" ref="A44:A50" si="2">A43</f>
        <v>Км3.1</v>
      </c>
      <c r="B44" s="66">
        <v>4</v>
      </c>
      <c r="C44" s="66" t="s">
        <v>2762</v>
      </c>
      <c r="D44" s="66" t="s">
        <v>3162</v>
      </c>
      <c r="E44" s="66">
        <f>4*4</f>
        <v>16</v>
      </c>
      <c r="F44" s="40">
        <v>2.4660000000000002</v>
      </c>
      <c r="G44" s="66"/>
      <c r="H44" s="66">
        <v>4050</v>
      </c>
      <c r="I44" s="66">
        <v>20</v>
      </c>
      <c r="J44" s="66" t="s">
        <v>2</v>
      </c>
      <c r="K44" s="66"/>
      <c r="L44" s="66"/>
      <c r="M44" s="66"/>
      <c r="N44" s="66"/>
      <c r="O44" s="66"/>
      <c r="P44" s="66"/>
      <c r="Q44" s="66"/>
      <c r="R44" s="66"/>
      <c r="S44" s="66" t="s">
        <v>2776</v>
      </c>
      <c r="T44" s="66" t="s">
        <v>2776</v>
      </c>
      <c r="U44" s="69">
        <v>80</v>
      </c>
    </row>
    <row r="45" spans="1:44" ht="33" x14ac:dyDescent="0.25">
      <c r="A45" s="68" t="str">
        <f t="shared" si="2"/>
        <v>Км3.1</v>
      </c>
      <c r="B45" s="66">
        <v>5</v>
      </c>
      <c r="C45" s="66" t="s">
        <v>2762</v>
      </c>
      <c r="D45" s="66" t="s">
        <v>2768</v>
      </c>
      <c r="E45" s="66">
        <v>4</v>
      </c>
      <c r="F45" s="40">
        <v>2.4660000000000002</v>
      </c>
      <c r="G45" s="66"/>
      <c r="H45" s="66">
        <v>3820</v>
      </c>
      <c r="I45" s="66">
        <v>20</v>
      </c>
      <c r="J45" s="66" t="s">
        <v>2</v>
      </c>
      <c r="K45" s="66"/>
      <c r="L45" s="66"/>
      <c r="M45" s="66"/>
      <c r="N45" s="66"/>
      <c r="O45" s="66"/>
      <c r="P45" s="66"/>
      <c r="Q45" s="66"/>
      <c r="R45" s="66"/>
      <c r="S45" s="66" t="s">
        <v>2776</v>
      </c>
      <c r="T45" s="66" t="s">
        <v>2776</v>
      </c>
      <c r="U45" s="69">
        <v>80</v>
      </c>
    </row>
    <row r="46" spans="1:44" ht="33" x14ac:dyDescent="0.25">
      <c r="A46" s="68" t="str">
        <f t="shared" si="2"/>
        <v>Км3.1</v>
      </c>
      <c r="B46" s="66">
        <v>6</v>
      </c>
      <c r="C46" s="66" t="s">
        <v>2762</v>
      </c>
      <c r="D46" s="66" t="s">
        <v>3148</v>
      </c>
      <c r="E46" s="66">
        <v>4</v>
      </c>
      <c r="F46" s="40">
        <v>2.4660000000000002</v>
      </c>
      <c r="G46" s="66"/>
      <c r="H46" s="66">
        <v>1430</v>
      </c>
      <c r="I46" s="66">
        <v>20</v>
      </c>
      <c r="J46" s="66" t="s">
        <v>2</v>
      </c>
      <c r="K46" s="66"/>
      <c r="L46" s="66"/>
      <c r="M46" s="66"/>
      <c r="N46" s="66"/>
      <c r="O46" s="66"/>
      <c r="P46" s="66"/>
      <c r="Q46" s="66"/>
      <c r="R46" s="66"/>
      <c r="S46" s="66" t="s">
        <v>2776</v>
      </c>
      <c r="T46" s="66" t="s">
        <v>2776</v>
      </c>
      <c r="U46" s="69">
        <v>80</v>
      </c>
    </row>
    <row r="47" spans="1:44" ht="33" x14ac:dyDescent="0.25">
      <c r="A47" s="68" t="str">
        <f t="shared" si="2"/>
        <v>Км3.1</v>
      </c>
      <c r="B47" s="66">
        <v>2</v>
      </c>
      <c r="C47" s="66" t="s">
        <v>2764</v>
      </c>
      <c r="D47" s="66" t="s">
        <v>2765</v>
      </c>
      <c r="E47" s="66">
        <f>30+33+29+29+29+29+33+16</f>
        <v>228</v>
      </c>
      <c r="F47" s="40">
        <v>0.39500000000000002</v>
      </c>
      <c r="G47" s="66" t="s">
        <v>0</v>
      </c>
      <c r="H47" s="66">
        <f>420*4+150</f>
        <v>1830</v>
      </c>
      <c r="I47" s="66">
        <v>8</v>
      </c>
      <c r="J47" s="66" t="s">
        <v>1</v>
      </c>
      <c r="K47" s="66"/>
      <c r="L47" s="66"/>
      <c r="M47" s="66"/>
      <c r="N47" s="66"/>
      <c r="O47" s="66"/>
      <c r="P47" s="66"/>
      <c r="Q47" s="66"/>
      <c r="R47" s="66"/>
      <c r="S47" s="66" t="s">
        <v>2776</v>
      </c>
      <c r="T47" s="66" t="s">
        <v>2776</v>
      </c>
      <c r="U47" s="69">
        <v>10</v>
      </c>
    </row>
    <row r="48" spans="1:44" ht="33" x14ac:dyDescent="0.25">
      <c r="A48" s="68" t="str">
        <f t="shared" si="2"/>
        <v>Км3.1</v>
      </c>
      <c r="B48" s="66"/>
      <c r="C48" s="47" t="s">
        <v>2769</v>
      </c>
      <c r="D48" s="47" t="s">
        <v>2770</v>
      </c>
      <c r="E48" s="47">
        <f>(1.5*1.5*0.25)+(0.6*0.6*29.25)</f>
        <v>11.092499999999999</v>
      </c>
      <c r="F48" s="47" t="s">
        <v>4</v>
      </c>
      <c r="G48" s="47" t="s">
        <v>3</v>
      </c>
      <c r="H48" s="66"/>
      <c r="I48" s="66"/>
      <c r="J48" s="66"/>
      <c r="K48" s="66"/>
      <c r="L48" s="66"/>
      <c r="M48" s="66"/>
      <c r="N48" s="66"/>
      <c r="O48" s="66"/>
      <c r="P48" s="66"/>
      <c r="Q48" s="66"/>
      <c r="R48" s="66"/>
      <c r="S48" s="66"/>
      <c r="T48" s="66"/>
      <c r="U48" s="69"/>
    </row>
    <row r="49" spans="1:21" ht="16.5" x14ac:dyDescent="0.25">
      <c r="A49" s="68" t="str">
        <f t="shared" si="2"/>
        <v>Км3.1</v>
      </c>
      <c r="B49" s="66"/>
      <c r="C49" s="47" t="s">
        <v>2769</v>
      </c>
      <c r="D49" s="47" t="s">
        <v>2771</v>
      </c>
      <c r="E49" s="47">
        <f>0.5*0.5*29.25</f>
        <v>7.3125</v>
      </c>
      <c r="F49" s="47" t="s">
        <v>4</v>
      </c>
      <c r="G49" s="47" t="s">
        <v>3</v>
      </c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  <c r="T49" s="66"/>
      <c r="U49" s="69"/>
    </row>
    <row r="50" spans="1:21" ht="16.5" x14ac:dyDescent="0.25">
      <c r="A50" s="68" t="str">
        <f t="shared" si="2"/>
        <v>Км3.1</v>
      </c>
      <c r="B50" s="66"/>
      <c r="C50" s="73" t="s">
        <v>2772</v>
      </c>
      <c r="D50" s="73" t="s">
        <v>2773</v>
      </c>
      <c r="E50" s="73">
        <v>4</v>
      </c>
      <c r="F50" s="73">
        <v>94.2</v>
      </c>
      <c r="G50" s="73"/>
      <c r="H50" s="66"/>
      <c r="I50" s="66"/>
      <c r="J50" s="66"/>
      <c r="K50" s="40">
        <f>120*120</f>
        <v>14400</v>
      </c>
      <c r="L50" s="66" t="s">
        <v>2344</v>
      </c>
      <c r="M50" s="66" t="s">
        <v>2339</v>
      </c>
      <c r="N50" s="66"/>
      <c r="O50" s="66" t="s">
        <v>2351</v>
      </c>
      <c r="P50" s="66"/>
      <c r="Q50" s="66"/>
      <c r="R50" s="66"/>
      <c r="S50" s="66"/>
      <c r="T50" s="66"/>
      <c r="U50" s="69"/>
    </row>
    <row r="51" spans="1:21" ht="16.5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</row>
    <row r="52" spans="1:21" ht="16.5" x14ac:dyDescent="0.25">
      <c r="A52" s="39" t="s">
        <v>2757</v>
      </c>
      <c r="B52" s="40" t="s">
        <v>2757</v>
      </c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1"/>
    </row>
    <row r="53" spans="1:21" ht="16.5" x14ac:dyDescent="0.25">
      <c r="A53" s="43" t="str">
        <f>B53</f>
        <v>Км5</v>
      </c>
      <c r="B53" s="44" t="s">
        <v>2793</v>
      </c>
      <c r="C53" s="44"/>
      <c r="D53" s="44" t="s">
        <v>2794</v>
      </c>
      <c r="E53" s="44">
        <f>3+3+1</f>
        <v>7</v>
      </c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5"/>
    </row>
    <row r="54" spans="1:21" ht="33" x14ac:dyDescent="0.25">
      <c r="A54" s="68" t="str">
        <f>A53</f>
        <v>Км5</v>
      </c>
      <c r="B54" s="66">
        <v>20</v>
      </c>
      <c r="C54" s="66" t="s">
        <v>2762</v>
      </c>
      <c r="D54" s="66" t="s">
        <v>2763</v>
      </c>
      <c r="E54" s="66">
        <v>4</v>
      </c>
      <c r="F54" s="40">
        <v>2.984</v>
      </c>
      <c r="G54" s="66"/>
      <c r="H54" s="66">
        <v>5070</v>
      </c>
      <c r="I54" s="66">
        <v>22</v>
      </c>
      <c r="J54" s="66" t="s">
        <v>2</v>
      </c>
      <c r="K54" s="66"/>
      <c r="L54" s="66"/>
      <c r="M54" s="66"/>
      <c r="N54" s="66"/>
      <c r="O54" s="66"/>
      <c r="P54" s="66"/>
      <c r="Q54" s="66"/>
      <c r="R54" s="66"/>
      <c r="S54" s="66" t="s">
        <v>2776</v>
      </c>
      <c r="T54" s="66" t="s">
        <v>2776</v>
      </c>
      <c r="U54" s="69">
        <v>88</v>
      </c>
    </row>
    <row r="55" spans="1:21" ht="33" x14ac:dyDescent="0.25">
      <c r="A55" s="68" t="str">
        <f>A54</f>
        <v>Км5</v>
      </c>
      <c r="B55" s="66">
        <v>2</v>
      </c>
      <c r="C55" s="66" t="s">
        <v>2764</v>
      </c>
      <c r="D55" s="66" t="s">
        <v>3160</v>
      </c>
      <c r="E55" s="66">
        <f>38+30</f>
        <v>68</v>
      </c>
      <c r="F55" s="40">
        <v>0.39500000000000002</v>
      </c>
      <c r="G55" s="66" t="s">
        <v>0</v>
      </c>
      <c r="H55" s="66">
        <f>420*4+150</f>
        <v>1830</v>
      </c>
      <c r="I55" s="66">
        <v>8</v>
      </c>
      <c r="J55" s="66" t="s">
        <v>1</v>
      </c>
      <c r="K55" s="66"/>
      <c r="L55" s="66"/>
      <c r="M55" s="66"/>
      <c r="N55" s="66"/>
      <c r="O55" s="66"/>
      <c r="P55" s="66"/>
      <c r="Q55" s="66"/>
      <c r="R55" s="66"/>
      <c r="S55" s="66" t="s">
        <v>2776</v>
      </c>
      <c r="T55" s="66" t="s">
        <v>2776</v>
      </c>
      <c r="U55" s="69">
        <v>10</v>
      </c>
    </row>
    <row r="56" spans="1:21" ht="33" x14ac:dyDescent="0.25">
      <c r="A56" s="68" t="str">
        <f>A55</f>
        <v>Км5</v>
      </c>
      <c r="B56" s="66">
        <v>21</v>
      </c>
      <c r="C56" s="66" t="s">
        <v>2762</v>
      </c>
      <c r="D56" s="66" t="s">
        <v>3163</v>
      </c>
      <c r="E56" s="66">
        <v>4</v>
      </c>
      <c r="F56" s="40">
        <v>2.984</v>
      </c>
      <c r="G56" s="66"/>
      <c r="H56" s="66">
        <v>2770</v>
      </c>
      <c r="I56" s="66">
        <v>22</v>
      </c>
      <c r="J56" s="66" t="s">
        <v>2</v>
      </c>
      <c r="K56" s="66"/>
      <c r="L56" s="66"/>
      <c r="M56" s="66"/>
      <c r="N56" s="66"/>
      <c r="O56" s="66"/>
      <c r="P56" s="66"/>
      <c r="Q56" s="66"/>
      <c r="R56" s="66"/>
      <c r="S56" s="66" t="s">
        <v>2776</v>
      </c>
      <c r="T56" s="66" t="s">
        <v>2776</v>
      </c>
      <c r="U56" s="69">
        <v>88</v>
      </c>
    </row>
    <row r="57" spans="1:21" ht="33" x14ac:dyDescent="0.25">
      <c r="A57" s="68" t="str">
        <f>A56</f>
        <v>Км5</v>
      </c>
      <c r="B57" s="66"/>
      <c r="C57" s="47" t="s">
        <v>2769</v>
      </c>
      <c r="D57" s="47" t="s">
        <v>2770</v>
      </c>
      <c r="E57" s="47">
        <f>(1.5*1.5*0.25)+(0.5*0.5*4.57)</f>
        <v>1.7050000000000001</v>
      </c>
      <c r="F57" s="47" t="s">
        <v>4</v>
      </c>
      <c r="G57" s="47" t="s">
        <v>3</v>
      </c>
      <c r="H57" s="66"/>
      <c r="I57" s="66"/>
      <c r="J57" s="66"/>
      <c r="K57" s="66"/>
      <c r="L57" s="66"/>
      <c r="M57" s="66"/>
      <c r="N57" s="66"/>
      <c r="O57" s="66"/>
      <c r="P57" s="66"/>
      <c r="Q57" s="66"/>
      <c r="R57" s="66"/>
      <c r="S57" s="66"/>
      <c r="T57" s="66"/>
      <c r="U57" s="69"/>
    </row>
    <row r="58" spans="1:21" ht="16.5" x14ac:dyDescent="0.25">
      <c r="A58" s="68" t="str">
        <f>A57</f>
        <v>Км5</v>
      </c>
      <c r="B58" s="66"/>
      <c r="C58" s="47" t="s">
        <v>2769</v>
      </c>
      <c r="D58" s="47" t="s">
        <v>3208</v>
      </c>
      <c r="E58" s="47">
        <f>3.77*0.5*0.5</f>
        <v>0.9425</v>
      </c>
      <c r="F58" s="47" t="s">
        <v>4</v>
      </c>
      <c r="G58" s="47" t="s">
        <v>3</v>
      </c>
      <c r="H58" s="66"/>
      <c r="I58" s="66"/>
      <c r="J58" s="66"/>
      <c r="K58" s="66"/>
      <c r="L58" s="66"/>
      <c r="M58" s="66"/>
      <c r="N58" s="66"/>
      <c r="O58" s="66"/>
      <c r="P58" s="66"/>
      <c r="Q58" s="66"/>
      <c r="R58" s="66"/>
      <c r="S58" s="66"/>
      <c r="T58" s="66"/>
      <c r="U58" s="69"/>
    </row>
    <row r="59" spans="1:21" ht="16.5" x14ac:dyDescent="0.25">
      <c r="A59" s="68" t="str">
        <f>A57</f>
        <v>Км5</v>
      </c>
      <c r="B59" s="66"/>
      <c r="C59" s="73" t="s">
        <v>2772</v>
      </c>
      <c r="D59" s="73" t="s">
        <v>2773</v>
      </c>
      <c r="E59" s="73">
        <v>4</v>
      </c>
      <c r="F59" s="73">
        <v>94.2</v>
      </c>
      <c r="G59" s="73"/>
      <c r="H59" s="66"/>
      <c r="I59" s="66"/>
      <c r="J59" s="66"/>
      <c r="K59" s="40">
        <v>14400</v>
      </c>
      <c r="L59" s="66" t="s">
        <v>2344</v>
      </c>
      <c r="M59" s="66" t="s">
        <v>2339</v>
      </c>
      <c r="N59" s="66"/>
      <c r="O59" s="66" t="s">
        <v>2351</v>
      </c>
      <c r="P59" s="66"/>
      <c r="Q59" s="66"/>
      <c r="R59" s="66"/>
      <c r="S59" s="66"/>
      <c r="T59" s="66"/>
      <c r="U59" s="69"/>
    </row>
    <row r="60" spans="1:21" ht="16.5" x14ac:dyDescent="0.25">
      <c r="A60" s="42"/>
      <c r="B60" s="42"/>
      <c r="C60" s="42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</row>
    <row r="61" spans="1:21" ht="16.5" x14ac:dyDescent="0.25">
      <c r="A61" s="42"/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</row>
    <row r="62" spans="1:21" ht="16.5" x14ac:dyDescent="0.25">
      <c r="A62" s="39" t="s">
        <v>2757</v>
      </c>
      <c r="B62" s="40" t="s">
        <v>2757</v>
      </c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1"/>
    </row>
    <row r="63" spans="1:21" ht="16.5" x14ac:dyDescent="0.25">
      <c r="A63" s="43" t="str">
        <f>B63</f>
        <v>Км4</v>
      </c>
      <c r="B63" s="44" t="s">
        <v>2796</v>
      </c>
      <c r="C63" s="44"/>
      <c r="D63" s="44" t="s">
        <v>2797</v>
      </c>
      <c r="E63" s="44">
        <f>1+1+1</f>
        <v>3</v>
      </c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5"/>
    </row>
    <row r="64" spans="1:21" ht="33" x14ac:dyDescent="0.25">
      <c r="A64" s="68" t="str">
        <f>A63</f>
        <v>Км4</v>
      </c>
      <c r="B64" s="66">
        <v>19</v>
      </c>
      <c r="C64" s="66" t="s">
        <v>2762</v>
      </c>
      <c r="D64" s="66" t="s">
        <v>2763</v>
      </c>
      <c r="E64" s="66">
        <v>4</v>
      </c>
      <c r="F64" s="40">
        <v>2.4660000000000002</v>
      </c>
      <c r="G64" s="66" t="s">
        <v>0</v>
      </c>
      <c r="H64" s="66">
        <v>5080</v>
      </c>
      <c r="I64" s="66">
        <v>20</v>
      </c>
      <c r="J64" s="66" t="s">
        <v>2</v>
      </c>
      <c r="K64" s="66"/>
      <c r="L64" s="66"/>
      <c r="M64" s="66"/>
      <c r="N64" s="66"/>
      <c r="O64" s="66"/>
      <c r="P64" s="66"/>
      <c r="Q64" s="66"/>
      <c r="R64" s="66"/>
      <c r="S64" s="66" t="s">
        <v>2776</v>
      </c>
      <c r="T64" s="66" t="s">
        <v>2776</v>
      </c>
      <c r="U64" s="69">
        <v>80</v>
      </c>
    </row>
    <row r="65" spans="1:21" ht="33" x14ac:dyDescent="0.25">
      <c r="A65" s="68" t="str">
        <f>A64</f>
        <v>Км4</v>
      </c>
      <c r="B65" s="66">
        <v>22</v>
      </c>
      <c r="C65" s="66" t="s">
        <v>2762</v>
      </c>
      <c r="D65" s="66" t="s">
        <v>2763</v>
      </c>
      <c r="E65" s="66">
        <v>4</v>
      </c>
      <c r="F65" s="40">
        <v>1.5780000000000001</v>
      </c>
      <c r="G65" s="66" t="s">
        <v>0</v>
      </c>
      <c r="H65" s="66">
        <v>5020</v>
      </c>
      <c r="I65" s="66">
        <v>16</v>
      </c>
      <c r="J65" s="66" t="s">
        <v>2</v>
      </c>
      <c r="K65" s="66"/>
      <c r="L65" s="66"/>
      <c r="M65" s="66"/>
      <c r="N65" s="66"/>
      <c r="O65" s="66"/>
      <c r="P65" s="66"/>
      <c r="Q65" s="66"/>
      <c r="R65" s="66"/>
      <c r="S65" s="66" t="s">
        <v>2776</v>
      </c>
      <c r="T65" s="66" t="s">
        <v>2776</v>
      </c>
      <c r="U65" s="69">
        <v>40</v>
      </c>
    </row>
    <row r="66" spans="1:21" ht="33" x14ac:dyDescent="0.25">
      <c r="A66" s="68" t="str">
        <f>A64</f>
        <v>Км4</v>
      </c>
      <c r="B66" s="66">
        <v>13</v>
      </c>
      <c r="C66" s="66" t="s">
        <v>2764</v>
      </c>
      <c r="D66" s="66" t="s">
        <v>3164</v>
      </c>
      <c r="E66" s="66">
        <f>38</f>
        <v>38</v>
      </c>
      <c r="F66" s="40">
        <v>0.39500000000000002</v>
      </c>
      <c r="G66" s="66" t="s">
        <v>0</v>
      </c>
      <c r="H66" s="66">
        <f>520*4+150</f>
        <v>2230</v>
      </c>
      <c r="I66" s="66">
        <v>8</v>
      </c>
      <c r="J66" s="66" t="s">
        <v>1</v>
      </c>
      <c r="K66" s="66"/>
      <c r="L66" s="66"/>
      <c r="M66" s="66"/>
      <c r="N66" s="66"/>
      <c r="O66" s="66"/>
      <c r="P66" s="66"/>
      <c r="Q66" s="66"/>
      <c r="R66" s="66"/>
      <c r="S66" s="66" t="s">
        <v>2776</v>
      </c>
      <c r="T66" s="66" t="s">
        <v>2776</v>
      </c>
      <c r="U66" s="69">
        <v>10</v>
      </c>
    </row>
    <row r="67" spans="1:21" ht="33" x14ac:dyDescent="0.25">
      <c r="A67" s="68" t="str">
        <f>A65</f>
        <v>Км4</v>
      </c>
      <c r="B67" s="66">
        <v>14</v>
      </c>
      <c r="C67" s="66" t="s">
        <v>2764</v>
      </c>
      <c r="D67" s="66" t="s">
        <v>3164</v>
      </c>
      <c r="E67" s="66">
        <f>38</f>
        <v>38</v>
      </c>
      <c r="F67" s="40">
        <v>0.39500000000000002</v>
      </c>
      <c r="G67" s="66" t="s">
        <v>0</v>
      </c>
      <c r="H67" s="66">
        <f>370*4+150</f>
        <v>1630</v>
      </c>
      <c r="I67" s="66">
        <v>8</v>
      </c>
      <c r="J67" s="66" t="s">
        <v>1</v>
      </c>
      <c r="K67" s="66"/>
      <c r="L67" s="66"/>
      <c r="M67" s="66"/>
      <c r="N67" s="66"/>
      <c r="O67" s="66"/>
      <c r="P67" s="66"/>
      <c r="Q67" s="66"/>
      <c r="R67" s="66"/>
      <c r="S67" s="66" t="s">
        <v>2776</v>
      </c>
      <c r="T67" s="66" t="s">
        <v>2776</v>
      </c>
      <c r="U67" s="69">
        <v>10</v>
      </c>
    </row>
    <row r="68" spans="1:21" ht="33" x14ac:dyDescent="0.25">
      <c r="A68" s="68" t="str">
        <f t="shared" ref="A68:A71" si="3">A67</f>
        <v>Км4</v>
      </c>
      <c r="B68" s="66">
        <v>4</v>
      </c>
      <c r="C68" s="66" t="s">
        <v>2762</v>
      </c>
      <c r="D68" s="66" t="s">
        <v>3165</v>
      </c>
      <c r="E68" s="66">
        <f>4*6</f>
        <v>24</v>
      </c>
      <c r="F68" s="40">
        <v>2.4660000000000002</v>
      </c>
      <c r="G68" s="66"/>
      <c r="H68" s="66">
        <v>4050</v>
      </c>
      <c r="I68" s="66">
        <v>20</v>
      </c>
      <c r="J68" s="66" t="s">
        <v>2</v>
      </c>
      <c r="K68" s="66"/>
      <c r="L68" s="66"/>
      <c r="M68" s="66"/>
      <c r="N68" s="66"/>
      <c r="O68" s="66"/>
      <c r="P68" s="66"/>
      <c r="Q68" s="66"/>
      <c r="R68" s="66"/>
      <c r="S68" s="66" t="s">
        <v>2776</v>
      </c>
      <c r="T68" s="66" t="s">
        <v>2776</v>
      </c>
      <c r="U68" s="69">
        <v>80</v>
      </c>
    </row>
    <row r="69" spans="1:21" ht="33" x14ac:dyDescent="0.25">
      <c r="A69" s="68" t="str">
        <f t="shared" si="3"/>
        <v>Км4</v>
      </c>
      <c r="B69" s="66">
        <v>23</v>
      </c>
      <c r="C69" s="66" t="s">
        <v>2762</v>
      </c>
      <c r="D69" s="66" t="s">
        <v>3148</v>
      </c>
      <c r="E69" s="66">
        <v>4</v>
      </c>
      <c r="F69" s="40">
        <v>2.4660000000000002</v>
      </c>
      <c r="G69" s="66"/>
      <c r="H69" s="66">
        <v>2720</v>
      </c>
      <c r="I69" s="66">
        <v>20</v>
      </c>
      <c r="J69" s="66" t="s">
        <v>2</v>
      </c>
      <c r="K69" s="66"/>
      <c r="L69" s="66"/>
      <c r="M69" s="66"/>
      <c r="N69" s="66"/>
      <c r="O69" s="66"/>
      <c r="P69" s="66"/>
      <c r="Q69" s="66"/>
      <c r="R69" s="66"/>
      <c r="S69" s="66" t="s">
        <v>2776</v>
      </c>
      <c r="T69" s="66" t="s">
        <v>2776</v>
      </c>
      <c r="U69" s="69">
        <v>80</v>
      </c>
    </row>
    <row r="70" spans="1:21" ht="33" x14ac:dyDescent="0.25">
      <c r="A70" s="68" t="str">
        <f t="shared" si="3"/>
        <v>Км4</v>
      </c>
      <c r="B70" s="66">
        <v>2</v>
      </c>
      <c r="C70" s="66" t="s">
        <v>2764</v>
      </c>
      <c r="D70" s="66" t="s">
        <v>3164</v>
      </c>
      <c r="E70" s="66">
        <f>32+30+29+29+29+29+29</f>
        <v>207</v>
      </c>
      <c r="F70" s="40">
        <v>0.39500000000000002</v>
      </c>
      <c r="G70" s="66" t="s">
        <v>0</v>
      </c>
      <c r="H70" s="66">
        <f>420*4+150</f>
        <v>1830</v>
      </c>
      <c r="I70" s="66">
        <v>8</v>
      </c>
      <c r="J70" s="66" t="s">
        <v>1</v>
      </c>
      <c r="K70" s="66"/>
      <c r="L70" s="66"/>
      <c r="M70" s="66"/>
      <c r="N70" s="66"/>
      <c r="O70" s="66"/>
      <c r="P70" s="66"/>
      <c r="Q70" s="66"/>
      <c r="R70" s="66"/>
      <c r="S70" s="66" t="s">
        <v>2776</v>
      </c>
      <c r="T70" s="66" t="s">
        <v>2776</v>
      </c>
      <c r="U70" s="69">
        <v>10</v>
      </c>
    </row>
    <row r="71" spans="1:21" ht="16.5" x14ac:dyDescent="0.25">
      <c r="A71" s="68" t="str">
        <f t="shared" si="3"/>
        <v>Км4</v>
      </c>
      <c r="B71" s="66"/>
      <c r="C71" s="47" t="s">
        <v>2769</v>
      </c>
      <c r="D71" s="47" t="s">
        <v>3208</v>
      </c>
      <c r="E71" s="47">
        <f>(1.5*1.5*0.25)+(0.6*0.6*4.57)</f>
        <v>2.2077</v>
      </c>
      <c r="F71" s="47" t="s">
        <v>4</v>
      </c>
      <c r="G71" s="47" t="s">
        <v>3</v>
      </c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/>
      <c r="T71" s="66"/>
      <c r="U71" s="69"/>
    </row>
    <row r="72" spans="1:21" ht="16.5" x14ac:dyDescent="0.25">
      <c r="A72" s="68" t="str">
        <f>A71</f>
        <v>Км4</v>
      </c>
      <c r="B72" s="66"/>
      <c r="C72" s="73" t="s">
        <v>2772</v>
      </c>
      <c r="D72" s="73" t="s">
        <v>2773</v>
      </c>
      <c r="E72" s="73">
        <v>4</v>
      </c>
      <c r="F72" s="73">
        <v>94.2</v>
      </c>
      <c r="G72" s="73"/>
      <c r="H72" s="66"/>
      <c r="I72" s="66"/>
      <c r="J72" s="66"/>
      <c r="K72" s="40">
        <f>120*120</f>
        <v>14400</v>
      </c>
      <c r="L72" s="66" t="s">
        <v>2344</v>
      </c>
      <c r="M72" s="66" t="s">
        <v>2339</v>
      </c>
      <c r="N72" s="66"/>
      <c r="O72" s="66" t="s">
        <v>2351</v>
      </c>
      <c r="P72" s="66"/>
      <c r="Q72" s="66"/>
      <c r="R72" s="66"/>
      <c r="S72" s="66"/>
      <c r="T72" s="66"/>
      <c r="U72" s="69"/>
    </row>
    <row r="73" spans="1:21" ht="16.5" x14ac:dyDescent="0.25">
      <c r="A73" s="42"/>
      <c r="B73" s="42"/>
      <c r="C73" s="42"/>
      <c r="D73" s="42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</row>
    <row r="74" spans="1:21" ht="33" x14ac:dyDescent="0.25">
      <c r="A74" s="43" t="str">
        <f>B74</f>
        <v>Км12.1</v>
      </c>
      <c r="B74" s="44" t="s">
        <v>2799</v>
      </c>
      <c r="C74" s="44"/>
      <c r="D74" s="44" t="s">
        <v>2800</v>
      </c>
      <c r="E74" s="44">
        <v>1</v>
      </c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5"/>
    </row>
    <row r="75" spans="1:21" ht="33" x14ac:dyDescent="0.25">
      <c r="A75" s="68" t="str">
        <f>A74</f>
        <v>Км12.1</v>
      </c>
      <c r="B75" s="66">
        <v>20</v>
      </c>
      <c r="C75" s="66" t="s">
        <v>2762</v>
      </c>
      <c r="D75" s="66" t="s">
        <v>2763</v>
      </c>
      <c r="E75" s="66">
        <v>4</v>
      </c>
      <c r="F75" s="40">
        <v>2.4660000000000002</v>
      </c>
      <c r="G75" s="66"/>
      <c r="H75" s="66">
        <v>5070</v>
      </c>
      <c r="I75" s="66">
        <v>20</v>
      </c>
      <c r="J75" s="66" t="s">
        <v>2</v>
      </c>
      <c r="K75" s="66"/>
      <c r="L75" s="66"/>
      <c r="M75" s="66"/>
      <c r="N75" s="66"/>
      <c r="O75" s="66"/>
      <c r="P75" s="66"/>
      <c r="Q75" s="66"/>
      <c r="R75" s="66"/>
      <c r="S75" s="66" t="s">
        <v>2776</v>
      </c>
      <c r="T75" s="66" t="s">
        <v>2776</v>
      </c>
      <c r="U75" s="69">
        <v>80</v>
      </c>
    </row>
    <row r="76" spans="1:21" ht="33" x14ac:dyDescent="0.25">
      <c r="A76" s="68" t="str">
        <f>A75</f>
        <v>Км12.1</v>
      </c>
      <c r="B76" s="66">
        <v>9</v>
      </c>
      <c r="C76" s="66" t="s">
        <v>2762</v>
      </c>
      <c r="D76" s="66" t="s">
        <v>2763</v>
      </c>
      <c r="E76" s="66">
        <v>4</v>
      </c>
      <c r="F76" s="40">
        <v>1.5780000000000001</v>
      </c>
      <c r="G76" s="66" t="s">
        <v>0</v>
      </c>
      <c r="H76" s="66">
        <v>5870</v>
      </c>
      <c r="I76" s="66">
        <v>16</v>
      </c>
      <c r="J76" s="66" t="s">
        <v>2</v>
      </c>
      <c r="K76" s="66"/>
      <c r="L76" s="66"/>
      <c r="M76" s="66"/>
      <c r="N76" s="66"/>
      <c r="O76" s="66"/>
      <c r="P76" s="66"/>
      <c r="Q76" s="66"/>
      <c r="R76" s="66"/>
      <c r="S76" s="66" t="s">
        <v>2776</v>
      </c>
      <c r="T76" s="66" t="s">
        <v>2776</v>
      </c>
      <c r="U76" s="69">
        <v>40</v>
      </c>
    </row>
    <row r="77" spans="1:21" ht="33" x14ac:dyDescent="0.25">
      <c r="A77" s="68" t="str">
        <f t="shared" ref="A77:A82" si="4">A75</f>
        <v>Км12.1</v>
      </c>
      <c r="B77" s="66">
        <v>13</v>
      </c>
      <c r="C77" s="66" t="s">
        <v>2764</v>
      </c>
      <c r="D77" s="66" t="s">
        <v>3156</v>
      </c>
      <c r="E77" s="66">
        <f>38+32+33+29</f>
        <v>132</v>
      </c>
      <c r="F77" s="40">
        <v>0.39500000000000002</v>
      </c>
      <c r="G77" s="66" t="s">
        <v>0</v>
      </c>
      <c r="H77" s="66">
        <f>520*4+150</f>
        <v>2230</v>
      </c>
      <c r="I77" s="66">
        <v>8</v>
      </c>
      <c r="J77" s="66" t="s">
        <v>1</v>
      </c>
      <c r="K77" s="66"/>
      <c r="L77" s="66"/>
      <c r="M77" s="66"/>
      <c r="N77" s="66"/>
      <c r="O77" s="66"/>
      <c r="P77" s="66"/>
      <c r="Q77" s="66"/>
      <c r="R77" s="66"/>
      <c r="S77" s="66" t="s">
        <v>2776</v>
      </c>
      <c r="T77" s="66" t="s">
        <v>2776</v>
      </c>
      <c r="U77" s="69">
        <v>10</v>
      </c>
    </row>
    <row r="78" spans="1:21" ht="33" x14ac:dyDescent="0.25">
      <c r="A78" s="68" t="str">
        <f t="shared" si="4"/>
        <v>Км12.1</v>
      </c>
      <c r="B78" s="66">
        <v>14</v>
      </c>
      <c r="C78" s="66" t="s">
        <v>2764</v>
      </c>
      <c r="D78" s="66" t="s">
        <v>3156</v>
      </c>
      <c r="E78" s="66">
        <f>38+32+33+29</f>
        <v>132</v>
      </c>
      <c r="F78" s="40">
        <v>0.39500000000000002</v>
      </c>
      <c r="G78" s="66" t="s">
        <v>0</v>
      </c>
      <c r="H78" s="66">
        <f>370*4+150</f>
        <v>1630</v>
      </c>
      <c r="I78" s="66">
        <v>8</v>
      </c>
      <c r="J78" s="66" t="s">
        <v>1</v>
      </c>
      <c r="K78" s="66"/>
      <c r="L78" s="66"/>
      <c r="M78" s="66"/>
      <c r="N78" s="66"/>
      <c r="O78" s="66"/>
      <c r="P78" s="66"/>
      <c r="Q78" s="66"/>
      <c r="R78" s="66"/>
      <c r="S78" s="66" t="s">
        <v>2776</v>
      </c>
      <c r="T78" s="66" t="s">
        <v>2776</v>
      </c>
      <c r="U78" s="69">
        <v>10</v>
      </c>
    </row>
    <row r="79" spans="1:21" ht="33" x14ac:dyDescent="0.25">
      <c r="A79" s="68" t="str">
        <f t="shared" si="4"/>
        <v>Км12.1</v>
      </c>
      <c r="B79" s="66">
        <v>12</v>
      </c>
      <c r="C79" s="66" t="s">
        <v>3149</v>
      </c>
      <c r="D79" s="66" t="s">
        <v>3166</v>
      </c>
      <c r="E79" s="66">
        <v>4</v>
      </c>
      <c r="F79" s="40">
        <v>1.5780000000000001</v>
      </c>
      <c r="G79" s="66" t="s">
        <v>0</v>
      </c>
      <c r="H79" s="66">
        <v>5970</v>
      </c>
      <c r="I79" s="66">
        <v>16</v>
      </c>
      <c r="J79" s="66" t="s">
        <v>2</v>
      </c>
      <c r="K79" s="66"/>
      <c r="L79" s="66"/>
      <c r="M79" s="66"/>
      <c r="N79" s="66"/>
      <c r="O79" s="66"/>
      <c r="P79" s="66"/>
      <c r="Q79" s="66"/>
      <c r="R79" s="66"/>
      <c r="S79" s="66" t="s">
        <v>2776</v>
      </c>
      <c r="T79" s="66" t="s">
        <v>2776</v>
      </c>
      <c r="U79" s="69">
        <v>40</v>
      </c>
    </row>
    <row r="80" spans="1:21" ht="33" x14ac:dyDescent="0.25">
      <c r="A80" s="68" t="str">
        <f t="shared" si="4"/>
        <v>Км12.1</v>
      </c>
      <c r="B80" s="66">
        <v>15</v>
      </c>
      <c r="C80" s="66" t="s">
        <v>3149</v>
      </c>
      <c r="D80" s="66" t="s">
        <v>2778</v>
      </c>
      <c r="E80" s="66">
        <v>4</v>
      </c>
      <c r="F80" s="40">
        <v>1.5780000000000001</v>
      </c>
      <c r="G80" s="66" t="s">
        <v>0</v>
      </c>
      <c r="H80" s="66">
        <v>4870</v>
      </c>
      <c r="I80" s="66">
        <v>16</v>
      </c>
      <c r="J80" s="66" t="s">
        <v>2</v>
      </c>
      <c r="K80" s="66"/>
      <c r="L80" s="66"/>
      <c r="M80" s="66"/>
      <c r="N80" s="66"/>
      <c r="O80" s="66"/>
      <c r="P80" s="66"/>
      <c r="Q80" s="66"/>
      <c r="R80" s="66"/>
      <c r="S80" s="66" t="s">
        <v>2776</v>
      </c>
      <c r="T80" s="66" t="s">
        <v>2776</v>
      </c>
      <c r="U80" s="69">
        <v>40</v>
      </c>
    </row>
    <row r="81" spans="1:21" ht="33" x14ac:dyDescent="0.25">
      <c r="A81" s="68" t="str">
        <f t="shared" si="4"/>
        <v>Км12.1</v>
      </c>
      <c r="B81" s="66">
        <v>16</v>
      </c>
      <c r="C81" s="66" t="s">
        <v>3157</v>
      </c>
      <c r="D81" s="66" t="s">
        <v>3158</v>
      </c>
      <c r="E81" s="66">
        <v>4</v>
      </c>
      <c r="F81" s="40">
        <v>2.4660000000000002</v>
      </c>
      <c r="G81" s="66" t="s">
        <v>0</v>
      </c>
      <c r="H81" s="66">
        <v>4060</v>
      </c>
      <c r="I81" s="66">
        <v>20</v>
      </c>
      <c r="J81" s="66" t="s">
        <v>2</v>
      </c>
      <c r="K81" s="66"/>
      <c r="L81" s="66"/>
      <c r="M81" s="66"/>
      <c r="N81" s="66"/>
      <c r="O81" s="66"/>
      <c r="P81" s="66"/>
      <c r="Q81" s="66"/>
      <c r="R81" s="66"/>
      <c r="S81" s="66" t="s">
        <v>2776</v>
      </c>
      <c r="T81" s="66" t="s">
        <v>2776</v>
      </c>
      <c r="U81" s="69">
        <v>80</v>
      </c>
    </row>
    <row r="82" spans="1:21" ht="33" x14ac:dyDescent="0.25">
      <c r="A82" s="68" t="str">
        <f t="shared" si="4"/>
        <v>Км12.1</v>
      </c>
      <c r="B82" s="66">
        <v>17</v>
      </c>
      <c r="C82" s="66" t="s">
        <v>3159</v>
      </c>
      <c r="D82" s="66" t="s">
        <v>3158</v>
      </c>
      <c r="E82" s="66">
        <v>4</v>
      </c>
      <c r="F82" s="40">
        <v>1.5780000000000001</v>
      </c>
      <c r="G82" s="66" t="s">
        <v>0</v>
      </c>
      <c r="H82" s="66">
        <v>4400</v>
      </c>
      <c r="I82" s="66">
        <v>16</v>
      </c>
      <c r="J82" s="66" t="s">
        <v>2</v>
      </c>
      <c r="K82" s="66"/>
      <c r="L82" s="66"/>
      <c r="M82" s="66"/>
      <c r="N82" s="66"/>
      <c r="O82" s="66"/>
      <c r="P82" s="66"/>
      <c r="Q82" s="66"/>
      <c r="R82" s="66"/>
      <c r="S82" s="66" t="s">
        <v>2776</v>
      </c>
      <c r="T82" s="66" t="s">
        <v>2776</v>
      </c>
      <c r="U82" s="69">
        <v>40</v>
      </c>
    </row>
    <row r="83" spans="1:21" ht="33" x14ac:dyDescent="0.25">
      <c r="A83" s="68" t="str">
        <f>A78</f>
        <v>Км12.1</v>
      </c>
      <c r="B83" s="66">
        <v>4</v>
      </c>
      <c r="C83" s="66" t="s">
        <v>2762</v>
      </c>
      <c r="D83" s="66" t="s">
        <v>3152</v>
      </c>
      <c r="E83" s="66">
        <f>4*4</f>
        <v>16</v>
      </c>
      <c r="F83" s="40">
        <v>2.4660000000000002</v>
      </c>
      <c r="G83" s="66"/>
      <c r="H83" s="66">
        <v>4050</v>
      </c>
      <c r="I83" s="66">
        <v>20</v>
      </c>
      <c r="J83" s="66" t="s">
        <v>2</v>
      </c>
      <c r="K83" s="66"/>
      <c r="L83" s="66"/>
      <c r="M83" s="66"/>
      <c r="N83" s="66"/>
      <c r="O83" s="66"/>
      <c r="P83" s="66"/>
      <c r="Q83" s="66"/>
      <c r="R83" s="66"/>
      <c r="S83" s="66" t="s">
        <v>2776</v>
      </c>
      <c r="T83" s="66" t="s">
        <v>2776</v>
      </c>
      <c r="U83" s="69">
        <v>80</v>
      </c>
    </row>
    <row r="84" spans="1:21" ht="33" x14ac:dyDescent="0.25">
      <c r="A84" s="68" t="str">
        <f>A79</f>
        <v>Км12.1</v>
      </c>
      <c r="B84" s="66">
        <v>23</v>
      </c>
      <c r="C84" s="66" t="s">
        <v>2762</v>
      </c>
      <c r="D84" s="66" t="s">
        <v>3147</v>
      </c>
      <c r="E84" s="66">
        <v>4</v>
      </c>
      <c r="F84" s="40">
        <v>2.4660000000000002</v>
      </c>
      <c r="G84" s="66"/>
      <c r="H84" s="66">
        <v>2720</v>
      </c>
      <c r="I84" s="66">
        <v>20</v>
      </c>
      <c r="J84" s="66" t="s">
        <v>2</v>
      </c>
      <c r="K84" s="66"/>
      <c r="L84" s="66"/>
      <c r="M84" s="66"/>
      <c r="N84" s="66"/>
      <c r="O84" s="66"/>
      <c r="P84" s="66"/>
      <c r="Q84" s="66"/>
      <c r="R84" s="66"/>
      <c r="S84" s="66" t="s">
        <v>2776</v>
      </c>
      <c r="T84" s="66" t="s">
        <v>2776</v>
      </c>
      <c r="U84" s="69">
        <v>80</v>
      </c>
    </row>
    <row r="85" spans="1:21" ht="33" x14ac:dyDescent="0.25">
      <c r="A85" s="68" t="str">
        <f>A83</f>
        <v>Км12.1</v>
      </c>
      <c r="B85" s="66">
        <v>2</v>
      </c>
      <c r="C85" s="66" t="s">
        <v>2764</v>
      </c>
      <c r="D85" s="66" t="s">
        <v>3164</v>
      </c>
      <c r="E85" s="66">
        <f>29+29+31+29</f>
        <v>118</v>
      </c>
      <c r="F85" s="40">
        <v>0.39500000000000002</v>
      </c>
      <c r="G85" s="66" t="s">
        <v>0</v>
      </c>
      <c r="H85" s="66">
        <f>420*4+150</f>
        <v>1830</v>
      </c>
      <c r="I85" s="66">
        <v>8</v>
      </c>
      <c r="J85" s="66" t="s">
        <v>1</v>
      </c>
      <c r="K85" s="66"/>
      <c r="L85" s="66"/>
      <c r="M85" s="66"/>
      <c r="N85" s="66"/>
      <c r="O85" s="66"/>
      <c r="P85" s="66"/>
      <c r="Q85" s="66"/>
      <c r="R85" s="66"/>
      <c r="S85" s="66" t="s">
        <v>2776</v>
      </c>
      <c r="T85" s="66" t="s">
        <v>2776</v>
      </c>
      <c r="U85" s="69">
        <v>10</v>
      </c>
    </row>
    <row r="86" spans="1:21" ht="33" x14ac:dyDescent="0.25">
      <c r="A86" s="68" t="str">
        <f t="shared" ref="A86:A87" si="5">A84</f>
        <v>Км12.1</v>
      </c>
      <c r="B86" s="66"/>
      <c r="C86" s="47" t="s">
        <v>2769</v>
      </c>
      <c r="D86" s="47" t="s">
        <v>2770</v>
      </c>
      <c r="E86" s="47">
        <f>(1.5*1.5*0.25)+(0.6*0.6*4.57)</f>
        <v>2.2077</v>
      </c>
      <c r="F86" s="47" t="s">
        <v>4</v>
      </c>
      <c r="G86" s="47" t="s">
        <v>3</v>
      </c>
      <c r="H86" s="66"/>
      <c r="I86" s="66"/>
      <c r="J86" s="66"/>
      <c r="K86" s="66"/>
      <c r="L86" s="66"/>
      <c r="M86" s="66"/>
      <c r="N86" s="66"/>
      <c r="O86" s="66"/>
      <c r="P86" s="66"/>
      <c r="Q86" s="66"/>
      <c r="R86" s="66"/>
      <c r="S86" s="66"/>
      <c r="T86" s="66"/>
      <c r="U86" s="69"/>
    </row>
    <row r="87" spans="1:21" ht="16.5" x14ac:dyDescent="0.25">
      <c r="A87" s="68" t="str">
        <f t="shared" si="5"/>
        <v>Км12.1</v>
      </c>
      <c r="B87" s="66"/>
      <c r="C87" s="47" t="s">
        <v>2769</v>
      </c>
      <c r="D87" s="47" t="s">
        <v>2771</v>
      </c>
      <c r="E87" s="47">
        <f>(0.6*0.6*11.6)+(0.5*0.5*14.87)</f>
        <v>7.8934999999999995</v>
      </c>
      <c r="F87" s="47" t="s">
        <v>4</v>
      </c>
      <c r="G87" s="47" t="s">
        <v>3</v>
      </c>
      <c r="H87" s="66"/>
      <c r="I87" s="66"/>
      <c r="J87" s="66"/>
      <c r="K87" s="66"/>
      <c r="L87" s="66"/>
      <c r="M87" s="66"/>
      <c r="N87" s="66"/>
      <c r="O87" s="66"/>
      <c r="P87" s="66"/>
      <c r="Q87" s="66"/>
      <c r="R87" s="66"/>
      <c r="S87" s="66"/>
      <c r="T87" s="66"/>
      <c r="U87" s="69"/>
    </row>
    <row r="88" spans="1:21" ht="16.5" x14ac:dyDescent="0.25">
      <c r="A88" s="68" t="str">
        <f>A86</f>
        <v>Км12.1</v>
      </c>
      <c r="B88" s="66"/>
      <c r="C88" s="73" t="s">
        <v>2772</v>
      </c>
      <c r="D88" s="73" t="s">
        <v>2773</v>
      </c>
      <c r="E88" s="73">
        <v>4</v>
      </c>
      <c r="F88" s="73">
        <v>94.2</v>
      </c>
      <c r="G88" s="73"/>
      <c r="H88" s="66"/>
      <c r="I88" s="66"/>
      <c r="J88" s="66"/>
      <c r="K88" s="40">
        <f>120*120</f>
        <v>14400</v>
      </c>
      <c r="L88" s="66" t="s">
        <v>2344</v>
      </c>
      <c r="M88" s="66" t="s">
        <v>2339</v>
      </c>
      <c r="N88" s="66"/>
      <c r="O88" s="66" t="s">
        <v>2351</v>
      </c>
      <c r="P88" s="66"/>
      <c r="Q88" s="66"/>
      <c r="R88" s="66"/>
      <c r="S88" s="66"/>
      <c r="T88" s="66"/>
      <c r="U88" s="69"/>
    </row>
    <row r="89" spans="1:21" ht="16.5" x14ac:dyDescent="0.25">
      <c r="A89" s="42"/>
      <c r="B89" s="42"/>
      <c r="C89" s="42"/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</row>
    <row r="90" spans="1:21" ht="16.5" x14ac:dyDescent="0.25">
      <c r="A90" s="42"/>
      <c r="B90" s="42"/>
      <c r="C90" s="42"/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</row>
    <row r="91" spans="1:21" ht="16.5" x14ac:dyDescent="0.25">
      <c r="A91" s="42"/>
      <c r="B91" s="42"/>
      <c r="C91" s="42"/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</row>
    <row r="92" spans="1:21" ht="16.5" x14ac:dyDescent="0.25">
      <c r="A92" s="39" t="s">
        <v>2757</v>
      </c>
      <c r="B92" s="40" t="s">
        <v>2757</v>
      </c>
      <c r="C92" s="40"/>
      <c r="D92" s="40"/>
      <c r="E92" s="40"/>
      <c r="F92" s="40"/>
      <c r="G92" s="40"/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40"/>
      <c r="S92" s="40"/>
      <c r="T92" s="40"/>
      <c r="U92" s="41"/>
    </row>
    <row r="93" spans="1:21" ht="33" x14ac:dyDescent="0.25">
      <c r="A93" s="43" t="str">
        <f>B93</f>
        <v>Км1.3.1</v>
      </c>
      <c r="B93" s="44" t="s">
        <v>2802</v>
      </c>
      <c r="C93" s="44"/>
      <c r="D93" s="44" t="s">
        <v>2803</v>
      </c>
      <c r="E93" s="44">
        <f>1+1</f>
        <v>2</v>
      </c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5"/>
    </row>
    <row r="94" spans="1:21" ht="33" x14ac:dyDescent="0.25">
      <c r="A94" s="68" t="str">
        <f>A93</f>
        <v>Км1.3.1</v>
      </c>
      <c r="B94" s="66">
        <v>1</v>
      </c>
      <c r="C94" s="66" t="s">
        <v>2762</v>
      </c>
      <c r="D94" s="66" t="s">
        <v>2763</v>
      </c>
      <c r="E94" s="66">
        <v>4</v>
      </c>
      <c r="F94" s="40">
        <v>2.984</v>
      </c>
      <c r="G94" s="66"/>
      <c r="H94" s="66">
        <v>5070</v>
      </c>
      <c r="I94" s="66">
        <v>22</v>
      </c>
      <c r="J94" s="66" t="s">
        <v>2</v>
      </c>
      <c r="K94" s="66"/>
      <c r="L94" s="66"/>
      <c r="M94" s="66"/>
      <c r="N94" s="66"/>
      <c r="O94" s="66"/>
      <c r="P94" s="66"/>
      <c r="Q94" s="66"/>
      <c r="R94" s="66"/>
      <c r="S94" s="66" t="s">
        <v>2776</v>
      </c>
      <c r="T94" s="66" t="s">
        <v>2776</v>
      </c>
      <c r="U94" s="69">
        <v>88</v>
      </c>
    </row>
    <row r="95" spans="1:21" ht="33" x14ac:dyDescent="0.25">
      <c r="A95" s="68" t="str">
        <f>A94</f>
        <v>Км1.3.1</v>
      </c>
      <c r="B95" s="66">
        <v>2</v>
      </c>
      <c r="C95" s="66" t="s">
        <v>2764</v>
      </c>
      <c r="D95" s="66" t="s">
        <v>2765</v>
      </c>
      <c r="E95" s="66">
        <f>38+34+(29*4)+26+33</f>
        <v>247</v>
      </c>
      <c r="F95" s="40">
        <v>0.39500000000000002</v>
      </c>
      <c r="G95" s="66" t="s">
        <v>0</v>
      </c>
      <c r="H95" s="66">
        <f>420*4+150</f>
        <v>1830</v>
      </c>
      <c r="I95" s="66">
        <v>8</v>
      </c>
      <c r="J95" s="66" t="s">
        <v>1</v>
      </c>
      <c r="K95" s="66"/>
      <c r="L95" s="66"/>
      <c r="M95" s="66"/>
      <c r="N95" s="66"/>
      <c r="O95" s="66"/>
      <c r="P95" s="66"/>
      <c r="Q95" s="66"/>
      <c r="R95" s="66"/>
      <c r="S95" s="66" t="s">
        <v>2776</v>
      </c>
      <c r="T95" s="66" t="s">
        <v>2776</v>
      </c>
      <c r="U95" s="69">
        <v>10</v>
      </c>
    </row>
    <row r="96" spans="1:21" ht="33" x14ac:dyDescent="0.25">
      <c r="A96" s="68" t="str">
        <f>A95</f>
        <v>Км1.3.1</v>
      </c>
      <c r="B96" s="66">
        <v>3</v>
      </c>
      <c r="C96" s="66" t="s">
        <v>2762</v>
      </c>
      <c r="D96" s="66" t="s">
        <v>2766</v>
      </c>
      <c r="E96" s="66">
        <v>4</v>
      </c>
      <c r="F96" s="40">
        <v>2.4660000000000002</v>
      </c>
      <c r="G96" s="66"/>
      <c r="H96" s="66">
        <v>4500</v>
      </c>
      <c r="I96" s="66">
        <v>20</v>
      </c>
      <c r="J96" s="66" t="s">
        <v>2</v>
      </c>
      <c r="K96" s="66"/>
      <c r="L96" s="66"/>
      <c r="M96" s="66"/>
      <c r="N96" s="66"/>
      <c r="O96" s="66"/>
      <c r="P96" s="66"/>
      <c r="Q96" s="66"/>
      <c r="R96" s="66"/>
      <c r="S96" s="66" t="s">
        <v>2776</v>
      </c>
      <c r="T96" s="66" t="s">
        <v>2776</v>
      </c>
      <c r="U96" s="69">
        <v>80</v>
      </c>
    </row>
    <row r="97" spans="1:21" ht="33" x14ac:dyDescent="0.25">
      <c r="A97" s="68" t="str">
        <f>A96</f>
        <v>Км1.3.1</v>
      </c>
      <c r="B97" s="66">
        <v>4</v>
      </c>
      <c r="C97" s="66" t="s">
        <v>2762</v>
      </c>
      <c r="D97" s="66" t="s">
        <v>3167</v>
      </c>
      <c r="E97" s="66">
        <f>4*4</f>
        <v>16</v>
      </c>
      <c r="F97" s="40">
        <v>2.4660000000000002</v>
      </c>
      <c r="G97" s="66"/>
      <c r="H97" s="66">
        <v>4050</v>
      </c>
      <c r="I97" s="66">
        <v>20</v>
      </c>
      <c r="J97" s="66" t="s">
        <v>2</v>
      </c>
      <c r="K97" s="66"/>
      <c r="L97" s="66"/>
      <c r="M97" s="66"/>
      <c r="N97" s="66"/>
      <c r="O97" s="66"/>
      <c r="P97" s="66"/>
      <c r="Q97" s="66"/>
      <c r="R97" s="66"/>
      <c r="S97" s="66" t="s">
        <v>2776</v>
      </c>
      <c r="T97" s="66" t="s">
        <v>2776</v>
      </c>
      <c r="U97" s="69">
        <v>80</v>
      </c>
    </row>
    <row r="98" spans="1:21" ht="33" x14ac:dyDescent="0.25">
      <c r="A98" s="68" t="str">
        <f>A96</f>
        <v>Км1.3.1</v>
      </c>
      <c r="B98" s="66">
        <v>25</v>
      </c>
      <c r="C98" s="66" t="s">
        <v>2762</v>
      </c>
      <c r="D98" s="66" t="s">
        <v>3168</v>
      </c>
      <c r="E98" s="66">
        <v>4</v>
      </c>
      <c r="F98" s="40">
        <v>2.4660000000000002</v>
      </c>
      <c r="G98" s="66"/>
      <c r="H98" s="66">
        <v>3500</v>
      </c>
      <c r="I98" s="66">
        <v>20</v>
      </c>
      <c r="J98" s="66" t="s">
        <v>2</v>
      </c>
      <c r="K98" s="66"/>
      <c r="L98" s="66"/>
      <c r="M98" s="66"/>
      <c r="N98" s="66"/>
      <c r="O98" s="66"/>
      <c r="P98" s="66"/>
      <c r="Q98" s="66"/>
      <c r="R98" s="66"/>
      <c r="S98" s="66" t="s">
        <v>2776</v>
      </c>
      <c r="T98" s="66" t="s">
        <v>2776</v>
      </c>
      <c r="U98" s="69">
        <v>80</v>
      </c>
    </row>
    <row r="99" spans="1:21" ht="33" x14ac:dyDescent="0.25">
      <c r="A99" s="68" t="str">
        <f>A97</f>
        <v>Км1.3.1</v>
      </c>
      <c r="B99" s="66">
        <v>26</v>
      </c>
      <c r="C99" s="66" t="s">
        <v>2762</v>
      </c>
      <c r="D99" s="66" t="s">
        <v>2768</v>
      </c>
      <c r="E99" s="66">
        <v>4</v>
      </c>
      <c r="F99" s="40">
        <v>2.4660000000000002</v>
      </c>
      <c r="G99" s="66"/>
      <c r="H99" s="66">
        <v>3270</v>
      </c>
      <c r="I99" s="66">
        <v>20</v>
      </c>
      <c r="J99" s="66" t="s">
        <v>2</v>
      </c>
      <c r="K99" s="66"/>
      <c r="L99" s="66"/>
      <c r="M99" s="66"/>
      <c r="N99" s="66"/>
      <c r="O99" s="66"/>
      <c r="P99" s="66"/>
      <c r="Q99" s="66"/>
      <c r="R99" s="66"/>
      <c r="S99" s="66" t="s">
        <v>2776</v>
      </c>
      <c r="T99" s="66" t="s">
        <v>2776</v>
      </c>
      <c r="U99" s="69">
        <v>80</v>
      </c>
    </row>
    <row r="100" spans="1:21" ht="33" x14ac:dyDescent="0.25">
      <c r="A100" s="68" t="str">
        <f>A98</f>
        <v>Км1.3.1</v>
      </c>
      <c r="B100" s="66"/>
      <c r="C100" s="47" t="s">
        <v>2769</v>
      </c>
      <c r="D100" s="47" t="s">
        <v>2770</v>
      </c>
      <c r="E100" s="47">
        <f>4.82*0.5*0.5</f>
        <v>1.2050000000000001</v>
      </c>
      <c r="F100" s="47" t="s">
        <v>4</v>
      </c>
      <c r="G100" s="47" t="s">
        <v>3</v>
      </c>
      <c r="H100" s="66"/>
      <c r="I100" s="66"/>
      <c r="J100" s="66"/>
      <c r="K100" s="66"/>
      <c r="L100" s="66"/>
      <c r="M100" s="66"/>
      <c r="N100" s="66"/>
      <c r="O100" s="66"/>
      <c r="P100" s="66"/>
      <c r="Q100" s="66"/>
      <c r="R100" s="66"/>
      <c r="S100" s="66"/>
      <c r="T100" s="66"/>
      <c r="U100" s="69"/>
    </row>
    <row r="101" spans="1:21" ht="16.5" x14ac:dyDescent="0.25">
      <c r="A101" s="68" t="str">
        <f>A99</f>
        <v>Км1.3.1</v>
      </c>
      <c r="B101" s="66"/>
      <c r="C101" s="47" t="s">
        <v>2769</v>
      </c>
      <c r="D101" s="47" t="s">
        <v>2771</v>
      </c>
      <c r="E101" s="47">
        <f>26.97*0.5*0.5</f>
        <v>6.7424999999999997</v>
      </c>
      <c r="F101" s="47" t="s">
        <v>4</v>
      </c>
      <c r="G101" s="47" t="s">
        <v>3</v>
      </c>
      <c r="H101" s="66"/>
      <c r="I101" s="66"/>
      <c r="J101" s="66"/>
      <c r="K101" s="66"/>
      <c r="L101" s="66"/>
      <c r="M101" s="66"/>
      <c r="N101" s="66"/>
      <c r="O101" s="66"/>
      <c r="P101" s="66"/>
      <c r="Q101" s="66"/>
      <c r="R101" s="66"/>
      <c r="S101" s="66"/>
      <c r="T101" s="66"/>
      <c r="U101" s="69"/>
    </row>
    <row r="102" spans="1:21" ht="16.5" x14ac:dyDescent="0.25">
      <c r="A102" s="68" t="str">
        <f>A100</f>
        <v>Км1.3.1</v>
      </c>
      <c r="B102" s="66"/>
      <c r="C102" s="73" t="s">
        <v>2772</v>
      </c>
      <c r="D102" s="73" t="s">
        <v>2773</v>
      </c>
      <c r="E102" s="73">
        <v>4</v>
      </c>
      <c r="F102" s="73">
        <v>94.2</v>
      </c>
      <c r="G102" s="73"/>
      <c r="H102" s="66"/>
      <c r="I102" s="66"/>
      <c r="J102" s="66"/>
      <c r="K102" s="40">
        <f>120*120</f>
        <v>14400</v>
      </c>
      <c r="L102" s="66" t="s">
        <v>2344</v>
      </c>
      <c r="M102" s="66" t="s">
        <v>2339</v>
      </c>
      <c r="N102" s="66"/>
      <c r="O102" s="66" t="s">
        <v>2351</v>
      </c>
      <c r="P102" s="66"/>
      <c r="Q102" s="66"/>
      <c r="R102" s="66"/>
      <c r="S102" s="66"/>
      <c r="T102" s="66"/>
      <c r="U102" s="69"/>
    </row>
    <row r="103" spans="1:21" ht="16.5" x14ac:dyDescent="0.25">
      <c r="A103" s="42"/>
      <c r="B103" s="42"/>
      <c r="C103" s="42"/>
      <c r="D103" s="42"/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</row>
    <row r="104" spans="1:21" ht="16.5" x14ac:dyDescent="0.25">
      <c r="A104" s="39" t="s">
        <v>2757</v>
      </c>
      <c r="B104" s="40" t="s">
        <v>2757</v>
      </c>
      <c r="C104" s="40"/>
      <c r="D104" s="40"/>
      <c r="E104" s="40"/>
      <c r="F104" s="40"/>
      <c r="G104" s="40"/>
      <c r="H104" s="40"/>
      <c r="I104" s="40"/>
      <c r="J104" s="40"/>
      <c r="K104" s="40"/>
      <c r="L104" s="40"/>
      <c r="M104" s="40"/>
      <c r="N104" s="40"/>
      <c r="O104" s="40"/>
      <c r="P104" s="40"/>
      <c r="Q104" s="40"/>
      <c r="R104" s="40"/>
      <c r="S104" s="40"/>
      <c r="T104" s="40"/>
      <c r="U104" s="41"/>
    </row>
    <row r="105" spans="1:21" ht="16.5" x14ac:dyDescent="0.25">
      <c r="A105" s="43" t="str">
        <f>B105</f>
        <v>Км1.2</v>
      </c>
      <c r="B105" s="44" t="s">
        <v>2805</v>
      </c>
      <c r="C105" s="44"/>
      <c r="D105" s="44" t="s">
        <v>2806</v>
      </c>
      <c r="E105" s="44">
        <v>1</v>
      </c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5"/>
    </row>
    <row r="106" spans="1:21" ht="33" x14ac:dyDescent="0.25">
      <c r="A106" s="68" t="str">
        <f>A105</f>
        <v>Км1.2</v>
      </c>
      <c r="B106" s="66">
        <v>1</v>
      </c>
      <c r="C106" s="66" t="s">
        <v>2762</v>
      </c>
      <c r="D106" s="66" t="s">
        <v>2763</v>
      </c>
      <c r="E106" s="66">
        <v>4</v>
      </c>
      <c r="F106" s="40">
        <v>2.984</v>
      </c>
      <c r="G106" s="66"/>
      <c r="H106" s="66">
        <v>5070</v>
      </c>
      <c r="I106" s="66">
        <v>22</v>
      </c>
      <c r="J106" s="66" t="s">
        <v>2</v>
      </c>
      <c r="K106" s="66"/>
      <c r="L106" s="66"/>
      <c r="M106" s="66"/>
      <c r="N106" s="66"/>
      <c r="O106" s="66"/>
      <c r="P106" s="66"/>
      <c r="Q106" s="66"/>
      <c r="R106" s="66"/>
      <c r="S106" s="66" t="s">
        <v>2776</v>
      </c>
      <c r="T106" s="66" t="s">
        <v>2776</v>
      </c>
      <c r="U106" s="69">
        <v>88</v>
      </c>
    </row>
    <row r="107" spans="1:21" ht="33" x14ac:dyDescent="0.25">
      <c r="A107" s="68" t="str">
        <f>A106</f>
        <v>Км1.2</v>
      </c>
      <c r="B107" s="66">
        <v>2</v>
      </c>
      <c r="C107" s="66" t="s">
        <v>2764</v>
      </c>
      <c r="D107" s="66" t="s">
        <v>2765</v>
      </c>
      <c r="E107" s="66">
        <f>38+34+29+29+29+29+29+32+16</f>
        <v>265</v>
      </c>
      <c r="F107" s="40">
        <v>0.39500000000000002</v>
      </c>
      <c r="G107" s="66" t="s">
        <v>0</v>
      </c>
      <c r="H107" s="66">
        <f>420*4+150</f>
        <v>1830</v>
      </c>
      <c r="I107" s="66">
        <v>8</v>
      </c>
      <c r="J107" s="66" t="s">
        <v>1</v>
      </c>
      <c r="K107" s="66"/>
      <c r="L107" s="66"/>
      <c r="M107" s="66"/>
      <c r="N107" s="66"/>
      <c r="O107" s="66"/>
      <c r="P107" s="66"/>
      <c r="Q107" s="66"/>
      <c r="R107" s="66"/>
      <c r="S107" s="66" t="s">
        <v>2776</v>
      </c>
      <c r="T107" s="66" t="s">
        <v>2776</v>
      </c>
      <c r="U107" s="69">
        <v>10</v>
      </c>
    </row>
    <row r="108" spans="1:21" ht="33" x14ac:dyDescent="0.25">
      <c r="A108" s="68" t="str">
        <f>A107</f>
        <v>Км1.2</v>
      </c>
      <c r="B108" s="66">
        <v>3</v>
      </c>
      <c r="C108" s="66" t="s">
        <v>2762</v>
      </c>
      <c r="D108" s="66" t="s">
        <v>2766</v>
      </c>
      <c r="E108" s="66">
        <v>4</v>
      </c>
      <c r="F108" s="40">
        <v>2.4660000000000002</v>
      </c>
      <c r="G108" s="66"/>
      <c r="H108" s="66">
        <v>4500</v>
      </c>
      <c r="I108" s="66">
        <v>20</v>
      </c>
      <c r="J108" s="66" t="s">
        <v>2</v>
      </c>
      <c r="K108" s="66"/>
      <c r="L108" s="66"/>
      <c r="M108" s="66"/>
      <c r="N108" s="66"/>
      <c r="O108" s="66"/>
      <c r="P108" s="66"/>
      <c r="Q108" s="66"/>
      <c r="R108" s="66"/>
      <c r="S108" s="66" t="s">
        <v>2776</v>
      </c>
      <c r="T108" s="66" t="s">
        <v>2776</v>
      </c>
      <c r="U108" s="69">
        <v>80</v>
      </c>
    </row>
    <row r="109" spans="1:21" ht="33" x14ac:dyDescent="0.25">
      <c r="A109" s="68" t="str">
        <f>A108</f>
        <v>Км1.2</v>
      </c>
      <c r="B109" s="66">
        <v>4</v>
      </c>
      <c r="C109" s="66" t="s">
        <v>2762</v>
      </c>
      <c r="D109" s="66" t="s">
        <v>2767</v>
      </c>
      <c r="E109" s="66">
        <f>4*5</f>
        <v>20</v>
      </c>
      <c r="F109" s="40">
        <v>2.4660000000000002</v>
      </c>
      <c r="G109" s="66"/>
      <c r="H109" s="66">
        <v>4050</v>
      </c>
      <c r="I109" s="66">
        <v>20</v>
      </c>
      <c r="J109" s="66" t="s">
        <v>2</v>
      </c>
      <c r="K109" s="66"/>
      <c r="L109" s="66"/>
      <c r="M109" s="66"/>
      <c r="N109" s="66"/>
      <c r="O109" s="66"/>
      <c r="P109" s="66"/>
      <c r="Q109" s="66"/>
      <c r="R109" s="66"/>
      <c r="S109" s="66" t="s">
        <v>2776</v>
      </c>
      <c r="T109" s="66" t="s">
        <v>2776</v>
      </c>
      <c r="U109" s="69">
        <v>80</v>
      </c>
    </row>
    <row r="110" spans="1:21" ht="33" x14ac:dyDescent="0.25">
      <c r="A110" s="68" t="str">
        <f>A108</f>
        <v>Км1.2</v>
      </c>
      <c r="B110" s="66">
        <v>5</v>
      </c>
      <c r="C110" s="66" t="s">
        <v>2762</v>
      </c>
      <c r="D110" s="66" t="s">
        <v>3147</v>
      </c>
      <c r="E110" s="66">
        <v>4</v>
      </c>
      <c r="F110" s="40">
        <v>2.4660000000000002</v>
      </c>
      <c r="G110" s="66"/>
      <c r="H110" s="66">
        <v>3820</v>
      </c>
      <c r="I110" s="66">
        <v>20</v>
      </c>
      <c r="J110" s="66" t="s">
        <v>2</v>
      </c>
      <c r="K110" s="66"/>
      <c r="L110" s="66"/>
      <c r="M110" s="66"/>
      <c r="N110" s="66"/>
      <c r="O110" s="66"/>
      <c r="P110" s="66"/>
      <c r="Q110" s="66"/>
      <c r="R110" s="66"/>
      <c r="S110" s="66" t="s">
        <v>2776</v>
      </c>
      <c r="T110" s="66" t="s">
        <v>2776</v>
      </c>
      <c r="U110" s="69">
        <v>80</v>
      </c>
    </row>
    <row r="111" spans="1:21" ht="33" x14ac:dyDescent="0.25">
      <c r="A111" s="68" t="str">
        <f>A109</f>
        <v>Км1.2</v>
      </c>
      <c r="B111" s="66">
        <v>6</v>
      </c>
      <c r="C111" s="66" t="s">
        <v>2762</v>
      </c>
      <c r="D111" s="66" t="s">
        <v>3148</v>
      </c>
      <c r="E111" s="66">
        <v>4</v>
      </c>
      <c r="F111" s="40">
        <v>2.4660000000000002</v>
      </c>
      <c r="G111" s="66"/>
      <c r="H111" s="66">
        <v>1430</v>
      </c>
      <c r="I111" s="66">
        <v>20</v>
      </c>
      <c r="J111" s="66" t="s">
        <v>2</v>
      </c>
      <c r="K111" s="66"/>
      <c r="L111" s="66"/>
      <c r="M111" s="66"/>
      <c r="N111" s="66"/>
      <c r="O111" s="66"/>
      <c r="P111" s="66"/>
      <c r="Q111" s="66"/>
      <c r="R111" s="66"/>
      <c r="S111" s="66" t="s">
        <v>2776</v>
      </c>
      <c r="T111" s="66" t="s">
        <v>2776</v>
      </c>
      <c r="U111" s="69">
        <v>80</v>
      </c>
    </row>
    <row r="112" spans="1:21" ht="33" x14ac:dyDescent="0.25">
      <c r="A112" s="68" t="str">
        <f>A110</f>
        <v>Км1.2</v>
      </c>
      <c r="B112" s="66"/>
      <c r="C112" s="47" t="s">
        <v>2769</v>
      </c>
      <c r="D112" s="47" t="s">
        <v>2770</v>
      </c>
      <c r="E112" s="47">
        <f>4.82*0.5*0.5</f>
        <v>1.2050000000000001</v>
      </c>
      <c r="F112" s="47" t="s">
        <v>4</v>
      </c>
      <c r="G112" s="47" t="s">
        <v>3</v>
      </c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9"/>
    </row>
    <row r="113" spans="1:21" ht="16.5" x14ac:dyDescent="0.25">
      <c r="A113" s="68" t="str">
        <f>A111</f>
        <v>Км1.2</v>
      </c>
      <c r="B113" s="66"/>
      <c r="C113" s="47" t="s">
        <v>2769</v>
      </c>
      <c r="D113" s="47" t="s">
        <v>2771</v>
      </c>
      <c r="E113" s="47">
        <f>29*0.5*0.5</f>
        <v>7.25</v>
      </c>
      <c r="F113" s="47" t="s">
        <v>4</v>
      </c>
      <c r="G113" s="47" t="s">
        <v>3</v>
      </c>
      <c r="H113" s="66"/>
      <c r="I113" s="66"/>
      <c r="J113" s="66"/>
      <c r="K113" s="66"/>
      <c r="L113" s="66"/>
      <c r="M113" s="66"/>
      <c r="N113" s="66"/>
      <c r="O113" s="66"/>
      <c r="P113" s="66"/>
      <c r="Q113" s="66"/>
      <c r="R113" s="66"/>
      <c r="S113" s="66"/>
      <c r="T113" s="66"/>
      <c r="U113" s="69"/>
    </row>
    <row r="114" spans="1:21" ht="16.5" x14ac:dyDescent="0.25">
      <c r="A114" s="68" t="str">
        <f>A113</f>
        <v>Км1.2</v>
      </c>
      <c r="B114" s="66"/>
      <c r="C114" s="73" t="s">
        <v>2772</v>
      </c>
      <c r="D114" s="73" t="s">
        <v>2773</v>
      </c>
      <c r="E114" s="73">
        <v>4</v>
      </c>
      <c r="F114" s="73">
        <v>94.2</v>
      </c>
      <c r="G114" s="73"/>
      <c r="H114" s="66"/>
      <c r="I114" s="66"/>
      <c r="J114" s="66"/>
      <c r="K114" s="40">
        <f>120*120</f>
        <v>14400</v>
      </c>
      <c r="L114" s="66" t="s">
        <v>2344</v>
      </c>
      <c r="M114" s="66" t="s">
        <v>2339</v>
      </c>
      <c r="N114" s="66"/>
      <c r="O114" s="66" t="s">
        <v>2351</v>
      </c>
      <c r="P114" s="66"/>
      <c r="Q114" s="66"/>
      <c r="R114" s="66"/>
      <c r="S114" s="66"/>
      <c r="T114" s="66"/>
      <c r="U114" s="69"/>
    </row>
    <row r="115" spans="1:21" ht="16.5" x14ac:dyDescent="0.25">
      <c r="A115" s="42"/>
      <c r="B115" s="42"/>
      <c r="C115" s="42"/>
      <c r="D115" s="42"/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</row>
    <row r="116" spans="1:21" ht="16.5" x14ac:dyDescent="0.25">
      <c r="A116" s="39" t="s">
        <v>2757</v>
      </c>
      <c r="B116" s="40" t="s">
        <v>2757</v>
      </c>
      <c r="C116" s="40"/>
      <c r="D116" s="40"/>
      <c r="E116" s="40"/>
      <c r="F116" s="40"/>
      <c r="G116" s="40"/>
      <c r="H116" s="40"/>
      <c r="I116" s="40"/>
      <c r="J116" s="40"/>
      <c r="K116" s="40"/>
      <c r="L116" s="40"/>
      <c r="M116" s="40"/>
      <c r="N116" s="40"/>
      <c r="O116" s="40"/>
      <c r="P116" s="40"/>
      <c r="Q116" s="40"/>
      <c r="R116" s="40"/>
      <c r="S116" s="40"/>
      <c r="T116" s="40"/>
      <c r="U116" s="41"/>
    </row>
    <row r="117" spans="1:21" ht="33" x14ac:dyDescent="0.25">
      <c r="A117" s="43" t="str">
        <f>B117</f>
        <v>Км10.1</v>
      </c>
      <c r="B117" s="44" t="s">
        <v>2808</v>
      </c>
      <c r="C117" s="44"/>
      <c r="D117" s="44" t="s">
        <v>2809</v>
      </c>
      <c r="E117" s="44">
        <v>1</v>
      </c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5"/>
    </row>
    <row r="118" spans="1:21" ht="33" x14ac:dyDescent="0.25">
      <c r="A118" s="68" t="str">
        <f>A117</f>
        <v>Км10.1</v>
      </c>
      <c r="B118" s="66">
        <v>1</v>
      </c>
      <c r="C118" s="66" t="s">
        <v>2762</v>
      </c>
      <c r="D118" s="66" t="s">
        <v>2763</v>
      </c>
      <c r="E118" s="66">
        <v>4</v>
      </c>
      <c r="F118" s="40">
        <v>2.984</v>
      </c>
      <c r="G118" s="66"/>
      <c r="H118" s="66">
        <v>5070</v>
      </c>
      <c r="I118" s="66">
        <v>22</v>
      </c>
      <c r="J118" s="66" t="s">
        <v>2</v>
      </c>
      <c r="K118" s="66"/>
      <c r="L118" s="66"/>
      <c r="M118" s="66"/>
      <c r="N118" s="66"/>
      <c r="O118" s="66"/>
      <c r="P118" s="66"/>
      <c r="Q118" s="66"/>
      <c r="R118" s="66"/>
      <c r="S118" s="66" t="s">
        <v>2776</v>
      </c>
      <c r="T118" s="66" t="s">
        <v>2776</v>
      </c>
      <c r="U118" s="69">
        <v>88</v>
      </c>
    </row>
    <row r="119" spans="1:21" ht="33" x14ac:dyDescent="0.25">
      <c r="A119" s="68" t="str">
        <f>A118</f>
        <v>Км10.1</v>
      </c>
      <c r="B119" s="66">
        <v>2</v>
      </c>
      <c r="C119" s="66" t="s">
        <v>2764</v>
      </c>
      <c r="D119" s="66" t="s">
        <v>2765</v>
      </c>
      <c r="E119" s="66">
        <f>38+29+2+29+29+29+29+30+32+16</f>
        <v>263</v>
      </c>
      <c r="F119" s="40">
        <v>0.39500000000000002</v>
      </c>
      <c r="G119" s="66" t="s">
        <v>0</v>
      </c>
      <c r="H119" s="66">
        <f>420*4+150</f>
        <v>1830</v>
      </c>
      <c r="I119" s="66">
        <v>8</v>
      </c>
      <c r="J119" s="66" t="s">
        <v>1</v>
      </c>
      <c r="K119" s="66"/>
      <c r="L119" s="66"/>
      <c r="M119" s="66"/>
      <c r="N119" s="66"/>
      <c r="O119" s="66"/>
      <c r="P119" s="66"/>
      <c r="Q119" s="66"/>
      <c r="R119" s="66"/>
      <c r="S119" s="66" t="s">
        <v>2776</v>
      </c>
      <c r="T119" s="66" t="s">
        <v>2776</v>
      </c>
      <c r="U119" s="69">
        <v>10</v>
      </c>
    </row>
    <row r="120" spans="1:21" ht="33" x14ac:dyDescent="0.25">
      <c r="A120" s="68" t="str">
        <f>A119</f>
        <v>Км10.1</v>
      </c>
      <c r="B120" s="66">
        <v>3</v>
      </c>
      <c r="C120" s="66" t="s">
        <v>2762</v>
      </c>
      <c r="D120" s="66" t="s">
        <v>2766</v>
      </c>
      <c r="E120" s="66">
        <v>4</v>
      </c>
      <c r="F120" s="40">
        <v>2.4660000000000002</v>
      </c>
      <c r="G120" s="66"/>
      <c r="H120" s="66">
        <v>4500</v>
      </c>
      <c r="I120" s="66">
        <v>20</v>
      </c>
      <c r="J120" s="66" t="s">
        <v>2</v>
      </c>
      <c r="K120" s="66"/>
      <c r="L120" s="66"/>
      <c r="M120" s="66"/>
      <c r="N120" s="66"/>
      <c r="O120" s="66"/>
      <c r="P120" s="66"/>
      <c r="Q120" s="66"/>
      <c r="R120" s="66"/>
      <c r="S120" s="66" t="s">
        <v>2776</v>
      </c>
      <c r="T120" s="66" t="s">
        <v>2776</v>
      </c>
      <c r="U120" s="69">
        <v>80</v>
      </c>
    </row>
    <row r="121" spans="1:21" ht="33" x14ac:dyDescent="0.25">
      <c r="A121" s="68" t="str">
        <f>A120</f>
        <v>Км10.1</v>
      </c>
      <c r="B121" s="66">
        <v>4</v>
      </c>
      <c r="C121" s="66" t="s">
        <v>2762</v>
      </c>
      <c r="D121" s="66" t="s">
        <v>2767</v>
      </c>
      <c r="E121" s="66">
        <f>4*5</f>
        <v>20</v>
      </c>
      <c r="F121" s="40">
        <v>2.4660000000000002</v>
      </c>
      <c r="G121" s="66"/>
      <c r="H121" s="66">
        <v>4050</v>
      </c>
      <c r="I121" s="66">
        <v>20</v>
      </c>
      <c r="J121" s="66" t="s">
        <v>2</v>
      </c>
      <c r="K121" s="66"/>
      <c r="L121" s="66"/>
      <c r="M121" s="66"/>
      <c r="N121" s="66"/>
      <c r="O121" s="66"/>
      <c r="P121" s="66"/>
      <c r="Q121" s="66"/>
      <c r="R121" s="66"/>
      <c r="S121" s="66" t="s">
        <v>2776</v>
      </c>
      <c r="T121" s="66" t="s">
        <v>2776</v>
      </c>
      <c r="U121" s="69">
        <v>80</v>
      </c>
    </row>
    <row r="122" spans="1:21" ht="33" x14ac:dyDescent="0.25">
      <c r="A122" s="68" t="str">
        <f>A120</f>
        <v>Км10.1</v>
      </c>
      <c r="B122" s="66">
        <v>5</v>
      </c>
      <c r="C122" s="66" t="s">
        <v>2762</v>
      </c>
      <c r="D122" s="66" t="s">
        <v>3147</v>
      </c>
      <c r="E122" s="66">
        <v>4</v>
      </c>
      <c r="F122" s="40">
        <v>2.4660000000000002</v>
      </c>
      <c r="G122" s="66"/>
      <c r="H122" s="66">
        <v>3820</v>
      </c>
      <c r="I122" s="66">
        <v>20</v>
      </c>
      <c r="J122" s="66" t="s">
        <v>2</v>
      </c>
      <c r="K122" s="66"/>
      <c r="L122" s="66"/>
      <c r="M122" s="66"/>
      <c r="N122" s="66"/>
      <c r="O122" s="66"/>
      <c r="P122" s="66"/>
      <c r="Q122" s="66"/>
      <c r="R122" s="66"/>
      <c r="S122" s="66" t="s">
        <v>2776</v>
      </c>
      <c r="T122" s="66" t="s">
        <v>2776</v>
      </c>
      <c r="U122" s="69">
        <v>80</v>
      </c>
    </row>
    <row r="123" spans="1:21" ht="33" x14ac:dyDescent="0.25">
      <c r="A123" s="68" t="str">
        <f>A121</f>
        <v>Км10.1</v>
      </c>
      <c r="B123" s="66">
        <v>6</v>
      </c>
      <c r="C123" s="66" t="s">
        <v>2762</v>
      </c>
      <c r="D123" s="66" t="s">
        <v>3148</v>
      </c>
      <c r="E123" s="66">
        <v>4</v>
      </c>
      <c r="F123" s="40">
        <v>2.4660000000000002</v>
      </c>
      <c r="G123" s="66"/>
      <c r="H123" s="66">
        <v>1430</v>
      </c>
      <c r="I123" s="66">
        <v>20</v>
      </c>
      <c r="J123" s="66" t="s">
        <v>2</v>
      </c>
      <c r="K123" s="66"/>
      <c r="L123" s="66"/>
      <c r="M123" s="66"/>
      <c r="N123" s="66"/>
      <c r="O123" s="66"/>
      <c r="P123" s="66"/>
      <c r="Q123" s="66"/>
      <c r="R123" s="66"/>
      <c r="S123" s="66" t="s">
        <v>2776</v>
      </c>
      <c r="T123" s="66" t="s">
        <v>2776</v>
      </c>
      <c r="U123" s="69">
        <v>80</v>
      </c>
    </row>
    <row r="124" spans="1:21" ht="33" x14ac:dyDescent="0.25">
      <c r="A124" s="68" t="str">
        <f>A122</f>
        <v>Км10.1</v>
      </c>
      <c r="B124" s="66"/>
      <c r="C124" s="47" t="s">
        <v>2769</v>
      </c>
      <c r="D124" s="47" t="s">
        <v>2770</v>
      </c>
      <c r="E124" s="47">
        <f>4.82*0.5*0.5</f>
        <v>1.2050000000000001</v>
      </c>
      <c r="F124" s="47" t="s">
        <v>4</v>
      </c>
      <c r="G124" s="47" t="s">
        <v>3</v>
      </c>
      <c r="H124" s="66"/>
      <c r="I124" s="66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69"/>
    </row>
    <row r="125" spans="1:21" ht="16.5" x14ac:dyDescent="0.25">
      <c r="A125" s="68" t="str">
        <f>A123</f>
        <v>Км10.1</v>
      </c>
      <c r="B125" s="66"/>
      <c r="C125" s="47" t="s">
        <v>2769</v>
      </c>
      <c r="D125" s="47" t="s">
        <v>2771</v>
      </c>
      <c r="E125" s="47">
        <f>29*0.5*0.5</f>
        <v>7.25</v>
      </c>
      <c r="F125" s="47" t="s">
        <v>4</v>
      </c>
      <c r="G125" s="47" t="s">
        <v>3</v>
      </c>
      <c r="H125" s="66"/>
      <c r="I125" s="66"/>
      <c r="J125" s="66"/>
      <c r="K125" s="66"/>
      <c r="L125" s="66"/>
      <c r="M125" s="66"/>
      <c r="N125" s="66"/>
      <c r="O125" s="66"/>
      <c r="P125" s="66"/>
      <c r="Q125" s="66"/>
      <c r="R125" s="66"/>
      <c r="S125" s="66"/>
      <c r="T125" s="66"/>
      <c r="U125" s="69"/>
    </row>
    <row r="126" spans="1:21" ht="16.5" x14ac:dyDescent="0.25">
      <c r="A126" s="68" t="str">
        <f>A125</f>
        <v>Км10.1</v>
      </c>
      <c r="B126" s="66"/>
      <c r="C126" s="73" t="s">
        <v>2772</v>
      </c>
      <c r="D126" s="73" t="s">
        <v>2773</v>
      </c>
      <c r="E126" s="73">
        <v>4</v>
      </c>
      <c r="F126" s="73">
        <v>94.2</v>
      </c>
      <c r="G126" s="73"/>
      <c r="H126" s="66"/>
      <c r="I126" s="66"/>
      <c r="J126" s="66"/>
      <c r="K126" s="40">
        <f>120*120</f>
        <v>14400</v>
      </c>
      <c r="L126" s="66" t="s">
        <v>2344</v>
      </c>
      <c r="M126" s="66" t="s">
        <v>2339</v>
      </c>
      <c r="N126" s="66"/>
      <c r="O126" s="66" t="s">
        <v>2351</v>
      </c>
      <c r="P126" s="66"/>
      <c r="Q126" s="66"/>
      <c r="R126" s="66"/>
      <c r="S126" s="66"/>
      <c r="T126" s="66"/>
      <c r="U126" s="69"/>
    </row>
    <row r="127" spans="1:21" ht="16.5" x14ac:dyDescent="0.25">
      <c r="A127" s="42"/>
      <c r="B127" s="42"/>
      <c r="C127" s="42"/>
      <c r="D127" s="42"/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</row>
    <row r="128" spans="1:21" ht="16.5" x14ac:dyDescent="0.25">
      <c r="A128" s="39" t="s">
        <v>2757</v>
      </c>
      <c r="B128" s="40" t="s">
        <v>2757</v>
      </c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1"/>
    </row>
    <row r="129" spans="1:21" ht="33" x14ac:dyDescent="0.25">
      <c r="A129" s="43" t="str">
        <f>B129</f>
        <v>Км3.1.2</v>
      </c>
      <c r="B129" s="44" t="s">
        <v>2811</v>
      </c>
      <c r="C129" s="44"/>
      <c r="D129" s="44" t="s">
        <v>2812</v>
      </c>
      <c r="E129" s="44">
        <v>1</v>
      </c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5"/>
    </row>
    <row r="130" spans="1:21" ht="33" x14ac:dyDescent="0.25">
      <c r="A130" s="68" t="str">
        <f>A129</f>
        <v>Км3.1.2</v>
      </c>
      <c r="B130" s="66">
        <v>19</v>
      </c>
      <c r="C130" s="66" t="s">
        <v>2762</v>
      </c>
      <c r="D130" s="66" t="s">
        <v>2763</v>
      </c>
      <c r="E130" s="66">
        <v>4</v>
      </c>
      <c r="F130" s="40">
        <v>2.4660000000000002</v>
      </c>
      <c r="G130" s="66" t="s">
        <v>0</v>
      </c>
      <c r="H130" s="66">
        <v>5080</v>
      </c>
      <c r="I130" s="66">
        <v>20</v>
      </c>
      <c r="J130" s="66" t="s">
        <v>2</v>
      </c>
      <c r="K130" s="66"/>
      <c r="L130" s="66"/>
      <c r="M130" s="66"/>
      <c r="N130" s="66"/>
      <c r="O130" s="66"/>
      <c r="P130" s="66"/>
      <c r="Q130" s="66"/>
      <c r="R130" s="66"/>
      <c r="S130" s="66" t="s">
        <v>2776</v>
      </c>
      <c r="T130" s="66" t="s">
        <v>2776</v>
      </c>
      <c r="U130" s="69">
        <v>80</v>
      </c>
    </row>
    <row r="131" spans="1:21" ht="33" x14ac:dyDescent="0.25">
      <c r="A131" s="68" t="str">
        <f>A130</f>
        <v>Км3.1.2</v>
      </c>
      <c r="B131" s="66">
        <v>9</v>
      </c>
      <c r="C131" s="66" t="s">
        <v>2762</v>
      </c>
      <c r="D131" s="66" t="s">
        <v>2763</v>
      </c>
      <c r="E131" s="66">
        <v>4</v>
      </c>
      <c r="F131" s="40">
        <v>1.5780000000000001</v>
      </c>
      <c r="G131" s="66" t="s">
        <v>0</v>
      </c>
      <c r="H131" s="66">
        <v>5870</v>
      </c>
      <c r="I131" s="66">
        <v>16</v>
      </c>
      <c r="J131" s="66" t="s">
        <v>2</v>
      </c>
      <c r="K131" s="66"/>
      <c r="L131" s="66"/>
      <c r="M131" s="66"/>
      <c r="N131" s="66"/>
      <c r="O131" s="66"/>
      <c r="P131" s="66"/>
      <c r="Q131" s="66"/>
      <c r="R131" s="66"/>
      <c r="S131" s="66" t="s">
        <v>2776</v>
      </c>
      <c r="T131" s="66" t="s">
        <v>2776</v>
      </c>
      <c r="U131" s="69">
        <v>40</v>
      </c>
    </row>
    <row r="132" spans="1:21" ht="33" x14ac:dyDescent="0.25">
      <c r="A132" s="68" t="str">
        <f>A131</f>
        <v>Км3.1.2</v>
      </c>
      <c r="B132" s="66">
        <v>13</v>
      </c>
      <c r="C132" s="66" t="s">
        <v>2764</v>
      </c>
      <c r="D132" s="66" t="s">
        <v>3156</v>
      </c>
      <c r="E132" s="66">
        <f>38</f>
        <v>38</v>
      </c>
      <c r="F132" s="40">
        <v>0.39500000000000002</v>
      </c>
      <c r="G132" s="66" t="s">
        <v>0</v>
      </c>
      <c r="H132" s="66">
        <f>520*4+150</f>
        <v>2230</v>
      </c>
      <c r="I132" s="66">
        <v>8</v>
      </c>
      <c r="J132" s="66" t="s">
        <v>1</v>
      </c>
      <c r="K132" s="66"/>
      <c r="L132" s="66"/>
      <c r="M132" s="66"/>
      <c r="N132" s="66"/>
      <c r="O132" s="66"/>
      <c r="P132" s="66"/>
      <c r="Q132" s="66"/>
      <c r="R132" s="66"/>
      <c r="S132" s="66" t="s">
        <v>2776</v>
      </c>
      <c r="T132" s="66" t="s">
        <v>2776</v>
      </c>
      <c r="U132" s="69">
        <v>10</v>
      </c>
    </row>
    <row r="133" spans="1:21" ht="33" x14ac:dyDescent="0.25">
      <c r="A133" s="68" t="str">
        <f>A132</f>
        <v>Км3.1.2</v>
      </c>
      <c r="B133" s="66">
        <v>14</v>
      </c>
      <c r="C133" s="66" t="s">
        <v>2764</v>
      </c>
      <c r="D133" s="66" t="s">
        <v>3156</v>
      </c>
      <c r="E133" s="66">
        <f>38</f>
        <v>38</v>
      </c>
      <c r="F133" s="40">
        <v>0.39500000000000002</v>
      </c>
      <c r="G133" s="66" t="s">
        <v>0</v>
      </c>
      <c r="H133" s="66">
        <f>370*4+150</f>
        <v>1630</v>
      </c>
      <c r="I133" s="66">
        <v>8</v>
      </c>
      <c r="J133" s="66" t="s">
        <v>1</v>
      </c>
      <c r="K133" s="66"/>
      <c r="L133" s="66"/>
      <c r="M133" s="66"/>
      <c r="N133" s="66"/>
      <c r="O133" s="66"/>
      <c r="P133" s="66"/>
      <c r="Q133" s="66"/>
      <c r="R133" s="66"/>
      <c r="S133" s="66" t="s">
        <v>2776</v>
      </c>
      <c r="T133" s="66" t="s">
        <v>2776</v>
      </c>
      <c r="U133" s="69">
        <v>10</v>
      </c>
    </row>
    <row r="134" spans="1:21" ht="33" x14ac:dyDescent="0.25">
      <c r="A134" s="68" t="str">
        <f>A132</f>
        <v>Км3.1.2</v>
      </c>
      <c r="B134" s="66">
        <v>3</v>
      </c>
      <c r="C134" s="66" t="s">
        <v>2762</v>
      </c>
      <c r="D134" s="66" t="s">
        <v>2766</v>
      </c>
      <c r="E134" s="66">
        <v>4</v>
      </c>
      <c r="F134" s="40">
        <v>2.4660000000000002</v>
      </c>
      <c r="G134" s="66"/>
      <c r="H134" s="66">
        <v>4500</v>
      </c>
      <c r="I134" s="66">
        <v>20</v>
      </c>
      <c r="J134" s="66" t="s">
        <v>2</v>
      </c>
      <c r="K134" s="66"/>
      <c r="L134" s="66"/>
      <c r="M134" s="66"/>
      <c r="N134" s="66"/>
      <c r="O134" s="66"/>
      <c r="P134" s="66"/>
      <c r="Q134" s="66"/>
      <c r="R134" s="66"/>
      <c r="S134" s="66" t="s">
        <v>2776</v>
      </c>
      <c r="T134" s="66" t="s">
        <v>2776</v>
      </c>
      <c r="U134" s="69">
        <v>80</v>
      </c>
    </row>
    <row r="135" spans="1:21" ht="33" x14ac:dyDescent="0.25">
      <c r="A135" s="68" t="str">
        <f>A133</f>
        <v>Км3.1.2</v>
      </c>
      <c r="B135" s="66">
        <v>4</v>
      </c>
      <c r="C135" s="66" t="s">
        <v>2762</v>
      </c>
      <c r="D135" s="66" t="s">
        <v>2767</v>
      </c>
      <c r="E135" s="66">
        <f>4*5</f>
        <v>20</v>
      </c>
      <c r="F135" s="40">
        <v>2.4660000000000002</v>
      </c>
      <c r="G135" s="66"/>
      <c r="H135" s="66">
        <v>4050</v>
      </c>
      <c r="I135" s="66">
        <v>20</v>
      </c>
      <c r="J135" s="66" t="s">
        <v>2</v>
      </c>
      <c r="K135" s="66"/>
      <c r="L135" s="66"/>
      <c r="M135" s="66"/>
      <c r="N135" s="66"/>
      <c r="O135" s="66"/>
      <c r="P135" s="66"/>
      <c r="Q135" s="66"/>
      <c r="R135" s="66"/>
      <c r="S135" s="66" t="s">
        <v>2776</v>
      </c>
      <c r="T135" s="66" t="s">
        <v>2776</v>
      </c>
      <c r="U135" s="69">
        <v>80</v>
      </c>
    </row>
    <row r="136" spans="1:21" ht="33" x14ac:dyDescent="0.25">
      <c r="A136" s="68" t="str">
        <f>A134</f>
        <v>Км3.1.2</v>
      </c>
      <c r="B136" s="66">
        <v>5</v>
      </c>
      <c r="C136" s="66" t="s">
        <v>2762</v>
      </c>
      <c r="D136" s="66" t="s">
        <v>3147</v>
      </c>
      <c r="E136" s="66">
        <v>4</v>
      </c>
      <c r="F136" s="40">
        <v>2.4660000000000002</v>
      </c>
      <c r="G136" s="66"/>
      <c r="H136" s="66">
        <v>3820</v>
      </c>
      <c r="I136" s="66">
        <v>20</v>
      </c>
      <c r="J136" s="66" t="s">
        <v>2</v>
      </c>
      <c r="K136" s="66"/>
      <c r="L136" s="66"/>
      <c r="M136" s="66"/>
      <c r="N136" s="66"/>
      <c r="O136" s="66"/>
      <c r="P136" s="66"/>
      <c r="Q136" s="66"/>
      <c r="R136" s="66"/>
      <c r="S136" s="66" t="s">
        <v>2776</v>
      </c>
      <c r="T136" s="66" t="s">
        <v>2776</v>
      </c>
      <c r="U136" s="69">
        <v>80</v>
      </c>
    </row>
    <row r="137" spans="1:21" ht="33" x14ac:dyDescent="0.25">
      <c r="A137" s="68" t="str">
        <f>A135</f>
        <v>Км3.1.2</v>
      </c>
      <c r="B137" s="66">
        <v>6</v>
      </c>
      <c r="C137" s="66" t="s">
        <v>2762</v>
      </c>
      <c r="D137" s="66" t="s">
        <v>3148</v>
      </c>
      <c r="E137" s="66">
        <v>4</v>
      </c>
      <c r="F137" s="40">
        <v>2.4660000000000002</v>
      </c>
      <c r="G137" s="66"/>
      <c r="H137" s="66">
        <v>1430</v>
      </c>
      <c r="I137" s="66">
        <v>20</v>
      </c>
      <c r="J137" s="66" t="s">
        <v>2</v>
      </c>
      <c r="K137" s="66"/>
      <c r="L137" s="66"/>
      <c r="M137" s="66"/>
      <c r="N137" s="66"/>
      <c r="O137" s="66"/>
      <c r="P137" s="66"/>
      <c r="Q137" s="66"/>
      <c r="R137" s="66"/>
      <c r="S137" s="66" t="s">
        <v>2776</v>
      </c>
      <c r="T137" s="66" t="s">
        <v>2776</v>
      </c>
      <c r="U137" s="69">
        <v>80</v>
      </c>
    </row>
    <row r="138" spans="1:21" ht="33" x14ac:dyDescent="0.25">
      <c r="A138" s="68" t="str">
        <f>A133</f>
        <v>Км3.1.2</v>
      </c>
      <c r="B138" s="66">
        <v>2</v>
      </c>
      <c r="C138" s="66" t="s">
        <v>2764</v>
      </c>
      <c r="D138" s="66" t="s">
        <v>2765</v>
      </c>
      <c r="E138" s="66">
        <f>30+2+31+29+29+29+29+33+16</f>
        <v>228</v>
      </c>
      <c r="F138" s="40">
        <v>0.39500000000000002</v>
      </c>
      <c r="G138" s="66" t="s">
        <v>0</v>
      </c>
      <c r="H138" s="66">
        <f>420*4+150</f>
        <v>1830</v>
      </c>
      <c r="I138" s="66">
        <v>8</v>
      </c>
      <c r="J138" s="66" t="s">
        <v>1</v>
      </c>
      <c r="K138" s="66"/>
      <c r="L138" s="66"/>
      <c r="M138" s="66"/>
      <c r="N138" s="66"/>
      <c r="O138" s="66"/>
      <c r="P138" s="66"/>
      <c r="Q138" s="66"/>
      <c r="R138" s="66"/>
      <c r="S138" s="66" t="s">
        <v>2776</v>
      </c>
      <c r="T138" s="66" t="s">
        <v>2776</v>
      </c>
      <c r="U138" s="69">
        <v>10</v>
      </c>
    </row>
    <row r="139" spans="1:21" ht="33" x14ac:dyDescent="0.25">
      <c r="A139" s="68" t="str">
        <f>A134</f>
        <v>Км3.1.2</v>
      </c>
      <c r="B139" s="66"/>
      <c r="C139" s="47" t="s">
        <v>2769</v>
      </c>
      <c r="D139" s="47" t="s">
        <v>2770</v>
      </c>
      <c r="E139" s="47">
        <f>(1.5*1.5*0.25)+(0.6*0.6*4.57)</f>
        <v>2.2077</v>
      </c>
      <c r="F139" s="47" t="s">
        <v>4</v>
      </c>
      <c r="G139" s="47" t="s">
        <v>3</v>
      </c>
      <c r="H139" s="66"/>
      <c r="I139" s="66"/>
      <c r="J139" s="66"/>
      <c r="K139" s="66"/>
      <c r="L139" s="66"/>
      <c r="M139" s="66"/>
      <c r="N139" s="66"/>
      <c r="O139" s="66"/>
      <c r="P139" s="66"/>
      <c r="Q139" s="66"/>
      <c r="R139" s="66"/>
      <c r="S139" s="66"/>
      <c r="T139" s="66"/>
      <c r="U139" s="69"/>
    </row>
    <row r="140" spans="1:21" ht="16.5" x14ac:dyDescent="0.25">
      <c r="A140" s="68" t="str">
        <f>A135</f>
        <v>Км3.1.2</v>
      </c>
      <c r="B140" s="66"/>
      <c r="C140" s="47" t="s">
        <v>2769</v>
      </c>
      <c r="D140" s="47" t="s">
        <v>2771</v>
      </c>
      <c r="E140" s="47">
        <f>29.25*0.5*0.5</f>
        <v>7.3125</v>
      </c>
      <c r="F140" s="47" t="s">
        <v>4</v>
      </c>
      <c r="G140" s="47" t="s">
        <v>3</v>
      </c>
      <c r="H140" s="66"/>
      <c r="I140" s="66"/>
      <c r="J140" s="66"/>
      <c r="K140" s="66"/>
      <c r="L140" s="66"/>
      <c r="M140" s="66"/>
      <c r="N140" s="66"/>
      <c r="O140" s="66"/>
      <c r="P140" s="66"/>
      <c r="Q140" s="66"/>
      <c r="R140" s="66"/>
      <c r="S140" s="66"/>
      <c r="T140" s="66"/>
      <c r="U140" s="69"/>
    </row>
    <row r="141" spans="1:21" ht="16.5" x14ac:dyDescent="0.25">
      <c r="A141" s="68" t="str">
        <f>A136</f>
        <v>Км3.1.2</v>
      </c>
      <c r="B141" s="66"/>
      <c r="C141" s="73" t="s">
        <v>2772</v>
      </c>
      <c r="D141" s="73" t="s">
        <v>2773</v>
      </c>
      <c r="E141" s="73">
        <v>4</v>
      </c>
      <c r="F141" s="73">
        <v>94.2</v>
      </c>
      <c r="G141" s="73"/>
      <c r="H141" s="66"/>
      <c r="I141" s="66"/>
      <c r="J141" s="66"/>
      <c r="K141" s="40">
        <f>120*120</f>
        <v>14400</v>
      </c>
      <c r="L141" s="66" t="s">
        <v>2344</v>
      </c>
      <c r="M141" s="66" t="s">
        <v>2339</v>
      </c>
      <c r="N141" s="66"/>
      <c r="O141" s="66" t="s">
        <v>2351</v>
      </c>
      <c r="P141" s="66"/>
      <c r="Q141" s="66"/>
      <c r="R141" s="66"/>
      <c r="S141" s="66"/>
      <c r="T141" s="66"/>
      <c r="U141" s="69"/>
    </row>
    <row r="142" spans="1:21" ht="16.5" x14ac:dyDescent="0.25">
      <c r="A142" s="42"/>
      <c r="B142" s="42"/>
      <c r="C142" s="42"/>
      <c r="D142" s="42"/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</row>
    <row r="143" spans="1:21" ht="16.5" x14ac:dyDescent="0.25">
      <c r="A143" s="39" t="s">
        <v>2757</v>
      </c>
      <c r="B143" s="40" t="s">
        <v>2757</v>
      </c>
      <c r="C143" s="40"/>
      <c r="D143" s="40"/>
      <c r="E143" s="40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1"/>
    </row>
    <row r="144" spans="1:21" ht="33" x14ac:dyDescent="0.25">
      <c r="A144" s="43" t="str">
        <f>B144</f>
        <v>Км6.1.1</v>
      </c>
      <c r="B144" s="44" t="s">
        <v>2814</v>
      </c>
      <c r="C144" s="44"/>
      <c r="D144" s="44" t="s">
        <v>2815</v>
      </c>
      <c r="E144" s="44">
        <v>1</v>
      </c>
      <c r="F144" s="44"/>
      <c r="G144" s="44"/>
      <c r="H144" s="44"/>
      <c r="I144" s="44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  <c r="U144" s="45"/>
    </row>
    <row r="145" spans="1:21" ht="33" x14ac:dyDescent="0.25">
      <c r="A145" s="68" t="str">
        <f>A144</f>
        <v>Км6.1.1</v>
      </c>
      <c r="B145" s="66">
        <v>19</v>
      </c>
      <c r="C145" s="66" t="s">
        <v>2762</v>
      </c>
      <c r="D145" s="66" t="s">
        <v>2763</v>
      </c>
      <c r="E145" s="66">
        <v>4</v>
      </c>
      <c r="F145" s="40">
        <v>2.4660000000000002</v>
      </c>
      <c r="G145" s="66" t="s">
        <v>0</v>
      </c>
      <c r="H145" s="66">
        <v>5080</v>
      </c>
      <c r="I145" s="66">
        <v>20</v>
      </c>
      <c r="J145" s="66" t="s">
        <v>2</v>
      </c>
      <c r="K145" s="66"/>
      <c r="L145" s="66"/>
      <c r="M145" s="66"/>
      <c r="N145" s="66"/>
      <c r="O145" s="66"/>
      <c r="P145" s="66"/>
      <c r="Q145" s="66"/>
      <c r="R145" s="66"/>
      <c r="S145" s="66" t="s">
        <v>2776</v>
      </c>
      <c r="T145" s="66" t="s">
        <v>2776</v>
      </c>
      <c r="U145" s="69">
        <v>80</v>
      </c>
    </row>
    <row r="146" spans="1:21" ht="33" x14ac:dyDescent="0.25">
      <c r="A146" s="68" t="str">
        <f>A145</f>
        <v>Км6.1.1</v>
      </c>
      <c r="B146" s="66">
        <v>9</v>
      </c>
      <c r="C146" s="66" t="s">
        <v>2762</v>
      </c>
      <c r="D146" s="66" t="s">
        <v>2763</v>
      </c>
      <c r="E146" s="66">
        <v>4</v>
      </c>
      <c r="F146" s="40">
        <v>1.5780000000000001</v>
      </c>
      <c r="G146" s="66" t="s">
        <v>0</v>
      </c>
      <c r="H146" s="66">
        <v>5870</v>
      </c>
      <c r="I146" s="66">
        <v>16</v>
      </c>
      <c r="J146" s="66" t="s">
        <v>2</v>
      </c>
      <c r="K146" s="66"/>
      <c r="L146" s="66"/>
      <c r="M146" s="66"/>
      <c r="N146" s="66"/>
      <c r="O146" s="66"/>
      <c r="P146" s="66"/>
      <c r="Q146" s="66"/>
      <c r="R146" s="66"/>
      <c r="S146" s="66" t="s">
        <v>2776</v>
      </c>
      <c r="T146" s="66" t="s">
        <v>2776</v>
      </c>
      <c r="U146" s="69">
        <v>40</v>
      </c>
    </row>
    <row r="147" spans="1:21" ht="33" x14ac:dyDescent="0.25">
      <c r="A147" s="68" t="str">
        <f>A146</f>
        <v>Км6.1.1</v>
      </c>
      <c r="B147" s="66">
        <v>13</v>
      </c>
      <c r="C147" s="66" t="s">
        <v>2764</v>
      </c>
      <c r="D147" s="66" t="s">
        <v>3156</v>
      </c>
      <c r="E147" s="66">
        <f>38</f>
        <v>38</v>
      </c>
      <c r="F147" s="40">
        <v>0.39500000000000002</v>
      </c>
      <c r="G147" s="66" t="s">
        <v>0</v>
      </c>
      <c r="H147" s="66">
        <f>520*4+150</f>
        <v>2230</v>
      </c>
      <c r="I147" s="66">
        <v>8</v>
      </c>
      <c r="J147" s="66" t="s">
        <v>1</v>
      </c>
      <c r="K147" s="66"/>
      <c r="L147" s="66"/>
      <c r="M147" s="66"/>
      <c r="N147" s="66"/>
      <c r="O147" s="66"/>
      <c r="P147" s="66"/>
      <c r="Q147" s="66"/>
      <c r="R147" s="66"/>
      <c r="S147" s="66" t="s">
        <v>2776</v>
      </c>
      <c r="T147" s="66" t="s">
        <v>2776</v>
      </c>
      <c r="U147" s="69">
        <v>10</v>
      </c>
    </row>
    <row r="148" spans="1:21" ht="33" x14ac:dyDescent="0.25">
      <c r="A148" s="68" t="str">
        <f>A147</f>
        <v>Км6.1.1</v>
      </c>
      <c r="B148" s="66">
        <v>14</v>
      </c>
      <c r="C148" s="66" t="s">
        <v>2764</v>
      </c>
      <c r="D148" s="66" t="s">
        <v>3156</v>
      </c>
      <c r="E148" s="66">
        <f>38</f>
        <v>38</v>
      </c>
      <c r="F148" s="40">
        <v>0.39500000000000002</v>
      </c>
      <c r="G148" s="66" t="s">
        <v>0</v>
      </c>
      <c r="H148" s="66">
        <f>370*4+150</f>
        <v>1630</v>
      </c>
      <c r="I148" s="66">
        <v>8</v>
      </c>
      <c r="J148" s="66" t="s">
        <v>1</v>
      </c>
      <c r="K148" s="66"/>
      <c r="L148" s="66"/>
      <c r="M148" s="66"/>
      <c r="N148" s="66"/>
      <c r="O148" s="66"/>
      <c r="P148" s="66"/>
      <c r="Q148" s="66"/>
      <c r="R148" s="66"/>
      <c r="S148" s="66" t="s">
        <v>2776</v>
      </c>
      <c r="T148" s="66" t="s">
        <v>2776</v>
      </c>
      <c r="U148" s="69">
        <v>10</v>
      </c>
    </row>
    <row r="149" spans="1:21" ht="33" x14ac:dyDescent="0.25">
      <c r="A149" s="68" t="str">
        <f>A147</f>
        <v>Км6.1.1</v>
      </c>
      <c r="B149" s="66">
        <v>3</v>
      </c>
      <c r="C149" s="66" t="s">
        <v>2762</v>
      </c>
      <c r="D149" s="66" t="s">
        <v>2766</v>
      </c>
      <c r="E149" s="66">
        <v>4</v>
      </c>
      <c r="F149" s="40">
        <v>2.4660000000000002</v>
      </c>
      <c r="G149" s="66"/>
      <c r="H149" s="66">
        <v>4500</v>
      </c>
      <c r="I149" s="66">
        <v>20</v>
      </c>
      <c r="J149" s="66" t="s">
        <v>2</v>
      </c>
      <c r="K149" s="66"/>
      <c r="L149" s="66"/>
      <c r="M149" s="66"/>
      <c r="N149" s="66"/>
      <c r="O149" s="66"/>
      <c r="P149" s="66"/>
      <c r="Q149" s="66"/>
      <c r="R149" s="66"/>
      <c r="S149" s="66" t="s">
        <v>2776</v>
      </c>
      <c r="T149" s="66" t="s">
        <v>2776</v>
      </c>
      <c r="U149" s="69">
        <v>80</v>
      </c>
    </row>
    <row r="150" spans="1:21" ht="33" x14ac:dyDescent="0.25">
      <c r="A150" s="68" t="str">
        <f>A148</f>
        <v>Км6.1.1</v>
      </c>
      <c r="B150" s="66">
        <v>4</v>
      </c>
      <c r="C150" s="66" t="s">
        <v>2762</v>
      </c>
      <c r="D150" s="66" t="s">
        <v>2767</v>
      </c>
      <c r="E150" s="66">
        <f>4*5</f>
        <v>20</v>
      </c>
      <c r="F150" s="40">
        <v>2.4660000000000002</v>
      </c>
      <c r="G150" s="66"/>
      <c r="H150" s="66">
        <v>4050</v>
      </c>
      <c r="I150" s="66">
        <v>20</v>
      </c>
      <c r="J150" s="66" t="s">
        <v>2</v>
      </c>
      <c r="K150" s="66"/>
      <c r="L150" s="66"/>
      <c r="M150" s="66"/>
      <c r="N150" s="66"/>
      <c r="O150" s="66"/>
      <c r="P150" s="66"/>
      <c r="Q150" s="66"/>
      <c r="R150" s="66"/>
      <c r="S150" s="66" t="s">
        <v>2776</v>
      </c>
      <c r="T150" s="66" t="s">
        <v>2776</v>
      </c>
      <c r="U150" s="69">
        <v>80</v>
      </c>
    </row>
    <row r="151" spans="1:21" ht="33" x14ac:dyDescent="0.25">
      <c r="A151" s="68" t="str">
        <f>A149</f>
        <v>Км6.1.1</v>
      </c>
      <c r="B151" s="66">
        <v>27</v>
      </c>
      <c r="C151" s="66" t="s">
        <v>2762</v>
      </c>
      <c r="D151" s="66" t="s">
        <v>3147</v>
      </c>
      <c r="E151" s="66">
        <v>4</v>
      </c>
      <c r="F151" s="40">
        <v>2.984</v>
      </c>
      <c r="G151" s="66"/>
      <c r="H151" s="66">
        <v>3820</v>
      </c>
      <c r="I151" s="66">
        <v>22</v>
      </c>
      <c r="J151" s="66" t="s">
        <v>2</v>
      </c>
      <c r="K151" s="66"/>
      <c r="L151" s="66"/>
      <c r="M151" s="66"/>
      <c r="N151" s="66"/>
      <c r="O151" s="66"/>
      <c r="P151" s="66"/>
      <c r="Q151" s="66"/>
      <c r="R151" s="66"/>
      <c r="S151" s="66" t="s">
        <v>2776</v>
      </c>
      <c r="T151" s="66" t="s">
        <v>2776</v>
      </c>
      <c r="U151" s="69">
        <v>88</v>
      </c>
    </row>
    <row r="152" spans="1:21" ht="33" x14ac:dyDescent="0.25">
      <c r="A152" s="68" t="str">
        <f>A150</f>
        <v>Км6.1.1</v>
      </c>
      <c r="B152" s="66">
        <v>29</v>
      </c>
      <c r="C152" s="66" t="s">
        <v>2762</v>
      </c>
      <c r="D152" s="66" t="s">
        <v>3148</v>
      </c>
      <c r="E152" s="66">
        <v>8</v>
      </c>
      <c r="F152" s="40">
        <v>1.5780000000000001</v>
      </c>
      <c r="G152" s="66"/>
      <c r="H152" s="66">
        <v>1800</v>
      </c>
      <c r="I152" s="66">
        <v>16</v>
      </c>
      <c r="J152" s="66" t="s">
        <v>2</v>
      </c>
      <c r="K152" s="66"/>
      <c r="L152" s="66"/>
      <c r="M152" s="66"/>
      <c r="N152" s="66"/>
      <c r="O152" s="66"/>
      <c r="P152" s="66"/>
      <c r="Q152" s="66"/>
      <c r="R152" s="66"/>
      <c r="S152" s="66" t="s">
        <v>2776</v>
      </c>
      <c r="T152" s="66" t="s">
        <v>2776</v>
      </c>
      <c r="U152" s="69">
        <v>40</v>
      </c>
    </row>
    <row r="153" spans="1:21" ht="33" x14ac:dyDescent="0.25">
      <c r="A153" s="68" t="str">
        <f>A150</f>
        <v>Км6.1.1</v>
      </c>
      <c r="B153" s="66">
        <v>28</v>
      </c>
      <c r="C153" s="66" t="s">
        <v>2762</v>
      </c>
      <c r="D153" s="66" t="s">
        <v>3148</v>
      </c>
      <c r="E153" s="66">
        <v>8</v>
      </c>
      <c r="F153" s="40">
        <v>2.984</v>
      </c>
      <c r="G153" s="66"/>
      <c r="H153" s="66">
        <v>1430</v>
      </c>
      <c r="I153" s="66">
        <v>22</v>
      </c>
      <c r="J153" s="66" t="s">
        <v>2</v>
      </c>
      <c r="K153" s="66"/>
      <c r="L153" s="66"/>
      <c r="M153" s="66"/>
      <c r="N153" s="66"/>
      <c r="O153" s="66"/>
      <c r="P153" s="66"/>
      <c r="Q153" s="66"/>
      <c r="R153" s="66"/>
      <c r="S153" s="66" t="s">
        <v>2776</v>
      </c>
      <c r="T153" s="66" t="s">
        <v>2776</v>
      </c>
      <c r="U153" s="69">
        <v>88</v>
      </c>
    </row>
    <row r="154" spans="1:21" ht="33" x14ac:dyDescent="0.25">
      <c r="A154" s="68" t="str">
        <f>A151</f>
        <v>Км6.1.1</v>
      </c>
      <c r="B154" s="66">
        <v>18</v>
      </c>
      <c r="C154" s="66" t="s">
        <v>2762</v>
      </c>
      <c r="D154" s="66" t="s">
        <v>3148</v>
      </c>
      <c r="E154" s="66">
        <v>8</v>
      </c>
      <c r="F154" s="40">
        <v>1.5780000000000001</v>
      </c>
      <c r="G154" s="66" t="s">
        <v>0</v>
      </c>
      <c r="H154" s="66">
        <v>2630</v>
      </c>
      <c r="I154" s="66">
        <v>16</v>
      </c>
      <c r="J154" s="66" t="s">
        <v>2</v>
      </c>
      <c r="K154" s="66"/>
      <c r="L154" s="66"/>
      <c r="M154" s="66"/>
      <c r="N154" s="66"/>
      <c r="O154" s="66"/>
      <c r="P154" s="66"/>
      <c r="Q154" s="66"/>
      <c r="R154" s="66"/>
      <c r="S154" s="66" t="s">
        <v>2776</v>
      </c>
      <c r="T154" s="66" t="s">
        <v>2776</v>
      </c>
      <c r="U154" s="69">
        <v>40</v>
      </c>
    </row>
    <row r="155" spans="1:21" ht="33" x14ac:dyDescent="0.25">
      <c r="A155" s="68" t="str">
        <f>A147</f>
        <v>Км6.1.1</v>
      </c>
      <c r="B155" s="66">
        <v>2</v>
      </c>
      <c r="C155" s="66" t="s">
        <v>2764</v>
      </c>
      <c r="D155" s="66" t="s">
        <v>2765</v>
      </c>
      <c r="E155" s="66">
        <f>30+2+31+29+29+29+29+33+20</f>
        <v>232</v>
      </c>
      <c r="F155" s="40">
        <v>0.39500000000000002</v>
      </c>
      <c r="G155" s="66" t="s">
        <v>0</v>
      </c>
      <c r="H155" s="66">
        <f>420*4+150</f>
        <v>1830</v>
      </c>
      <c r="I155" s="66">
        <v>8</v>
      </c>
      <c r="J155" s="66" t="s">
        <v>1</v>
      </c>
      <c r="K155" s="66"/>
      <c r="L155" s="66"/>
      <c r="M155" s="66"/>
      <c r="N155" s="66"/>
      <c r="O155" s="66"/>
      <c r="P155" s="66"/>
      <c r="Q155" s="66"/>
      <c r="R155" s="66"/>
      <c r="S155" s="66" t="s">
        <v>2776</v>
      </c>
      <c r="T155" s="66" t="s">
        <v>2776</v>
      </c>
      <c r="U155" s="69">
        <v>10</v>
      </c>
    </row>
    <row r="156" spans="1:21" ht="33" x14ac:dyDescent="0.25">
      <c r="A156" s="68" t="str">
        <f>A148</f>
        <v>Км6.1.1</v>
      </c>
      <c r="B156" s="66">
        <v>30</v>
      </c>
      <c r="C156" s="66" t="s">
        <v>2764</v>
      </c>
      <c r="D156" s="66" t="s">
        <v>2765</v>
      </c>
      <c r="E156" s="66">
        <v>20</v>
      </c>
      <c r="F156" s="40">
        <v>0.39500000000000002</v>
      </c>
      <c r="G156" s="66" t="s">
        <v>0</v>
      </c>
      <c r="H156" s="66">
        <f>310*4+150</f>
        <v>1390</v>
      </c>
      <c r="I156" s="66">
        <v>8</v>
      </c>
      <c r="J156" s="66" t="s">
        <v>1</v>
      </c>
      <c r="K156" s="66"/>
      <c r="L156" s="66"/>
      <c r="M156" s="66"/>
      <c r="N156" s="66"/>
      <c r="O156" s="66"/>
      <c r="P156" s="66"/>
      <c r="Q156" s="66"/>
      <c r="R156" s="66"/>
      <c r="S156" s="66" t="s">
        <v>2776</v>
      </c>
      <c r="T156" s="66" t="s">
        <v>2776</v>
      </c>
      <c r="U156" s="69">
        <v>10</v>
      </c>
    </row>
    <row r="157" spans="1:21" ht="33" x14ac:dyDescent="0.25">
      <c r="A157" s="68" t="str">
        <f>A149</f>
        <v>Км6.1.1</v>
      </c>
      <c r="B157" s="66"/>
      <c r="C157" s="47" t="s">
        <v>2769</v>
      </c>
      <c r="D157" s="47" t="s">
        <v>2770</v>
      </c>
      <c r="E157" s="47">
        <f>(1.5*1.5*0.25)+(0.6*0.6*4.57)</f>
        <v>2.2077</v>
      </c>
      <c r="F157" s="47" t="s">
        <v>4</v>
      </c>
      <c r="G157" s="47" t="s">
        <v>3</v>
      </c>
      <c r="H157" s="66"/>
      <c r="I157" s="66"/>
      <c r="J157" s="66"/>
      <c r="K157" s="66"/>
      <c r="L157" s="66"/>
      <c r="M157" s="66"/>
      <c r="N157" s="66"/>
      <c r="O157" s="66"/>
      <c r="P157" s="66"/>
      <c r="Q157" s="66"/>
      <c r="R157" s="66"/>
      <c r="S157" s="66"/>
      <c r="T157" s="66"/>
      <c r="U157" s="69"/>
    </row>
    <row r="158" spans="1:21" ht="16.5" x14ac:dyDescent="0.25">
      <c r="A158" s="68" t="str">
        <f>A150</f>
        <v>Км6.1.1</v>
      </c>
      <c r="B158" s="66"/>
      <c r="C158" s="47" t="s">
        <v>2769</v>
      </c>
      <c r="D158" s="47" t="s">
        <v>2771</v>
      </c>
      <c r="E158" s="47">
        <f>29*0.5*0.5</f>
        <v>7.25</v>
      </c>
      <c r="F158" s="47" t="s">
        <v>4</v>
      </c>
      <c r="G158" s="47" t="s">
        <v>3</v>
      </c>
      <c r="H158" s="66"/>
      <c r="I158" s="66"/>
      <c r="J158" s="66"/>
      <c r="K158" s="66"/>
      <c r="L158" s="66"/>
      <c r="M158" s="66"/>
      <c r="N158" s="66"/>
      <c r="O158" s="66"/>
      <c r="P158" s="66"/>
      <c r="Q158" s="66"/>
      <c r="R158" s="66"/>
      <c r="S158" s="66"/>
      <c r="T158" s="66"/>
      <c r="U158" s="69"/>
    </row>
    <row r="159" spans="1:21" ht="16.5" x14ac:dyDescent="0.25">
      <c r="A159" s="68" t="str">
        <f>A151</f>
        <v>Км6.1.1</v>
      </c>
      <c r="B159" s="66"/>
      <c r="C159" s="73" t="s">
        <v>2772</v>
      </c>
      <c r="D159" s="73" t="s">
        <v>2773</v>
      </c>
      <c r="E159" s="73">
        <v>8</v>
      </c>
      <c r="F159" s="73">
        <v>94.2</v>
      </c>
      <c r="G159" s="73"/>
      <c r="H159" s="66"/>
      <c r="I159" s="66"/>
      <c r="J159" s="66"/>
      <c r="K159" s="40">
        <f>120*120</f>
        <v>14400</v>
      </c>
      <c r="L159" s="66" t="s">
        <v>2344</v>
      </c>
      <c r="M159" s="66" t="s">
        <v>2339</v>
      </c>
      <c r="N159" s="66"/>
      <c r="O159" s="66" t="s">
        <v>2351</v>
      </c>
      <c r="P159" s="66"/>
      <c r="Q159" s="66"/>
      <c r="R159" s="66"/>
      <c r="S159" s="66"/>
      <c r="T159" s="66"/>
      <c r="U159" s="69"/>
    </row>
    <row r="160" spans="1:21" ht="16.5" x14ac:dyDescent="0.25">
      <c r="A160" s="42"/>
      <c r="B160" s="42"/>
      <c r="C160" s="42"/>
      <c r="D160" s="42"/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</row>
    <row r="161" spans="1:21" ht="16.5" x14ac:dyDescent="0.25">
      <c r="A161" s="39" t="s">
        <v>2757</v>
      </c>
      <c r="B161" s="40" t="s">
        <v>2757</v>
      </c>
      <c r="C161" s="40"/>
      <c r="D161" s="40"/>
      <c r="E161" s="40"/>
      <c r="F161" s="40"/>
      <c r="G161" s="40"/>
      <c r="H161" s="40"/>
      <c r="I161" s="40"/>
      <c r="J161" s="40"/>
      <c r="K161" s="40"/>
      <c r="L161" s="40"/>
      <c r="M161" s="40"/>
      <c r="N161" s="40"/>
      <c r="O161" s="40"/>
      <c r="P161" s="40"/>
      <c r="Q161" s="40"/>
      <c r="R161" s="40"/>
      <c r="S161" s="40"/>
      <c r="T161" s="40"/>
      <c r="U161" s="41"/>
    </row>
    <row r="162" spans="1:21" ht="33" x14ac:dyDescent="0.25">
      <c r="A162" s="43" t="str">
        <f>B162</f>
        <v>Км6.1.2</v>
      </c>
      <c r="B162" s="44" t="s">
        <v>2817</v>
      </c>
      <c r="C162" s="44"/>
      <c r="D162" s="44" t="s">
        <v>2818</v>
      </c>
      <c r="E162" s="44">
        <v>1</v>
      </c>
      <c r="F162" s="44"/>
      <c r="G162" s="44"/>
      <c r="H162" s="44"/>
      <c r="I162" s="44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  <c r="U162" s="45"/>
    </row>
    <row r="163" spans="1:21" ht="33" x14ac:dyDescent="0.25">
      <c r="A163" s="68" t="str">
        <f>A162</f>
        <v>Км6.1.2</v>
      </c>
      <c r="B163" s="66">
        <v>19</v>
      </c>
      <c r="C163" s="66" t="s">
        <v>2762</v>
      </c>
      <c r="D163" s="66" t="s">
        <v>2763</v>
      </c>
      <c r="E163" s="66">
        <v>4</v>
      </c>
      <c r="F163" s="40">
        <v>2.4660000000000002</v>
      </c>
      <c r="G163" s="66" t="s">
        <v>0</v>
      </c>
      <c r="H163" s="66">
        <v>5080</v>
      </c>
      <c r="I163" s="66">
        <v>20</v>
      </c>
      <c r="J163" s="66" t="s">
        <v>2</v>
      </c>
      <c r="K163" s="66"/>
      <c r="L163" s="66"/>
      <c r="M163" s="66"/>
      <c r="N163" s="66"/>
      <c r="O163" s="66"/>
      <c r="P163" s="66"/>
      <c r="Q163" s="66"/>
      <c r="R163" s="66"/>
      <c r="S163" s="66" t="s">
        <v>2776</v>
      </c>
      <c r="T163" s="66" t="s">
        <v>2776</v>
      </c>
      <c r="U163" s="69">
        <v>80</v>
      </c>
    </row>
    <row r="164" spans="1:21" ht="33" x14ac:dyDescent="0.25">
      <c r="A164" s="68" t="str">
        <f>A163</f>
        <v>Км6.1.2</v>
      </c>
      <c r="B164" s="66">
        <v>9</v>
      </c>
      <c r="C164" s="66" t="s">
        <v>2762</v>
      </c>
      <c r="D164" s="66" t="s">
        <v>2763</v>
      </c>
      <c r="E164" s="66">
        <v>4</v>
      </c>
      <c r="F164" s="40">
        <v>1.5780000000000001</v>
      </c>
      <c r="G164" s="66" t="s">
        <v>0</v>
      </c>
      <c r="H164" s="66">
        <v>5870</v>
      </c>
      <c r="I164" s="66">
        <v>16</v>
      </c>
      <c r="J164" s="66" t="s">
        <v>2</v>
      </c>
      <c r="K164" s="66"/>
      <c r="L164" s="66"/>
      <c r="M164" s="66"/>
      <c r="N164" s="66"/>
      <c r="O164" s="66"/>
      <c r="P164" s="66"/>
      <c r="Q164" s="66"/>
      <c r="R164" s="66"/>
      <c r="S164" s="66" t="s">
        <v>2776</v>
      </c>
      <c r="T164" s="66" t="s">
        <v>2776</v>
      </c>
      <c r="U164" s="69">
        <v>40</v>
      </c>
    </row>
    <row r="165" spans="1:21" ht="33" x14ac:dyDescent="0.25">
      <c r="A165" s="68" t="str">
        <f>A164</f>
        <v>Км6.1.2</v>
      </c>
      <c r="B165" s="66">
        <v>13</v>
      </c>
      <c r="C165" s="66" t="s">
        <v>2764</v>
      </c>
      <c r="D165" s="66" t="s">
        <v>3156</v>
      </c>
      <c r="E165" s="66">
        <f>38</f>
        <v>38</v>
      </c>
      <c r="F165" s="40">
        <v>0.39500000000000002</v>
      </c>
      <c r="G165" s="66" t="s">
        <v>0</v>
      </c>
      <c r="H165" s="66">
        <f>520*4+150</f>
        <v>2230</v>
      </c>
      <c r="I165" s="66">
        <v>8</v>
      </c>
      <c r="J165" s="66" t="s">
        <v>1</v>
      </c>
      <c r="K165" s="66"/>
      <c r="L165" s="66"/>
      <c r="M165" s="66"/>
      <c r="N165" s="66"/>
      <c r="O165" s="66"/>
      <c r="P165" s="66"/>
      <c r="Q165" s="66"/>
      <c r="R165" s="66"/>
      <c r="S165" s="66" t="s">
        <v>2776</v>
      </c>
      <c r="T165" s="66" t="s">
        <v>2776</v>
      </c>
      <c r="U165" s="69">
        <v>10</v>
      </c>
    </row>
    <row r="166" spans="1:21" ht="33" x14ac:dyDescent="0.25">
      <c r="A166" s="68" t="str">
        <f>A165</f>
        <v>Км6.1.2</v>
      </c>
      <c r="B166" s="66">
        <v>14</v>
      </c>
      <c r="C166" s="66" t="s">
        <v>2764</v>
      </c>
      <c r="D166" s="66" t="s">
        <v>3156</v>
      </c>
      <c r="E166" s="66">
        <f>38</f>
        <v>38</v>
      </c>
      <c r="F166" s="40">
        <v>0.39500000000000002</v>
      </c>
      <c r="G166" s="66" t="s">
        <v>0</v>
      </c>
      <c r="H166" s="66">
        <f>370*4+150</f>
        <v>1630</v>
      </c>
      <c r="I166" s="66">
        <v>8</v>
      </c>
      <c r="J166" s="66" t="s">
        <v>1</v>
      </c>
      <c r="K166" s="66"/>
      <c r="L166" s="66"/>
      <c r="M166" s="66"/>
      <c r="N166" s="66"/>
      <c r="O166" s="66"/>
      <c r="P166" s="66"/>
      <c r="Q166" s="66"/>
      <c r="R166" s="66"/>
      <c r="S166" s="66" t="s">
        <v>2776</v>
      </c>
      <c r="T166" s="66" t="s">
        <v>2776</v>
      </c>
      <c r="U166" s="69">
        <v>10</v>
      </c>
    </row>
    <row r="167" spans="1:21" ht="33" x14ac:dyDescent="0.25">
      <c r="A167" s="68" t="str">
        <f>A165</f>
        <v>Км6.1.2</v>
      </c>
      <c r="B167" s="66">
        <v>3</v>
      </c>
      <c r="C167" s="66" t="s">
        <v>2762</v>
      </c>
      <c r="D167" s="66" t="s">
        <v>2766</v>
      </c>
      <c r="E167" s="66">
        <v>4</v>
      </c>
      <c r="F167" s="40">
        <v>2.4660000000000002</v>
      </c>
      <c r="G167" s="66"/>
      <c r="H167" s="66">
        <v>4500</v>
      </c>
      <c r="I167" s="66">
        <v>20</v>
      </c>
      <c r="J167" s="66" t="s">
        <v>2</v>
      </c>
      <c r="K167" s="66"/>
      <c r="L167" s="66"/>
      <c r="M167" s="66"/>
      <c r="N167" s="66"/>
      <c r="O167" s="66"/>
      <c r="P167" s="66"/>
      <c r="Q167" s="66"/>
      <c r="R167" s="66"/>
      <c r="S167" s="66" t="s">
        <v>2776</v>
      </c>
      <c r="T167" s="66" t="s">
        <v>2776</v>
      </c>
      <c r="U167" s="69">
        <v>80</v>
      </c>
    </row>
    <row r="168" spans="1:21" ht="33" x14ac:dyDescent="0.25">
      <c r="A168" s="68" t="str">
        <f>A166</f>
        <v>Км6.1.2</v>
      </c>
      <c r="B168" s="66">
        <v>4</v>
      </c>
      <c r="C168" s="66" t="s">
        <v>2762</v>
      </c>
      <c r="D168" s="66" t="s">
        <v>2767</v>
      </c>
      <c r="E168" s="66">
        <f>4*5</f>
        <v>20</v>
      </c>
      <c r="F168" s="40">
        <v>2.4660000000000002</v>
      </c>
      <c r="G168" s="66"/>
      <c r="H168" s="66">
        <v>4050</v>
      </c>
      <c r="I168" s="66">
        <v>20</v>
      </c>
      <c r="J168" s="66" t="s">
        <v>2</v>
      </c>
      <c r="K168" s="66"/>
      <c r="L168" s="66"/>
      <c r="M168" s="66"/>
      <c r="N168" s="66"/>
      <c r="O168" s="66"/>
      <c r="P168" s="66"/>
      <c r="Q168" s="66"/>
      <c r="R168" s="66"/>
      <c r="S168" s="66" t="s">
        <v>2776</v>
      </c>
      <c r="T168" s="66" t="s">
        <v>2776</v>
      </c>
      <c r="U168" s="69">
        <v>80</v>
      </c>
    </row>
    <row r="169" spans="1:21" ht="33" x14ac:dyDescent="0.25">
      <c r="A169" s="68" t="str">
        <f>A167</f>
        <v>Км6.1.2</v>
      </c>
      <c r="B169" s="66">
        <v>27</v>
      </c>
      <c r="C169" s="66" t="s">
        <v>2762</v>
      </c>
      <c r="D169" s="66" t="s">
        <v>3147</v>
      </c>
      <c r="E169" s="66">
        <v>4</v>
      </c>
      <c r="F169" s="40">
        <v>2.984</v>
      </c>
      <c r="G169" s="66"/>
      <c r="H169" s="66">
        <v>3820</v>
      </c>
      <c r="I169" s="66">
        <v>22</v>
      </c>
      <c r="J169" s="66" t="s">
        <v>2</v>
      </c>
      <c r="K169" s="66"/>
      <c r="L169" s="66"/>
      <c r="M169" s="66"/>
      <c r="N169" s="66"/>
      <c r="O169" s="66"/>
      <c r="P169" s="66"/>
      <c r="Q169" s="66"/>
      <c r="R169" s="66"/>
      <c r="S169" s="66" t="s">
        <v>2776</v>
      </c>
      <c r="T169" s="66" t="s">
        <v>2776</v>
      </c>
      <c r="U169" s="69">
        <v>88</v>
      </c>
    </row>
    <row r="170" spans="1:21" ht="33" x14ac:dyDescent="0.25">
      <c r="A170" s="68" t="str">
        <f>A168</f>
        <v>Км6.1.2</v>
      </c>
      <c r="B170" s="66">
        <v>29</v>
      </c>
      <c r="C170" s="66" t="s">
        <v>2762</v>
      </c>
      <c r="D170" s="66" t="s">
        <v>3148</v>
      </c>
      <c r="E170" s="66">
        <v>8</v>
      </c>
      <c r="F170" s="40">
        <v>1.5780000000000001</v>
      </c>
      <c r="G170" s="66"/>
      <c r="H170" s="66">
        <v>1800</v>
      </c>
      <c r="I170" s="66">
        <v>16</v>
      </c>
      <c r="J170" s="66" t="s">
        <v>2</v>
      </c>
      <c r="K170" s="66"/>
      <c r="L170" s="66"/>
      <c r="M170" s="66"/>
      <c r="N170" s="66"/>
      <c r="O170" s="66"/>
      <c r="P170" s="66"/>
      <c r="Q170" s="66"/>
      <c r="R170" s="66"/>
      <c r="S170" s="66" t="s">
        <v>2776</v>
      </c>
      <c r="T170" s="66" t="s">
        <v>2776</v>
      </c>
      <c r="U170" s="69">
        <v>40</v>
      </c>
    </row>
    <row r="171" spans="1:21" ht="33" x14ac:dyDescent="0.25">
      <c r="A171" s="68" t="str">
        <f>A168</f>
        <v>Км6.1.2</v>
      </c>
      <c r="B171" s="66">
        <v>28</v>
      </c>
      <c r="C171" s="66" t="s">
        <v>2762</v>
      </c>
      <c r="D171" s="66" t="s">
        <v>3148</v>
      </c>
      <c r="E171" s="66">
        <v>8</v>
      </c>
      <c r="F171" s="40">
        <v>2.984</v>
      </c>
      <c r="G171" s="66"/>
      <c r="H171" s="66">
        <v>1430</v>
      </c>
      <c r="I171" s="66">
        <v>22</v>
      </c>
      <c r="J171" s="66" t="s">
        <v>2</v>
      </c>
      <c r="K171" s="66"/>
      <c r="L171" s="66"/>
      <c r="M171" s="66"/>
      <c r="N171" s="66"/>
      <c r="O171" s="66"/>
      <c r="P171" s="66"/>
      <c r="Q171" s="66"/>
      <c r="R171" s="66"/>
      <c r="S171" s="66" t="s">
        <v>2776</v>
      </c>
      <c r="T171" s="66" t="s">
        <v>2776</v>
      </c>
      <c r="U171" s="69">
        <v>88</v>
      </c>
    </row>
    <row r="172" spans="1:21" ht="33" x14ac:dyDescent="0.25">
      <c r="A172" s="68" t="str">
        <f>A169</f>
        <v>Км6.1.2</v>
      </c>
      <c r="B172" s="66">
        <v>18</v>
      </c>
      <c r="C172" s="66" t="s">
        <v>2762</v>
      </c>
      <c r="D172" s="66" t="s">
        <v>3148</v>
      </c>
      <c r="E172" s="66">
        <v>8</v>
      </c>
      <c r="F172" s="40">
        <v>1.5780000000000001</v>
      </c>
      <c r="G172" s="66" t="s">
        <v>0</v>
      </c>
      <c r="H172" s="66">
        <v>2630</v>
      </c>
      <c r="I172" s="66">
        <v>16</v>
      </c>
      <c r="J172" s="66" t="s">
        <v>2</v>
      </c>
      <c r="K172" s="66"/>
      <c r="L172" s="66"/>
      <c r="M172" s="66"/>
      <c r="N172" s="66"/>
      <c r="O172" s="66"/>
      <c r="P172" s="66"/>
      <c r="Q172" s="66"/>
      <c r="R172" s="66"/>
      <c r="S172" s="66" t="s">
        <v>2776</v>
      </c>
      <c r="T172" s="66" t="s">
        <v>2776</v>
      </c>
      <c r="U172" s="69">
        <v>40</v>
      </c>
    </row>
    <row r="173" spans="1:21" ht="33" x14ac:dyDescent="0.25">
      <c r="A173" s="68" t="str">
        <f>A165</f>
        <v>Км6.1.2</v>
      </c>
      <c r="B173" s="66">
        <v>2</v>
      </c>
      <c r="C173" s="66" t="s">
        <v>2764</v>
      </c>
      <c r="D173" s="66" t="s">
        <v>2765</v>
      </c>
      <c r="E173" s="66">
        <f>30+2+31+29+29+29+29+1+33+20</f>
        <v>233</v>
      </c>
      <c r="F173" s="40">
        <v>0.39500000000000002</v>
      </c>
      <c r="G173" s="66" t="s">
        <v>0</v>
      </c>
      <c r="H173" s="66">
        <f>420*4+150</f>
        <v>1830</v>
      </c>
      <c r="I173" s="66">
        <v>8</v>
      </c>
      <c r="J173" s="66" t="s">
        <v>1</v>
      </c>
      <c r="K173" s="66"/>
      <c r="L173" s="66"/>
      <c r="M173" s="66"/>
      <c r="N173" s="66"/>
      <c r="O173" s="66"/>
      <c r="P173" s="66"/>
      <c r="Q173" s="66"/>
      <c r="R173" s="66"/>
      <c r="S173" s="66" t="s">
        <v>2776</v>
      </c>
      <c r="T173" s="66" t="s">
        <v>2776</v>
      </c>
      <c r="U173" s="69">
        <v>10</v>
      </c>
    </row>
    <row r="174" spans="1:21" ht="33" x14ac:dyDescent="0.25">
      <c r="A174" s="68" t="str">
        <f>A166</f>
        <v>Км6.1.2</v>
      </c>
      <c r="B174" s="66">
        <v>30</v>
      </c>
      <c r="C174" s="66" t="s">
        <v>2764</v>
      </c>
      <c r="D174" s="66" t="s">
        <v>2765</v>
      </c>
      <c r="E174" s="66">
        <v>20</v>
      </c>
      <c r="F174" s="40">
        <v>0.39500000000000002</v>
      </c>
      <c r="G174" s="66" t="s">
        <v>0</v>
      </c>
      <c r="H174" s="66">
        <f>310*4+150</f>
        <v>1390</v>
      </c>
      <c r="I174" s="66">
        <v>8</v>
      </c>
      <c r="J174" s="66" t="s">
        <v>1</v>
      </c>
      <c r="K174" s="66"/>
      <c r="L174" s="66"/>
      <c r="M174" s="66"/>
      <c r="N174" s="66"/>
      <c r="O174" s="66"/>
      <c r="P174" s="66"/>
      <c r="Q174" s="66"/>
      <c r="R174" s="66"/>
      <c r="S174" s="66" t="s">
        <v>2776</v>
      </c>
      <c r="T174" s="66" t="s">
        <v>2776</v>
      </c>
      <c r="U174" s="69">
        <v>10</v>
      </c>
    </row>
    <row r="175" spans="1:21" ht="33" x14ac:dyDescent="0.25">
      <c r="A175" s="68" t="str">
        <f>A167</f>
        <v>Км6.1.2</v>
      </c>
      <c r="B175" s="66"/>
      <c r="C175" s="47" t="s">
        <v>2769</v>
      </c>
      <c r="D175" s="47" t="s">
        <v>2770</v>
      </c>
      <c r="E175" s="47">
        <f>(1.5*1.5*0.25)+(0.6*0.6*4.57)</f>
        <v>2.2077</v>
      </c>
      <c r="F175" s="47" t="s">
        <v>4</v>
      </c>
      <c r="G175" s="47" t="s">
        <v>3</v>
      </c>
      <c r="H175" s="66"/>
      <c r="I175" s="66"/>
      <c r="J175" s="66"/>
      <c r="K175" s="66"/>
      <c r="L175" s="66"/>
      <c r="M175" s="66"/>
      <c r="N175" s="66"/>
      <c r="O175" s="66"/>
      <c r="P175" s="66"/>
      <c r="Q175" s="66"/>
      <c r="R175" s="66"/>
      <c r="S175" s="66"/>
      <c r="T175" s="66"/>
      <c r="U175" s="69"/>
    </row>
    <row r="176" spans="1:21" ht="16.5" x14ac:dyDescent="0.25">
      <c r="A176" s="68" t="str">
        <f>A168</f>
        <v>Км6.1.2</v>
      </c>
      <c r="B176" s="66"/>
      <c r="C176" s="47" t="s">
        <v>2769</v>
      </c>
      <c r="D176" s="47" t="s">
        <v>2771</v>
      </c>
      <c r="E176" s="47">
        <f>29*0.5*0.5</f>
        <v>7.25</v>
      </c>
      <c r="F176" s="47" t="s">
        <v>4</v>
      </c>
      <c r="G176" s="47" t="s">
        <v>3</v>
      </c>
      <c r="H176" s="66"/>
      <c r="I176" s="66"/>
      <c r="J176" s="66"/>
      <c r="K176" s="66"/>
      <c r="L176" s="66"/>
      <c r="M176" s="66"/>
      <c r="N176" s="66"/>
      <c r="O176" s="66"/>
      <c r="P176" s="66"/>
      <c r="Q176" s="66"/>
      <c r="R176" s="66"/>
      <c r="S176" s="66"/>
      <c r="T176" s="66"/>
      <c r="U176" s="69"/>
    </row>
    <row r="177" spans="1:21" ht="16.5" x14ac:dyDescent="0.25">
      <c r="A177" s="68" t="str">
        <f>A169</f>
        <v>Км6.1.2</v>
      </c>
      <c r="B177" s="66"/>
      <c r="C177" s="73" t="s">
        <v>2772</v>
      </c>
      <c r="D177" s="73" t="s">
        <v>2773</v>
      </c>
      <c r="E177" s="73">
        <v>8</v>
      </c>
      <c r="F177" s="73">
        <v>94.2</v>
      </c>
      <c r="G177" s="73"/>
      <c r="H177" s="66"/>
      <c r="I177" s="66"/>
      <c r="J177" s="66"/>
      <c r="K177" s="40">
        <f>120*120</f>
        <v>14400</v>
      </c>
      <c r="L177" s="66" t="s">
        <v>2344</v>
      </c>
      <c r="M177" s="66" t="s">
        <v>2339</v>
      </c>
      <c r="N177" s="66"/>
      <c r="O177" s="66" t="s">
        <v>2351</v>
      </c>
      <c r="P177" s="66"/>
      <c r="Q177" s="66"/>
      <c r="R177" s="66"/>
      <c r="S177" s="66"/>
      <c r="T177" s="66"/>
      <c r="U177" s="69"/>
    </row>
    <row r="178" spans="1:21" ht="16.5" x14ac:dyDescent="0.25">
      <c r="A178" s="42"/>
      <c r="B178" s="42"/>
      <c r="C178" s="42"/>
      <c r="D178" s="42"/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</row>
    <row r="179" spans="1:21" ht="16.5" x14ac:dyDescent="0.25">
      <c r="A179" s="42"/>
      <c r="B179" s="42"/>
      <c r="C179" s="42"/>
      <c r="D179" s="42"/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</row>
    <row r="180" spans="1:21" ht="16.5" x14ac:dyDescent="0.25">
      <c r="A180" s="39" t="s">
        <v>2757</v>
      </c>
      <c r="B180" s="40" t="s">
        <v>2757</v>
      </c>
      <c r="C180" s="40"/>
      <c r="D180" s="40"/>
      <c r="E180" s="40"/>
      <c r="F180" s="40"/>
      <c r="G180" s="40"/>
      <c r="H180" s="40"/>
      <c r="I180" s="40"/>
      <c r="J180" s="40"/>
      <c r="K180" s="40"/>
      <c r="L180" s="40"/>
      <c r="M180" s="40"/>
      <c r="N180" s="40"/>
      <c r="O180" s="40"/>
      <c r="P180" s="40"/>
      <c r="Q180" s="40"/>
      <c r="R180" s="40"/>
      <c r="S180" s="40"/>
      <c r="T180" s="40"/>
      <c r="U180" s="41"/>
    </row>
    <row r="181" spans="1:21" ht="33" x14ac:dyDescent="0.25">
      <c r="A181" s="43" t="str">
        <f>B181</f>
        <v>Км3.2</v>
      </c>
      <c r="B181" s="44" t="s">
        <v>2820</v>
      </c>
      <c r="C181" s="44"/>
      <c r="D181" s="44" t="s">
        <v>2821</v>
      </c>
      <c r="E181" s="44">
        <v>1</v>
      </c>
      <c r="F181" s="44"/>
      <c r="G181" s="44"/>
      <c r="H181" s="44"/>
      <c r="I181" s="44"/>
      <c r="J181" s="44"/>
      <c r="K181" s="44"/>
      <c r="L181" s="44"/>
      <c r="M181" s="44"/>
      <c r="N181" s="44"/>
      <c r="O181" s="44"/>
      <c r="P181" s="44"/>
      <c r="Q181" s="44"/>
      <c r="R181" s="44"/>
      <c r="S181" s="44"/>
      <c r="T181" s="44"/>
      <c r="U181" s="45"/>
    </row>
    <row r="182" spans="1:21" ht="33" x14ac:dyDescent="0.25">
      <c r="A182" s="68" t="str">
        <f>A181</f>
        <v>Км3.2</v>
      </c>
      <c r="B182" s="66">
        <v>1</v>
      </c>
      <c r="C182" s="66" t="s">
        <v>2762</v>
      </c>
      <c r="D182" s="66" t="s">
        <v>2763</v>
      </c>
      <c r="E182" s="66">
        <v>4</v>
      </c>
      <c r="F182" s="40">
        <v>2.984</v>
      </c>
      <c r="G182" s="66" t="s">
        <v>0</v>
      </c>
      <c r="H182" s="66">
        <v>5070</v>
      </c>
      <c r="I182" s="66">
        <v>22</v>
      </c>
      <c r="J182" s="66" t="s">
        <v>2</v>
      </c>
      <c r="K182" s="66"/>
      <c r="L182" s="66"/>
      <c r="M182" s="66"/>
      <c r="N182" s="66"/>
      <c r="O182" s="66"/>
      <c r="P182" s="66"/>
      <c r="Q182" s="66"/>
      <c r="R182" s="66"/>
      <c r="S182" s="66" t="s">
        <v>2776</v>
      </c>
      <c r="T182" s="66" t="s">
        <v>2776</v>
      </c>
      <c r="U182" s="69">
        <v>88</v>
      </c>
    </row>
    <row r="183" spans="1:21" ht="33" x14ac:dyDescent="0.25">
      <c r="A183" s="68" t="str">
        <f t="shared" ref="A183:A190" si="6">A182</f>
        <v>Км3.2</v>
      </c>
      <c r="B183" s="66">
        <v>9</v>
      </c>
      <c r="C183" s="66" t="s">
        <v>2762</v>
      </c>
      <c r="D183" s="66" t="s">
        <v>2763</v>
      </c>
      <c r="E183" s="66">
        <v>4</v>
      </c>
      <c r="F183" s="40">
        <v>1.5780000000000001</v>
      </c>
      <c r="G183" s="66" t="s">
        <v>0</v>
      </c>
      <c r="H183" s="66">
        <v>5870</v>
      </c>
      <c r="I183" s="66">
        <v>16</v>
      </c>
      <c r="J183" s="66" t="s">
        <v>2</v>
      </c>
      <c r="K183" s="66"/>
      <c r="L183" s="66"/>
      <c r="M183" s="66"/>
      <c r="N183" s="66"/>
      <c r="O183" s="66"/>
      <c r="P183" s="66"/>
      <c r="Q183" s="66"/>
      <c r="R183" s="66"/>
      <c r="S183" s="66" t="s">
        <v>2776</v>
      </c>
      <c r="T183" s="66" t="s">
        <v>2776</v>
      </c>
      <c r="U183" s="69">
        <v>40</v>
      </c>
    </row>
    <row r="184" spans="1:21" ht="33" x14ac:dyDescent="0.25">
      <c r="A184" s="68" t="str">
        <f t="shared" si="6"/>
        <v>Км3.2</v>
      </c>
      <c r="B184" s="66">
        <v>3</v>
      </c>
      <c r="C184" s="66" t="s">
        <v>2762</v>
      </c>
      <c r="D184" s="66" t="s">
        <v>2766</v>
      </c>
      <c r="E184" s="66">
        <v>4</v>
      </c>
      <c r="F184" s="40">
        <v>2.4660000000000002</v>
      </c>
      <c r="G184" s="66"/>
      <c r="H184" s="66">
        <v>4500</v>
      </c>
      <c r="I184" s="66">
        <v>20</v>
      </c>
      <c r="J184" s="66" t="s">
        <v>2</v>
      </c>
      <c r="K184" s="66"/>
      <c r="L184" s="66"/>
      <c r="M184" s="66"/>
      <c r="N184" s="66"/>
      <c r="O184" s="66"/>
      <c r="P184" s="66"/>
      <c r="Q184" s="66"/>
      <c r="R184" s="66"/>
      <c r="S184" s="66" t="s">
        <v>2776</v>
      </c>
      <c r="T184" s="66" t="s">
        <v>2776</v>
      </c>
      <c r="U184" s="69">
        <v>80</v>
      </c>
    </row>
    <row r="185" spans="1:21" ht="33" x14ac:dyDescent="0.25">
      <c r="A185" s="68" t="str">
        <f t="shared" si="6"/>
        <v>Км3.2</v>
      </c>
      <c r="B185" s="66">
        <v>4</v>
      </c>
      <c r="C185" s="66" t="s">
        <v>2762</v>
      </c>
      <c r="D185" s="66" t="s">
        <v>2767</v>
      </c>
      <c r="E185" s="66">
        <f>4*5</f>
        <v>20</v>
      </c>
      <c r="F185" s="40">
        <v>2.4660000000000002</v>
      </c>
      <c r="G185" s="66"/>
      <c r="H185" s="66">
        <v>4050</v>
      </c>
      <c r="I185" s="66">
        <v>20</v>
      </c>
      <c r="J185" s="66" t="s">
        <v>2</v>
      </c>
      <c r="K185" s="66"/>
      <c r="L185" s="66"/>
      <c r="M185" s="66"/>
      <c r="N185" s="66"/>
      <c r="O185" s="66"/>
      <c r="P185" s="66"/>
      <c r="Q185" s="66"/>
      <c r="R185" s="66"/>
      <c r="S185" s="66" t="s">
        <v>2776</v>
      </c>
      <c r="T185" s="66" t="s">
        <v>2776</v>
      </c>
      <c r="U185" s="69">
        <v>80</v>
      </c>
    </row>
    <row r="186" spans="1:21" ht="33" x14ac:dyDescent="0.25">
      <c r="A186" s="68" t="str">
        <f t="shared" si="6"/>
        <v>Км3.2</v>
      </c>
      <c r="B186" s="66">
        <v>23</v>
      </c>
      <c r="C186" s="66" t="s">
        <v>2762</v>
      </c>
      <c r="D186" s="66" t="s">
        <v>2768</v>
      </c>
      <c r="E186" s="66">
        <v>4</v>
      </c>
      <c r="F186" s="40">
        <v>2.4660000000000002</v>
      </c>
      <c r="G186" s="66"/>
      <c r="H186" s="66">
        <v>2720</v>
      </c>
      <c r="I186" s="66">
        <v>20</v>
      </c>
      <c r="J186" s="66" t="s">
        <v>2</v>
      </c>
      <c r="K186" s="66"/>
      <c r="L186" s="66"/>
      <c r="M186" s="66"/>
      <c r="N186" s="66"/>
      <c r="O186" s="66"/>
      <c r="P186" s="66"/>
      <c r="Q186" s="66"/>
      <c r="R186" s="66"/>
      <c r="S186" s="66" t="s">
        <v>2776</v>
      </c>
      <c r="T186" s="66" t="s">
        <v>2776</v>
      </c>
      <c r="U186" s="69">
        <v>80</v>
      </c>
    </row>
    <row r="187" spans="1:21" ht="33" x14ac:dyDescent="0.25">
      <c r="A187" s="68" t="str">
        <f t="shared" si="6"/>
        <v>Км3.2</v>
      </c>
      <c r="B187" s="66">
        <v>24</v>
      </c>
      <c r="C187" s="66" t="s">
        <v>2762</v>
      </c>
      <c r="D187" s="66" t="s">
        <v>2768</v>
      </c>
      <c r="E187" s="66">
        <v>4</v>
      </c>
      <c r="F187" s="40">
        <v>1.5780000000000001</v>
      </c>
      <c r="G187" s="66"/>
      <c r="H187" s="66">
        <v>4320</v>
      </c>
      <c r="I187" s="66">
        <v>16</v>
      </c>
      <c r="J187" s="66" t="s">
        <v>2</v>
      </c>
      <c r="K187" s="66"/>
      <c r="L187" s="66"/>
      <c r="M187" s="66"/>
      <c r="N187" s="66"/>
      <c r="O187" s="66"/>
      <c r="P187" s="66"/>
      <c r="Q187" s="66"/>
      <c r="R187" s="66"/>
      <c r="S187" s="66" t="s">
        <v>2776</v>
      </c>
      <c r="T187" s="66" t="s">
        <v>2776</v>
      </c>
      <c r="U187" s="69">
        <v>40</v>
      </c>
    </row>
    <row r="188" spans="1:21" ht="33" x14ac:dyDescent="0.25">
      <c r="A188" s="68" t="str">
        <f t="shared" si="6"/>
        <v>Км3.2</v>
      </c>
      <c r="B188" s="66">
        <v>2</v>
      </c>
      <c r="C188" s="66" t="s">
        <v>2764</v>
      </c>
      <c r="D188" s="66" t="s">
        <v>2765</v>
      </c>
      <c r="E188" s="66">
        <f>38+29+2+29+29+29+29+27+2+30</f>
        <v>244</v>
      </c>
      <c r="F188" s="40">
        <v>0.39500000000000002</v>
      </c>
      <c r="G188" s="66" t="s">
        <v>0</v>
      </c>
      <c r="H188" s="66">
        <f>420*4+150</f>
        <v>1830</v>
      </c>
      <c r="I188" s="66">
        <v>8</v>
      </c>
      <c r="J188" s="66" t="s">
        <v>1</v>
      </c>
      <c r="K188" s="66"/>
      <c r="L188" s="66"/>
      <c r="M188" s="66"/>
      <c r="N188" s="66"/>
      <c r="O188" s="66"/>
      <c r="P188" s="66"/>
      <c r="Q188" s="66"/>
      <c r="R188" s="66"/>
      <c r="S188" s="66" t="s">
        <v>2776</v>
      </c>
      <c r="T188" s="66" t="s">
        <v>2776</v>
      </c>
      <c r="U188" s="69">
        <v>10</v>
      </c>
    </row>
    <row r="189" spans="1:21" ht="33" x14ac:dyDescent="0.25">
      <c r="A189" s="68" t="str">
        <f t="shared" si="6"/>
        <v>Км3.2</v>
      </c>
      <c r="B189" s="66"/>
      <c r="C189" s="47" t="s">
        <v>2769</v>
      </c>
      <c r="D189" s="47" t="s">
        <v>2770</v>
      </c>
      <c r="E189" s="47">
        <f>(1.5*1.5*0.25)+(1*1*0.25)+(0.5*0.5*4.32)</f>
        <v>1.8925000000000001</v>
      </c>
      <c r="F189" s="47" t="s">
        <v>4</v>
      </c>
      <c r="G189" s="47" t="s">
        <v>3</v>
      </c>
      <c r="H189" s="66"/>
      <c r="I189" s="66"/>
      <c r="J189" s="66"/>
      <c r="K189" s="66"/>
      <c r="L189" s="66"/>
      <c r="M189" s="66"/>
      <c r="N189" s="66"/>
      <c r="O189" s="66"/>
      <c r="P189" s="66"/>
      <c r="Q189" s="66"/>
      <c r="R189" s="66"/>
      <c r="S189" s="66"/>
      <c r="T189" s="66"/>
      <c r="U189" s="69"/>
    </row>
    <row r="190" spans="1:21" ht="16.5" x14ac:dyDescent="0.25">
      <c r="A190" s="68" t="str">
        <f t="shared" si="6"/>
        <v>Км3.2</v>
      </c>
      <c r="B190" s="66"/>
      <c r="C190" s="47" t="s">
        <v>2769</v>
      </c>
      <c r="D190" s="47" t="s">
        <v>2771</v>
      </c>
      <c r="E190" s="47">
        <f>26.47*0.5*0.5</f>
        <v>6.6174999999999997</v>
      </c>
      <c r="F190" s="47" t="s">
        <v>4</v>
      </c>
      <c r="G190" s="47" t="s">
        <v>3</v>
      </c>
      <c r="H190" s="66"/>
      <c r="I190" s="66"/>
      <c r="J190" s="66"/>
      <c r="K190" s="66"/>
      <c r="L190" s="66"/>
      <c r="M190" s="66"/>
      <c r="N190" s="66"/>
      <c r="O190" s="66"/>
      <c r="P190" s="66"/>
      <c r="Q190" s="66"/>
      <c r="R190" s="66"/>
      <c r="S190" s="66"/>
      <c r="T190" s="66"/>
      <c r="U190" s="69"/>
    </row>
    <row r="191" spans="1:21" ht="16.5" x14ac:dyDescent="0.25">
      <c r="A191" s="68" t="str">
        <f>A186</f>
        <v>Км3.2</v>
      </c>
      <c r="B191" s="66"/>
      <c r="C191" s="73" t="s">
        <v>2772</v>
      </c>
      <c r="D191" s="73" t="s">
        <v>2773</v>
      </c>
      <c r="E191" s="73">
        <v>4</v>
      </c>
      <c r="F191" s="73">
        <v>94.2</v>
      </c>
      <c r="G191" s="73"/>
      <c r="H191" s="66"/>
      <c r="I191" s="66"/>
      <c r="J191" s="66"/>
      <c r="K191" s="40">
        <f>120*120</f>
        <v>14400</v>
      </c>
      <c r="L191" s="66" t="s">
        <v>2344</v>
      </c>
      <c r="M191" s="66" t="s">
        <v>2339</v>
      </c>
      <c r="N191" s="66"/>
      <c r="O191" s="66" t="s">
        <v>2351</v>
      </c>
      <c r="P191" s="66"/>
      <c r="Q191" s="66"/>
      <c r="R191" s="66"/>
      <c r="S191" s="66"/>
      <c r="T191" s="66"/>
      <c r="U191" s="69"/>
    </row>
    <row r="192" spans="1:21" ht="16.5" x14ac:dyDescent="0.25">
      <c r="A192" s="42"/>
      <c r="B192" s="42"/>
      <c r="C192" s="42"/>
      <c r="D192" s="42"/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</row>
    <row r="193" spans="1:21" ht="16.5" x14ac:dyDescent="0.25">
      <c r="A193" s="39" t="s">
        <v>2757</v>
      </c>
      <c r="B193" s="40" t="s">
        <v>2757</v>
      </c>
      <c r="C193" s="40"/>
      <c r="D193" s="40"/>
      <c r="E193" s="40"/>
      <c r="F193" s="40"/>
      <c r="G193" s="40"/>
      <c r="H193" s="40"/>
      <c r="I193" s="40"/>
      <c r="J193" s="40"/>
      <c r="K193" s="40"/>
      <c r="L193" s="40"/>
      <c r="M193" s="40"/>
      <c r="N193" s="40"/>
      <c r="O193" s="40"/>
      <c r="P193" s="40"/>
      <c r="Q193" s="40"/>
      <c r="R193" s="40"/>
      <c r="S193" s="40"/>
      <c r="T193" s="40"/>
      <c r="U193" s="41"/>
    </row>
    <row r="194" spans="1:21" ht="16.5" x14ac:dyDescent="0.25">
      <c r="A194" s="43" t="str">
        <f>B194</f>
        <v>Км1.4</v>
      </c>
      <c r="B194" s="44" t="s">
        <v>2823</v>
      </c>
      <c r="C194" s="44"/>
      <c r="D194" s="44" t="s">
        <v>2824</v>
      </c>
      <c r="E194" s="44">
        <v>1</v>
      </c>
      <c r="F194" s="44"/>
      <c r="G194" s="44"/>
      <c r="H194" s="44"/>
      <c r="I194" s="44"/>
      <c r="J194" s="44"/>
      <c r="K194" s="44"/>
      <c r="L194" s="44"/>
      <c r="M194" s="44"/>
      <c r="N194" s="44"/>
      <c r="O194" s="44"/>
      <c r="P194" s="44"/>
      <c r="Q194" s="44"/>
      <c r="R194" s="44"/>
      <c r="S194" s="44"/>
      <c r="T194" s="44"/>
      <c r="U194" s="45"/>
    </row>
    <row r="195" spans="1:21" ht="33" x14ac:dyDescent="0.25">
      <c r="A195" s="68" t="str">
        <f>A194</f>
        <v>Км1.4</v>
      </c>
      <c r="B195" s="66">
        <v>1</v>
      </c>
      <c r="C195" s="66" t="s">
        <v>2762</v>
      </c>
      <c r="D195" s="66" t="s">
        <v>2763</v>
      </c>
      <c r="E195" s="66">
        <v>4</v>
      </c>
      <c r="F195" s="40">
        <v>2.984</v>
      </c>
      <c r="G195" s="66"/>
      <c r="H195" s="66">
        <v>5070</v>
      </c>
      <c r="I195" s="66">
        <v>22</v>
      </c>
      <c r="J195" s="66" t="s">
        <v>2</v>
      </c>
      <c r="K195" s="66"/>
      <c r="L195" s="66"/>
      <c r="M195" s="66"/>
      <c r="N195" s="66"/>
      <c r="O195" s="66"/>
      <c r="P195" s="66"/>
      <c r="Q195" s="66"/>
      <c r="R195" s="66"/>
      <c r="S195" s="66" t="s">
        <v>2776</v>
      </c>
      <c r="T195" s="66" t="s">
        <v>2776</v>
      </c>
      <c r="U195" s="69">
        <v>88</v>
      </c>
    </row>
    <row r="196" spans="1:21" ht="33" x14ac:dyDescent="0.25">
      <c r="A196" s="68" t="str">
        <f>A195</f>
        <v>Км1.4</v>
      </c>
      <c r="B196" s="66">
        <v>2</v>
      </c>
      <c r="C196" s="66" t="s">
        <v>2764</v>
      </c>
      <c r="D196" s="66" t="s">
        <v>2765</v>
      </c>
      <c r="E196" s="66">
        <f>38+34+(29*4)+26+33</f>
        <v>247</v>
      </c>
      <c r="F196" s="40">
        <v>0.39500000000000002</v>
      </c>
      <c r="G196" s="66" t="s">
        <v>0</v>
      </c>
      <c r="H196" s="66">
        <f>420*4+150</f>
        <v>1830</v>
      </c>
      <c r="I196" s="66">
        <v>8</v>
      </c>
      <c r="J196" s="66" t="s">
        <v>1</v>
      </c>
      <c r="K196" s="66"/>
      <c r="L196" s="66"/>
      <c r="M196" s="66"/>
      <c r="N196" s="66"/>
      <c r="O196" s="66"/>
      <c r="P196" s="66"/>
      <c r="Q196" s="66"/>
      <c r="R196" s="66"/>
      <c r="S196" s="66" t="s">
        <v>2776</v>
      </c>
      <c r="T196" s="66" t="s">
        <v>2776</v>
      </c>
      <c r="U196" s="69">
        <v>10</v>
      </c>
    </row>
    <row r="197" spans="1:21" ht="33" x14ac:dyDescent="0.25">
      <c r="A197" s="68" t="str">
        <f>A196</f>
        <v>Км1.4</v>
      </c>
      <c r="B197" s="66">
        <v>3</v>
      </c>
      <c r="C197" s="66" t="s">
        <v>2762</v>
      </c>
      <c r="D197" s="66" t="s">
        <v>2766</v>
      </c>
      <c r="E197" s="66">
        <v>4</v>
      </c>
      <c r="F197" s="40">
        <v>2.4660000000000002</v>
      </c>
      <c r="G197" s="66"/>
      <c r="H197" s="66">
        <v>4500</v>
      </c>
      <c r="I197" s="66">
        <v>20</v>
      </c>
      <c r="J197" s="66" t="s">
        <v>2</v>
      </c>
      <c r="K197" s="66"/>
      <c r="L197" s="66"/>
      <c r="M197" s="66"/>
      <c r="N197" s="66"/>
      <c r="O197" s="66"/>
      <c r="P197" s="66"/>
      <c r="Q197" s="66"/>
      <c r="R197" s="66"/>
      <c r="S197" s="66" t="s">
        <v>2776</v>
      </c>
      <c r="T197" s="66" t="s">
        <v>2776</v>
      </c>
      <c r="U197" s="69">
        <v>80</v>
      </c>
    </row>
    <row r="198" spans="1:21" ht="33" x14ac:dyDescent="0.25">
      <c r="A198" s="68" t="str">
        <f>A197</f>
        <v>Км1.4</v>
      </c>
      <c r="B198" s="66">
        <v>4</v>
      </c>
      <c r="C198" s="66" t="s">
        <v>2762</v>
      </c>
      <c r="D198" s="66" t="s">
        <v>3167</v>
      </c>
      <c r="E198" s="66">
        <f>4*4</f>
        <v>16</v>
      </c>
      <c r="F198" s="40">
        <v>2.4660000000000002</v>
      </c>
      <c r="G198" s="66"/>
      <c r="H198" s="66">
        <v>4050</v>
      </c>
      <c r="I198" s="66">
        <v>20</v>
      </c>
      <c r="J198" s="66" t="s">
        <v>2</v>
      </c>
      <c r="K198" s="66"/>
      <c r="L198" s="66"/>
      <c r="M198" s="66"/>
      <c r="N198" s="66"/>
      <c r="O198" s="66"/>
      <c r="P198" s="66"/>
      <c r="Q198" s="66"/>
      <c r="R198" s="66"/>
      <c r="S198" s="66" t="s">
        <v>2776</v>
      </c>
      <c r="T198" s="66" t="s">
        <v>2776</v>
      </c>
      <c r="U198" s="69">
        <v>80</v>
      </c>
    </row>
    <row r="199" spans="1:21" ht="33" x14ac:dyDescent="0.25">
      <c r="A199" s="68" t="str">
        <f>A197</f>
        <v>Км1.4</v>
      </c>
      <c r="B199" s="66">
        <v>25</v>
      </c>
      <c r="C199" s="66" t="s">
        <v>2762</v>
      </c>
      <c r="D199" s="66" t="s">
        <v>3168</v>
      </c>
      <c r="E199" s="66">
        <v>4</v>
      </c>
      <c r="F199" s="40">
        <v>2.4660000000000002</v>
      </c>
      <c r="G199" s="66"/>
      <c r="H199" s="66">
        <v>3500</v>
      </c>
      <c r="I199" s="66">
        <v>20</v>
      </c>
      <c r="J199" s="66" t="s">
        <v>2</v>
      </c>
      <c r="K199" s="66"/>
      <c r="L199" s="66"/>
      <c r="M199" s="66"/>
      <c r="N199" s="66"/>
      <c r="O199" s="66"/>
      <c r="P199" s="66"/>
      <c r="Q199" s="66"/>
      <c r="R199" s="66"/>
      <c r="S199" s="66" t="s">
        <v>2776</v>
      </c>
      <c r="T199" s="66" t="s">
        <v>2776</v>
      </c>
      <c r="U199" s="69">
        <v>80</v>
      </c>
    </row>
    <row r="200" spans="1:21" ht="33" x14ac:dyDescent="0.25">
      <c r="A200" s="68" t="str">
        <f>A198</f>
        <v>Км1.4</v>
      </c>
      <c r="B200" s="66">
        <v>26</v>
      </c>
      <c r="C200" s="66" t="s">
        <v>2762</v>
      </c>
      <c r="D200" s="66" t="s">
        <v>2768</v>
      </c>
      <c r="E200" s="66">
        <v>4</v>
      </c>
      <c r="F200" s="40">
        <v>2.4660000000000002</v>
      </c>
      <c r="G200" s="66"/>
      <c r="H200" s="66">
        <v>3270</v>
      </c>
      <c r="I200" s="66">
        <v>20</v>
      </c>
      <c r="J200" s="66" t="s">
        <v>2</v>
      </c>
      <c r="K200" s="66"/>
      <c r="L200" s="66"/>
      <c r="M200" s="66"/>
      <c r="N200" s="66"/>
      <c r="O200" s="66"/>
      <c r="P200" s="66"/>
      <c r="Q200" s="66"/>
      <c r="R200" s="66"/>
      <c r="S200" s="66" t="s">
        <v>2776</v>
      </c>
      <c r="T200" s="66" t="s">
        <v>2776</v>
      </c>
      <c r="U200" s="69">
        <v>80</v>
      </c>
    </row>
    <row r="201" spans="1:21" ht="33" x14ac:dyDescent="0.25">
      <c r="A201" s="68" t="str">
        <f>A199</f>
        <v>Км1.4</v>
      </c>
      <c r="B201" s="66"/>
      <c r="C201" s="47" t="s">
        <v>2769</v>
      </c>
      <c r="D201" s="47" t="s">
        <v>2770</v>
      </c>
      <c r="E201" s="47">
        <f>4.82*0.5*0.5</f>
        <v>1.2050000000000001</v>
      </c>
      <c r="F201" s="47" t="s">
        <v>4</v>
      </c>
      <c r="G201" s="47" t="s">
        <v>3</v>
      </c>
      <c r="H201" s="66"/>
      <c r="I201" s="66"/>
      <c r="J201" s="66"/>
      <c r="K201" s="66"/>
      <c r="L201" s="66"/>
      <c r="M201" s="66"/>
      <c r="N201" s="66"/>
      <c r="O201" s="66"/>
      <c r="P201" s="66"/>
      <c r="Q201" s="66"/>
      <c r="R201" s="66"/>
      <c r="S201" s="66"/>
      <c r="T201" s="66"/>
      <c r="U201" s="69"/>
    </row>
    <row r="202" spans="1:21" ht="16.5" x14ac:dyDescent="0.25">
      <c r="A202" s="68" t="str">
        <f>A200</f>
        <v>Км1.4</v>
      </c>
      <c r="B202" s="66"/>
      <c r="C202" s="47" t="s">
        <v>2769</v>
      </c>
      <c r="D202" s="47" t="s">
        <v>2771</v>
      </c>
      <c r="E202" s="47">
        <f>26.97*0.5*0.5</f>
        <v>6.7424999999999997</v>
      </c>
      <c r="F202" s="47" t="s">
        <v>4</v>
      </c>
      <c r="G202" s="47" t="s">
        <v>3</v>
      </c>
      <c r="H202" s="66"/>
      <c r="I202" s="66"/>
      <c r="J202" s="66"/>
      <c r="K202" s="66"/>
      <c r="L202" s="66"/>
      <c r="M202" s="66"/>
      <c r="N202" s="66"/>
      <c r="O202" s="66"/>
      <c r="P202" s="66"/>
      <c r="Q202" s="66"/>
      <c r="R202" s="66"/>
      <c r="S202" s="66"/>
      <c r="T202" s="66"/>
      <c r="U202" s="69"/>
    </row>
    <row r="203" spans="1:21" ht="16.5" x14ac:dyDescent="0.25">
      <c r="A203" s="68" t="str">
        <f>A201</f>
        <v>Км1.4</v>
      </c>
      <c r="B203" s="66"/>
      <c r="C203" s="73" t="s">
        <v>2772</v>
      </c>
      <c r="D203" s="73" t="s">
        <v>2773</v>
      </c>
      <c r="E203" s="73">
        <v>4</v>
      </c>
      <c r="F203" s="73">
        <v>94.2</v>
      </c>
      <c r="G203" s="73"/>
      <c r="H203" s="66"/>
      <c r="I203" s="66"/>
      <c r="J203" s="66"/>
      <c r="K203" s="40">
        <f>120*120</f>
        <v>14400</v>
      </c>
      <c r="L203" s="66" t="s">
        <v>2344</v>
      </c>
      <c r="M203" s="66" t="s">
        <v>2339</v>
      </c>
      <c r="N203" s="66"/>
      <c r="O203" s="66" t="s">
        <v>2351</v>
      </c>
      <c r="P203" s="66"/>
      <c r="Q203" s="66"/>
      <c r="R203" s="66"/>
      <c r="S203" s="66"/>
      <c r="T203" s="66"/>
      <c r="U203" s="69"/>
    </row>
    <row r="204" spans="1:21" ht="16.5" x14ac:dyDescent="0.25">
      <c r="A204" s="42"/>
      <c r="B204" s="42"/>
      <c r="C204" s="42"/>
      <c r="D204" s="42"/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</row>
    <row r="205" spans="1:21" ht="16.5" x14ac:dyDescent="0.25">
      <c r="A205" s="42"/>
      <c r="B205" s="42"/>
      <c r="C205" s="42"/>
      <c r="D205" s="42"/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</row>
    <row r="206" spans="1:21" ht="16.5" x14ac:dyDescent="0.25">
      <c r="A206" s="42"/>
      <c r="B206" s="42"/>
      <c r="C206" s="42"/>
      <c r="D206" s="42"/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</row>
    <row r="207" spans="1:21" ht="16.5" x14ac:dyDescent="0.25">
      <c r="A207" s="42"/>
      <c r="B207" s="42"/>
      <c r="C207" s="42"/>
      <c r="D207" s="42"/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</row>
    <row r="208" spans="1:21" ht="33" x14ac:dyDescent="0.25">
      <c r="A208" s="43" t="str">
        <f>B208</f>
        <v>Км11.1</v>
      </c>
      <c r="B208" s="44" t="s">
        <v>2829</v>
      </c>
      <c r="C208" s="44"/>
      <c r="D208" s="44" t="s">
        <v>2830</v>
      </c>
      <c r="E208" s="44">
        <f>1</f>
        <v>1</v>
      </c>
      <c r="F208" s="44"/>
      <c r="G208" s="44"/>
      <c r="H208" s="44"/>
      <c r="I208" s="44"/>
      <c r="J208" s="44"/>
      <c r="K208" s="44"/>
      <c r="L208" s="44"/>
      <c r="M208" s="44"/>
      <c r="N208" s="44"/>
      <c r="O208" s="44"/>
      <c r="P208" s="44"/>
      <c r="Q208" s="44"/>
      <c r="R208" s="44"/>
      <c r="S208" s="44"/>
      <c r="T208" s="44"/>
      <c r="U208" s="45"/>
    </row>
    <row r="209" spans="1:21" ht="33" x14ac:dyDescent="0.25">
      <c r="A209" s="68" t="str">
        <f>A208</f>
        <v>Км11.1</v>
      </c>
      <c r="B209" s="66">
        <v>1</v>
      </c>
      <c r="C209" s="66" t="s">
        <v>2762</v>
      </c>
      <c r="D209" s="66" t="s">
        <v>2763</v>
      </c>
      <c r="E209" s="66">
        <v>4</v>
      </c>
      <c r="F209" s="40">
        <v>2.984</v>
      </c>
      <c r="G209" s="66"/>
      <c r="H209" s="66">
        <v>5070</v>
      </c>
      <c r="I209" s="66">
        <v>22</v>
      </c>
      <c r="J209" s="66" t="s">
        <v>2</v>
      </c>
      <c r="K209" s="66"/>
      <c r="L209" s="66"/>
      <c r="M209" s="66"/>
      <c r="N209" s="66"/>
      <c r="O209" s="66"/>
      <c r="P209" s="66"/>
      <c r="Q209" s="66"/>
      <c r="R209" s="66"/>
      <c r="S209" s="66" t="s">
        <v>2776</v>
      </c>
      <c r="T209" s="66" t="s">
        <v>2776</v>
      </c>
      <c r="U209" s="69">
        <v>88</v>
      </c>
    </row>
    <row r="210" spans="1:21" ht="33" x14ac:dyDescent="0.25">
      <c r="A210" s="68" t="str">
        <f>A209</f>
        <v>Км11.1</v>
      </c>
      <c r="B210" s="66">
        <v>2</v>
      </c>
      <c r="C210" s="66" t="s">
        <v>2764</v>
      </c>
      <c r="D210" s="66" t="s">
        <v>2765</v>
      </c>
      <c r="E210" s="66">
        <f>38+29+2+29+28+29+29+29+32+16</f>
        <v>261</v>
      </c>
      <c r="F210" s="40">
        <v>0.39500000000000002</v>
      </c>
      <c r="G210" s="66" t="s">
        <v>0</v>
      </c>
      <c r="H210" s="66">
        <f>420*4+150</f>
        <v>1830</v>
      </c>
      <c r="I210" s="66">
        <v>8</v>
      </c>
      <c r="J210" s="66" t="s">
        <v>1</v>
      </c>
      <c r="K210" s="66"/>
      <c r="L210" s="66"/>
      <c r="M210" s="66"/>
      <c r="N210" s="66"/>
      <c r="O210" s="66"/>
      <c r="P210" s="66"/>
      <c r="Q210" s="66"/>
      <c r="R210" s="66"/>
      <c r="S210" s="66" t="s">
        <v>2776</v>
      </c>
      <c r="T210" s="66" t="s">
        <v>2776</v>
      </c>
      <c r="U210" s="69">
        <v>10</v>
      </c>
    </row>
    <row r="211" spans="1:21" ht="33" x14ac:dyDescent="0.25">
      <c r="A211" s="68" t="str">
        <f>A210</f>
        <v>Км11.1</v>
      </c>
      <c r="B211" s="66">
        <v>3</v>
      </c>
      <c r="C211" s="66" t="s">
        <v>2762</v>
      </c>
      <c r="D211" s="66" t="s">
        <v>2766</v>
      </c>
      <c r="E211" s="66">
        <v>4</v>
      </c>
      <c r="F211" s="40">
        <v>2.4660000000000002</v>
      </c>
      <c r="G211" s="66"/>
      <c r="H211" s="66">
        <v>4500</v>
      </c>
      <c r="I211" s="66">
        <v>20</v>
      </c>
      <c r="J211" s="66" t="s">
        <v>2</v>
      </c>
      <c r="K211" s="66"/>
      <c r="L211" s="66"/>
      <c r="M211" s="66"/>
      <c r="N211" s="66"/>
      <c r="O211" s="66"/>
      <c r="P211" s="66"/>
      <c r="Q211" s="66"/>
      <c r="R211" s="66"/>
      <c r="S211" s="66" t="s">
        <v>2776</v>
      </c>
      <c r="T211" s="66" t="s">
        <v>2776</v>
      </c>
      <c r="U211" s="69">
        <v>80</v>
      </c>
    </row>
    <row r="212" spans="1:21" ht="33" x14ac:dyDescent="0.25">
      <c r="A212" s="68" t="str">
        <f>A211</f>
        <v>Км11.1</v>
      </c>
      <c r="B212" s="66">
        <v>4</v>
      </c>
      <c r="C212" s="66" t="s">
        <v>2762</v>
      </c>
      <c r="D212" s="66" t="s">
        <v>2767</v>
      </c>
      <c r="E212" s="66">
        <f>4*5</f>
        <v>20</v>
      </c>
      <c r="F212" s="40">
        <v>2.4660000000000002</v>
      </c>
      <c r="G212" s="66"/>
      <c r="H212" s="66">
        <v>4050</v>
      </c>
      <c r="I212" s="66">
        <v>20</v>
      </c>
      <c r="J212" s="66" t="s">
        <v>2</v>
      </c>
      <c r="K212" s="66"/>
      <c r="L212" s="66"/>
      <c r="M212" s="66"/>
      <c r="N212" s="66"/>
      <c r="O212" s="66"/>
      <c r="P212" s="66"/>
      <c r="Q212" s="66"/>
      <c r="R212" s="66"/>
      <c r="S212" s="66" t="s">
        <v>2776</v>
      </c>
      <c r="T212" s="66" t="s">
        <v>2776</v>
      </c>
      <c r="U212" s="69">
        <v>80</v>
      </c>
    </row>
    <row r="213" spans="1:21" ht="33" x14ac:dyDescent="0.25">
      <c r="A213" s="68" t="str">
        <f>A211</f>
        <v>Км11.1</v>
      </c>
      <c r="B213" s="66">
        <v>5</v>
      </c>
      <c r="C213" s="66" t="s">
        <v>2762</v>
      </c>
      <c r="D213" s="66" t="s">
        <v>2768</v>
      </c>
      <c r="E213" s="66">
        <v>4</v>
      </c>
      <c r="F213" s="40">
        <v>2.4660000000000002</v>
      </c>
      <c r="G213" s="66"/>
      <c r="H213" s="66">
        <v>3820</v>
      </c>
      <c r="I213" s="66">
        <v>20</v>
      </c>
      <c r="J213" s="66" t="s">
        <v>2</v>
      </c>
      <c r="K213" s="66"/>
      <c r="L213" s="66"/>
      <c r="M213" s="66"/>
      <c r="N213" s="66"/>
      <c r="O213" s="66"/>
      <c r="P213" s="66"/>
      <c r="Q213" s="66"/>
      <c r="R213" s="66"/>
      <c r="S213" s="66" t="s">
        <v>2776</v>
      </c>
      <c r="T213" s="66" t="s">
        <v>2776</v>
      </c>
      <c r="U213" s="69">
        <v>80</v>
      </c>
    </row>
    <row r="214" spans="1:21" ht="33" x14ac:dyDescent="0.25">
      <c r="A214" s="68" t="str">
        <f>A211</f>
        <v>Км11.1</v>
      </c>
      <c r="B214" s="66">
        <v>7</v>
      </c>
      <c r="C214" s="66" t="s">
        <v>3169</v>
      </c>
      <c r="D214" s="66" t="s">
        <v>3148</v>
      </c>
      <c r="E214" s="66">
        <v>4</v>
      </c>
      <c r="F214" s="40">
        <v>2.4660000000000002</v>
      </c>
      <c r="G214" s="66"/>
      <c r="H214" s="66">
        <v>1430</v>
      </c>
      <c r="I214" s="66">
        <v>20</v>
      </c>
      <c r="J214" s="66" t="s">
        <v>2</v>
      </c>
      <c r="K214" s="66"/>
      <c r="L214" s="66"/>
      <c r="M214" s="66"/>
      <c r="N214" s="66"/>
      <c r="O214" s="66"/>
      <c r="P214" s="66"/>
      <c r="Q214" s="66"/>
      <c r="R214" s="66"/>
      <c r="S214" s="66" t="s">
        <v>2776</v>
      </c>
      <c r="T214" s="66" t="s">
        <v>2776</v>
      </c>
      <c r="U214" s="69">
        <v>80</v>
      </c>
    </row>
    <row r="215" spans="1:21" ht="33" x14ac:dyDescent="0.25">
      <c r="A215" s="68" t="str">
        <f>A211</f>
        <v>Км11.1</v>
      </c>
      <c r="B215" s="66">
        <v>6</v>
      </c>
      <c r="C215" s="66" t="s">
        <v>3169</v>
      </c>
      <c r="D215" s="66" t="s">
        <v>3148</v>
      </c>
      <c r="E215" s="66">
        <v>4</v>
      </c>
      <c r="F215" s="40">
        <v>2.4660000000000002</v>
      </c>
      <c r="G215" s="66"/>
      <c r="H215" s="66">
        <v>1430</v>
      </c>
      <c r="I215" s="66">
        <v>20</v>
      </c>
      <c r="J215" s="66" t="s">
        <v>2</v>
      </c>
      <c r="K215" s="66"/>
      <c r="L215" s="66"/>
      <c r="M215" s="66"/>
      <c r="N215" s="66"/>
      <c r="O215" s="66"/>
      <c r="P215" s="66"/>
      <c r="Q215" s="66"/>
      <c r="R215" s="66"/>
      <c r="S215" s="66" t="s">
        <v>2776</v>
      </c>
      <c r="T215" s="66" t="s">
        <v>2776</v>
      </c>
      <c r="U215" s="69">
        <v>80</v>
      </c>
    </row>
    <row r="216" spans="1:21" ht="33" x14ac:dyDescent="0.25">
      <c r="A216" s="68" t="str">
        <f>A212</f>
        <v>Км11.1</v>
      </c>
      <c r="B216" s="66">
        <v>18</v>
      </c>
      <c r="C216" s="66" t="s">
        <v>2762</v>
      </c>
      <c r="D216" s="66" t="s">
        <v>3148</v>
      </c>
      <c r="E216" s="66">
        <v>4</v>
      </c>
      <c r="F216" s="40">
        <v>1.5780000000000001</v>
      </c>
      <c r="G216" s="66"/>
      <c r="H216" s="66">
        <v>2630</v>
      </c>
      <c r="I216" s="66">
        <v>16</v>
      </c>
      <c r="J216" s="66" t="s">
        <v>2</v>
      </c>
      <c r="K216" s="66"/>
      <c r="L216" s="66"/>
      <c r="M216" s="66"/>
      <c r="N216" s="66"/>
      <c r="O216" s="66"/>
      <c r="P216" s="66"/>
      <c r="Q216" s="66"/>
      <c r="R216" s="66"/>
      <c r="S216" s="66" t="s">
        <v>2776</v>
      </c>
      <c r="T216" s="66" t="s">
        <v>2776</v>
      </c>
      <c r="U216" s="69">
        <v>40</v>
      </c>
    </row>
    <row r="217" spans="1:21" ht="33" x14ac:dyDescent="0.25">
      <c r="A217" s="68" t="str">
        <f>A213</f>
        <v>Км11.1</v>
      </c>
      <c r="B217" s="66"/>
      <c r="C217" s="47" t="s">
        <v>2769</v>
      </c>
      <c r="D217" s="47" t="s">
        <v>2770</v>
      </c>
      <c r="E217" s="47">
        <f>(1.5*1.5*0.25)+(0.5*0.5*4.57)</f>
        <v>1.7050000000000001</v>
      </c>
      <c r="F217" s="47" t="s">
        <v>4</v>
      </c>
      <c r="G217" s="47" t="s">
        <v>3</v>
      </c>
      <c r="H217" s="66"/>
      <c r="I217" s="66"/>
      <c r="J217" s="66"/>
      <c r="K217" s="66"/>
      <c r="L217" s="66"/>
      <c r="M217" s="66"/>
      <c r="N217" s="66"/>
      <c r="O217" s="66"/>
      <c r="P217" s="66"/>
      <c r="Q217" s="66"/>
      <c r="R217" s="66"/>
      <c r="S217" s="66"/>
      <c r="T217" s="66"/>
      <c r="U217" s="69"/>
    </row>
    <row r="218" spans="1:21" ht="16.5" x14ac:dyDescent="0.25">
      <c r="A218" s="68" t="str">
        <f>A216</f>
        <v>Км11.1</v>
      </c>
      <c r="B218" s="66"/>
      <c r="C218" s="47" t="s">
        <v>2769</v>
      </c>
      <c r="D218" s="47" t="s">
        <v>2771</v>
      </c>
      <c r="E218" s="47">
        <f>28.75*0.5*0.5</f>
        <v>7.1875</v>
      </c>
      <c r="F218" s="47" t="s">
        <v>4</v>
      </c>
      <c r="G218" s="47" t="s">
        <v>3</v>
      </c>
      <c r="H218" s="66"/>
      <c r="I218" s="66"/>
      <c r="J218" s="66"/>
      <c r="K218" s="66"/>
      <c r="L218" s="66"/>
      <c r="M218" s="66"/>
      <c r="N218" s="66"/>
      <c r="O218" s="66"/>
      <c r="P218" s="66"/>
      <c r="Q218" s="66"/>
      <c r="R218" s="66"/>
      <c r="S218" s="66"/>
      <c r="T218" s="66"/>
      <c r="U218" s="69"/>
    </row>
    <row r="219" spans="1:21" ht="16.5" x14ac:dyDescent="0.25">
      <c r="A219" s="68" t="str">
        <f>A217</f>
        <v>Км11.1</v>
      </c>
      <c r="B219" s="66"/>
      <c r="C219" s="73" t="s">
        <v>2772</v>
      </c>
      <c r="D219" s="73" t="s">
        <v>2773</v>
      </c>
      <c r="E219" s="73">
        <v>4</v>
      </c>
      <c r="F219" s="73">
        <v>94.2</v>
      </c>
      <c r="G219" s="73"/>
      <c r="H219" s="66"/>
      <c r="I219" s="66"/>
      <c r="J219" s="66"/>
      <c r="K219" s="40">
        <f>120*120</f>
        <v>14400</v>
      </c>
      <c r="L219" s="66" t="s">
        <v>2344</v>
      </c>
      <c r="M219" s="66" t="s">
        <v>2339</v>
      </c>
      <c r="N219" s="66"/>
      <c r="O219" s="66" t="s">
        <v>2351</v>
      </c>
      <c r="P219" s="66"/>
      <c r="Q219" s="66"/>
      <c r="R219" s="66"/>
      <c r="S219" s="66"/>
      <c r="T219" s="66"/>
      <c r="U219" s="69"/>
    </row>
    <row r="220" spans="1:21" ht="16.5" x14ac:dyDescent="0.25">
      <c r="A220" s="42"/>
      <c r="B220" s="42"/>
      <c r="C220" s="42"/>
      <c r="D220" s="42"/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</row>
    <row r="221" spans="1:21" ht="16.5" x14ac:dyDescent="0.25">
      <c r="A221" s="42"/>
      <c r="B221" s="42"/>
      <c r="C221" s="42"/>
      <c r="D221" s="42"/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</row>
    <row r="222" spans="1:21" ht="33" x14ac:dyDescent="0.25">
      <c r="A222" s="43" t="str">
        <f>B222</f>
        <v>Км8.1.2</v>
      </c>
      <c r="B222" s="44" t="s">
        <v>2832</v>
      </c>
      <c r="C222" s="44"/>
      <c r="D222" s="44" t="s">
        <v>2833</v>
      </c>
      <c r="E222" s="44">
        <f>1</f>
        <v>1</v>
      </c>
      <c r="F222" s="44"/>
      <c r="G222" s="44"/>
      <c r="H222" s="44"/>
      <c r="I222" s="44"/>
      <c r="J222" s="44"/>
      <c r="K222" s="44"/>
      <c r="L222" s="44"/>
      <c r="M222" s="44"/>
      <c r="N222" s="44"/>
      <c r="O222" s="44"/>
      <c r="P222" s="44"/>
      <c r="Q222" s="44"/>
      <c r="R222" s="44"/>
      <c r="S222" s="44"/>
      <c r="T222" s="44"/>
      <c r="U222" s="45"/>
    </row>
    <row r="223" spans="1:21" ht="33" x14ac:dyDescent="0.25">
      <c r="A223" s="68" t="str">
        <f t="shared" ref="A223:A228" si="7">A222</f>
        <v>Км8.1.2</v>
      </c>
      <c r="B223" s="66">
        <v>1</v>
      </c>
      <c r="C223" s="66" t="s">
        <v>2762</v>
      </c>
      <c r="D223" s="66" t="s">
        <v>2763</v>
      </c>
      <c r="E223" s="66">
        <v>4</v>
      </c>
      <c r="F223" s="40">
        <v>2.984</v>
      </c>
      <c r="G223" s="66"/>
      <c r="H223" s="66">
        <v>5070</v>
      </c>
      <c r="I223" s="66">
        <v>22</v>
      </c>
      <c r="J223" s="66" t="s">
        <v>2</v>
      </c>
      <c r="K223" s="66"/>
      <c r="L223" s="66"/>
      <c r="M223" s="66"/>
      <c r="N223" s="66"/>
      <c r="O223" s="66"/>
      <c r="P223" s="66"/>
      <c r="Q223" s="66"/>
      <c r="R223" s="66"/>
      <c r="S223" s="66" t="s">
        <v>2776</v>
      </c>
      <c r="T223" s="66" t="s">
        <v>2776</v>
      </c>
      <c r="U223" s="69">
        <v>88</v>
      </c>
    </row>
    <row r="224" spans="1:21" ht="33" x14ac:dyDescent="0.25">
      <c r="A224" s="68" t="str">
        <f t="shared" si="7"/>
        <v>Км8.1.2</v>
      </c>
      <c r="B224" s="66">
        <v>2</v>
      </c>
      <c r="C224" s="66" t="s">
        <v>2764</v>
      </c>
      <c r="D224" s="66" t="s">
        <v>2765</v>
      </c>
      <c r="E224" s="66">
        <f>38+29+2+29+28+31+29+29+32+16</f>
        <v>263</v>
      </c>
      <c r="F224" s="40">
        <v>0.39500000000000002</v>
      </c>
      <c r="G224" s="66" t="s">
        <v>0</v>
      </c>
      <c r="H224" s="66">
        <f>420*4+150</f>
        <v>1830</v>
      </c>
      <c r="I224" s="66">
        <v>8</v>
      </c>
      <c r="J224" s="66" t="s">
        <v>1</v>
      </c>
      <c r="K224" s="66"/>
      <c r="L224" s="66"/>
      <c r="M224" s="66"/>
      <c r="N224" s="66"/>
      <c r="O224" s="66"/>
      <c r="P224" s="66"/>
      <c r="Q224" s="66"/>
      <c r="R224" s="66"/>
      <c r="S224" s="66" t="s">
        <v>2776</v>
      </c>
      <c r="T224" s="66" t="s">
        <v>2776</v>
      </c>
      <c r="U224" s="69">
        <v>10</v>
      </c>
    </row>
    <row r="225" spans="1:21" ht="33" x14ac:dyDescent="0.25">
      <c r="A225" s="68" t="str">
        <f t="shared" si="7"/>
        <v>Км8.1.2</v>
      </c>
      <c r="B225" s="66">
        <v>34</v>
      </c>
      <c r="C225" s="66" t="s">
        <v>2762</v>
      </c>
      <c r="D225" s="66" t="s">
        <v>2766</v>
      </c>
      <c r="E225" s="66">
        <v>4</v>
      </c>
      <c r="F225" s="40">
        <v>2.984</v>
      </c>
      <c r="G225" s="66"/>
      <c r="H225" s="66">
        <v>4500</v>
      </c>
      <c r="I225" s="66">
        <v>22</v>
      </c>
      <c r="J225" s="66" t="s">
        <v>2</v>
      </c>
      <c r="K225" s="66"/>
      <c r="L225" s="66"/>
      <c r="M225" s="66"/>
      <c r="N225" s="66"/>
      <c r="O225" s="66"/>
      <c r="P225" s="66"/>
      <c r="Q225" s="66"/>
      <c r="R225" s="66"/>
      <c r="S225" s="66" t="s">
        <v>2776</v>
      </c>
      <c r="T225" s="66" t="s">
        <v>2776</v>
      </c>
      <c r="U225" s="69">
        <v>88</v>
      </c>
    </row>
    <row r="226" spans="1:21" ht="33" x14ac:dyDescent="0.25">
      <c r="A226" s="68" t="str">
        <f t="shared" si="7"/>
        <v>Км8.1.2</v>
      </c>
      <c r="B226" s="66">
        <v>4</v>
      </c>
      <c r="C226" s="66" t="s">
        <v>2762</v>
      </c>
      <c r="D226" s="66" t="s">
        <v>3170</v>
      </c>
      <c r="E226" s="66">
        <f>4*4</f>
        <v>16</v>
      </c>
      <c r="F226" s="40">
        <v>2.4660000000000002</v>
      </c>
      <c r="G226" s="66"/>
      <c r="H226" s="66">
        <v>4050</v>
      </c>
      <c r="I226" s="66">
        <v>20</v>
      </c>
      <c r="J226" s="66" t="s">
        <v>2</v>
      </c>
      <c r="K226" s="66"/>
      <c r="L226" s="66"/>
      <c r="M226" s="66"/>
      <c r="N226" s="66"/>
      <c r="O226" s="66"/>
      <c r="P226" s="66"/>
      <c r="Q226" s="66"/>
      <c r="R226" s="66"/>
      <c r="S226" s="66" t="s">
        <v>2776</v>
      </c>
      <c r="T226" s="66" t="s">
        <v>2776</v>
      </c>
      <c r="U226" s="69">
        <v>80</v>
      </c>
    </row>
    <row r="227" spans="1:21" ht="33" x14ac:dyDescent="0.25">
      <c r="A227" s="68" t="str">
        <f t="shared" si="7"/>
        <v>Км8.1.2</v>
      </c>
      <c r="B227" s="66">
        <v>5</v>
      </c>
      <c r="C227" s="66" t="s">
        <v>2762</v>
      </c>
      <c r="D227" s="66" t="s">
        <v>3158</v>
      </c>
      <c r="E227" s="66">
        <v>4</v>
      </c>
      <c r="F227" s="40">
        <v>2.4660000000000002</v>
      </c>
      <c r="G227" s="66"/>
      <c r="H227" s="66">
        <v>3800</v>
      </c>
      <c r="I227" s="66">
        <v>20</v>
      </c>
      <c r="J227" s="66" t="s">
        <v>2</v>
      </c>
      <c r="K227" s="66"/>
      <c r="L227" s="66"/>
      <c r="M227" s="66"/>
      <c r="N227" s="66"/>
      <c r="O227" s="66"/>
      <c r="P227" s="66"/>
      <c r="Q227" s="66"/>
      <c r="R227" s="66"/>
      <c r="S227" s="66" t="s">
        <v>2776</v>
      </c>
      <c r="T227" s="66" t="s">
        <v>2776</v>
      </c>
      <c r="U227" s="69">
        <v>80</v>
      </c>
    </row>
    <row r="228" spans="1:21" ht="33" x14ac:dyDescent="0.25">
      <c r="A228" s="68" t="str">
        <f t="shared" si="7"/>
        <v>Км8.1.2</v>
      </c>
      <c r="B228" s="66">
        <v>33</v>
      </c>
      <c r="C228" s="66" t="s">
        <v>3149</v>
      </c>
      <c r="D228" s="66" t="s">
        <v>3171</v>
      </c>
      <c r="E228" s="66">
        <v>4</v>
      </c>
      <c r="F228" s="40">
        <v>2.4660000000000002</v>
      </c>
      <c r="G228" s="66"/>
      <c r="H228" s="66">
        <v>4300</v>
      </c>
      <c r="I228" s="66">
        <v>20</v>
      </c>
      <c r="J228" s="66" t="s">
        <v>2</v>
      </c>
      <c r="K228" s="66"/>
      <c r="L228" s="66"/>
      <c r="M228" s="66"/>
      <c r="N228" s="66"/>
      <c r="O228" s="66"/>
      <c r="P228" s="66"/>
      <c r="Q228" s="66"/>
      <c r="R228" s="66"/>
      <c r="S228" s="66" t="s">
        <v>2776</v>
      </c>
      <c r="T228" s="66" t="s">
        <v>2776</v>
      </c>
      <c r="U228" s="69">
        <v>80</v>
      </c>
    </row>
    <row r="229" spans="1:21" ht="33" x14ac:dyDescent="0.25">
      <c r="A229" s="68" t="str">
        <f>A224</f>
        <v>Км8.1.2</v>
      </c>
      <c r="B229" s="66">
        <v>27</v>
      </c>
      <c r="C229" s="66" t="s">
        <v>3169</v>
      </c>
      <c r="D229" s="66" t="s">
        <v>3172</v>
      </c>
      <c r="E229" s="66">
        <v>4</v>
      </c>
      <c r="F229" s="40">
        <v>2.984</v>
      </c>
      <c r="G229" s="66"/>
      <c r="H229" s="66">
        <v>3820</v>
      </c>
      <c r="I229" s="66">
        <v>22</v>
      </c>
      <c r="J229" s="66" t="s">
        <v>2</v>
      </c>
      <c r="K229" s="66"/>
      <c r="L229" s="66"/>
      <c r="M229" s="66"/>
      <c r="N229" s="66"/>
      <c r="O229" s="66"/>
      <c r="P229" s="66"/>
      <c r="Q229" s="66"/>
      <c r="R229" s="66"/>
      <c r="S229" s="66" t="s">
        <v>2776</v>
      </c>
      <c r="T229" s="66" t="s">
        <v>2776</v>
      </c>
      <c r="U229" s="69">
        <v>88</v>
      </c>
    </row>
    <row r="230" spans="1:21" ht="33" x14ac:dyDescent="0.25">
      <c r="A230" s="68" t="str">
        <f>A226</f>
        <v>Км8.1.2</v>
      </c>
      <c r="B230" s="66">
        <v>32</v>
      </c>
      <c r="C230" s="66" t="s">
        <v>3149</v>
      </c>
      <c r="D230" s="66" t="s">
        <v>3173</v>
      </c>
      <c r="E230" s="66">
        <v>4</v>
      </c>
      <c r="F230" s="40">
        <v>2.984</v>
      </c>
      <c r="G230" s="66"/>
      <c r="H230" s="66">
        <v>5020</v>
      </c>
      <c r="I230" s="66">
        <v>22</v>
      </c>
      <c r="J230" s="66" t="s">
        <v>2</v>
      </c>
      <c r="K230" s="66"/>
      <c r="L230" s="66"/>
      <c r="M230" s="66"/>
      <c r="N230" s="66"/>
      <c r="O230" s="66"/>
      <c r="P230" s="66"/>
      <c r="Q230" s="66"/>
      <c r="R230" s="66"/>
      <c r="S230" s="66" t="s">
        <v>2776</v>
      </c>
      <c r="T230" s="66" t="s">
        <v>2776</v>
      </c>
      <c r="U230" s="69">
        <v>88</v>
      </c>
    </row>
    <row r="231" spans="1:21" ht="33" x14ac:dyDescent="0.25">
      <c r="A231" s="68" t="str">
        <f>A224</f>
        <v>Км8.1.2</v>
      </c>
      <c r="B231" s="66">
        <v>28</v>
      </c>
      <c r="C231" s="66" t="s">
        <v>3174</v>
      </c>
      <c r="D231" s="66" t="s">
        <v>3148</v>
      </c>
      <c r="E231" s="66">
        <v>8</v>
      </c>
      <c r="F231" s="40">
        <v>2.984</v>
      </c>
      <c r="G231" s="66"/>
      <c r="H231" s="66">
        <v>1430</v>
      </c>
      <c r="I231" s="66">
        <v>22</v>
      </c>
      <c r="J231" s="66" t="s">
        <v>2</v>
      </c>
      <c r="K231" s="66"/>
      <c r="L231" s="66"/>
      <c r="M231" s="66"/>
      <c r="N231" s="66"/>
      <c r="O231" s="66"/>
      <c r="P231" s="66"/>
      <c r="Q231" s="66"/>
      <c r="R231" s="66"/>
      <c r="S231" s="66" t="s">
        <v>2776</v>
      </c>
      <c r="T231" s="66" t="s">
        <v>2776</v>
      </c>
      <c r="U231" s="69">
        <v>88</v>
      </c>
    </row>
    <row r="232" spans="1:21" ht="33" x14ac:dyDescent="0.25">
      <c r="A232" s="68" t="str">
        <f>A225</f>
        <v>Км8.1.2</v>
      </c>
      <c r="B232" s="66">
        <v>18</v>
      </c>
      <c r="C232" s="66" t="s">
        <v>3169</v>
      </c>
      <c r="D232" s="66" t="s">
        <v>3148</v>
      </c>
      <c r="E232" s="66">
        <v>8</v>
      </c>
      <c r="F232" s="40">
        <v>1.5780000000000001</v>
      </c>
      <c r="G232" s="66"/>
      <c r="H232" s="66">
        <v>2630</v>
      </c>
      <c r="I232" s="66">
        <v>16</v>
      </c>
      <c r="J232" s="66" t="s">
        <v>2</v>
      </c>
      <c r="K232" s="66"/>
      <c r="L232" s="66"/>
      <c r="M232" s="66"/>
      <c r="N232" s="66"/>
      <c r="O232" s="66"/>
      <c r="P232" s="66"/>
      <c r="Q232" s="66"/>
      <c r="R232" s="66"/>
      <c r="S232" s="66" t="s">
        <v>2776</v>
      </c>
      <c r="T232" s="66" t="s">
        <v>2776</v>
      </c>
      <c r="U232" s="69">
        <v>40</v>
      </c>
    </row>
    <row r="233" spans="1:21" ht="33" x14ac:dyDescent="0.25">
      <c r="A233" s="68" t="str">
        <f>A226</f>
        <v>Км8.1.2</v>
      </c>
      <c r="B233" s="66"/>
      <c r="C233" s="47" t="s">
        <v>2769</v>
      </c>
      <c r="D233" s="47" t="s">
        <v>2770</v>
      </c>
      <c r="E233" s="47">
        <f>(1.5*1.5*0.25)+(0.5*0.5*4.57)</f>
        <v>1.7050000000000001</v>
      </c>
      <c r="F233" s="47" t="s">
        <v>4</v>
      </c>
      <c r="G233" s="47" t="s">
        <v>3</v>
      </c>
      <c r="H233" s="66"/>
      <c r="I233" s="66"/>
      <c r="J233" s="66"/>
      <c r="K233" s="66"/>
      <c r="L233" s="66"/>
      <c r="M233" s="66"/>
      <c r="N233" s="66"/>
      <c r="O233" s="66"/>
      <c r="P233" s="66"/>
      <c r="Q233" s="66"/>
      <c r="R233" s="66"/>
      <c r="S233" s="66"/>
      <c r="T233" s="66"/>
      <c r="U233" s="69"/>
    </row>
    <row r="234" spans="1:21" ht="16.5" x14ac:dyDescent="0.25">
      <c r="A234" s="68" t="str">
        <f>A227</f>
        <v>Км8.1.2</v>
      </c>
      <c r="B234" s="66"/>
      <c r="C234" s="47" t="s">
        <v>2769</v>
      </c>
      <c r="D234" s="47" t="s">
        <v>2771</v>
      </c>
      <c r="E234" s="47">
        <f>29*0.5*0.5</f>
        <v>7.25</v>
      </c>
      <c r="F234" s="47" t="s">
        <v>4</v>
      </c>
      <c r="G234" s="47" t="s">
        <v>3</v>
      </c>
      <c r="H234" s="66"/>
      <c r="I234" s="66"/>
      <c r="J234" s="66"/>
      <c r="K234" s="66"/>
      <c r="L234" s="66"/>
      <c r="M234" s="66"/>
      <c r="N234" s="66"/>
      <c r="O234" s="66"/>
      <c r="P234" s="66"/>
      <c r="Q234" s="66"/>
      <c r="R234" s="66"/>
      <c r="S234" s="66"/>
      <c r="T234" s="66"/>
      <c r="U234" s="69"/>
    </row>
    <row r="235" spans="1:21" ht="16.5" x14ac:dyDescent="0.25">
      <c r="A235" s="68" t="str">
        <f>A228</f>
        <v>Км8.1.2</v>
      </c>
      <c r="B235" s="66"/>
      <c r="C235" s="73" t="s">
        <v>2772</v>
      </c>
      <c r="D235" s="73" t="s">
        <v>2773</v>
      </c>
      <c r="E235" s="73">
        <v>8</v>
      </c>
      <c r="F235" s="73">
        <v>94.2</v>
      </c>
      <c r="G235" s="73"/>
      <c r="H235" s="66"/>
      <c r="I235" s="66"/>
      <c r="J235" s="66"/>
      <c r="K235" s="40">
        <f>120*120</f>
        <v>14400</v>
      </c>
      <c r="L235" s="66" t="s">
        <v>2344</v>
      </c>
      <c r="M235" s="66" t="s">
        <v>2339</v>
      </c>
      <c r="N235" s="66"/>
      <c r="O235" s="66" t="s">
        <v>2351</v>
      </c>
      <c r="P235" s="66"/>
      <c r="Q235" s="66"/>
      <c r="R235" s="66"/>
      <c r="S235" s="66"/>
      <c r="T235" s="66"/>
      <c r="U235" s="69"/>
    </row>
    <row r="236" spans="1:21" ht="16.5" x14ac:dyDescent="0.25">
      <c r="A236" s="42"/>
      <c r="B236" s="42"/>
      <c r="C236" s="42"/>
      <c r="D236" s="42"/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</row>
    <row r="237" spans="1:21" ht="33" x14ac:dyDescent="0.25">
      <c r="A237" s="43" t="str">
        <f>B237</f>
        <v>Км11.1.3</v>
      </c>
      <c r="B237" s="44" t="s">
        <v>2835</v>
      </c>
      <c r="C237" s="44"/>
      <c r="D237" s="44" t="s">
        <v>2836</v>
      </c>
      <c r="E237" s="44">
        <f>1+1</f>
        <v>2</v>
      </c>
      <c r="F237" s="44"/>
      <c r="G237" s="44"/>
      <c r="H237" s="44"/>
      <c r="I237" s="44"/>
      <c r="J237" s="44"/>
      <c r="K237" s="44"/>
      <c r="L237" s="44"/>
      <c r="M237" s="44"/>
      <c r="N237" s="44"/>
      <c r="O237" s="44"/>
      <c r="P237" s="44"/>
      <c r="Q237" s="44"/>
      <c r="R237" s="44"/>
      <c r="S237" s="44"/>
      <c r="T237" s="44"/>
      <c r="U237" s="45"/>
    </row>
    <row r="238" spans="1:21" ht="33" x14ac:dyDescent="0.25">
      <c r="A238" s="68" t="str">
        <f>A237</f>
        <v>Км11.1.3</v>
      </c>
      <c r="B238" s="66">
        <v>1</v>
      </c>
      <c r="C238" s="66" t="s">
        <v>2762</v>
      </c>
      <c r="D238" s="66" t="s">
        <v>2763</v>
      </c>
      <c r="E238" s="66">
        <v>4</v>
      </c>
      <c r="F238" s="40">
        <v>2.984</v>
      </c>
      <c r="G238" s="66"/>
      <c r="H238" s="66">
        <v>5070</v>
      </c>
      <c r="I238" s="66">
        <v>22</v>
      </c>
      <c r="J238" s="66" t="s">
        <v>2</v>
      </c>
      <c r="K238" s="66"/>
      <c r="L238" s="66"/>
      <c r="M238" s="66"/>
      <c r="N238" s="66"/>
      <c r="O238" s="66"/>
      <c r="P238" s="66"/>
      <c r="Q238" s="66"/>
      <c r="R238" s="66"/>
      <c r="S238" s="66" t="s">
        <v>2776</v>
      </c>
      <c r="T238" s="66" t="s">
        <v>2776</v>
      </c>
      <c r="U238" s="69">
        <v>88</v>
      </c>
    </row>
    <row r="239" spans="1:21" ht="33" x14ac:dyDescent="0.25">
      <c r="A239" s="68" t="str">
        <f>A238</f>
        <v>Км11.1.3</v>
      </c>
      <c r="B239" s="66">
        <v>2</v>
      </c>
      <c r="C239" s="66" t="s">
        <v>2764</v>
      </c>
      <c r="D239" s="66" t="s">
        <v>2765</v>
      </c>
      <c r="E239" s="66">
        <f>38+33+29+28+29+29+29+1+32+16</f>
        <v>264</v>
      </c>
      <c r="F239" s="40">
        <v>0.39500000000000002</v>
      </c>
      <c r="G239" s="66" t="s">
        <v>0</v>
      </c>
      <c r="H239" s="66">
        <f>420*4+150</f>
        <v>1830</v>
      </c>
      <c r="I239" s="66">
        <v>8</v>
      </c>
      <c r="J239" s="66" t="s">
        <v>1</v>
      </c>
      <c r="K239" s="66"/>
      <c r="L239" s="66"/>
      <c r="M239" s="66"/>
      <c r="N239" s="66"/>
      <c r="O239" s="66"/>
      <c r="P239" s="66"/>
      <c r="Q239" s="66"/>
      <c r="R239" s="66"/>
      <c r="S239" s="66" t="s">
        <v>2776</v>
      </c>
      <c r="T239" s="66" t="s">
        <v>2776</v>
      </c>
      <c r="U239" s="69">
        <v>10</v>
      </c>
    </row>
    <row r="240" spans="1:21" ht="33" x14ac:dyDescent="0.25">
      <c r="A240" s="68" t="str">
        <f>A239</f>
        <v>Км11.1.3</v>
      </c>
      <c r="B240" s="66">
        <v>3</v>
      </c>
      <c r="C240" s="66" t="s">
        <v>2762</v>
      </c>
      <c r="D240" s="66" t="s">
        <v>2766</v>
      </c>
      <c r="E240" s="66">
        <v>4</v>
      </c>
      <c r="F240" s="40">
        <v>2.4660000000000002</v>
      </c>
      <c r="G240" s="66"/>
      <c r="H240" s="66">
        <v>4500</v>
      </c>
      <c r="I240" s="66">
        <v>20</v>
      </c>
      <c r="J240" s="66" t="s">
        <v>2</v>
      </c>
      <c r="K240" s="66"/>
      <c r="L240" s="66"/>
      <c r="M240" s="66"/>
      <c r="N240" s="66"/>
      <c r="O240" s="66"/>
      <c r="P240" s="66"/>
      <c r="Q240" s="66"/>
      <c r="R240" s="66"/>
      <c r="S240" s="66" t="s">
        <v>2776</v>
      </c>
      <c r="T240" s="66" t="s">
        <v>2776</v>
      </c>
      <c r="U240" s="69">
        <v>80</v>
      </c>
    </row>
    <row r="241" spans="1:21" ht="33" x14ac:dyDescent="0.25">
      <c r="A241" s="68" t="str">
        <f>A240</f>
        <v>Км11.1.3</v>
      </c>
      <c r="B241" s="66">
        <v>4</v>
      </c>
      <c r="C241" s="66" t="s">
        <v>2762</v>
      </c>
      <c r="D241" s="66" t="s">
        <v>3175</v>
      </c>
      <c r="E241" s="66">
        <f>4*4</f>
        <v>16</v>
      </c>
      <c r="F241" s="40">
        <v>2.4660000000000002</v>
      </c>
      <c r="G241" s="66"/>
      <c r="H241" s="66">
        <v>4050</v>
      </c>
      <c r="I241" s="66">
        <v>20</v>
      </c>
      <c r="J241" s="66" t="s">
        <v>2</v>
      </c>
      <c r="K241" s="66"/>
      <c r="L241" s="66"/>
      <c r="M241" s="66"/>
      <c r="N241" s="66"/>
      <c r="O241" s="66"/>
      <c r="P241" s="66"/>
      <c r="Q241" s="66"/>
      <c r="R241" s="66"/>
      <c r="S241" s="66" t="s">
        <v>2776</v>
      </c>
      <c r="T241" s="66" t="s">
        <v>2776</v>
      </c>
      <c r="U241" s="69">
        <v>80</v>
      </c>
    </row>
    <row r="242" spans="1:21" ht="33" x14ac:dyDescent="0.25">
      <c r="A242" s="68" t="str">
        <f>A241</f>
        <v>Км11.1.3</v>
      </c>
      <c r="B242" s="66">
        <v>5</v>
      </c>
      <c r="C242" s="66" t="s">
        <v>2762</v>
      </c>
      <c r="D242" s="66" t="s">
        <v>2768</v>
      </c>
      <c r="E242" s="66">
        <v>4</v>
      </c>
      <c r="F242" s="40">
        <v>2.4660000000000002</v>
      </c>
      <c r="G242" s="66"/>
      <c r="H242" s="66">
        <v>3820</v>
      </c>
      <c r="I242" s="66">
        <v>20</v>
      </c>
      <c r="J242" s="66" t="s">
        <v>2</v>
      </c>
      <c r="K242" s="66"/>
      <c r="L242" s="66"/>
      <c r="M242" s="66"/>
      <c r="N242" s="66"/>
      <c r="O242" s="66"/>
      <c r="P242" s="66"/>
      <c r="Q242" s="66"/>
      <c r="R242" s="66"/>
      <c r="S242" s="66" t="s">
        <v>2776</v>
      </c>
      <c r="T242" s="66" t="s">
        <v>2776</v>
      </c>
      <c r="U242" s="69">
        <v>80</v>
      </c>
    </row>
    <row r="243" spans="1:21" ht="33" x14ac:dyDescent="0.25">
      <c r="A243" s="68" t="str">
        <f>A239</f>
        <v>Км11.1.3</v>
      </c>
      <c r="B243" s="66">
        <v>6</v>
      </c>
      <c r="C243" s="66" t="s">
        <v>3174</v>
      </c>
      <c r="D243" s="66" t="s">
        <v>3148</v>
      </c>
      <c r="E243" s="66">
        <v>4</v>
      </c>
      <c r="F243" s="40">
        <v>2.4660000000000002</v>
      </c>
      <c r="G243" s="66"/>
      <c r="H243" s="66">
        <v>1430</v>
      </c>
      <c r="I243" s="66">
        <v>20</v>
      </c>
      <c r="J243" s="66" t="s">
        <v>2</v>
      </c>
      <c r="K243" s="66"/>
      <c r="L243" s="66"/>
      <c r="M243" s="66"/>
      <c r="N243" s="66"/>
      <c r="O243" s="66"/>
      <c r="P243" s="66"/>
      <c r="Q243" s="66"/>
      <c r="R243" s="66"/>
      <c r="S243" s="66" t="s">
        <v>2776</v>
      </c>
      <c r="T243" s="66" t="s">
        <v>2776</v>
      </c>
      <c r="U243" s="69">
        <v>80</v>
      </c>
    </row>
    <row r="244" spans="1:21" ht="33" x14ac:dyDescent="0.25">
      <c r="A244" s="68" t="str">
        <f>A240</f>
        <v>Км11.1.3</v>
      </c>
      <c r="B244" s="66">
        <v>18</v>
      </c>
      <c r="C244" s="66" t="s">
        <v>3169</v>
      </c>
      <c r="D244" s="66" t="s">
        <v>3148</v>
      </c>
      <c r="E244" s="66">
        <v>4</v>
      </c>
      <c r="F244" s="40">
        <v>1.5780000000000001</v>
      </c>
      <c r="G244" s="66"/>
      <c r="H244" s="66">
        <v>2630</v>
      </c>
      <c r="I244" s="66">
        <v>16</v>
      </c>
      <c r="J244" s="66" t="s">
        <v>2</v>
      </c>
      <c r="K244" s="66"/>
      <c r="L244" s="66"/>
      <c r="M244" s="66"/>
      <c r="N244" s="66"/>
      <c r="O244" s="66"/>
      <c r="P244" s="66"/>
      <c r="Q244" s="66"/>
      <c r="R244" s="66"/>
      <c r="S244" s="66" t="s">
        <v>2776</v>
      </c>
      <c r="T244" s="66" t="s">
        <v>2776</v>
      </c>
      <c r="U244" s="69">
        <v>40</v>
      </c>
    </row>
    <row r="245" spans="1:21" ht="33" x14ac:dyDescent="0.25">
      <c r="A245" s="68" t="str">
        <f>A241</f>
        <v>Км11.1.3</v>
      </c>
      <c r="B245" s="66"/>
      <c r="C245" s="47" t="s">
        <v>2769</v>
      </c>
      <c r="D245" s="47" t="s">
        <v>2770</v>
      </c>
      <c r="E245" s="47">
        <f>(1.5*1.5*0.25)+(0.5*0.5*4.57)</f>
        <v>1.7050000000000001</v>
      </c>
      <c r="F245" s="47" t="s">
        <v>4</v>
      </c>
      <c r="G245" s="47" t="s">
        <v>3</v>
      </c>
      <c r="H245" s="66"/>
      <c r="I245" s="66"/>
      <c r="J245" s="66"/>
      <c r="K245" s="66"/>
      <c r="L245" s="66"/>
      <c r="M245" s="66"/>
      <c r="N245" s="66"/>
      <c r="O245" s="66"/>
      <c r="P245" s="66"/>
      <c r="Q245" s="66"/>
      <c r="R245" s="66"/>
      <c r="S245" s="66"/>
      <c r="T245" s="66"/>
      <c r="U245" s="69"/>
    </row>
    <row r="246" spans="1:21" ht="16.5" x14ac:dyDescent="0.25">
      <c r="A246" s="68" t="str">
        <f>A244</f>
        <v>Км11.1.3</v>
      </c>
      <c r="B246" s="66"/>
      <c r="C246" s="47" t="s">
        <v>2769</v>
      </c>
      <c r="D246" s="47" t="s">
        <v>2771</v>
      </c>
      <c r="E246" s="47">
        <f>29*0.5*0.5</f>
        <v>7.25</v>
      </c>
      <c r="F246" s="47" t="s">
        <v>4</v>
      </c>
      <c r="G246" s="47" t="s">
        <v>3</v>
      </c>
      <c r="H246" s="66"/>
      <c r="I246" s="66"/>
      <c r="J246" s="66"/>
      <c r="K246" s="66"/>
      <c r="L246" s="66"/>
      <c r="M246" s="66"/>
      <c r="N246" s="66"/>
      <c r="O246" s="66"/>
      <c r="P246" s="66"/>
      <c r="Q246" s="66"/>
      <c r="R246" s="66"/>
      <c r="S246" s="66"/>
      <c r="T246" s="66"/>
      <c r="U246" s="69"/>
    </row>
    <row r="247" spans="1:21" ht="16.5" x14ac:dyDescent="0.25">
      <c r="A247" s="68" t="str">
        <f>A245</f>
        <v>Км11.1.3</v>
      </c>
      <c r="B247" s="66"/>
      <c r="C247" s="73" t="s">
        <v>2772</v>
      </c>
      <c r="D247" s="73" t="s">
        <v>2773</v>
      </c>
      <c r="E247" s="73">
        <v>4</v>
      </c>
      <c r="F247" s="73">
        <v>94.2</v>
      </c>
      <c r="G247" s="73"/>
      <c r="H247" s="66"/>
      <c r="I247" s="66"/>
      <c r="J247" s="66"/>
      <c r="K247" s="40">
        <f>120*120</f>
        <v>14400</v>
      </c>
      <c r="L247" s="66" t="s">
        <v>2344</v>
      </c>
      <c r="M247" s="66" t="s">
        <v>2339</v>
      </c>
      <c r="N247" s="66"/>
      <c r="O247" s="66" t="s">
        <v>2351</v>
      </c>
      <c r="P247" s="66"/>
      <c r="Q247" s="66"/>
      <c r="R247" s="66"/>
      <c r="S247" s="66"/>
      <c r="T247" s="66"/>
      <c r="U247" s="69"/>
    </row>
    <row r="248" spans="1:21" ht="16.5" x14ac:dyDescent="0.25">
      <c r="A248" s="42"/>
      <c r="B248" s="42"/>
      <c r="C248" s="42"/>
      <c r="D248" s="42"/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</row>
    <row r="249" spans="1:21" ht="33" x14ac:dyDescent="0.25">
      <c r="A249" s="43" t="str">
        <f>B249</f>
        <v>Км11.1.1</v>
      </c>
      <c r="B249" s="44" t="s">
        <v>2838</v>
      </c>
      <c r="C249" s="44"/>
      <c r="D249" s="44" t="s">
        <v>2839</v>
      </c>
      <c r="E249" s="44">
        <f>1+1+1</f>
        <v>3</v>
      </c>
      <c r="F249" s="44"/>
      <c r="G249" s="44"/>
      <c r="H249" s="44"/>
      <c r="I249" s="44"/>
      <c r="J249" s="44"/>
      <c r="K249" s="44"/>
      <c r="L249" s="44"/>
      <c r="M249" s="44"/>
      <c r="N249" s="44"/>
      <c r="O249" s="44"/>
      <c r="P249" s="44"/>
      <c r="Q249" s="44"/>
      <c r="R249" s="44"/>
      <c r="S249" s="44"/>
      <c r="T249" s="44"/>
      <c r="U249" s="45"/>
    </row>
    <row r="250" spans="1:21" ht="33" x14ac:dyDescent="0.25">
      <c r="A250" s="68" t="str">
        <f>A249</f>
        <v>Км11.1.1</v>
      </c>
      <c r="B250" s="66">
        <v>1</v>
      </c>
      <c r="C250" s="66" t="s">
        <v>2762</v>
      </c>
      <c r="D250" s="66" t="s">
        <v>2763</v>
      </c>
      <c r="E250" s="66">
        <v>4</v>
      </c>
      <c r="F250" s="40">
        <v>2.984</v>
      </c>
      <c r="G250" s="66"/>
      <c r="H250" s="66">
        <v>5070</v>
      </c>
      <c r="I250" s="66">
        <v>22</v>
      </c>
      <c r="J250" s="66" t="s">
        <v>2</v>
      </c>
      <c r="K250" s="66"/>
      <c r="L250" s="66"/>
      <c r="M250" s="66"/>
      <c r="N250" s="66"/>
      <c r="O250" s="66"/>
      <c r="P250" s="66"/>
      <c r="Q250" s="66"/>
      <c r="R250" s="66"/>
      <c r="S250" s="66" t="s">
        <v>2776</v>
      </c>
      <c r="T250" s="66" t="s">
        <v>2776</v>
      </c>
      <c r="U250" s="69">
        <v>88</v>
      </c>
    </row>
    <row r="251" spans="1:21" ht="33" x14ac:dyDescent="0.25">
      <c r="A251" s="68" t="str">
        <f>A250</f>
        <v>Км11.1.1</v>
      </c>
      <c r="B251" s="66">
        <v>2</v>
      </c>
      <c r="C251" s="66" t="s">
        <v>2764</v>
      </c>
      <c r="D251" s="66" t="s">
        <v>2765</v>
      </c>
      <c r="E251" s="66">
        <f>38+33+29+29+29+29+27+1+32+16</f>
        <v>263</v>
      </c>
      <c r="F251" s="40">
        <v>0.39500000000000002</v>
      </c>
      <c r="G251" s="66" t="s">
        <v>0</v>
      </c>
      <c r="H251" s="66">
        <f>420*4+150</f>
        <v>1830</v>
      </c>
      <c r="I251" s="66">
        <v>8</v>
      </c>
      <c r="J251" s="66" t="s">
        <v>1</v>
      </c>
      <c r="K251" s="66"/>
      <c r="L251" s="66"/>
      <c r="M251" s="66"/>
      <c r="N251" s="66"/>
      <c r="O251" s="66"/>
      <c r="P251" s="66"/>
      <c r="Q251" s="66"/>
      <c r="R251" s="66"/>
      <c r="S251" s="66" t="s">
        <v>2776</v>
      </c>
      <c r="T251" s="66" t="s">
        <v>2776</v>
      </c>
      <c r="U251" s="69">
        <v>10</v>
      </c>
    </row>
    <row r="252" spans="1:21" ht="33" x14ac:dyDescent="0.25">
      <c r="A252" s="68" t="str">
        <f>A251</f>
        <v>Км11.1.1</v>
      </c>
      <c r="B252" s="66">
        <v>3</v>
      </c>
      <c r="C252" s="66" t="s">
        <v>2762</v>
      </c>
      <c r="D252" s="66" t="s">
        <v>2766</v>
      </c>
      <c r="E252" s="66">
        <v>4</v>
      </c>
      <c r="F252" s="40">
        <v>2.4660000000000002</v>
      </c>
      <c r="G252" s="66"/>
      <c r="H252" s="66">
        <v>4500</v>
      </c>
      <c r="I252" s="66">
        <v>20</v>
      </c>
      <c r="J252" s="66" t="s">
        <v>2</v>
      </c>
      <c r="K252" s="66"/>
      <c r="L252" s="66"/>
      <c r="M252" s="66"/>
      <c r="N252" s="66"/>
      <c r="O252" s="66"/>
      <c r="P252" s="66"/>
      <c r="Q252" s="66"/>
      <c r="R252" s="66"/>
      <c r="S252" s="66" t="s">
        <v>2776</v>
      </c>
      <c r="T252" s="66" t="s">
        <v>2776</v>
      </c>
      <c r="U252" s="69">
        <v>80</v>
      </c>
    </row>
    <row r="253" spans="1:21" ht="33" x14ac:dyDescent="0.25">
      <c r="A253" s="68" t="str">
        <f>A252</f>
        <v>Км11.1.1</v>
      </c>
      <c r="B253" s="66">
        <v>4</v>
      </c>
      <c r="C253" s="66" t="s">
        <v>2762</v>
      </c>
      <c r="D253" s="66" t="s">
        <v>3176</v>
      </c>
      <c r="E253" s="66">
        <f>4*5</f>
        <v>20</v>
      </c>
      <c r="F253" s="40">
        <v>2.4660000000000002</v>
      </c>
      <c r="G253" s="66"/>
      <c r="H253" s="66">
        <v>4050</v>
      </c>
      <c r="I253" s="66">
        <v>20</v>
      </c>
      <c r="J253" s="66" t="s">
        <v>2</v>
      </c>
      <c r="K253" s="66"/>
      <c r="L253" s="66"/>
      <c r="M253" s="66"/>
      <c r="N253" s="66"/>
      <c r="O253" s="66"/>
      <c r="P253" s="66"/>
      <c r="Q253" s="66"/>
      <c r="R253" s="66"/>
      <c r="S253" s="66" t="s">
        <v>2776</v>
      </c>
      <c r="T253" s="66" t="s">
        <v>2776</v>
      </c>
      <c r="U253" s="69">
        <v>80</v>
      </c>
    </row>
    <row r="254" spans="1:21" ht="33" x14ac:dyDescent="0.25">
      <c r="A254" s="68" t="str">
        <f>A253</f>
        <v>Км11.1.1</v>
      </c>
      <c r="B254" s="66">
        <v>5</v>
      </c>
      <c r="C254" s="66" t="s">
        <v>2762</v>
      </c>
      <c r="D254" s="66" t="s">
        <v>2768</v>
      </c>
      <c r="E254" s="66">
        <v>4</v>
      </c>
      <c r="F254" s="40">
        <v>2.4660000000000002</v>
      </c>
      <c r="G254" s="66"/>
      <c r="H254" s="66">
        <v>3820</v>
      </c>
      <c r="I254" s="66">
        <v>20</v>
      </c>
      <c r="J254" s="66" t="s">
        <v>2</v>
      </c>
      <c r="K254" s="66"/>
      <c r="L254" s="66"/>
      <c r="M254" s="66"/>
      <c r="N254" s="66"/>
      <c r="O254" s="66"/>
      <c r="P254" s="66"/>
      <c r="Q254" s="66"/>
      <c r="R254" s="66"/>
      <c r="S254" s="66" t="s">
        <v>2776</v>
      </c>
      <c r="T254" s="66" t="s">
        <v>2776</v>
      </c>
      <c r="U254" s="69">
        <v>80</v>
      </c>
    </row>
    <row r="255" spans="1:21" ht="33" x14ac:dyDescent="0.25">
      <c r="A255" s="68" t="str">
        <f>A251</f>
        <v>Км11.1.1</v>
      </c>
      <c r="B255" s="66">
        <v>6</v>
      </c>
      <c r="C255" s="66" t="s">
        <v>3174</v>
      </c>
      <c r="D255" s="66" t="s">
        <v>3148</v>
      </c>
      <c r="E255" s="66">
        <v>4</v>
      </c>
      <c r="F255" s="40">
        <v>2.984</v>
      </c>
      <c r="G255" s="66"/>
      <c r="H255" s="66">
        <v>1430</v>
      </c>
      <c r="I255" s="66">
        <v>22</v>
      </c>
      <c r="J255" s="66" t="s">
        <v>2</v>
      </c>
      <c r="K255" s="66"/>
      <c r="L255" s="66"/>
      <c r="M255" s="66"/>
      <c r="N255" s="66"/>
      <c r="O255" s="66"/>
      <c r="P255" s="66"/>
      <c r="Q255" s="66"/>
      <c r="R255" s="66"/>
      <c r="S255" s="66" t="s">
        <v>2776</v>
      </c>
      <c r="T255" s="66" t="s">
        <v>2776</v>
      </c>
      <c r="U255" s="69">
        <v>88</v>
      </c>
    </row>
    <row r="256" spans="1:21" ht="33" x14ac:dyDescent="0.25">
      <c r="A256" s="68" t="str">
        <f>A252</f>
        <v>Км11.1.1</v>
      </c>
      <c r="B256" s="66">
        <v>18</v>
      </c>
      <c r="C256" s="66" t="s">
        <v>3169</v>
      </c>
      <c r="D256" s="66" t="s">
        <v>3148</v>
      </c>
      <c r="E256" s="66">
        <v>4</v>
      </c>
      <c r="F256" s="40">
        <v>1.5780000000000001</v>
      </c>
      <c r="G256" s="66"/>
      <c r="H256" s="66">
        <v>2630</v>
      </c>
      <c r="I256" s="66">
        <v>16</v>
      </c>
      <c r="J256" s="66" t="s">
        <v>2</v>
      </c>
      <c r="K256" s="66"/>
      <c r="L256" s="66"/>
      <c r="M256" s="66"/>
      <c r="N256" s="66"/>
      <c r="O256" s="66"/>
      <c r="P256" s="66"/>
      <c r="Q256" s="66"/>
      <c r="R256" s="66"/>
      <c r="S256" s="66" t="s">
        <v>2776</v>
      </c>
      <c r="T256" s="66" t="s">
        <v>2776</v>
      </c>
      <c r="U256" s="69">
        <v>40</v>
      </c>
    </row>
    <row r="257" spans="1:21" ht="33" x14ac:dyDescent="0.25">
      <c r="A257" s="68" t="str">
        <f>A253</f>
        <v>Км11.1.1</v>
      </c>
      <c r="B257" s="66"/>
      <c r="C257" s="47" t="s">
        <v>2769</v>
      </c>
      <c r="D257" s="47" t="s">
        <v>2770</v>
      </c>
      <c r="E257" s="47">
        <f>(1.5*1.5*0.25)+(0.5*0.5*4.57)</f>
        <v>1.7050000000000001</v>
      </c>
      <c r="F257" s="47" t="s">
        <v>4</v>
      </c>
      <c r="G257" s="47" t="s">
        <v>3</v>
      </c>
      <c r="H257" s="66"/>
      <c r="I257" s="66"/>
      <c r="J257" s="66"/>
      <c r="K257" s="66"/>
      <c r="L257" s="66"/>
      <c r="M257" s="66"/>
      <c r="N257" s="66"/>
      <c r="O257" s="66"/>
      <c r="P257" s="66"/>
      <c r="Q257" s="66"/>
      <c r="R257" s="66"/>
      <c r="S257" s="66"/>
      <c r="T257" s="66"/>
      <c r="U257" s="69"/>
    </row>
    <row r="258" spans="1:21" ht="16.5" x14ac:dyDescent="0.25">
      <c r="A258" s="68" t="str">
        <f>A256</f>
        <v>Км11.1.1</v>
      </c>
      <c r="B258" s="66"/>
      <c r="C258" s="47" t="s">
        <v>2769</v>
      </c>
      <c r="D258" s="47" t="s">
        <v>2771</v>
      </c>
      <c r="E258" s="47">
        <f>29*0.5*0.5</f>
        <v>7.25</v>
      </c>
      <c r="F258" s="47" t="s">
        <v>4</v>
      </c>
      <c r="G258" s="47" t="s">
        <v>3</v>
      </c>
      <c r="H258" s="66"/>
      <c r="I258" s="66"/>
      <c r="J258" s="66"/>
      <c r="K258" s="66"/>
      <c r="L258" s="66"/>
      <c r="M258" s="66"/>
      <c r="N258" s="66"/>
      <c r="O258" s="66"/>
      <c r="P258" s="66"/>
      <c r="Q258" s="66"/>
      <c r="R258" s="66"/>
      <c r="S258" s="66"/>
      <c r="T258" s="66"/>
      <c r="U258" s="69"/>
    </row>
    <row r="259" spans="1:21" ht="16.5" x14ac:dyDescent="0.25">
      <c r="A259" s="68" t="str">
        <f>A257</f>
        <v>Км11.1.1</v>
      </c>
      <c r="B259" s="66"/>
      <c r="C259" s="73" t="s">
        <v>2772</v>
      </c>
      <c r="D259" s="73" t="s">
        <v>2773</v>
      </c>
      <c r="E259" s="73">
        <v>8</v>
      </c>
      <c r="F259" s="73">
        <v>94.2</v>
      </c>
      <c r="G259" s="73"/>
      <c r="H259" s="66"/>
      <c r="I259" s="66"/>
      <c r="J259" s="66"/>
      <c r="K259" s="40">
        <f>120*120</f>
        <v>14400</v>
      </c>
      <c r="L259" s="66" t="s">
        <v>2344</v>
      </c>
      <c r="M259" s="66" t="s">
        <v>2339</v>
      </c>
      <c r="N259" s="66"/>
      <c r="O259" s="66" t="s">
        <v>2351</v>
      </c>
      <c r="P259" s="66"/>
      <c r="Q259" s="66"/>
      <c r="R259" s="66"/>
      <c r="S259" s="66"/>
      <c r="T259" s="66"/>
      <c r="U259" s="69"/>
    </row>
    <row r="260" spans="1:21" ht="16.5" x14ac:dyDescent="0.25">
      <c r="A260" s="42"/>
      <c r="B260" s="42"/>
      <c r="C260" s="42"/>
      <c r="D260" s="42"/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</row>
    <row r="261" spans="1:21" ht="33" x14ac:dyDescent="0.25">
      <c r="A261" s="43" t="str">
        <f>B261</f>
        <v>Км11.1.2</v>
      </c>
      <c r="B261" s="44" t="s">
        <v>2841</v>
      </c>
      <c r="C261" s="44"/>
      <c r="D261" s="44" t="s">
        <v>2842</v>
      </c>
      <c r="E261" s="44">
        <f>1+1</f>
        <v>2</v>
      </c>
      <c r="F261" s="44"/>
      <c r="G261" s="44"/>
      <c r="H261" s="44"/>
      <c r="I261" s="44"/>
      <c r="J261" s="44"/>
      <c r="K261" s="44"/>
      <c r="L261" s="44"/>
      <c r="M261" s="44"/>
      <c r="N261" s="44"/>
      <c r="O261" s="44"/>
      <c r="P261" s="44"/>
      <c r="Q261" s="44"/>
      <c r="R261" s="44"/>
      <c r="S261" s="44"/>
      <c r="T261" s="44"/>
      <c r="U261" s="45"/>
    </row>
    <row r="262" spans="1:21" ht="33" x14ac:dyDescent="0.25">
      <c r="A262" s="68" t="str">
        <f>A261</f>
        <v>Км11.1.2</v>
      </c>
      <c r="B262" s="66">
        <v>1</v>
      </c>
      <c r="C262" s="66" t="s">
        <v>2762</v>
      </c>
      <c r="D262" s="66" t="s">
        <v>2763</v>
      </c>
      <c r="E262" s="66">
        <v>4</v>
      </c>
      <c r="F262" s="40">
        <v>2.984</v>
      </c>
      <c r="G262" s="66"/>
      <c r="H262" s="66">
        <v>5070</v>
      </c>
      <c r="I262" s="66">
        <v>22</v>
      </c>
      <c r="J262" s="66" t="s">
        <v>2</v>
      </c>
      <c r="K262" s="66"/>
      <c r="L262" s="66"/>
      <c r="M262" s="66"/>
      <c r="N262" s="66"/>
      <c r="O262" s="66"/>
      <c r="P262" s="66"/>
      <c r="Q262" s="66"/>
      <c r="R262" s="66"/>
      <c r="S262" s="66" t="s">
        <v>2776</v>
      </c>
      <c r="T262" s="66" t="s">
        <v>2776</v>
      </c>
      <c r="U262" s="69">
        <v>88</v>
      </c>
    </row>
    <row r="263" spans="1:21" ht="33" x14ac:dyDescent="0.25">
      <c r="A263" s="68" t="str">
        <f>A262</f>
        <v>Км11.1.2</v>
      </c>
      <c r="B263" s="66">
        <v>2</v>
      </c>
      <c r="C263" s="66" t="s">
        <v>2764</v>
      </c>
      <c r="D263" s="66" t="s">
        <v>2765</v>
      </c>
      <c r="E263" s="66">
        <f>38+33+29+29+29+29+27+1+34+16</f>
        <v>265</v>
      </c>
      <c r="F263" s="40">
        <v>0.39500000000000002</v>
      </c>
      <c r="G263" s="66" t="s">
        <v>0</v>
      </c>
      <c r="H263" s="66">
        <f>420*4+150</f>
        <v>1830</v>
      </c>
      <c r="I263" s="66">
        <v>8</v>
      </c>
      <c r="J263" s="66" t="s">
        <v>1</v>
      </c>
      <c r="K263" s="66"/>
      <c r="L263" s="66"/>
      <c r="M263" s="66"/>
      <c r="N263" s="66"/>
      <c r="O263" s="66"/>
      <c r="P263" s="66"/>
      <c r="Q263" s="66"/>
      <c r="R263" s="66"/>
      <c r="S263" s="66" t="s">
        <v>2776</v>
      </c>
      <c r="T263" s="66" t="s">
        <v>2776</v>
      </c>
      <c r="U263" s="69">
        <v>10</v>
      </c>
    </row>
    <row r="264" spans="1:21" ht="33" x14ac:dyDescent="0.25">
      <c r="A264" s="68" t="str">
        <f>A263</f>
        <v>Км11.1.2</v>
      </c>
      <c r="B264" s="66">
        <v>3</v>
      </c>
      <c r="C264" s="66" t="s">
        <v>2762</v>
      </c>
      <c r="D264" s="66" t="s">
        <v>2766</v>
      </c>
      <c r="E264" s="66">
        <v>4</v>
      </c>
      <c r="F264" s="40">
        <v>2.4660000000000002</v>
      </c>
      <c r="G264" s="66"/>
      <c r="H264" s="66">
        <v>4500</v>
      </c>
      <c r="I264" s="66">
        <v>20</v>
      </c>
      <c r="J264" s="66" t="s">
        <v>2</v>
      </c>
      <c r="K264" s="66"/>
      <c r="L264" s="66"/>
      <c r="M264" s="66"/>
      <c r="N264" s="66"/>
      <c r="O264" s="66"/>
      <c r="P264" s="66"/>
      <c r="Q264" s="66"/>
      <c r="R264" s="66"/>
      <c r="S264" s="66" t="s">
        <v>2776</v>
      </c>
      <c r="T264" s="66" t="s">
        <v>2776</v>
      </c>
      <c r="U264" s="69">
        <v>80</v>
      </c>
    </row>
    <row r="265" spans="1:21" ht="33" x14ac:dyDescent="0.25">
      <c r="A265" s="68" t="str">
        <f>A264</f>
        <v>Км11.1.2</v>
      </c>
      <c r="B265" s="66">
        <v>4</v>
      </c>
      <c r="C265" s="66" t="s">
        <v>2762</v>
      </c>
      <c r="D265" s="66" t="s">
        <v>3176</v>
      </c>
      <c r="E265" s="66">
        <f>4*5</f>
        <v>20</v>
      </c>
      <c r="F265" s="40">
        <v>2.4660000000000002</v>
      </c>
      <c r="G265" s="66"/>
      <c r="H265" s="66">
        <v>4050</v>
      </c>
      <c r="I265" s="66">
        <v>20</v>
      </c>
      <c r="J265" s="66" t="s">
        <v>2</v>
      </c>
      <c r="K265" s="66"/>
      <c r="L265" s="66"/>
      <c r="M265" s="66"/>
      <c r="N265" s="66"/>
      <c r="O265" s="66"/>
      <c r="P265" s="66"/>
      <c r="Q265" s="66"/>
      <c r="R265" s="66"/>
      <c r="S265" s="66" t="s">
        <v>2776</v>
      </c>
      <c r="T265" s="66" t="s">
        <v>2776</v>
      </c>
      <c r="U265" s="69">
        <v>80</v>
      </c>
    </row>
    <row r="266" spans="1:21" ht="33" x14ac:dyDescent="0.25">
      <c r="A266" s="68" t="str">
        <f>A265</f>
        <v>Км11.1.2</v>
      </c>
      <c r="B266" s="66">
        <v>5</v>
      </c>
      <c r="C266" s="66" t="s">
        <v>2762</v>
      </c>
      <c r="D266" s="66" t="s">
        <v>2768</v>
      </c>
      <c r="E266" s="66">
        <v>4</v>
      </c>
      <c r="F266" s="40">
        <v>2.4660000000000002</v>
      </c>
      <c r="G266" s="66"/>
      <c r="H266" s="66">
        <v>3820</v>
      </c>
      <c r="I266" s="66">
        <v>20</v>
      </c>
      <c r="J266" s="66" t="s">
        <v>2</v>
      </c>
      <c r="K266" s="66"/>
      <c r="L266" s="66"/>
      <c r="M266" s="66"/>
      <c r="N266" s="66"/>
      <c r="O266" s="66"/>
      <c r="P266" s="66"/>
      <c r="Q266" s="66"/>
      <c r="R266" s="66"/>
      <c r="S266" s="66" t="s">
        <v>2776</v>
      </c>
      <c r="T266" s="66" t="s">
        <v>2776</v>
      </c>
      <c r="U266" s="69">
        <v>80</v>
      </c>
    </row>
    <row r="267" spans="1:21" ht="33" x14ac:dyDescent="0.25">
      <c r="A267" s="68" t="str">
        <f>A263</f>
        <v>Км11.1.2</v>
      </c>
      <c r="B267" s="66">
        <v>6</v>
      </c>
      <c r="C267" s="66" t="s">
        <v>3174</v>
      </c>
      <c r="D267" s="66" t="s">
        <v>3148</v>
      </c>
      <c r="E267" s="66">
        <v>4</v>
      </c>
      <c r="F267" s="40">
        <v>2.984</v>
      </c>
      <c r="G267" s="66"/>
      <c r="H267" s="66">
        <v>1430</v>
      </c>
      <c r="I267" s="66">
        <v>22</v>
      </c>
      <c r="J267" s="66" t="s">
        <v>2</v>
      </c>
      <c r="K267" s="66"/>
      <c r="L267" s="66"/>
      <c r="M267" s="66"/>
      <c r="N267" s="66"/>
      <c r="O267" s="66"/>
      <c r="P267" s="66"/>
      <c r="Q267" s="66"/>
      <c r="R267" s="66"/>
      <c r="S267" s="66" t="s">
        <v>2776</v>
      </c>
      <c r="T267" s="66" t="s">
        <v>2776</v>
      </c>
      <c r="U267" s="69">
        <v>88</v>
      </c>
    </row>
    <row r="268" spans="1:21" ht="33" x14ac:dyDescent="0.25">
      <c r="A268" s="68" t="str">
        <f>A264</f>
        <v>Км11.1.2</v>
      </c>
      <c r="B268" s="66">
        <v>18</v>
      </c>
      <c r="C268" s="66" t="s">
        <v>3169</v>
      </c>
      <c r="D268" s="66" t="s">
        <v>3148</v>
      </c>
      <c r="E268" s="66">
        <v>4</v>
      </c>
      <c r="F268" s="40">
        <v>1.5780000000000001</v>
      </c>
      <c r="G268" s="66"/>
      <c r="H268" s="66">
        <v>2630</v>
      </c>
      <c r="I268" s="66">
        <v>16</v>
      </c>
      <c r="J268" s="66" t="s">
        <v>2</v>
      </c>
      <c r="K268" s="66"/>
      <c r="L268" s="66"/>
      <c r="M268" s="66"/>
      <c r="N268" s="66"/>
      <c r="O268" s="66"/>
      <c r="P268" s="66"/>
      <c r="Q268" s="66"/>
      <c r="R268" s="66"/>
      <c r="S268" s="66" t="s">
        <v>2776</v>
      </c>
      <c r="T268" s="66" t="s">
        <v>2776</v>
      </c>
      <c r="U268" s="69">
        <v>40</v>
      </c>
    </row>
    <row r="269" spans="1:21" ht="33" x14ac:dyDescent="0.25">
      <c r="A269" s="68" t="str">
        <f>A265</f>
        <v>Км11.1.2</v>
      </c>
      <c r="B269" s="66"/>
      <c r="C269" s="47" t="s">
        <v>2769</v>
      </c>
      <c r="D269" s="47" t="s">
        <v>2770</v>
      </c>
      <c r="E269" s="47">
        <f>(1.5*1.5*0.25)+(0.5*0.5*4.57)</f>
        <v>1.7050000000000001</v>
      </c>
      <c r="F269" s="47" t="s">
        <v>4</v>
      </c>
      <c r="G269" s="47" t="s">
        <v>3</v>
      </c>
      <c r="H269" s="66"/>
      <c r="I269" s="66"/>
      <c r="J269" s="66"/>
      <c r="K269" s="66"/>
      <c r="L269" s="66"/>
      <c r="M269" s="66"/>
      <c r="N269" s="66"/>
      <c r="O269" s="66"/>
      <c r="P269" s="66"/>
      <c r="Q269" s="66"/>
      <c r="R269" s="66"/>
      <c r="S269" s="66"/>
      <c r="T269" s="66"/>
      <c r="U269" s="69"/>
    </row>
    <row r="270" spans="1:21" ht="16.5" x14ac:dyDescent="0.25">
      <c r="A270" s="68" t="str">
        <f>A268</f>
        <v>Км11.1.2</v>
      </c>
      <c r="B270" s="66"/>
      <c r="C270" s="47" t="s">
        <v>2769</v>
      </c>
      <c r="D270" s="47" t="s">
        <v>2771</v>
      </c>
      <c r="E270" s="47">
        <f>29.25*0.5*0.5</f>
        <v>7.3125</v>
      </c>
      <c r="F270" s="47" t="s">
        <v>4</v>
      </c>
      <c r="G270" s="47" t="s">
        <v>3</v>
      </c>
      <c r="H270" s="66"/>
      <c r="I270" s="66"/>
      <c r="J270" s="66"/>
      <c r="K270" s="66"/>
      <c r="L270" s="66"/>
      <c r="M270" s="66"/>
      <c r="N270" s="66"/>
      <c r="O270" s="66"/>
      <c r="P270" s="66"/>
      <c r="Q270" s="66"/>
      <c r="R270" s="66"/>
      <c r="S270" s="66"/>
      <c r="T270" s="66"/>
      <c r="U270" s="69"/>
    </row>
    <row r="271" spans="1:21" ht="16.5" x14ac:dyDescent="0.25">
      <c r="A271" s="68" t="str">
        <f>A269</f>
        <v>Км11.1.2</v>
      </c>
      <c r="B271" s="66"/>
      <c r="C271" s="73" t="s">
        <v>2772</v>
      </c>
      <c r="D271" s="73" t="s">
        <v>2773</v>
      </c>
      <c r="E271" s="73">
        <v>8</v>
      </c>
      <c r="F271" s="73">
        <v>94.2</v>
      </c>
      <c r="G271" s="73"/>
      <c r="H271" s="66"/>
      <c r="I271" s="66"/>
      <c r="J271" s="66"/>
      <c r="K271" s="40">
        <f>120*120</f>
        <v>14400</v>
      </c>
      <c r="L271" s="66" t="s">
        <v>2344</v>
      </c>
      <c r="M271" s="66" t="s">
        <v>2339</v>
      </c>
      <c r="N271" s="66"/>
      <c r="O271" s="66" t="s">
        <v>2351</v>
      </c>
      <c r="P271" s="66"/>
      <c r="Q271" s="66"/>
      <c r="R271" s="66"/>
      <c r="S271" s="66"/>
      <c r="T271" s="66"/>
      <c r="U271" s="69"/>
    </row>
    <row r="272" spans="1:21" ht="16.5" x14ac:dyDescent="0.25">
      <c r="A272" s="42"/>
      <c r="B272" s="42"/>
      <c r="C272" s="42"/>
      <c r="D272" s="42"/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</row>
    <row r="273" spans="1:21" ht="33" x14ac:dyDescent="0.25">
      <c r="A273" s="43" t="str">
        <f>B273</f>
        <v>Км8.2.1</v>
      </c>
      <c r="B273" s="44" t="s">
        <v>2844</v>
      </c>
      <c r="C273" s="44"/>
      <c r="D273" s="44" t="s">
        <v>2845</v>
      </c>
      <c r="E273" s="44">
        <f>1</f>
        <v>1</v>
      </c>
      <c r="F273" s="44"/>
      <c r="G273" s="44"/>
      <c r="H273" s="44"/>
      <c r="I273" s="44"/>
      <c r="J273" s="44"/>
      <c r="K273" s="44"/>
      <c r="L273" s="44"/>
      <c r="M273" s="44"/>
      <c r="N273" s="44"/>
      <c r="O273" s="44"/>
      <c r="P273" s="44"/>
      <c r="Q273" s="44"/>
      <c r="R273" s="44"/>
      <c r="S273" s="44"/>
      <c r="T273" s="44"/>
      <c r="U273" s="45"/>
    </row>
    <row r="274" spans="1:21" ht="33" x14ac:dyDescent="0.25">
      <c r="A274" s="68" t="str">
        <f>A273</f>
        <v>Км8.2.1</v>
      </c>
      <c r="B274" s="66">
        <v>1</v>
      </c>
      <c r="C274" s="66" t="s">
        <v>2762</v>
      </c>
      <c r="D274" s="66" t="s">
        <v>2763</v>
      </c>
      <c r="E274" s="66">
        <v>4</v>
      </c>
      <c r="F274" s="40">
        <v>2.984</v>
      </c>
      <c r="G274" s="66"/>
      <c r="H274" s="66">
        <v>5070</v>
      </c>
      <c r="I274" s="66">
        <v>22</v>
      </c>
      <c r="J274" s="66" t="s">
        <v>2</v>
      </c>
      <c r="K274" s="66"/>
      <c r="L274" s="66"/>
      <c r="M274" s="66"/>
      <c r="N274" s="66"/>
      <c r="O274" s="66"/>
      <c r="P274" s="66"/>
      <c r="Q274" s="66"/>
      <c r="R274" s="66"/>
      <c r="S274" s="66" t="s">
        <v>2776</v>
      </c>
      <c r="T274" s="66" t="s">
        <v>2776</v>
      </c>
      <c r="U274" s="69">
        <v>88</v>
      </c>
    </row>
    <row r="275" spans="1:21" ht="33" x14ac:dyDescent="0.25">
      <c r="A275" s="68" t="str">
        <f>A274</f>
        <v>Км8.2.1</v>
      </c>
      <c r="B275" s="66">
        <v>2</v>
      </c>
      <c r="C275" s="66" t="s">
        <v>2764</v>
      </c>
      <c r="D275" s="66" t="s">
        <v>2765</v>
      </c>
      <c r="E275" s="66">
        <f>38+29+2+29+29+29+29+27+1+29+16</f>
        <v>258</v>
      </c>
      <c r="F275" s="40">
        <v>0.39500000000000002</v>
      </c>
      <c r="G275" s="66" t="s">
        <v>0</v>
      </c>
      <c r="H275" s="66">
        <f>420*4+150</f>
        <v>1830</v>
      </c>
      <c r="I275" s="66">
        <v>8</v>
      </c>
      <c r="J275" s="66" t="s">
        <v>1</v>
      </c>
      <c r="K275" s="66"/>
      <c r="L275" s="66"/>
      <c r="M275" s="66"/>
      <c r="N275" s="66"/>
      <c r="O275" s="66"/>
      <c r="P275" s="66"/>
      <c r="Q275" s="66"/>
      <c r="R275" s="66"/>
      <c r="S275" s="66" t="s">
        <v>2776</v>
      </c>
      <c r="T275" s="66" t="s">
        <v>2776</v>
      </c>
      <c r="U275" s="69">
        <v>10</v>
      </c>
    </row>
    <row r="276" spans="1:21" ht="33" x14ac:dyDescent="0.25">
      <c r="A276" s="68" t="str">
        <f>A275</f>
        <v>Км8.2.1</v>
      </c>
      <c r="B276" s="66">
        <v>34</v>
      </c>
      <c r="C276" s="66" t="s">
        <v>2762</v>
      </c>
      <c r="D276" s="66" t="s">
        <v>2766</v>
      </c>
      <c r="E276" s="66">
        <v>4</v>
      </c>
      <c r="F276" s="40">
        <v>2.984</v>
      </c>
      <c r="G276" s="66"/>
      <c r="H276" s="66">
        <v>4500</v>
      </c>
      <c r="I276" s="66">
        <v>22</v>
      </c>
      <c r="J276" s="66" t="s">
        <v>2</v>
      </c>
      <c r="K276" s="66"/>
      <c r="L276" s="66"/>
      <c r="M276" s="66"/>
      <c r="N276" s="66"/>
      <c r="O276" s="66"/>
      <c r="P276" s="66"/>
      <c r="Q276" s="66"/>
      <c r="R276" s="66"/>
      <c r="S276" s="66" t="s">
        <v>2776</v>
      </c>
      <c r="T276" s="66" t="s">
        <v>2776</v>
      </c>
      <c r="U276" s="69">
        <v>88</v>
      </c>
    </row>
    <row r="277" spans="1:21" ht="33" x14ac:dyDescent="0.25">
      <c r="A277" s="68" t="str">
        <f>A276</f>
        <v>Км8.2.1</v>
      </c>
      <c r="B277" s="66">
        <v>4</v>
      </c>
      <c r="C277" s="66" t="s">
        <v>2762</v>
      </c>
      <c r="D277" s="66" t="s">
        <v>3177</v>
      </c>
      <c r="E277" s="66">
        <f>4*5</f>
        <v>20</v>
      </c>
      <c r="F277" s="40">
        <v>2.4660000000000002</v>
      </c>
      <c r="G277" s="66"/>
      <c r="H277" s="66">
        <v>4050</v>
      </c>
      <c r="I277" s="66">
        <v>20</v>
      </c>
      <c r="J277" s="66" t="s">
        <v>2</v>
      </c>
      <c r="K277" s="66"/>
      <c r="L277" s="66"/>
      <c r="M277" s="66"/>
      <c r="N277" s="66"/>
      <c r="O277" s="66"/>
      <c r="P277" s="66"/>
      <c r="Q277" s="66"/>
      <c r="R277" s="66"/>
      <c r="S277" s="66" t="s">
        <v>2776</v>
      </c>
      <c r="T277" s="66" t="s">
        <v>2776</v>
      </c>
      <c r="U277" s="69">
        <v>80</v>
      </c>
    </row>
    <row r="278" spans="1:21" ht="33" x14ac:dyDescent="0.25">
      <c r="A278" s="68" t="str">
        <f>A275</f>
        <v>Км8.2.1</v>
      </c>
      <c r="B278" s="66">
        <v>27</v>
      </c>
      <c r="C278" s="66" t="s">
        <v>3169</v>
      </c>
      <c r="D278" s="66" t="s">
        <v>3173</v>
      </c>
      <c r="E278" s="66">
        <v>4</v>
      </c>
      <c r="F278" s="40">
        <v>2.984</v>
      </c>
      <c r="G278" s="66"/>
      <c r="H278" s="66">
        <v>3820</v>
      </c>
      <c r="I278" s="66">
        <v>22</v>
      </c>
      <c r="J278" s="66" t="s">
        <v>2</v>
      </c>
      <c r="K278" s="66"/>
      <c r="L278" s="66"/>
      <c r="M278" s="66"/>
      <c r="N278" s="66"/>
      <c r="O278" s="66"/>
      <c r="P278" s="66"/>
      <c r="Q278" s="66"/>
      <c r="R278" s="66"/>
      <c r="S278" s="66" t="s">
        <v>2776</v>
      </c>
      <c r="T278" s="66" t="s">
        <v>2776</v>
      </c>
      <c r="U278" s="69">
        <v>88</v>
      </c>
    </row>
    <row r="279" spans="1:21" ht="33" x14ac:dyDescent="0.25">
      <c r="A279" s="68" t="str">
        <f>A277</f>
        <v>Км8.2.1</v>
      </c>
      <c r="B279" s="66">
        <v>32</v>
      </c>
      <c r="C279" s="66" t="s">
        <v>3149</v>
      </c>
      <c r="D279" s="66" t="s">
        <v>3173</v>
      </c>
      <c r="E279" s="66">
        <v>4</v>
      </c>
      <c r="F279" s="40">
        <v>2.984</v>
      </c>
      <c r="G279" s="66"/>
      <c r="H279" s="66">
        <v>5020</v>
      </c>
      <c r="I279" s="66">
        <v>22</v>
      </c>
      <c r="J279" s="66" t="s">
        <v>2</v>
      </c>
      <c r="K279" s="66"/>
      <c r="L279" s="66"/>
      <c r="M279" s="66"/>
      <c r="N279" s="66"/>
      <c r="O279" s="66"/>
      <c r="P279" s="66"/>
      <c r="Q279" s="66"/>
      <c r="R279" s="66"/>
      <c r="S279" s="66" t="s">
        <v>2776</v>
      </c>
      <c r="T279" s="66" t="s">
        <v>2776</v>
      </c>
      <c r="U279" s="69">
        <v>88</v>
      </c>
    </row>
    <row r="280" spans="1:21" ht="33" x14ac:dyDescent="0.25">
      <c r="A280" s="68" t="str">
        <f>A275</f>
        <v>Км8.2.1</v>
      </c>
      <c r="B280" s="66">
        <v>28</v>
      </c>
      <c r="C280" s="66" t="s">
        <v>3174</v>
      </c>
      <c r="D280" s="66" t="s">
        <v>3148</v>
      </c>
      <c r="E280" s="66">
        <v>8</v>
      </c>
      <c r="F280" s="40">
        <v>2.984</v>
      </c>
      <c r="G280" s="66"/>
      <c r="H280" s="66">
        <v>1430</v>
      </c>
      <c r="I280" s="66">
        <v>22</v>
      </c>
      <c r="J280" s="66" t="s">
        <v>2</v>
      </c>
      <c r="K280" s="66"/>
      <c r="L280" s="66"/>
      <c r="M280" s="66"/>
      <c r="N280" s="66"/>
      <c r="O280" s="66"/>
      <c r="P280" s="66"/>
      <c r="Q280" s="66"/>
      <c r="R280" s="66"/>
      <c r="S280" s="66" t="s">
        <v>2776</v>
      </c>
      <c r="T280" s="66" t="s">
        <v>2776</v>
      </c>
      <c r="U280" s="69">
        <v>88</v>
      </c>
    </row>
    <row r="281" spans="1:21" ht="33" x14ac:dyDescent="0.25">
      <c r="A281" s="68" t="str">
        <f>A276</f>
        <v>Км8.2.1</v>
      </c>
      <c r="B281" s="66">
        <v>18</v>
      </c>
      <c r="C281" s="66" t="s">
        <v>3169</v>
      </c>
      <c r="D281" s="66" t="s">
        <v>3148</v>
      </c>
      <c r="E281" s="66">
        <v>8</v>
      </c>
      <c r="F281" s="40">
        <v>1.5780000000000001</v>
      </c>
      <c r="G281" s="66"/>
      <c r="H281" s="66">
        <v>2630</v>
      </c>
      <c r="I281" s="66">
        <v>16</v>
      </c>
      <c r="J281" s="66" t="s">
        <v>2</v>
      </c>
      <c r="K281" s="66"/>
      <c r="L281" s="66"/>
      <c r="M281" s="66"/>
      <c r="N281" s="66"/>
      <c r="O281" s="66"/>
      <c r="P281" s="66"/>
      <c r="Q281" s="66"/>
      <c r="R281" s="66"/>
      <c r="S281" s="66" t="s">
        <v>2776</v>
      </c>
      <c r="T281" s="66" t="s">
        <v>2776</v>
      </c>
      <c r="U281" s="69">
        <v>40</v>
      </c>
    </row>
    <row r="282" spans="1:21" ht="33" x14ac:dyDescent="0.25">
      <c r="A282" s="68" t="str">
        <f>A277</f>
        <v>Км8.2.1</v>
      </c>
      <c r="B282" s="66"/>
      <c r="C282" s="47" t="s">
        <v>2769</v>
      </c>
      <c r="D282" s="47" t="s">
        <v>2770</v>
      </c>
      <c r="E282" s="47">
        <f>(1.5*1.5*0.25)+(0.5*0.5*4.57)</f>
        <v>1.7050000000000001</v>
      </c>
      <c r="F282" s="47" t="s">
        <v>4</v>
      </c>
      <c r="G282" s="47" t="s">
        <v>3</v>
      </c>
      <c r="H282" s="66"/>
      <c r="I282" s="66"/>
      <c r="J282" s="66"/>
      <c r="K282" s="66"/>
      <c r="L282" s="66"/>
      <c r="M282" s="66"/>
      <c r="N282" s="66"/>
      <c r="O282" s="66"/>
      <c r="P282" s="66"/>
      <c r="Q282" s="66"/>
      <c r="R282" s="66"/>
      <c r="S282" s="66"/>
      <c r="T282" s="66"/>
      <c r="U282" s="69"/>
    </row>
    <row r="283" spans="1:21" ht="16.5" x14ac:dyDescent="0.25">
      <c r="A283" s="68" t="str">
        <f>A278</f>
        <v>Км8.2.1</v>
      </c>
      <c r="B283" s="66"/>
      <c r="C283" s="47" t="s">
        <v>2769</v>
      </c>
      <c r="D283" s="47" t="s">
        <v>2771</v>
      </c>
      <c r="E283" s="47">
        <f>28.5*0.5*0.5</f>
        <v>7.125</v>
      </c>
      <c r="F283" s="47" t="s">
        <v>4</v>
      </c>
      <c r="G283" s="47" t="s">
        <v>3</v>
      </c>
      <c r="H283" s="66"/>
      <c r="I283" s="66"/>
      <c r="J283" s="66"/>
      <c r="K283" s="66"/>
      <c r="L283" s="66"/>
      <c r="M283" s="66"/>
      <c r="N283" s="66"/>
      <c r="O283" s="66"/>
      <c r="P283" s="66"/>
      <c r="Q283" s="66"/>
      <c r="R283" s="66"/>
      <c r="S283" s="66"/>
      <c r="T283" s="66"/>
      <c r="U283" s="69"/>
    </row>
    <row r="284" spans="1:21" ht="16.5" x14ac:dyDescent="0.25">
      <c r="A284" s="68" t="str">
        <f>A279</f>
        <v>Км8.2.1</v>
      </c>
      <c r="B284" s="66"/>
      <c r="C284" s="73" t="s">
        <v>2772</v>
      </c>
      <c r="D284" s="73" t="s">
        <v>2773</v>
      </c>
      <c r="E284" s="73">
        <v>8</v>
      </c>
      <c r="F284" s="73">
        <v>94.2</v>
      </c>
      <c r="G284" s="73"/>
      <c r="H284" s="66"/>
      <c r="I284" s="66"/>
      <c r="J284" s="66"/>
      <c r="K284" s="40">
        <f>120*120</f>
        <v>14400</v>
      </c>
      <c r="L284" s="66" t="s">
        <v>2344</v>
      </c>
      <c r="M284" s="66" t="s">
        <v>2339</v>
      </c>
      <c r="N284" s="66"/>
      <c r="O284" s="66" t="s">
        <v>2351</v>
      </c>
      <c r="P284" s="66"/>
      <c r="Q284" s="66"/>
      <c r="R284" s="66"/>
      <c r="S284" s="66"/>
      <c r="T284" s="66"/>
      <c r="U284" s="69"/>
    </row>
    <row r="285" spans="1:21" ht="16.5" x14ac:dyDescent="0.25">
      <c r="A285" s="42"/>
      <c r="B285" s="42"/>
      <c r="C285" s="42"/>
      <c r="D285" s="42"/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</row>
    <row r="286" spans="1:21" ht="16.5" x14ac:dyDescent="0.25">
      <c r="A286" s="39" t="s">
        <v>2757</v>
      </c>
      <c r="B286" s="40" t="s">
        <v>2757</v>
      </c>
      <c r="C286" s="40"/>
      <c r="D286" s="40"/>
      <c r="E286" s="40"/>
      <c r="F286" s="40"/>
      <c r="G286" s="40"/>
      <c r="H286" s="40"/>
      <c r="I286" s="40"/>
      <c r="J286" s="40"/>
      <c r="K286" s="40"/>
      <c r="L286" s="40"/>
      <c r="M286" s="40"/>
      <c r="N286" s="40"/>
      <c r="O286" s="40"/>
      <c r="P286" s="40"/>
      <c r="Q286" s="40"/>
      <c r="R286" s="40"/>
      <c r="S286" s="40"/>
      <c r="T286" s="40"/>
      <c r="U286" s="41"/>
    </row>
    <row r="287" spans="1:21" ht="33" x14ac:dyDescent="0.25">
      <c r="A287" s="43" t="str">
        <f>B287</f>
        <v>Км10.2</v>
      </c>
      <c r="B287" s="44" t="s">
        <v>2847</v>
      </c>
      <c r="C287" s="44"/>
      <c r="D287" s="44" t="s">
        <v>2848</v>
      </c>
      <c r="E287" s="44">
        <v>1</v>
      </c>
      <c r="F287" s="44"/>
      <c r="G287" s="44"/>
      <c r="H287" s="44"/>
      <c r="I287" s="44"/>
      <c r="J287" s="44"/>
      <c r="K287" s="44"/>
      <c r="L287" s="44"/>
      <c r="M287" s="44"/>
      <c r="N287" s="44"/>
      <c r="O287" s="44"/>
      <c r="P287" s="44"/>
      <c r="Q287" s="44"/>
      <c r="R287" s="44"/>
      <c r="S287" s="44"/>
      <c r="T287" s="44"/>
      <c r="U287" s="45"/>
    </row>
    <row r="288" spans="1:21" ht="33" x14ac:dyDescent="0.25">
      <c r="A288" s="68" t="str">
        <f>A287</f>
        <v>Км10.2</v>
      </c>
      <c r="B288" s="66">
        <v>1</v>
      </c>
      <c r="C288" s="66" t="s">
        <v>2762</v>
      </c>
      <c r="D288" s="66" t="s">
        <v>2763</v>
      </c>
      <c r="E288" s="66">
        <v>4</v>
      </c>
      <c r="F288" s="40">
        <v>2.984</v>
      </c>
      <c r="G288" s="66"/>
      <c r="H288" s="66">
        <v>5070</v>
      </c>
      <c r="I288" s="66">
        <v>22</v>
      </c>
      <c r="J288" s="66" t="s">
        <v>2</v>
      </c>
      <c r="K288" s="66"/>
      <c r="L288" s="66"/>
      <c r="M288" s="66"/>
      <c r="N288" s="66"/>
      <c r="O288" s="66"/>
      <c r="P288" s="66"/>
      <c r="Q288" s="66"/>
      <c r="R288" s="66"/>
      <c r="S288" s="66" t="s">
        <v>2776</v>
      </c>
      <c r="T288" s="66" t="s">
        <v>2776</v>
      </c>
      <c r="U288" s="69">
        <v>88</v>
      </c>
    </row>
    <row r="289" spans="1:21" ht="33" x14ac:dyDescent="0.25">
      <c r="A289" s="68" t="str">
        <f>A288</f>
        <v>Км10.2</v>
      </c>
      <c r="B289" s="66">
        <v>2</v>
      </c>
      <c r="C289" s="66" t="s">
        <v>2764</v>
      </c>
      <c r="D289" s="66" t="s">
        <v>2765</v>
      </c>
      <c r="E289" s="66">
        <f>38+29+2+29+29+29+29+26+2+29</f>
        <v>242</v>
      </c>
      <c r="F289" s="40">
        <v>0.39500000000000002</v>
      </c>
      <c r="G289" s="66" t="s">
        <v>0</v>
      </c>
      <c r="H289" s="66">
        <f>420*4+150</f>
        <v>1830</v>
      </c>
      <c r="I289" s="66">
        <v>8</v>
      </c>
      <c r="J289" s="66" t="s">
        <v>1</v>
      </c>
      <c r="K289" s="66"/>
      <c r="L289" s="66"/>
      <c r="M289" s="66"/>
      <c r="N289" s="66"/>
      <c r="O289" s="66"/>
      <c r="P289" s="66"/>
      <c r="Q289" s="66"/>
      <c r="R289" s="66"/>
      <c r="S289" s="66" t="s">
        <v>2776</v>
      </c>
      <c r="T289" s="66" t="s">
        <v>2776</v>
      </c>
      <c r="U289" s="69">
        <v>10</v>
      </c>
    </row>
    <row r="290" spans="1:21" ht="33" x14ac:dyDescent="0.25">
      <c r="A290" s="68" t="str">
        <f>A289</f>
        <v>Км10.2</v>
      </c>
      <c r="B290" s="66">
        <v>3</v>
      </c>
      <c r="C290" s="66" t="s">
        <v>2762</v>
      </c>
      <c r="D290" s="66" t="s">
        <v>2766</v>
      </c>
      <c r="E290" s="66">
        <v>4</v>
      </c>
      <c r="F290" s="40">
        <v>2.4660000000000002</v>
      </c>
      <c r="G290" s="66"/>
      <c r="H290" s="66">
        <v>4500</v>
      </c>
      <c r="I290" s="66">
        <v>20</v>
      </c>
      <c r="J290" s="66" t="s">
        <v>2</v>
      </c>
      <c r="K290" s="66"/>
      <c r="L290" s="66"/>
      <c r="M290" s="66"/>
      <c r="N290" s="66"/>
      <c r="O290" s="66"/>
      <c r="P290" s="66"/>
      <c r="Q290" s="66"/>
      <c r="R290" s="66"/>
      <c r="S290" s="66" t="s">
        <v>2776</v>
      </c>
      <c r="T290" s="66" t="s">
        <v>2776</v>
      </c>
      <c r="U290" s="69">
        <v>80</v>
      </c>
    </row>
    <row r="291" spans="1:21" ht="33" x14ac:dyDescent="0.25">
      <c r="A291" s="68" t="str">
        <f>A290</f>
        <v>Км10.2</v>
      </c>
      <c r="B291" s="66">
        <v>4</v>
      </c>
      <c r="C291" s="66" t="s">
        <v>2762</v>
      </c>
      <c r="D291" s="66" t="s">
        <v>2767</v>
      </c>
      <c r="E291" s="66">
        <f>4*5</f>
        <v>20</v>
      </c>
      <c r="F291" s="40">
        <v>2.4660000000000002</v>
      </c>
      <c r="G291" s="66"/>
      <c r="H291" s="66">
        <v>4050</v>
      </c>
      <c r="I291" s="66">
        <v>20</v>
      </c>
      <c r="J291" s="66" t="s">
        <v>2</v>
      </c>
      <c r="K291" s="66"/>
      <c r="L291" s="66"/>
      <c r="M291" s="66"/>
      <c r="N291" s="66"/>
      <c r="O291" s="66"/>
      <c r="P291" s="66"/>
      <c r="Q291" s="66"/>
      <c r="R291" s="66"/>
      <c r="S291" s="66" t="s">
        <v>2776</v>
      </c>
      <c r="T291" s="66" t="s">
        <v>2776</v>
      </c>
      <c r="U291" s="69">
        <v>80</v>
      </c>
    </row>
    <row r="292" spans="1:21" ht="33" x14ac:dyDescent="0.25">
      <c r="A292" s="68" t="str">
        <f>A290</f>
        <v>Км10.2</v>
      </c>
      <c r="B292" s="66">
        <v>23</v>
      </c>
      <c r="C292" s="66" t="s">
        <v>2762</v>
      </c>
      <c r="D292" s="66" t="s">
        <v>3147</v>
      </c>
      <c r="E292" s="66">
        <v>4</v>
      </c>
      <c r="F292" s="40">
        <v>2.4660000000000002</v>
      </c>
      <c r="G292" s="66"/>
      <c r="H292" s="66">
        <v>2720</v>
      </c>
      <c r="I292" s="66">
        <v>20</v>
      </c>
      <c r="J292" s="66" t="s">
        <v>2</v>
      </c>
      <c r="K292" s="66"/>
      <c r="L292" s="66"/>
      <c r="M292" s="66"/>
      <c r="N292" s="66"/>
      <c r="O292" s="66"/>
      <c r="P292" s="66"/>
      <c r="Q292" s="66"/>
      <c r="R292" s="66"/>
      <c r="S292" s="66" t="s">
        <v>2776</v>
      </c>
      <c r="T292" s="66" t="s">
        <v>2776</v>
      </c>
      <c r="U292" s="69">
        <v>80</v>
      </c>
    </row>
    <row r="293" spans="1:21" ht="33" x14ac:dyDescent="0.25">
      <c r="A293" s="68" t="str">
        <f>A291</f>
        <v>Км10.2</v>
      </c>
      <c r="B293" s="66">
        <v>24</v>
      </c>
      <c r="C293" s="66" t="s">
        <v>2762</v>
      </c>
      <c r="D293" s="66" t="s">
        <v>3148</v>
      </c>
      <c r="E293" s="66">
        <v>4</v>
      </c>
      <c r="F293" s="40">
        <v>1.5780000000000001</v>
      </c>
      <c r="G293" s="66"/>
      <c r="H293" s="66">
        <v>4320</v>
      </c>
      <c r="I293" s="66">
        <v>16</v>
      </c>
      <c r="J293" s="66" t="s">
        <v>2</v>
      </c>
      <c r="K293" s="66"/>
      <c r="L293" s="66"/>
      <c r="M293" s="66"/>
      <c r="N293" s="66"/>
      <c r="O293" s="66"/>
      <c r="P293" s="66"/>
      <c r="Q293" s="66"/>
      <c r="R293" s="66"/>
      <c r="S293" s="66" t="s">
        <v>2776</v>
      </c>
      <c r="T293" s="66" t="s">
        <v>2776</v>
      </c>
      <c r="U293" s="69">
        <v>40</v>
      </c>
    </row>
    <row r="294" spans="1:21" ht="33" x14ac:dyDescent="0.25">
      <c r="A294" s="68" t="str">
        <f>A292</f>
        <v>Км10.2</v>
      </c>
      <c r="B294" s="66"/>
      <c r="C294" s="47" t="s">
        <v>2769</v>
      </c>
      <c r="D294" s="47" t="s">
        <v>2770</v>
      </c>
      <c r="E294" s="47">
        <f>(4.32*0.5*0.5)+(1.5*1.5*0.25)+(1*1*0.25)</f>
        <v>1.8925000000000001</v>
      </c>
      <c r="F294" s="47" t="s">
        <v>4</v>
      </c>
      <c r="G294" s="47" t="s">
        <v>3</v>
      </c>
      <c r="H294" s="66"/>
      <c r="I294" s="66"/>
      <c r="J294" s="66"/>
      <c r="K294" s="66"/>
      <c r="L294" s="66"/>
      <c r="M294" s="66"/>
      <c r="N294" s="66"/>
      <c r="O294" s="66"/>
      <c r="P294" s="66"/>
      <c r="Q294" s="66"/>
      <c r="R294" s="66"/>
      <c r="S294" s="66"/>
      <c r="T294" s="66"/>
      <c r="U294" s="69"/>
    </row>
    <row r="295" spans="1:21" ht="16.5" x14ac:dyDescent="0.25">
      <c r="A295" s="68" t="str">
        <f>A293</f>
        <v>Км10.2</v>
      </c>
      <c r="B295" s="66"/>
      <c r="C295" s="47" t="s">
        <v>2769</v>
      </c>
      <c r="D295" s="47" t="s">
        <v>2771</v>
      </c>
      <c r="E295" s="47">
        <f>26.47*0.5*0.5</f>
        <v>6.6174999999999997</v>
      </c>
      <c r="F295" s="47" t="s">
        <v>4</v>
      </c>
      <c r="G295" s="47" t="s">
        <v>3</v>
      </c>
      <c r="H295" s="66"/>
      <c r="I295" s="66"/>
      <c r="J295" s="66"/>
      <c r="K295" s="66"/>
      <c r="L295" s="66"/>
      <c r="M295" s="66"/>
      <c r="N295" s="66"/>
      <c r="O295" s="66"/>
      <c r="P295" s="66"/>
      <c r="Q295" s="66"/>
      <c r="R295" s="66"/>
      <c r="S295" s="66"/>
      <c r="T295" s="66"/>
      <c r="U295" s="69"/>
    </row>
    <row r="296" spans="1:21" ht="16.5" x14ac:dyDescent="0.25">
      <c r="A296" s="68" t="str">
        <f>A295</f>
        <v>Км10.2</v>
      </c>
      <c r="B296" s="66"/>
      <c r="C296" s="73" t="s">
        <v>2772</v>
      </c>
      <c r="D296" s="73" t="s">
        <v>2773</v>
      </c>
      <c r="E296" s="73">
        <v>4</v>
      </c>
      <c r="F296" s="73">
        <v>94.2</v>
      </c>
      <c r="G296" s="73"/>
      <c r="H296" s="66"/>
      <c r="I296" s="66"/>
      <c r="J296" s="66"/>
      <c r="K296" s="40">
        <f>120*120</f>
        <v>14400</v>
      </c>
      <c r="L296" s="66" t="s">
        <v>2344</v>
      </c>
      <c r="M296" s="66" t="s">
        <v>2339</v>
      </c>
      <c r="N296" s="66"/>
      <c r="O296" s="66" t="s">
        <v>2351</v>
      </c>
      <c r="P296" s="66"/>
      <c r="Q296" s="66"/>
      <c r="R296" s="66"/>
      <c r="S296" s="66"/>
      <c r="T296" s="66"/>
      <c r="U296" s="69"/>
    </row>
    <row r="297" spans="1:21" ht="16.5" x14ac:dyDescent="0.25">
      <c r="A297" s="42"/>
      <c r="B297" s="42"/>
      <c r="C297" s="42"/>
      <c r="D297" s="42"/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</row>
    <row r="298" spans="1:21" ht="16.5" x14ac:dyDescent="0.25">
      <c r="A298" s="39" t="s">
        <v>2757</v>
      </c>
      <c r="B298" s="40" t="s">
        <v>2757</v>
      </c>
      <c r="C298" s="40"/>
      <c r="D298" s="40"/>
      <c r="E298" s="40"/>
      <c r="F298" s="40"/>
      <c r="G298" s="40"/>
      <c r="H298" s="40"/>
      <c r="I298" s="40"/>
      <c r="J298" s="40"/>
      <c r="K298" s="40"/>
      <c r="L298" s="40"/>
      <c r="M298" s="40"/>
      <c r="N298" s="40"/>
      <c r="O298" s="40"/>
      <c r="P298" s="40"/>
      <c r="Q298" s="40"/>
      <c r="R298" s="40"/>
      <c r="S298" s="40"/>
      <c r="T298" s="40"/>
      <c r="U298" s="41"/>
    </row>
    <row r="299" spans="1:21" ht="33" x14ac:dyDescent="0.25">
      <c r="A299" s="43" t="str">
        <f>B299</f>
        <v>Км11.3.1</v>
      </c>
      <c r="B299" s="44" t="s">
        <v>2850</v>
      </c>
      <c r="C299" s="44"/>
      <c r="D299" s="44" t="s">
        <v>2851</v>
      </c>
      <c r="E299" s="44">
        <v>1</v>
      </c>
      <c r="F299" s="44"/>
      <c r="G299" s="44"/>
      <c r="H299" s="44"/>
      <c r="I299" s="44"/>
      <c r="J299" s="44"/>
      <c r="K299" s="44"/>
      <c r="L299" s="44"/>
      <c r="M299" s="44"/>
      <c r="N299" s="44"/>
      <c r="O299" s="44"/>
      <c r="P299" s="44"/>
      <c r="Q299" s="44"/>
      <c r="R299" s="44"/>
      <c r="S299" s="44"/>
      <c r="T299" s="44"/>
      <c r="U299" s="45"/>
    </row>
    <row r="300" spans="1:21" ht="33" x14ac:dyDescent="0.25">
      <c r="A300" s="68" t="str">
        <f>A299</f>
        <v>Км11.3.1</v>
      </c>
      <c r="B300" s="66">
        <v>1</v>
      </c>
      <c r="C300" s="66" t="s">
        <v>2762</v>
      </c>
      <c r="D300" s="66" t="s">
        <v>2763</v>
      </c>
      <c r="E300" s="66">
        <v>4</v>
      </c>
      <c r="F300" s="40">
        <v>2.984</v>
      </c>
      <c r="G300" s="66"/>
      <c r="H300" s="66">
        <v>5070</v>
      </c>
      <c r="I300" s="66">
        <v>22</v>
      </c>
      <c r="J300" s="66" t="s">
        <v>2</v>
      </c>
      <c r="K300" s="66"/>
      <c r="L300" s="66"/>
      <c r="M300" s="66"/>
      <c r="N300" s="66"/>
      <c r="O300" s="66"/>
      <c r="P300" s="66"/>
      <c r="Q300" s="66"/>
      <c r="R300" s="66"/>
      <c r="S300" s="66" t="s">
        <v>2776</v>
      </c>
      <c r="T300" s="66" t="s">
        <v>2776</v>
      </c>
      <c r="U300" s="69">
        <v>88</v>
      </c>
    </row>
    <row r="301" spans="1:21" ht="33" x14ac:dyDescent="0.25">
      <c r="A301" s="68" t="str">
        <f>A300</f>
        <v>Км11.3.1</v>
      </c>
      <c r="B301" s="66">
        <v>2</v>
      </c>
      <c r="C301" s="66" t="s">
        <v>2764</v>
      </c>
      <c r="D301" s="66" t="s">
        <v>2765</v>
      </c>
      <c r="E301" s="66">
        <f>38+29+2+29+29+29+29+27+2+30</f>
        <v>244</v>
      </c>
      <c r="F301" s="40">
        <v>0.39500000000000002</v>
      </c>
      <c r="G301" s="66" t="s">
        <v>0</v>
      </c>
      <c r="H301" s="66">
        <f>420*4+150</f>
        <v>1830</v>
      </c>
      <c r="I301" s="66">
        <v>8</v>
      </c>
      <c r="J301" s="66" t="s">
        <v>1</v>
      </c>
      <c r="K301" s="66"/>
      <c r="L301" s="66"/>
      <c r="M301" s="66"/>
      <c r="N301" s="66"/>
      <c r="O301" s="66"/>
      <c r="P301" s="66"/>
      <c r="Q301" s="66"/>
      <c r="R301" s="66"/>
      <c r="S301" s="66" t="s">
        <v>2776</v>
      </c>
      <c r="T301" s="66" t="s">
        <v>2776</v>
      </c>
      <c r="U301" s="69">
        <v>10</v>
      </c>
    </row>
    <row r="302" spans="1:21" ht="33" x14ac:dyDescent="0.25">
      <c r="A302" s="68" t="str">
        <f>A301</f>
        <v>Км11.3.1</v>
      </c>
      <c r="B302" s="66">
        <v>3</v>
      </c>
      <c r="C302" s="66" t="s">
        <v>2762</v>
      </c>
      <c r="D302" s="66" t="s">
        <v>2766</v>
      </c>
      <c r="E302" s="66">
        <v>4</v>
      </c>
      <c r="F302" s="40">
        <v>2.4660000000000002</v>
      </c>
      <c r="G302" s="66"/>
      <c r="H302" s="66">
        <v>4500</v>
      </c>
      <c r="I302" s="66">
        <v>20</v>
      </c>
      <c r="J302" s="66" t="s">
        <v>2</v>
      </c>
      <c r="K302" s="66"/>
      <c r="L302" s="66"/>
      <c r="M302" s="66"/>
      <c r="N302" s="66"/>
      <c r="O302" s="66"/>
      <c r="P302" s="66"/>
      <c r="Q302" s="66"/>
      <c r="R302" s="66"/>
      <c r="S302" s="66" t="s">
        <v>2776</v>
      </c>
      <c r="T302" s="66" t="s">
        <v>2776</v>
      </c>
      <c r="U302" s="69">
        <v>80</v>
      </c>
    </row>
    <row r="303" spans="1:21" ht="33" x14ac:dyDescent="0.25">
      <c r="A303" s="68" t="str">
        <f>A302</f>
        <v>Км11.3.1</v>
      </c>
      <c r="B303" s="66">
        <v>4</v>
      </c>
      <c r="C303" s="66" t="s">
        <v>2762</v>
      </c>
      <c r="D303" s="66" t="s">
        <v>2767</v>
      </c>
      <c r="E303" s="66">
        <f>4*5</f>
        <v>20</v>
      </c>
      <c r="F303" s="40">
        <v>2.4660000000000002</v>
      </c>
      <c r="G303" s="66"/>
      <c r="H303" s="66">
        <v>4050</v>
      </c>
      <c r="I303" s="66">
        <v>20</v>
      </c>
      <c r="J303" s="66" t="s">
        <v>2</v>
      </c>
      <c r="K303" s="66"/>
      <c r="L303" s="66"/>
      <c r="M303" s="66"/>
      <c r="N303" s="66"/>
      <c r="O303" s="66"/>
      <c r="P303" s="66"/>
      <c r="Q303" s="66"/>
      <c r="R303" s="66"/>
      <c r="S303" s="66" t="s">
        <v>2776</v>
      </c>
      <c r="T303" s="66" t="s">
        <v>2776</v>
      </c>
      <c r="U303" s="69">
        <v>80</v>
      </c>
    </row>
    <row r="304" spans="1:21" ht="33" x14ac:dyDescent="0.25">
      <c r="A304" s="68" t="str">
        <f>A302</f>
        <v>Км11.3.1</v>
      </c>
      <c r="B304" s="66">
        <v>23</v>
      </c>
      <c r="C304" s="66" t="s">
        <v>2762</v>
      </c>
      <c r="D304" s="66" t="s">
        <v>3147</v>
      </c>
      <c r="E304" s="66">
        <v>4</v>
      </c>
      <c r="F304" s="40">
        <v>2.4660000000000002</v>
      </c>
      <c r="G304" s="66"/>
      <c r="H304" s="66">
        <v>2720</v>
      </c>
      <c r="I304" s="66">
        <v>20</v>
      </c>
      <c r="J304" s="66" t="s">
        <v>2</v>
      </c>
      <c r="K304" s="66"/>
      <c r="L304" s="66"/>
      <c r="M304" s="66"/>
      <c r="N304" s="66"/>
      <c r="O304" s="66"/>
      <c r="P304" s="66"/>
      <c r="Q304" s="66"/>
      <c r="R304" s="66"/>
      <c r="S304" s="66" t="s">
        <v>2776</v>
      </c>
      <c r="T304" s="66" t="s">
        <v>2776</v>
      </c>
      <c r="U304" s="69">
        <v>80</v>
      </c>
    </row>
    <row r="305" spans="1:21" ht="33" x14ac:dyDescent="0.25">
      <c r="A305" s="68" t="str">
        <f>A303</f>
        <v>Км11.3.1</v>
      </c>
      <c r="B305" s="66">
        <v>24</v>
      </c>
      <c r="C305" s="66" t="s">
        <v>2762</v>
      </c>
      <c r="D305" s="66" t="s">
        <v>3148</v>
      </c>
      <c r="E305" s="66">
        <v>4</v>
      </c>
      <c r="F305" s="40">
        <v>1.5780000000000001</v>
      </c>
      <c r="G305" s="66"/>
      <c r="H305" s="66">
        <v>4320</v>
      </c>
      <c r="I305" s="66">
        <v>16</v>
      </c>
      <c r="J305" s="66" t="s">
        <v>2</v>
      </c>
      <c r="K305" s="66"/>
      <c r="L305" s="66"/>
      <c r="M305" s="66"/>
      <c r="N305" s="66"/>
      <c r="O305" s="66"/>
      <c r="P305" s="66"/>
      <c r="Q305" s="66"/>
      <c r="R305" s="66"/>
      <c r="S305" s="66" t="s">
        <v>2776</v>
      </c>
      <c r="T305" s="66" t="s">
        <v>2776</v>
      </c>
      <c r="U305" s="69">
        <v>40</v>
      </c>
    </row>
    <row r="306" spans="1:21" ht="33" x14ac:dyDescent="0.25">
      <c r="A306" s="68" t="str">
        <f>A304</f>
        <v>Км11.3.1</v>
      </c>
      <c r="B306" s="66"/>
      <c r="C306" s="47" t="s">
        <v>2769</v>
      </c>
      <c r="D306" s="47" t="s">
        <v>2770</v>
      </c>
      <c r="E306" s="47">
        <f>(4.57*0.5*0.5)+(1.5*1.5*0.25)</f>
        <v>1.7050000000000001</v>
      </c>
      <c r="F306" s="47" t="s">
        <v>4</v>
      </c>
      <c r="G306" s="47" t="s">
        <v>3</v>
      </c>
      <c r="H306" s="66"/>
      <c r="I306" s="66"/>
      <c r="J306" s="66"/>
      <c r="K306" s="66"/>
      <c r="L306" s="66"/>
      <c r="M306" s="66"/>
      <c r="N306" s="66"/>
      <c r="O306" s="66"/>
      <c r="P306" s="66"/>
      <c r="Q306" s="66"/>
      <c r="R306" s="66"/>
      <c r="S306" s="66"/>
      <c r="T306" s="66"/>
      <c r="U306" s="69"/>
    </row>
    <row r="307" spans="1:21" ht="16.5" x14ac:dyDescent="0.25">
      <c r="A307" s="68" t="str">
        <f>A305</f>
        <v>Км11.3.1</v>
      </c>
      <c r="B307" s="66"/>
      <c r="C307" s="47" t="s">
        <v>2769</v>
      </c>
      <c r="D307" s="47" t="s">
        <v>2771</v>
      </c>
      <c r="E307" s="47">
        <f>26.47*0.5*0.5</f>
        <v>6.6174999999999997</v>
      </c>
      <c r="F307" s="47" t="s">
        <v>4</v>
      </c>
      <c r="G307" s="47" t="s">
        <v>3</v>
      </c>
      <c r="H307" s="66"/>
      <c r="I307" s="66"/>
      <c r="J307" s="66"/>
      <c r="K307" s="66"/>
      <c r="L307" s="66"/>
      <c r="M307" s="66"/>
      <c r="N307" s="66"/>
      <c r="O307" s="66"/>
      <c r="P307" s="66"/>
      <c r="Q307" s="66"/>
      <c r="R307" s="66"/>
      <c r="S307" s="66"/>
      <c r="T307" s="66"/>
      <c r="U307" s="69"/>
    </row>
    <row r="308" spans="1:21" ht="16.5" x14ac:dyDescent="0.25">
      <c r="A308" s="68" t="str">
        <f>A307</f>
        <v>Км11.3.1</v>
      </c>
      <c r="B308" s="66"/>
      <c r="C308" s="73" t="s">
        <v>2772</v>
      </c>
      <c r="D308" s="73" t="s">
        <v>2773</v>
      </c>
      <c r="E308" s="73">
        <v>4</v>
      </c>
      <c r="F308" s="73">
        <v>94.2</v>
      </c>
      <c r="G308" s="73"/>
      <c r="H308" s="66"/>
      <c r="I308" s="66"/>
      <c r="J308" s="66"/>
      <c r="K308" s="40">
        <f>120*120</f>
        <v>14400</v>
      </c>
      <c r="L308" s="66" t="s">
        <v>2344</v>
      </c>
      <c r="M308" s="66" t="s">
        <v>2339</v>
      </c>
      <c r="N308" s="66"/>
      <c r="O308" s="66" t="s">
        <v>2351</v>
      </c>
      <c r="P308" s="66"/>
      <c r="Q308" s="66"/>
      <c r="R308" s="66"/>
      <c r="S308" s="66"/>
      <c r="T308" s="66"/>
      <c r="U308" s="69"/>
    </row>
    <row r="309" spans="1:21" ht="16.5" x14ac:dyDescent="0.25">
      <c r="A309" s="42"/>
      <c r="B309" s="42"/>
      <c r="C309" s="42"/>
      <c r="D309" s="42"/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</row>
    <row r="310" spans="1:21" ht="16.5" x14ac:dyDescent="0.25">
      <c r="A310" s="42"/>
      <c r="B310" s="42"/>
      <c r="C310" s="42"/>
      <c r="D310" s="42"/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</row>
    <row r="311" spans="1:21" ht="16.5" x14ac:dyDescent="0.25">
      <c r="A311" s="39" t="s">
        <v>2757</v>
      </c>
      <c r="B311" s="40" t="s">
        <v>2757</v>
      </c>
      <c r="C311" s="40"/>
      <c r="D311" s="40"/>
      <c r="E311" s="40"/>
      <c r="F311" s="40"/>
      <c r="G311" s="40"/>
      <c r="H311" s="40"/>
      <c r="I311" s="40"/>
      <c r="J311" s="40"/>
      <c r="K311" s="40"/>
      <c r="L311" s="40"/>
      <c r="M311" s="40"/>
      <c r="N311" s="40"/>
      <c r="O311" s="40"/>
      <c r="P311" s="40"/>
      <c r="Q311" s="40"/>
      <c r="R311" s="40"/>
      <c r="S311" s="40"/>
      <c r="T311" s="40"/>
      <c r="U311" s="41"/>
    </row>
    <row r="312" spans="1:21" ht="33" x14ac:dyDescent="0.25">
      <c r="A312" s="43" t="str">
        <f>B312</f>
        <v>Км1.3.2</v>
      </c>
      <c r="B312" s="44" t="s">
        <v>2853</v>
      </c>
      <c r="C312" s="44"/>
      <c r="D312" s="44" t="s">
        <v>2854</v>
      </c>
      <c r="E312" s="44">
        <v>1</v>
      </c>
      <c r="F312" s="44"/>
      <c r="G312" s="44"/>
      <c r="H312" s="44"/>
      <c r="I312" s="44"/>
      <c r="J312" s="44"/>
      <c r="K312" s="44"/>
      <c r="L312" s="44"/>
      <c r="M312" s="44"/>
      <c r="N312" s="44"/>
      <c r="O312" s="44"/>
      <c r="P312" s="44"/>
      <c r="Q312" s="44"/>
      <c r="R312" s="44"/>
      <c r="S312" s="44"/>
      <c r="T312" s="44"/>
      <c r="U312" s="45"/>
    </row>
    <row r="313" spans="1:21" ht="33" x14ac:dyDescent="0.25">
      <c r="A313" s="68" t="str">
        <f>A312</f>
        <v>Км1.3.2</v>
      </c>
      <c r="B313" s="66">
        <v>1</v>
      </c>
      <c r="C313" s="66" t="s">
        <v>2762</v>
      </c>
      <c r="D313" s="66" t="s">
        <v>2763</v>
      </c>
      <c r="E313" s="66">
        <v>4</v>
      </c>
      <c r="F313" s="40">
        <v>2.984</v>
      </c>
      <c r="G313" s="66"/>
      <c r="H313" s="66">
        <v>5070</v>
      </c>
      <c r="I313" s="66">
        <v>22</v>
      </c>
      <c r="J313" s="66" t="s">
        <v>2</v>
      </c>
      <c r="K313" s="66"/>
      <c r="L313" s="66"/>
      <c r="M313" s="66"/>
      <c r="N313" s="66"/>
      <c r="O313" s="66"/>
      <c r="P313" s="66"/>
      <c r="Q313" s="66"/>
      <c r="R313" s="66"/>
      <c r="S313" s="66" t="s">
        <v>2776</v>
      </c>
      <c r="T313" s="66" t="s">
        <v>2776</v>
      </c>
      <c r="U313" s="69">
        <v>88</v>
      </c>
    </row>
    <row r="314" spans="1:21" ht="33" x14ac:dyDescent="0.25">
      <c r="A314" s="68" t="str">
        <f>A313</f>
        <v>Км1.3.2</v>
      </c>
      <c r="B314" s="66">
        <v>2</v>
      </c>
      <c r="C314" s="66" t="s">
        <v>2764</v>
      </c>
      <c r="D314" s="66" t="s">
        <v>2765</v>
      </c>
      <c r="E314" s="66">
        <f>38+34+29+29+29+29+26+2+30</f>
        <v>246</v>
      </c>
      <c r="F314" s="40">
        <v>0.39500000000000002</v>
      </c>
      <c r="G314" s="66" t="s">
        <v>0</v>
      </c>
      <c r="H314" s="66">
        <f>420*4+150</f>
        <v>1830</v>
      </c>
      <c r="I314" s="66">
        <v>8</v>
      </c>
      <c r="J314" s="66" t="s">
        <v>1</v>
      </c>
      <c r="K314" s="66"/>
      <c r="L314" s="66"/>
      <c r="M314" s="66"/>
      <c r="N314" s="66"/>
      <c r="O314" s="66"/>
      <c r="P314" s="66"/>
      <c r="Q314" s="66"/>
      <c r="R314" s="66"/>
      <c r="S314" s="66" t="s">
        <v>2776</v>
      </c>
      <c r="T314" s="66" t="s">
        <v>2776</v>
      </c>
      <c r="U314" s="69">
        <v>10</v>
      </c>
    </row>
    <row r="315" spans="1:21" ht="33" x14ac:dyDescent="0.25">
      <c r="A315" s="68" t="str">
        <f>A314</f>
        <v>Км1.3.2</v>
      </c>
      <c r="B315" s="66">
        <v>3</v>
      </c>
      <c r="C315" s="66" t="s">
        <v>2762</v>
      </c>
      <c r="D315" s="66" t="s">
        <v>2766</v>
      </c>
      <c r="E315" s="66">
        <v>4</v>
      </c>
      <c r="F315" s="40">
        <v>2.4660000000000002</v>
      </c>
      <c r="G315" s="66"/>
      <c r="H315" s="66">
        <v>4500</v>
      </c>
      <c r="I315" s="66">
        <v>20</v>
      </c>
      <c r="J315" s="66" t="s">
        <v>2</v>
      </c>
      <c r="K315" s="66"/>
      <c r="L315" s="66"/>
      <c r="M315" s="66"/>
      <c r="N315" s="66"/>
      <c r="O315" s="66"/>
      <c r="P315" s="66"/>
      <c r="Q315" s="66"/>
      <c r="R315" s="66"/>
      <c r="S315" s="66" t="s">
        <v>2776</v>
      </c>
      <c r="T315" s="66" t="s">
        <v>2776</v>
      </c>
      <c r="U315" s="69">
        <v>80</v>
      </c>
    </row>
    <row r="316" spans="1:21" ht="33" x14ac:dyDescent="0.25">
      <c r="A316" s="68" t="str">
        <f>A315</f>
        <v>Км1.3.2</v>
      </c>
      <c r="B316" s="66">
        <v>4</v>
      </c>
      <c r="C316" s="66" t="s">
        <v>2762</v>
      </c>
      <c r="D316" s="66" t="s">
        <v>2767</v>
      </c>
      <c r="E316" s="66">
        <f>4*5</f>
        <v>20</v>
      </c>
      <c r="F316" s="40">
        <v>2.4660000000000002</v>
      </c>
      <c r="G316" s="66"/>
      <c r="H316" s="66">
        <v>4050</v>
      </c>
      <c r="I316" s="66">
        <v>20</v>
      </c>
      <c r="J316" s="66" t="s">
        <v>2</v>
      </c>
      <c r="K316" s="66"/>
      <c r="L316" s="66"/>
      <c r="M316" s="66"/>
      <c r="N316" s="66"/>
      <c r="O316" s="66"/>
      <c r="P316" s="66"/>
      <c r="Q316" s="66"/>
      <c r="R316" s="66"/>
      <c r="S316" s="66" t="s">
        <v>2776</v>
      </c>
      <c r="T316" s="66" t="s">
        <v>2776</v>
      </c>
      <c r="U316" s="69">
        <v>80</v>
      </c>
    </row>
    <row r="317" spans="1:21" ht="33" x14ac:dyDescent="0.25">
      <c r="A317" s="68" t="str">
        <f>A315</f>
        <v>Км1.3.2</v>
      </c>
      <c r="B317" s="66">
        <v>23</v>
      </c>
      <c r="C317" s="66" t="s">
        <v>2762</v>
      </c>
      <c r="D317" s="66" t="s">
        <v>2768</v>
      </c>
      <c r="E317" s="66">
        <v>4</v>
      </c>
      <c r="F317" s="40">
        <v>2.4660000000000002</v>
      </c>
      <c r="G317" s="66"/>
      <c r="H317" s="66">
        <v>2720</v>
      </c>
      <c r="I317" s="66">
        <v>20</v>
      </c>
      <c r="J317" s="66" t="s">
        <v>2</v>
      </c>
      <c r="K317" s="66"/>
      <c r="L317" s="66"/>
      <c r="M317" s="66"/>
      <c r="N317" s="66"/>
      <c r="O317" s="66"/>
      <c r="P317" s="66"/>
      <c r="Q317" s="66"/>
      <c r="R317" s="66"/>
      <c r="S317" s="66" t="s">
        <v>2776</v>
      </c>
      <c r="T317" s="66" t="s">
        <v>2776</v>
      </c>
      <c r="U317" s="69">
        <v>80</v>
      </c>
    </row>
    <row r="318" spans="1:21" ht="33" x14ac:dyDescent="0.25">
      <c r="A318" s="68" t="str">
        <f>A317</f>
        <v>Км1.3.2</v>
      </c>
      <c r="B318" s="66"/>
      <c r="C318" s="47" t="s">
        <v>2769</v>
      </c>
      <c r="D318" s="47" t="s">
        <v>2770</v>
      </c>
      <c r="E318" s="47">
        <f>4.82*0.5*0.5</f>
        <v>1.2050000000000001</v>
      </c>
      <c r="F318" s="47" t="s">
        <v>4</v>
      </c>
      <c r="G318" s="47" t="s">
        <v>3</v>
      </c>
      <c r="H318" s="66"/>
      <c r="I318" s="66"/>
      <c r="J318" s="66"/>
      <c r="K318" s="66"/>
      <c r="L318" s="66"/>
      <c r="M318" s="66"/>
      <c r="N318" s="66"/>
      <c r="O318" s="66"/>
      <c r="P318" s="66"/>
      <c r="Q318" s="66"/>
      <c r="R318" s="66"/>
      <c r="S318" s="66"/>
      <c r="T318" s="66"/>
      <c r="U318" s="69"/>
    </row>
    <row r="319" spans="1:21" ht="16.5" x14ac:dyDescent="0.25">
      <c r="A319" s="68" t="str">
        <f>A318</f>
        <v>Км1.3.2</v>
      </c>
      <c r="B319" s="66"/>
      <c r="C319" s="47" t="s">
        <v>2769</v>
      </c>
      <c r="D319" s="47" t="s">
        <v>2771</v>
      </c>
      <c r="E319" s="47">
        <f>26.72*0.5*0.5</f>
        <v>6.68</v>
      </c>
      <c r="F319" s="47" t="s">
        <v>4</v>
      </c>
      <c r="G319" s="47" t="s">
        <v>3</v>
      </c>
      <c r="H319" s="66"/>
      <c r="I319" s="66"/>
      <c r="J319" s="66"/>
      <c r="K319" s="66"/>
      <c r="L319" s="66"/>
      <c r="M319" s="66"/>
      <c r="N319" s="66"/>
      <c r="O319" s="66"/>
      <c r="P319" s="66"/>
      <c r="Q319" s="66"/>
      <c r="R319" s="66"/>
      <c r="S319" s="66"/>
      <c r="T319" s="66"/>
      <c r="U319" s="69"/>
    </row>
    <row r="320" spans="1:21" ht="16.5" x14ac:dyDescent="0.25">
      <c r="A320" s="68" t="str">
        <f>A318</f>
        <v>Км1.3.2</v>
      </c>
      <c r="B320" s="66"/>
      <c r="C320" s="73" t="s">
        <v>2772</v>
      </c>
      <c r="D320" s="73" t="s">
        <v>2773</v>
      </c>
      <c r="E320" s="73">
        <v>4</v>
      </c>
      <c r="F320" s="73">
        <v>94.2</v>
      </c>
      <c r="G320" s="73"/>
      <c r="H320" s="66"/>
      <c r="I320" s="66"/>
      <c r="J320" s="66"/>
      <c r="K320" s="40">
        <f>120*120</f>
        <v>14400</v>
      </c>
      <c r="L320" s="66" t="s">
        <v>2344</v>
      </c>
      <c r="M320" s="66" t="s">
        <v>2339</v>
      </c>
      <c r="N320" s="66"/>
      <c r="O320" s="66" t="s">
        <v>2351</v>
      </c>
      <c r="P320" s="66"/>
      <c r="Q320" s="66"/>
      <c r="R320" s="66"/>
      <c r="S320" s="66"/>
      <c r="T320" s="66"/>
      <c r="U320" s="69"/>
    </row>
    <row r="321" spans="1:21" ht="16.5" x14ac:dyDescent="0.25">
      <c r="A321" s="42"/>
      <c r="B321" s="42"/>
      <c r="C321" s="42"/>
      <c r="D321" s="42"/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</row>
    <row r="322" spans="1:21" ht="16.5" x14ac:dyDescent="0.25">
      <c r="A322" s="39" t="s">
        <v>2757</v>
      </c>
      <c r="B322" s="40" t="s">
        <v>2757</v>
      </c>
      <c r="C322" s="40"/>
      <c r="D322" s="40"/>
      <c r="E322" s="40"/>
      <c r="F322" s="40"/>
      <c r="G322" s="40"/>
      <c r="H322" s="40"/>
      <c r="I322" s="40"/>
      <c r="J322" s="40"/>
      <c r="K322" s="40"/>
      <c r="L322" s="40"/>
      <c r="M322" s="40"/>
      <c r="N322" s="40"/>
      <c r="O322" s="40"/>
      <c r="P322" s="40"/>
      <c r="Q322" s="40"/>
      <c r="R322" s="40"/>
      <c r="S322" s="40"/>
      <c r="T322" s="40"/>
      <c r="U322" s="41"/>
    </row>
    <row r="323" spans="1:21" ht="33" x14ac:dyDescent="0.25">
      <c r="A323" s="43" t="str">
        <f>B323</f>
        <v>Км7.1.1</v>
      </c>
      <c r="B323" s="44" t="s">
        <v>2856</v>
      </c>
      <c r="C323" s="44"/>
      <c r="D323" s="44" t="s">
        <v>2857</v>
      </c>
      <c r="E323" s="44">
        <v>1</v>
      </c>
      <c r="F323" s="44"/>
      <c r="G323" s="44"/>
      <c r="H323" s="44"/>
      <c r="I323" s="44"/>
      <c r="J323" s="44"/>
      <c r="K323" s="44"/>
      <c r="L323" s="44"/>
      <c r="M323" s="44"/>
      <c r="N323" s="44"/>
      <c r="O323" s="44"/>
      <c r="P323" s="44"/>
      <c r="Q323" s="44"/>
      <c r="R323" s="44"/>
      <c r="S323" s="44"/>
      <c r="T323" s="44"/>
      <c r="U323" s="45"/>
    </row>
    <row r="324" spans="1:21" ht="33" x14ac:dyDescent="0.25">
      <c r="A324" s="68" t="str">
        <f>A323</f>
        <v>Км7.1.1</v>
      </c>
      <c r="B324" s="66">
        <v>1</v>
      </c>
      <c r="C324" s="66" t="s">
        <v>2762</v>
      </c>
      <c r="D324" s="66" t="s">
        <v>2763</v>
      </c>
      <c r="E324" s="66">
        <v>4</v>
      </c>
      <c r="F324" s="40">
        <v>2.984</v>
      </c>
      <c r="G324" s="66"/>
      <c r="H324" s="66">
        <v>5070</v>
      </c>
      <c r="I324" s="66">
        <v>22</v>
      </c>
      <c r="J324" s="66" t="s">
        <v>2</v>
      </c>
      <c r="K324" s="66"/>
      <c r="L324" s="66"/>
      <c r="M324" s="66"/>
      <c r="N324" s="66"/>
      <c r="O324" s="66"/>
      <c r="P324" s="66"/>
      <c r="Q324" s="66"/>
      <c r="R324" s="66"/>
      <c r="S324" s="66" t="s">
        <v>2776</v>
      </c>
      <c r="T324" s="66" t="s">
        <v>2776</v>
      </c>
      <c r="U324" s="69">
        <v>88</v>
      </c>
    </row>
    <row r="325" spans="1:21" ht="33" x14ac:dyDescent="0.25">
      <c r="A325" s="68" t="str">
        <f>A324</f>
        <v>Км7.1.1</v>
      </c>
      <c r="B325" s="66">
        <v>2</v>
      </c>
      <c r="C325" s="66" t="s">
        <v>2764</v>
      </c>
      <c r="D325" s="66" t="s">
        <v>2765</v>
      </c>
      <c r="E325" s="66">
        <f>38+33+29+28+31+29+29+32+16</f>
        <v>265</v>
      </c>
      <c r="F325" s="40">
        <v>0.39500000000000002</v>
      </c>
      <c r="G325" s="66" t="s">
        <v>0</v>
      </c>
      <c r="H325" s="66">
        <f>420*4+150</f>
        <v>1830</v>
      </c>
      <c r="I325" s="66">
        <v>8</v>
      </c>
      <c r="J325" s="66" t="s">
        <v>1</v>
      </c>
      <c r="K325" s="66"/>
      <c r="L325" s="66"/>
      <c r="M325" s="66"/>
      <c r="N325" s="66"/>
      <c r="O325" s="66"/>
      <c r="P325" s="66"/>
      <c r="Q325" s="66"/>
      <c r="R325" s="66"/>
      <c r="S325" s="66" t="s">
        <v>2776</v>
      </c>
      <c r="T325" s="66" t="s">
        <v>2776</v>
      </c>
      <c r="U325" s="69">
        <v>10</v>
      </c>
    </row>
    <row r="326" spans="1:21" ht="33" x14ac:dyDescent="0.25">
      <c r="A326" s="68" t="str">
        <f>A325</f>
        <v>Км7.1.1</v>
      </c>
      <c r="B326" s="66">
        <v>34</v>
      </c>
      <c r="C326" s="66" t="s">
        <v>2762</v>
      </c>
      <c r="D326" s="66" t="s">
        <v>2766</v>
      </c>
      <c r="E326" s="66">
        <v>4</v>
      </c>
      <c r="F326" s="40">
        <v>2.984</v>
      </c>
      <c r="G326" s="66"/>
      <c r="H326" s="66">
        <v>4500</v>
      </c>
      <c r="I326" s="66">
        <v>22</v>
      </c>
      <c r="J326" s="66" t="s">
        <v>2</v>
      </c>
      <c r="K326" s="66"/>
      <c r="L326" s="66"/>
      <c r="M326" s="66"/>
      <c r="N326" s="66"/>
      <c r="O326" s="66"/>
      <c r="P326" s="66"/>
      <c r="Q326" s="66"/>
      <c r="R326" s="66"/>
      <c r="S326" s="66" t="s">
        <v>2776</v>
      </c>
      <c r="T326" s="66" t="s">
        <v>2776</v>
      </c>
      <c r="U326" s="69">
        <v>88</v>
      </c>
    </row>
    <row r="327" spans="1:21" ht="33" x14ac:dyDescent="0.25">
      <c r="A327" s="68" t="str">
        <f>A326</f>
        <v>Км7.1.1</v>
      </c>
      <c r="B327" s="66">
        <v>31</v>
      </c>
      <c r="C327" s="66" t="s">
        <v>2762</v>
      </c>
      <c r="D327" s="66" t="s">
        <v>3178</v>
      </c>
      <c r="E327" s="66">
        <f>4*4</f>
        <v>16</v>
      </c>
      <c r="F327" s="40">
        <v>2.984</v>
      </c>
      <c r="G327" s="66"/>
      <c r="H327" s="66">
        <v>4050</v>
      </c>
      <c r="I327" s="66">
        <v>22</v>
      </c>
      <c r="J327" s="66" t="s">
        <v>2</v>
      </c>
      <c r="K327" s="66"/>
      <c r="L327" s="66"/>
      <c r="M327" s="66"/>
      <c r="N327" s="66"/>
      <c r="O327" s="66"/>
      <c r="P327" s="66"/>
      <c r="Q327" s="66"/>
      <c r="R327" s="66"/>
      <c r="S327" s="66" t="s">
        <v>2776</v>
      </c>
      <c r="T327" s="66" t="s">
        <v>2776</v>
      </c>
      <c r="U327" s="69">
        <v>88</v>
      </c>
    </row>
    <row r="328" spans="1:21" ht="33" x14ac:dyDescent="0.25">
      <c r="A328" s="68" t="str">
        <f>A327</f>
        <v>Км7.1.1</v>
      </c>
      <c r="B328" s="66">
        <v>35</v>
      </c>
      <c r="C328" s="66" t="s">
        <v>2762</v>
      </c>
      <c r="D328" s="66" t="s">
        <v>3158</v>
      </c>
      <c r="E328" s="66">
        <v>4</v>
      </c>
      <c r="F328" s="40">
        <v>2.984</v>
      </c>
      <c r="G328" s="66"/>
      <c r="H328" s="66">
        <v>3800</v>
      </c>
      <c r="I328" s="66">
        <v>22</v>
      </c>
      <c r="J328" s="66" t="s">
        <v>2</v>
      </c>
      <c r="K328" s="66"/>
      <c r="L328" s="66"/>
      <c r="M328" s="66"/>
      <c r="N328" s="66"/>
      <c r="O328" s="66"/>
      <c r="P328" s="66"/>
      <c r="Q328" s="66"/>
      <c r="R328" s="66"/>
      <c r="S328" s="66" t="s">
        <v>2776</v>
      </c>
      <c r="T328" s="66" t="s">
        <v>2776</v>
      </c>
      <c r="U328" s="69">
        <v>88</v>
      </c>
    </row>
    <row r="329" spans="1:21" ht="33" x14ac:dyDescent="0.25">
      <c r="A329" s="68" t="str">
        <f>A325</f>
        <v>Км7.1.1</v>
      </c>
      <c r="B329" s="66">
        <v>27</v>
      </c>
      <c r="C329" s="66" t="s">
        <v>2762</v>
      </c>
      <c r="D329" s="66" t="s">
        <v>2768</v>
      </c>
      <c r="E329" s="66">
        <v>4</v>
      </c>
      <c r="F329" s="40">
        <v>2.984</v>
      </c>
      <c r="G329" s="66"/>
      <c r="H329" s="66">
        <v>3820</v>
      </c>
      <c r="I329" s="66">
        <v>22</v>
      </c>
      <c r="J329" s="66" t="s">
        <v>2</v>
      </c>
      <c r="K329" s="66"/>
      <c r="L329" s="66"/>
      <c r="M329" s="66"/>
      <c r="N329" s="66"/>
      <c r="O329" s="66"/>
      <c r="P329" s="66"/>
      <c r="Q329" s="66"/>
      <c r="R329" s="66"/>
      <c r="S329" s="66" t="s">
        <v>2776</v>
      </c>
      <c r="T329" s="66" t="s">
        <v>2776</v>
      </c>
      <c r="U329" s="69">
        <v>88</v>
      </c>
    </row>
    <row r="330" spans="1:21" ht="33" x14ac:dyDescent="0.25">
      <c r="A330" s="68" t="str">
        <f>A325</f>
        <v>Км7.1.1</v>
      </c>
      <c r="B330" s="66">
        <v>32</v>
      </c>
      <c r="C330" s="66" t="s">
        <v>2762</v>
      </c>
      <c r="D330" s="66" t="s">
        <v>2768</v>
      </c>
      <c r="E330" s="66">
        <v>4</v>
      </c>
      <c r="F330" s="40">
        <v>2.984</v>
      </c>
      <c r="G330" s="66"/>
      <c r="H330" s="66">
        <v>5020</v>
      </c>
      <c r="I330" s="66">
        <v>22</v>
      </c>
      <c r="J330" s="66" t="s">
        <v>2</v>
      </c>
      <c r="K330" s="66"/>
      <c r="L330" s="66"/>
      <c r="M330" s="66"/>
      <c r="N330" s="66"/>
      <c r="O330" s="66"/>
      <c r="P330" s="66"/>
      <c r="Q330" s="66"/>
      <c r="R330" s="66"/>
      <c r="S330" s="66" t="s">
        <v>2776</v>
      </c>
      <c r="T330" s="66" t="s">
        <v>2776</v>
      </c>
      <c r="U330" s="69">
        <v>88</v>
      </c>
    </row>
    <row r="331" spans="1:21" ht="33" x14ac:dyDescent="0.25">
      <c r="A331" s="68" t="str">
        <f>A325</f>
        <v>Км7.1.1</v>
      </c>
      <c r="B331" s="66">
        <v>36</v>
      </c>
      <c r="C331" s="66" t="s">
        <v>2762</v>
      </c>
      <c r="D331" s="66" t="s">
        <v>2768</v>
      </c>
      <c r="E331" s="66">
        <v>4</v>
      </c>
      <c r="F331" s="40">
        <v>1.5780000000000001</v>
      </c>
      <c r="G331" s="66" t="s">
        <v>0</v>
      </c>
      <c r="H331" s="66">
        <v>5040</v>
      </c>
      <c r="I331" s="66">
        <v>16</v>
      </c>
      <c r="J331" s="66" t="s">
        <v>2</v>
      </c>
      <c r="K331" s="66"/>
      <c r="L331" s="66"/>
      <c r="M331" s="66"/>
      <c r="N331" s="66"/>
      <c r="O331" s="66"/>
      <c r="P331" s="66"/>
      <c r="Q331" s="66"/>
      <c r="R331" s="66"/>
      <c r="S331" s="66" t="s">
        <v>2776</v>
      </c>
      <c r="T331" s="66" t="s">
        <v>2776</v>
      </c>
      <c r="U331" s="69">
        <v>40</v>
      </c>
    </row>
    <row r="332" spans="1:21" ht="33" x14ac:dyDescent="0.25">
      <c r="A332" s="68" t="str">
        <f>A326</f>
        <v>Км7.1.1</v>
      </c>
      <c r="B332" s="66">
        <v>28</v>
      </c>
      <c r="C332" s="66" t="s">
        <v>2762</v>
      </c>
      <c r="D332" s="66" t="s">
        <v>3148</v>
      </c>
      <c r="E332" s="66">
        <v>8</v>
      </c>
      <c r="F332" s="40">
        <v>2.984</v>
      </c>
      <c r="G332" s="66"/>
      <c r="H332" s="66">
        <v>1430</v>
      </c>
      <c r="I332" s="66">
        <v>22</v>
      </c>
      <c r="J332" s="66" t="s">
        <v>2</v>
      </c>
      <c r="K332" s="66"/>
      <c r="L332" s="66"/>
      <c r="M332" s="66"/>
      <c r="N332" s="66"/>
      <c r="O332" s="66"/>
      <c r="P332" s="66"/>
      <c r="Q332" s="66"/>
      <c r="R332" s="66"/>
      <c r="S332" s="66" t="s">
        <v>2776</v>
      </c>
      <c r="T332" s="66" t="s">
        <v>2776</v>
      </c>
      <c r="U332" s="69">
        <v>88</v>
      </c>
    </row>
    <row r="333" spans="1:21" ht="33" x14ac:dyDescent="0.25">
      <c r="A333" s="68" t="str">
        <f>A327</f>
        <v>Км7.1.1</v>
      </c>
      <c r="B333" s="66">
        <v>18</v>
      </c>
      <c r="C333" s="66" t="s">
        <v>3169</v>
      </c>
      <c r="D333" s="66" t="s">
        <v>3148</v>
      </c>
      <c r="E333" s="66">
        <v>8</v>
      </c>
      <c r="F333" s="40">
        <v>1.5780000000000001</v>
      </c>
      <c r="G333" s="66" t="s">
        <v>0</v>
      </c>
      <c r="H333" s="66">
        <v>2630</v>
      </c>
      <c r="I333" s="66">
        <v>16</v>
      </c>
      <c r="J333" s="66" t="s">
        <v>2</v>
      </c>
      <c r="K333" s="66"/>
      <c r="L333" s="66"/>
      <c r="M333" s="66"/>
      <c r="N333" s="66"/>
      <c r="O333" s="66"/>
      <c r="P333" s="66"/>
      <c r="Q333" s="66"/>
      <c r="R333" s="66"/>
      <c r="S333" s="66" t="s">
        <v>2776</v>
      </c>
      <c r="T333" s="66" t="s">
        <v>2776</v>
      </c>
      <c r="U333" s="69">
        <v>40</v>
      </c>
    </row>
    <row r="334" spans="1:21" ht="33" x14ac:dyDescent="0.25">
      <c r="A334" s="68" t="str">
        <f>A329</f>
        <v>Км7.1.1</v>
      </c>
      <c r="B334" s="66"/>
      <c r="C334" s="47" t="s">
        <v>2769</v>
      </c>
      <c r="D334" s="47" t="s">
        <v>2770</v>
      </c>
      <c r="E334" s="47">
        <f>(1.5*1.5*0.25)+(4.57*0.5*0.5)</f>
        <v>1.7050000000000001</v>
      </c>
      <c r="F334" s="47" t="s">
        <v>4</v>
      </c>
      <c r="G334" s="47" t="s">
        <v>3</v>
      </c>
      <c r="H334" s="66"/>
      <c r="I334" s="66"/>
      <c r="J334" s="66"/>
      <c r="K334" s="66"/>
      <c r="L334" s="66"/>
      <c r="M334" s="66"/>
      <c r="N334" s="66"/>
      <c r="O334" s="66"/>
      <c r="P334" s="66"/>
      <c r="Q334" s="66"/>
      <c r="R334" s="66"/>
      <c r="S334" s="66"/>
      <c r="T334" s="66"/>
      <c r="U334" s="69"/>
    </row>
    <row r="335" spans="1:21" ht="16.5" x14ac:dyDescent="0.25">
      <c r="A335" s="68" t="str">
        <f>A330</f>
        <v>Км7.1.1</v>
      </c>
      <c r="B335" s="66"/>
      <c r="C335" s="47" t="s">
        <v>2769</v>
      </c>
      <c r="D335" s="47" t="s">
        <v>2771</v>
      </c>
      <c r="E335" s="47">
        <f>29.25*0.5*0.5</f>
        <v>7.3125</v>
      </c>
      <c r="F335" s="47" t="s">
        <v>4</v>
      </c>
      <c r="G335" s="47" t="s">
        <v>3</v>
      </c>
      <c r="H335" s="66"/>
      <c r="I335" s="66"/>
      <c r="J335" s="66"/>
      <c r="K335" s="66"/>
      <c r="L335" s="66"/>
      <c r="M335" s="66"/>
      <c r="N335" s="66"/>
      <c r="O335" s="66"/>
      <c r="P335" s="66"/>
      <c r="Q335" s="66"/>
      <c r="R335" s="66"/>
      <c r="S335" s="66"/>
      <c r="T335" s="66"/>
      <c r="U335" s="69"/>
    </row>
    <row r="336" spans="1:21" ht="16.5" x14ac:dyDescent="0.25">
      <c r="A336" s="68" t="str">
        <f>A331</f>
        <v>Км7.1.1</v>
      </c>
      <c r="B336" s="66"/>
      <c r="C336" s="73" t="s">
        <v>2772</v>
      </c>
      <c r="D336" s="73" t="s">
        <v>2773</v>
      </c>
      <c r="E336" s="73">
        <v>8</v>
      </c>
      <c r="F336" s="73">
        <v>94.2</v>
      </c>
      <c r="G336" s="73"/>
      <c r="H336" s="66"/>
      <c r="I336" s="66"/>
      <c r="J336" s="66"/>
      <c r="K336" s="40">
        <f>120*120</f>
        <v>14400</v>
      </c>
      <c r="L336" s="66" t="s">
        <v>2344</v>
      </c>
      <c r="M336" s="66" t="s">
        <v>2339</v>
      </c>
      <c r="N336" s="66"/>
      <c r="O336" s="66" t="s">
        <v>2351</v>
      </c>
      <c r="P336" s="66"/>
      <c r="Q336" s="66"/>
      <c r="R336" s="66"/>
      <c r="S336" s="66"/>
      <c r="T336" s="66"/>
      <c r="U336" s="69"/>
    </row>
    <row r="337" spans="1:21" ht="16.5" x14ac:dyDescent="0.25">
      <c r="A337" s="42"/>
      <c r="B337" s="42"/>
      <c r="C337" s="42"/>
      <c r="D337" s="42"/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</row>
    <row r="338" spans="1:21" ht="16.5" x14ac:dyDescent="0.25">
      <c r="A338" s="39" t="s">
        <v>2757</v>
      </c>
      <c r="B338" s="40" t="s">
        <v>2757</v>
      </c>
      <c r="C338" s="40"/>
      <c r="D338" s="40"/>
      <c r="E338" s="40"/>
      <c r="F338" s="40"/>
      <c r="G338" s="40"/>
      <c r="H338" s="40"/>
      <c r="I338" s="40"/>
      <c r="J338" s="40"/>
      <c r="K338" s="40"/>
      <c r="L338" s="40"/>
      <c r="M338" s="40"/>
      <c r="N338" s="40"/>
      <c r="O338" s="40"/>
      <c r="P338" s="40"/>
      <c r="Q338" s="40"/>
      <c r="R338" s="40"/>
      <c r="S338" s="40"/>
      <c r="T338" s="40"/>
      <c r="U338" s="41"/>
    </row>
    <row r="339" spans="1:21" ht="33" x14ac:dyDescent="0.25">
      <c r="A339" s="43" t="str">
        <f>B339</f>
        <v>Км7.2</v>
      </c>
      <c r="B339" s="44" t="s">
        <v>2859</v>
      </c>
      <c r="C339" s="44"/>
      <c r="D339" s="44" t="s">
        <v>2860</v>
      </c>
      <c r="E339" s="44">
        <v>1</v>
      </c>
      <c r="F339" s="44"/>
      <c r="G339" s="44"/>
      <c r="H339" s="44"/>
      <c r="I339" s="44"/>
      <c r="J339" s="44"/>
      <c r="K339" s="44"/>
      <c r="L339" s="44"/>
      <c r="M339" s="44"/>
      <c r="N339" s="44"/>
      <c r="O339" s="44"/>
      <c r="P339" s="44"/>
      <c r="Q339" s="44"/>
      <c r="R339" s="44"/>
      <c r="S339" s="44"/>
      <c r="T339" s="44"/>
      <c r="U339" s="45"/>
    </row>
    <row r="340" spans="1:21" ht="33" x14ac:dyDescent="0.25">
      <c r="A340" s="68" t="str">
        <f>A339</f>
        <v>Км7.2</v>
      </c>
      <c r="B340" s="66">
        <v>1</v>
      </c>
      <c r="C340" s="66" t="s">
        <v>2762</v>
      </c>
      <c r="D340" s="66" t="s">
        <v>2763</v>
      </c>
      <c r="E340" s="66">
        <v>4</v>
      </c>
      <c r="F340" s="40">
        <v>2.984</v>
      </c>
      <c r="G340" s="66"/>
      <c r="H340" s="66">
        <v>5070</v>
      </c>
      <c r="I340" s="66">
        <v>22</v>
      </c>
      <c r="J340" s="66" t="s">
        <v>2</v>
      </c>
      <c r="K340" s="66"/>
      <c r="L340" s="66"/>
      <c r="M340" s="66"/>
      <c r="N340" s="66"/>
      <c r="O340" s="66"/>
      <c r="P340" s="66"/>
      <c r="Q340" s="66"/>
      <c r="R340" s="66"/>
      <c r="S340" s="66" t="s">
        <v>2776</v>
      </c>
      <c r="T340" s="66" t="s">
        <v>2776</v>
      </c>
      <c r="U340" s="69">
        <v>88</v>
      </c>
    </row>
    <row r="341" spans="1:21" ht="33" x14ac:dyDescent="0.25">
      <c r="A341" s="68" t="str">
        <f>A340</f>
        <v>Км7.2</v>
      </c>
      <c r="B341" s="66">
        <v>2</v>
      </c>
      <c r="C341" s="66" t="s">
        <v>2764</v>
      </c>
      <c r="D341" s="66" t="s">
        <v>2765</v>
      </c>
      <c r="E341" s="66">
        <f>38+29+2+29+29+29+29+27+1+33+16</f>
        <v>262</v>
      </c>
      <c r="F341" s="40">
        <v>0.39500000000000002</v>
      </c>
      <c r="G341" s="66" t="s">
        <v>0</v>
      </c>
      <c r="H341" s="66">
        <f>420*4+150</f>
        <v>1830</v>
      </c>
      <c r="I341" s="66">
        <v>8</v>
      </c>
      <c r="J341" s="66" t="s">
        <v>1</v>
      </c>
      <c r="K341" s="66"/>
      <c r="L341" s="66"/>
      <c r="M341" s="66"/>
      <c r="N341" s="66"/>
      <c r="O341" s="66"/>
      <c r="P341" s="66"/>
      <c r="Q341" s="66"/>
      <c r="R341" s="66"/>
      <c r="S341" s="66" t="s">
        <v>2776</v>
      </c>
      <c r="T341" s="66" t="s">
        <v>2776</v>
      </c>
      <c r="U341" s="69">
        <v>10</v>
      </c>
    </row>
    <row r="342" spans="1:21" ht="33" x14ac:dyDescent="0.25">
      <c r="A342" s="68" t="str">
        <f>A341</f>
        <v>Км7.2</v>
      </c>
      <c r="B342" s="66">
        <v>34</v>
      </c>
      <c r="C342" s="66" t="s">
        <v>2762</v>
      </c>
      <c r="D342" s="66" t="s">
        <v>2766</v>
      </c>
      <c r="E342" s="66">
        <v>4</v>
      </c>
      <c r="F342" s="40">
        <v>2.984</v>
      </c>
      <c r="G342" s="66"/>
      <c r="H342" s="66">
        <v>4500</v>
      </c>
      <c r="I342" s="66">
        <v>22</v>
      </c>
      <c r="J342" s="66" t="s">
        <v>2</v>
      </c>
      <c r="K342" s="66"/>
      <c r="L342" s="66"/>
      <c r="M342" s="66"/>
      <c r="N342" s="66"/>
      <c r="O342" s="66"/>
      <c r="P342" s="66"/>
      <c r="Q342" s="66"/>
      <c r="R342" s="66"/>
      <c r="S342" s="66" t="s">
        <v>2776</v>
      </c>
      <c r="T342" s="66" t="s">
        <v>2776</v>
      </c>
      <c r="U342" s="69">
        <v>88</v>
      </c>
    </row>
    <row r="343" spans="1:21" ht="33" x14ac:dyDescent="0.25">
      <c r="A343" s="68" t="str">
        <f>A342</f>
        <v>Км7.2</v>
      </c>
      <c r="B343" s="66">
        <v>31</v>
      </c>
      <c r="C343" s="66" t="s">
        <v>2762</v>
      </c>
      <c r="D343" s="66" t="s">
        <v>3179</v>
      </c>
      <c r="E343" s="66">
        <f>4*5</f>
        <v>20</v>
      </c>
      <c r="F343" s="40">
        <v>2.984</v>
      </c>
      <c r="G343" s="66"/>
      <c r="H343" s="66">
        <v>4050</v>
      </c>
      <c r="I343" s="66">
        <v>22</v>
      </c>
      <c r="J343" s="66" t="s">
        <v>2</v>
      </c>
      <c r="K343" s="66"/>
      <c r="L343" s="66"/>
      <c r="M343" s="66"/>
      <c r="N343" s="66"/>
      <c r="O343" s="66"/>
      <c r="P343" s="66"/>
      <c r="Q343" s="66"/>
      <c r="R343" s="66"/>
      <c r="S343" s="66" t="s">
        <v>2776</v>
      </c>
      <c r="T343" s="66" t="s">
        <v>2776</v>
      </c>
      <c r="U343" s="69">
        <v>88</v>
      </c>
    </row>
    <row r="344" spans="1:21" ht="33" x14ac:dyDescent="0.25">
      <c r="A344" s="68" t="str">
        <f>A343</f>
        <v>Км7.2</v>
      </c>
      <c r="B344" s="66">
        <v>27</v>
      </c>
      <c r="C344" s="66" t="s">
        <v>2762</v>
      </c>
      <c r="D344" s="66" t="s">
        <v>2768</v>
      </c>
      <c r="E344" s="66">
        <v>4</v>
      </c>
      <c r="F344" s="40">
        <v>2.984</v>
      </c>
      <c r="G344" s="66"/>
      <c r="H344" s="66">
        <v>3820</v>
      </c>
      <c r="I344" s="66">
        <v>22</v>
      </c>
      <c r="J344" s="66" t="s">
        <v>2</v>
      </c>
      <c r="K344" s="66"/>
      <c r="L344" s="66"/>
      <c r="M344" s="66"/>
      <c r="N344" s="66"/>
      <c r="O344" s="66"/>
      <c r="P344" s="66"/>
      <c r="Q344" s="66"/>
      <c r="R344" s="66"/>
      <c r="S344" s="66" t="s">
        <v>2776</v>
      </c>
      <c r="T344" s="66" t="s">
        <v>2776</v>
      </c>
      <c r="U344" s="69">
        <v>88</v>
      </c>
    </row>
    <row r="345" spans="1:21" ht="33" x14ac:dyDescent="0.25">
      <c r="A345" s="68" t="str">
        <f>A341</f>
        <v>Км7.2</v>
      </c>
      <c r="B345" s="66">
        <v>32</v>
      </c>
      <c r="C345" s="66" t="s">
        <v>2762</v>
      </c>
      <c r="D345" s="66" t="s">
        <v>2768</v>
      </c>
      <c r="E345" s="66">
        <v>4</v>
      </c>
      <c r="F345" s="40">
        <v>2.984</v>
      </c>
      <c r="G345" s="66"/>
      <c r="H345" s="66">
        <v>5020</v>
      </c>
      <c r="I345" s="66">
        <v>22</v>
      </c>
      <c r="J345" s="66" t="s">
        <v>2</v>
      </c>
      <c r="K345" s="66"/>
      <c r="L345" s="66"/>
      <c r="M345" s="66"/>
      <c r="N345" s="66"/>
      <c r="O345" s="66"/>
      <c r="P345" s="66"/>
      <c r="Q345" s="66"/>
      <c r="R345" s="66"/>
      <c r="S345" s="66" t="s">
        <v>2776</v>
      </c>
      <c r="T345" s="66" t="s">
        <v>2776</v>
      </c>
      <c r="U345" s="69">
        <v>88</v>
      </c>
    </row>
    <row r="346" spans="1:21" ht="33" x14ac:dyDescent="0.25">
      <c r="A346" s="68" t="str">
        <f t="shared" ref="A346:A351" si="8">A341</f>
        <v>Км7.2</v>
      </c>
      <c r="B346" s="66">
        <v>36</v>
      </c>
      <c r="C346" s="66" t="s">
        <v>2762</v>
      </c>
      <c r="D346" s="66" t="s">
        <v>2768</v>
      </c>
      <c r="E346" s="66">
        <v>4</v>
      </c>
      <c r="F346" s="40">
        <v>1.5780000000000001</v>
      </c>
      <c r="G346" s="66" t="s">
        <v>0</v>
      </c>
      <c r="H346" s="66">
        <v>5040</v>
      </c>
      <c r="I346" s="66">
        <v>16</v>
      </c>
      <c r="J346" s="66" t="s">
        <v>2</v>
      </c>
      <c r="K346" s="66"/>
      <c r="L346" s="66"/>
      <c r="M346" s="66"/>
      <c r="N346" s="66"/>
      <c r="O346" s="66"/>
      <c r="P346" s="66"/>
      <c r="Q346" s="66"/>
      <c r="R346" s="66"/>
      <c r="S346" s="66" t="s">
        <v>2776</v>
      </c>
      <c r="T346" s="66" t="s">
        <v>2776</v>
      </c>
      <c r="U346" s="69">
        <v>40</v>
      </c>
    </row>
    <row r="347" spans="1:21" ht="33" x14ac:dyDescent="0.25">
      <c r="A347" s="68" t="str">
        <f t="shared" si="8"/>
        <v>Км7.2</v>
      </c>
      <c r="B347" s="66">
        <v>28</v>
      </c>
      <c r="C347" s="66" t="s">
        <v>2762</v>
      </c>
      <c r="D347" s="66" t="s">
        <v>3148</v>
      </c>
      <c r="E347" s="66">
        <v>8</v>
      </c>
      <c r="F347" s="40">
        <v>2.984</v>
      </c>
      <c r="G347" s="66"/>
      <c r="H347" s="66">
        <v>1430</v>
      </c>
      <c r="I347" s="66">
        <v>22</v>
      </c>
      <c r="J347" s="66" t="s">
        <v>2</v>
      </c>
      <c r="K347" s="66"/>
      <c r="L347" s="66"/>
      <c r="M347" s="66"/>
      <c r="N347" s="66"/>
      <c r="O347" s="66"/>
      <c r="P347" s="66"/>
      <c r="Q347" s="66"/>
      <c r="R347" s="66"/>
      <c r="S347" s="66" t="s">
        <v>2776</v>
      </c>
      <c r="T347" s="66" t="s">
        <v>2776</v>
      </c>
      <c r="U347" s="69">
        <v>88</v>
      </c>
    </row>
    <row r="348" spans="1:21" ht="33" x14ac:dyDescent="0.25">
      <c r="A348" s="68" t="str">
        <f t="shared" si="8"/>
        <v>Км7.2</v>
      </c>
      <c r="B348" s="66">
        <v>18</v>
      </c>
      <c r="C348" s="66" t="s">
        <v>3169</v>
      </c>
      <c r="D348" s="66" t="s">
        <v>3148</v>
      </c>
      <c r="E348" s="66">
        <v>8</v>
      </c>
      <c r="F348" s="40">
        <v>1.5780000000000001</v>
      </c>
      <c r="G348" s="66" t="s">
        <v>0</v>
      </c>
      <c r="H348" s="66">
        <v>2630</v>
      </c>
      <c r="I348" s="66">
        <v>16</v>
      </c>
      <c r="J348" s="66" t="s">
        <v>2</v>
      </c>
      <c r="K348" s="66"/>
      <c r="L348" s="66"/>
      <c r="M348" s="66"/>
      <c r="N348" s="66"/>
      <c r="O348" s="66"/>
      <c r="P348" s="66"/>
      <c r="Q348" s="66"/>
      <c r="R348" s="66"/>
      <c r="S348" s="66" t="s">
        <v>2776</v>
      </c>
      <c r="T348" s="66" t="s">
        <v>2776</v>
      </c>
      <c r="U348" s="69">
        <v>40</v>
      </c>
    </row>
    <row r="349" spans="1:21" ht="33" x14ac:dyDescent="0.25">
      <c r="A349" s="68" t="str">
        <f t="shared" si="8"/>
        <v>Км7.2</v>
      </c>
      <c r="B349" s="66"/>
      <c r="C349" s="47" t="s">
        <v>2769</v>
      </c>
      <c r="D349" s="47" t="s">
        <v>2770</v>
      </c>
      <c r="E349" s="47">
        <f>(1.5*1.5*0.25)+(4.57*0.5*0.5)</f>
        <v>1.7050000000000001</v>
      </c>
      <c r="F349" s="47" t="s">
        <v>4</v>
      </c>
      <c r="G349" s="47" t="s">
        <v>3</v>
      </c>
      <c r="H349" s="66"/>
      <c r="I349" s="66"/>
      <c r="J349" s="66"/>
      <c r="K349" s="66"/>
      <c r="L349" s="66"/>
      <c r="M349" s="66"/>
      <c r="N349" s="66"/>
      <c r="O349" s="66"/>
      <c r="P349" s="66"/>
      <c r="Q349" s="66"/>
      <c r="R349" s="66"/>
      <c r="S349" s="66"/>
      <c r="T349" s="66"/>
      <c r="U349" s="69"/>
    </row>
    <row r="350" spans="1:21" ht="16.5" x14ac:dyDescent="0.25">
      <c r="A350" s="68" t="str">
        <f t="shared" si="8"/>
        <v>Км7.2</v>
      </c>
      <c r="B350" s="66"/>
      <c r="C350" s="47" t="s">
        <v>2769</v>
      </c>
      <c r="D350" s="47" t="s">
        <v>2771</v>
      </c>
      <c r="E350" s="47">
        <f>28.5*0.5*0.5</f>
        <v>7.125</v>
      </c>
      <c r="F350" s="47" t="s">
        <v>4</v>
      </c>
      <c r="G350" s="47" t="s">
        <v>3</v>
      </c>
      <c r="H350" s="66"/>
      <c r="I350" s="66"/>
      <c r="J350" s="66"/>
      <c r="K350" s="66"/>
      <c r="L350" s="66"/>
      <c r="M350" s="66"/>
      <c r="N350" s="66"/>
      <c r="O350" s="66"/>
      <c r="P350" s="66"/>
      <c r="Q350" s="66"/>
      <c r="R350" s="66"/>
      <c r="S350" s="66"/>
      <c r="T350" s="66"/>
      <c r="U350" s="69"/>
    </row>
    <row r="351" spans="1:21" ht="16.5" x14ac:dyDescent="0.25">
      <c r="A351" s="68" t="str">
        <f t="shared" si="8"/>
        <v>Км7.2</v>
      </c>
      <c r="B351" s="66"/>
      <c r="C351" s="73" t="s">
        <v>2772</v>
      </c>
      <c r="D351" s="73" t="s">
        <v>2773</v>
      </c>
      <c r="E351" s="73">
        <v>8</v>
      </c>
      <c r="F351" s="73">
        <v>94.2</v>
      </c>
      <c r="G351" s="73"/>
      <c r="H351" s="66"/>
      <c r="I351" s="66"/>
      <c r="J351" s="66"/>
      <c r="K351" s="40">
        <f>120*120</f>
        <v>14400</v>
      </c>
      <c r="L351" s="66" t="s">
        <v>2344</v>
      </c>
      <c r="M351" s="66" t="s">
        <v>2339</v>
      </c>
      <c r="N351" s="66"/>
      <c r="O351" s="66" t="s">
        <v>2351</v>
      </c>
      <c r="P351" s="66"/>
      <c r="Q351" s="66"/>
      <c r="R351" s="66"/>
      <c r="S351" s="66"/>
      <c r="T351" s="66"/>
      <c r="U351" s="69"/>
    </row>
    <row r="352" spans="1:21" ht="16.5" x14ac:dyDescent="0.25">
      <c r="A352" s="42"/>
      <c r="B352" s="42"/>
      <c r="C352" s="42"/>
      <c r="D352" s="42"/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</row>
    <row r="353" spans="1:21" ht="16.5" x14ac:dyDescent="0.25">
      <c r="A353" s="39" t="s">
        <v>2757</v>
      </c>
      <c r="B353" s="40" t="s">
        <v>2757</v>
      </c>
      <c r="C353" s="40"/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1"/>
    </row>
    <row r="354" spans="1:21" ht="16.5" x14ac:dyDescent="0.25">
      <c r="A354" s="43" t="str">
        <f>B354</f>
        <v>Км2.1</v>
      </c>
      <c r="B354" s="44" t="s">
        <v>2897</v>
      </c>
      <c r="C354" s="44"/>
      <c r="D354" s="44" t="s">
        <v>2898</v>
      </c>
      <c r="E354" s="44">
        <v>1</v>
      </c>
      <c r="F354" s="44"/>
      <c r="G354" s="44"/>
      <c r="H354" s="44"/>
      <c r="I354" s="44"/>
      <c r="J354" s="44"/>
      <c r="K354" s="44"/>
      <c r="L354" s="44"/>
      <c r="M354" s="44"/>
      <c r="N354" s="44"/>
      <c r="O354" s="44"/>
      <c r="P354" s="44"/>
      <c r="Q354" s="44"/>
      <c r="R354" s="44"/>
      <c r="S354" s="44"/>
      <c r="T354" s="44"/>
      <c r="U354" s="45"/>
    </row>
    <row r="355" spans="1:21" ht="33" x14ac:dyDescent="0.25">
      <c r="A355" s="68" t="str">
        <f>A354</f>
        <v>Км2.1</v>
      </c>
      <c r="B355" s="66">
        <v>37</v>
      </c>
      <c r="C355" s="66" t="s">
        <v>2762</v>
      </c>
      <c r="D355" s="66" t="s">
        <v>2763</v>
      </c>
      <c r="E355" s="66">
        <v>8</v>
      </c>
      <c r="F355" s="40">
        <v>3.8530000000000002</v>
      </c>
      <c r="G355" s="66"/>
      <c r="H355" s="66">
        <v>5070</v>
      </c>
      <c r="I355" s="66">
        <v>25</v>
      </c>
      <c r="J355" s="66" t="s">
        <v>2</v>
      </c>
      <c r="K355" s="66"/>
      <c r="L355" s="66"/>
      <c r="M355" s="66"/>
      <c r="N355" s="66"/>
      <c r="O355" s="66"/>
      <c r="P355" s="66"/>
      <c r="Q355" s="66"/>
      <c r="R355" s="66"/>
      <c r="S355" s="66" t="s">
        <v>2776</v>
      </c>
      <c r="T355" s="66" t="s">
        <v>2776</v>
      </c>
      <c r="U355" s="69">
        <v>100</v>
      </c>
    </row>
    <row r="356" spans="1:21" ht="33" x14ac:dyDescent="0.25">
      <c r="A356" s="68" t="str">
        <f t="shared" ref="A356:A367" si="9">A355</f>
        <v>Км2.1</v>
      </c>
      <c r="B356" s="66">
        <v>38</v>
      </c>
      <c r="C356" s="66" t="s">
        <v>2764</v>
      </c>
      <c r="D356" s="66" t="s">
        <v>3180</v>
      </c>
      <c r="E356" s="66">
        <f>38+13+21+16</f>
        <v>88</v>
      </c>
      <c r="F356" s="40">
        <v>0.39500000000000002</v>
      </c>
      <c r="G356" s="66" t="s">
        <v>0</v>
      </c>
      <c r="H356" s="66">
        <f>430*4+150</f>
        <v>1870</v>
      </c>
      <c r="I356" s="66">
        <v>8</v>
      </c>
      <c r="J356" s="66" t="s">
        <v>1</v>
      </c>
      <c r="K356" s="66"/>
      <c r="L356" s="66"/>
      <c r="M356" s="66"/>
      <c r="N356" s="66"/>
      <c r="O356" s="66"/>
      <c r="P356" s="66"/>
      <c r="Q356" s="66"/>
      <c r="R356" s="66"/>
      <c r="S356" s="66" t="s">
        <v>2776</v>
      </c>
      <c r="T356" s="66" t="s">
        <v>2776</v>
      </c>
      <c r="U356" s="69">
        <v>10</v>
      </c>
    </row>
    <row r="357" spans="1:21" ht="33" x14ac:dyDescent="0.25">
      <c r="A357" s="68" t="str">
        <f>A356</f>
        <v>Км2.1</v>
      </c>
      <c r="B357" s="66">
        <v>39</v>
      </c>
      <c r="C357" s="66" t="s">
        <v>2764</v>
      </c>
      <c r="D357" s="66" t="s">
        <v>3180</v>
      </c>
      <c r="E357" s="66">
        <f>38+13+21+16</f>
        <v>88</v>
      </c>
      <c r="F357" s="40">
        <v>0.39500000000000002</v>
      </c>
      <c r="G357" s="66" t="s">
        <v>0</v>
      </c>
      <c r="H357" s="66">
        <f>320*4+150</f>
        <v>1430</v>
      </c>
      <c r="I357" s="66">
        <v>8</v>
      </c>
      <c r="J357" s="66" t="s">
        <v>1</v>
      </c>
      <c r="K357" s="66"/>
      <c r="L357" s="66"/>
      <c r="M357" s="66"/>
      <c r="N357" s="66"/>
      <c r="O357" s="66"/>
      <c r="P357" s="66"/>
      <c r="Q357" s="66"/>
      <c r="R357" s="66"/>
      <c r="S357" s="66" t="s">
        <v>2776</v>
      </c>
      <c r="T357" s="66" t="s">
        <v>2776</v>
      </c>
      <c r="U357" s="69">
        <v>10</v>
      </c>
    </row>
    <row r="358" spans="1:21" ht="33" x14ac:dyDescent="0.25">
      <c r="A358" s="68" t="str">
        <f>A356</f>
        <v>Км2.1</v>
      </c>
      <c r="B358" s="66">
        <v>34</v>
      </c>
      <c r="C358" s="66" t="s">
        <v>2762</v>
      </c>
      <c r="D358" s="66" t="s">
        <v>2766</v>
      </c>
      <c r="E358" s="66">
        <v>4</v>
      </c>
      <c r="F358" s="40">
        <v>2.984</v>
      </c>
      <c r="G358" s="66"/>
      <c r="H358" s="66">
        <v>4500</v>
      </c>
      <c r="I358" s="66">
        <v>22</v>
      </c>
      <c r="J358" s="66" t="s">
        <v>2</v>
      </c>
      <c r="K358" s="66"/>
      <c r="L358" s="66"/>
      <c r="M358" s="66"/>
      <c r="N358" s="66"/>
      <c r="O358" s="66"/>
      <c r="P358" s="66"/>
      <c r="Q358" s="66"/>
      <c r="R358" s="66"/>
      <c r="S358" s="66" t="s">
        <v>2776</v>
      </c>
      <c r="T358" s="66" t="s">
        <v>2776</v>
      </c>
      <c r="U358" s="69">
        <v>88</v>
      </c>
    </row>
    <row r="359" spans="1:21" ht="33" x14ac:dyDescent="0.25">
      <c r="A359" s="68" t="str">
        <f t="shared" si="9"/>
        <v>Км2.1</v>
      </c>
      <c r="B359" s="66">
        <v>31</v>
      </c>
      <c r="C359" s="66" t="s">
        <v>2762</v>
      </c>
      <c r="D359" s="66" t="s">
        <v>3181</v>
      </c>
      <c r="E359" s="66">
        <f>4*5</f>
        <v>20</v>
      </c>
      <c r="F359" s="40">
        <v>2.984</v>
      </c>
      <c r="G359" s="66"/>
      <c r="H359" s="66">
        <v>4050</v>
      </c>
      <c r="I359" s="66">
        <v>22</v>
      </c>
      <c r="J359" s="66" t="s">
        <v>2</v>
      </c>
      <c r="K359" s="66"/>
      <c r="L359" s="66"/>
      <c r="M359" s="66"/>
      <c r="N359" s="66"/>
      <c r="O359" s="66"/>
      <c r="P359" s="66"/>
      <c r="Q359" s="66"/>
      <c r="R359" s="66"/>
      <c r="S359" s="66" t="s">
        <v>2776</v>
      </c>
      <c r="T359" s="66" t="s">
        <v>2776</v>
      </c>
      <c r="U359" s="69">
        <v>88</v>
      </c>
    </row>
    <row r="360" spans="1:21" ht="33" x14ac:dyDescent="0.25">
      <c r="A360" s="68" t="str">
        <f t="shared" si="9"/>
        <v>Км2.1</v>
      </c>
      <c r="B360" s="66">
        <v>40</v>
      </c>
      <c r="C360" s="66" t="s">
        <v>2762</v>
      </c>
      <c r="D360" s="66" t="s">
        <v>2768</v>
      </c>
      <c r="E360" s="66">
        <v>4</v>
      </c>
      <c r="F360" s="40">
        <v>3.8530000000000002</v>
      </c>
      <c r="G360" s="66"/>
      <c r="H360" s="66">
        <v>3820</v>
      </c>
      <c r="I360" s="66">
        <v>25</v>
      </c>
      <c r="J360" s="66" t="s">
        <v>2</v>
      </c>
      <c r="K360" s="66"/>
      <c r="L360" s="66"/>
      <c r="M360" s="66"/>
      <c r="N360" s="66"/>
      <c r="O360" s="66"/>
      <c r="P360" s="66"/>
      <c r="Q360" s="66"/>
      <c r="R360" s="66"/>
      <c r="S360" s="66" t="s">
        <v>2776</v>
      </c>
      <c r="T360" s="66" t="s">
        <v>2776</v>
      </c>
      <c r="U360" s="69">
        <v>100</v>
      </c>
    </row>
    <row r="361" spans="1:21" ht="33" x14ac:dyDescent="0.25">
      <c r="A361" s="68" t="str">
        <f t="shared" si="9"/>
        <v>Км2.1</v>
      </c>
      <c r="B361" s="66">
        <v>32</v>
      </c>
      <c r="C361" s="66" t="s">
        <v>2762</v>
      </c>
      <c r="D361" s="66" t="s">
        <v>2768</v>
      </c>
      <c r="E361" s="66">
        <v>4</v>
      </c>
      <c r="F361" s="40">
        <v>2.984</v>
      </c>
      <c r="G361" s="66"/>
      <c r="H361" s="66">
        <v>5020</v>
      </c>
      <c r="I361" s="66">
        <v>22</v>
      </c>
      <c r="J361" s="66" t="s">
        <v>2</v>
      </c>
      <c r="K361" s="66"/>
      <c r="L361" s="66"/>
      <c r="M361" s="66"/>
      <c r="N361" s="66"/>
      <c r="O361" s="66"/>
      <c r="P361" s="66"/>
      <c r="Q361" s="66"/>
      <c r="R361" s="66"/>
      <c r="S361" s="66" t="s">
        <v>2776</v>
      </c>
      <c r="T361" s="66" t="s">
        <v>2776</v>
      </c>
      <c r="U361" s="69">
        <v>88</v>
      </c>
    </row>
    <row r="362" spans="1:21" ht="33" x14ac:dyDescent="0.25">
      <c r="A362" s="68" t="str">
        <f t="shared" si="9"/>
        <v>Км2.1</v>
      </c>
      <c r="B362" s="66">
        <v>2</v>
      </c>
      <c r="C362" s="66" t="s">
        <v>2764</v>
      </c>
      <c r="D362" s="66" t="s">
        <v>2765</v>
      </c>
      <c r="E362" s="66">
        <f>20+29+29+29+29+27+13</f>
        <v>176</v>
      </c>
      <c r="F362" s="40">
        <v>0.39500000000000002</v>
      </c>
      <c r="G362" s="66" t="s">
        <v>0</v>
      </c>
      <c r="H362" s="66">
        <f>420*4+150</f>
        <v>1830</v>
      </c>
      <c r="I362" s="66">
        <v>8</v>
      </c>
      <c r="J362" s="66" t="s">
        <v>1</v>
      </c>
      <c r="K362" s="66"/>
      <c r="L362" s="66"/>
      <c r="M362" s="66"/>
      <c r="N362" s="66"/>
      <c r="O362" s="66"/>
      <c r="P362" s="66"/>
      <c r="Q362" s="66"/>
      <c r="R362" s="66"/>
      <c r="S362" s="66" t="s">
        <v>2776</v>
      </c>
      <c r="T362" s="66" t="s">
        <v>2776</v>
      </c>
      <c r="U362" s="69">
        <v>10</v>
      </c>
    </row>
    <row r="363" spans="1:21" ht="33" x14ac:dyDescent="0.25">
      <c r="A363" s="68" t="str">
        <f>A362</f>
        <v>Км2.1</v>
      </c>
      <c r="B363" s="66">
        <v>41</v>
      </c>
      <c r="C363" s="66" t="s">
        <v>2762</v>
      </c>
      <c r="D363" s="66" t="s">
        <v>3148</v>
      </c>
      <c r="E363" s="66">
        <v>4</v>
      </c>
      <c r="F363" s="40">
        <v>3.8530000000000002</v>
      </c>
      <c r="G363" s="66"/>
      <c r="H363" s="66">
        <v>1430</v>
      </c>
      <c r="I363" s="66">
        <v>25</v>
      </c>
      <c r="J363" s="66" t="s">
        <v>2</v>
      </c>
      <c r="K363" s="66"/>
      <c r="L363" s="66"/>
      <c r="M363" s="66"/>
      <c r="N363" s="66"/>
      <c r="O363" s="66"/>
      <c r="P363" s="66"/>
      <c r="Q363" s="66"/>
      <c r="R363" s="66"/>
      <c r="S363" s="66" t="s">
        <v>2776</v>
      </c>
      <c r="T363" s="66" t="s">
        <v>2776</v>
      </c>
      <c r="U363" s="69">
        <v>100</v>
      </c>
    </row>
    <row r="364" spans="1:21" ht="33" x14ac:dyDescent="0.25">
      <c r="A364" s="68" t="str">
        <f t="shared" si="9"/>
        <v>Км2.1</v>
      </c>
      <c r="B364" s="66">
        <v>28</v>
      </c>
      <c r="C364" s="66" t="s">
        <v>3169</v>
      </c>
      <c r="D364" s="66" t="s">
        <v>3148</v>
      </c>
      <c r="E364" s="66">
        <v>4</v>
      </c>
      <c r="F364" s="40">
        <v>2.984</v>
      </c>
      <c r="G364" s="66"/>
      <c r="H364" s="66">
        <v>1430</v>
      </c>
      <c r="I364" s="66">
        <v>22</v>
      </c>
      <c r="J364" s="66" t="s">
        <v>2</v>
      </c>
      <c r="K364" s="66"/>
      <c r="L364" s="66"/>
      <c r="M364" s="66"/>
      <c r="N364" s="66"/>
      <c r="O364" s="66"/>
      <c r="P364" s="66"/>
      <c r="Q364" s="66"/>
      <c r="R364" s="66"/>
      <c r="S364" s="66" t="s">
        <v>2776</v>
      </c>
      <c r="T364" s="66" t="s">
        <v>2776</v>
      </c>
      <c r="U364" s="69">
        <v>88</v>
      </c>
    </row>
    <row r="365" spans="1:21" ht="33" x14ac:dyDescent="0.25">
      <c r="A365" s="68" t="str">
        <f t="shared" si="9"/>
        <v>Км2.1</v>
      </c>
      <c r="B365" s="66"/>
      <c r="C365" s="47" t="s">
        <v>2769</v>
      </c>
      <c r="D365" s="47" t="s">
        <v>2770</v>
      </c>
      <c r="E365" s="47">
        <f>(1.5*1.5*0.25)+(4.57*0.5*0.5)</f>
        <v>1.7050000000000001</v>
      </c>
      <c r="F365" s="47" t="s">
        <v>4</v>
      </c>
      <c r="G365" s="47" t="s">
        <v>3</v>
      </c>
      <c r="H365" s="66"/>
      <c r="I365" s="66"/>
      <c r="J365" s="66"/>
      <c r="K365" s="66"/>
      <c r="L365" s="66"/>
      <c r="M365" s="66"/>
      <c r="N365" s="66"/>
      <c r="O365" s="66"/>
      <c r="P365" s="66"/>
      <c r="Q365" s="66"/>
      <c r="R365" s="66"/>
      <c r="S365" s="66"/>
      <c r="T365" s="66"/>
      <c r="U365" s="69"/>
    </row>
    <row r="366" spans="1:21" ht="16.5" x14ac:dyDescent="0.25">
      <c r="A366" s="68" t="str">
        <f t="shared" si="9"/>
        <v>Км2.1</v>
      </c>
      <c r="B366" s="66"/>
      <c r="C366" s="47" t="s">
        <v>2769</v>
      </c>
      <c r="D366" s="47" t="s">
        <v>2771</v>
      </c>
      <c r="E366" s="47">
        <f>29*0.5*0.5</f>
        <v>7.25</v>
      </c>
      <c r="F366" s="47" t="s">
        <v>4</v>
      </c>
      <c r="G366" s="47" t="s">
        <v>3</v>
      </c>
      <c r="H366" s="66"/>
      <c r="I366" s="66"/>
      <c r="J366" s="66"/>
      <c r="K366" s="66"/>
      <c r="L366" s="66"/>
      <c r="M366" s="66"/>
      <c r="N366" s="66"/>
      <c r="O366" s="66"/>
      <c r="P366" s="66"/>
      <c r="Q366" s="66"/>
      <c r="R366" s="66"/>
      <c r="S366" s="66"/>
      <c r="T366" s="66"/>
      <c r="U366" s="69"/>
    </row>
    <row r="367" spans="1:21" ht="16.5" x14ac:dyDescent="0.25">
      <c r="A367" s="68" t="str">
        <f t="shared" si="9"/>
        <v>Км2.1</v>
      </c>
      <c r="B367" s="66"/>
      <c r="C367" s="73" t="s">
        <v>2772</v>
      </c>
      <c r="D367" s="73" t="s">
        <v>2773</v>
      </c>
      <c r="E367" s="73">
        <v>8</v>
      </c>
      <c r="F367" s="73">
        <v>94.2</v>
      </c>
      <c r="G367" s="73"/>
      <c r="H367" s="66"/>
      <c r="I367" s="66"/>
      <c r="J367" s="66"/>
      <c r="K367" s="40">
        <f>120*120</f>
        <v>14400</v>
      </c>
      <c r="L367" s="66" t="s">
        <v>2344</v>
      </c>
      <c r="M367" s="66" t="s">
        <v>2339</v>
      </c>
      <c r="N367" s="66"/>
      <c r="O367" s="66" t="s">
        <v>2351</v>
      </c>
      <c r="P367" s="66"/>
      <c r="Q367" s="66"/>
      <c r="R367" s="66"/>
      <c r="S367" s="66"/>
      <c r="T367" s="66"/>
      <c r="U367" s="69"/>
    </row>
    <row r="368" spans="1:21" ht="16.5" x14ac:dyDescent="0.25">
      <c r="A368" s="42"/>
      <c r="B368" s="42"/>
      <c r="C368" s="42"/>
      <c r="D368" s="42"/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</row>
    <row r="369" spans="1:21" ht="16.5" x14ac:dyDescent="0.25">
      <c r="A369" s="39" t="s">
        <v>2757</v>
      </c>
      <c r="B369" s="40" t="s">
        <v>2757</v>
      </c>
      <c r="C369" s="40"/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1"/>
    </row>
    <row r="370" spans="1:21" ht="33" x14ac:dyDescent="0.25">
      <c r="A370" s="43" t="str">
        <f>B370</f>
        <v>Км9.2.1</v>
      </c>
      <c r="B370" s="44" t="s">
        <v>2900</v>
      </c>
      <c r="C370" s="44"/>
      <c r="D370" s="44" t="s">
        <v>2901</v>
      </c>
      <c r="E370" s="44">
        <v>1</v>
      </c>
      <c r="F370" s="44"/>
      <c r="G370" s="44"/>
      <c r="H370" s="44"/>
      <c r="I370" s="44"/>
      <c r="J370" s="44"/>
      <c r="K370" s="44"/>
      <c r="L370" s="44"/>
      <c r="M370" s="44"/>
      <c r="N370" s="44"/>
      <c r="O370" s="44"/>
      <c r="P370" s="44"/>
      <c r="Q370" s="44"/>
      <c r="R370" s="44"/>
      <c r="S370" s="44"/>
      <c r="T370" s="44"/>
      <c r="U370" s="45"/>
    </row>
    <row r="371" spans="1:21" ht="33" x14ac:dyDescent="0.25">
      <c r="A371" s="68" t="str">
        <f>A370</f>
        <v>Км9.2.1</v>
      </c>
      <c r="B371" s="66">
        <v>20</v>
      </c>
      <c r="C371" s="66" t="s">
        <v>2762</v>
      </c>
      <c r="D371" s="66" t="s">
        <v>2763</v>
      </c>
      <c r="E371" s="66">
        <v>5</v>
      </c>
      <c r="F371" s="40">
        <v>2.4660000000000002</v>
      </c>
      <c r="G371" s="66"/>
      <c r="H371" s="66">
        <v>5070</v>
      </c>
      <c r="I371" s="66">
        <v>20</v>
      </c>
      <c r="J371" s="66" t="s">
        <v>2</v>
      </c>
      <c r="K371" s="66"/>
      <c r="L371" s="66"/>
      <c r="M371" s="66"/>
      <c r="N371" s="66"/>
      <c r="O371" s="66"/>
      <c r="P371" s="66"/>
      <c r="Q371" s="66"/>
      <c r="R371" s="66"/>
      <c r="S371" s="66" t="s">
        <v>2776</v>
      </c>
      <c r="T371" s="66" t="s">
        <v>2776</v>
      </c>
      <c r="U371" s="69">
        <v>80</v>
      </c>
    </row>
    <row r="372" spans="1:21" ht="33" x14ac:dyDescent="0.25">
      <c r="A372" s="68" t="str">
        <f t="shared" ref="A372:A383" si="10">A371</f>
        <v>Км9.2.1</v>
      </c>
      <c r="B372" s="66">
        <v>38</v>
      </c>
      <c r="C372" s="66" t="s">
        <v>2764</v>
      </c>
      <c r="D372" s="66" t="s">
        <v>3180</v>
      </c>
      <c r="E372" s="66">
        <f>38+13+21+16</f>
        <v>88</v>
      </c>
      <c r="F372" s="40">
        <v>0.39500000000000002</v>
      </c>
      <c r="G372" s="66" t="s">
        <v>0</v>
      </c>
      <c r="H372" s="66">
        <f>430*4+150</f>
        <v>1870</v>
      </c>
      <c r="I372" s="66">
        <v>8</v>
      </c>
      <c r="J372" s="66" t="s">
        <v>1</v>
      </c>
      <c r="K372" s="66"/>
      <c r="L372" s="66"/>
      <c r="M372" s="66"/>
      <c r="N372" s="66"/>
      <c r="O372" s="66"/>
      <c r="P372" s="66"/>
      <c r="Q372" s="66"/>
      <c r="R372" s="66"/>
      <c r="S372" s="66" t="s">
        <v>2776</v>
      </c>
      <c r="T372" s="66" t="s">
        <v>2776</v>
      </c>
      <c r="U372" s="69">
        <v>10</v>
      </c>
    </row>
    <row r="373" spans="1:21" ht="33" x14ac:dyDescent="0.25">
      <c r="A373" s="68" t="str">
        <f>A372</f>
        <v>Км9.2.1</v>
      </c>
      <c r="B373" s="66">
        <v>39</v>
      </c>
      <c r="C373" s="66" t="s">
        <v>2764</v>
      </c>
      <c r="D373" s="66" t="s">
        <v>3180</v>
      </c>
      <c r="E373" s="66">
        <f>38+13+21+16</f>
        <v>88</v>
      </c>
      <c r="F373" s="40">
        <v>0.39500000000000002</v>
      </c>
      <c r="G373" s="66" t="s">
        <v>0</v>
      </c>
      <c r="H373" s="66">
        <f>320*4+150</f>
        <v>1430</v>
      </c>
      <c r="I373" s="66">
        <v>8</v>
      </c>
      <c r="J373" s="66" t="s">
        <v>1</v>
      </c>
      <c r="K373" s="66"/>
      <c r="L373" s="66"/>
      <c r="M373" s="66"/>
      <c r="N373" s="66"/>
      <c r="O373" s="66"/>
      <c r="P373" s="66"/>
      <c r="Q373" s="66"/>
      <c r="R373" s="66"/>
      <c r="S373" s="66" t="s">
        <v>2776</v>
      </c>
      <c r="T373" s="66" t="s">
        <v>2776</v>
      </c>
      <c r="U373" s="69">
        <v>10</v>
      </c>
    </row>
    <row r="374" spans="1:21" ht="33" x14ac:dyDescent="0.25">
      <c r="A374" s="68" t="str">
        <f>A372</f>
        <v>Км9.2.1</v>
      </c>
      <c r="B374" s="66">
        <v>34</v>
      </c>
      <c r="C374" s="66" t="s">
        <v>2762</v>
      </c>
      <c r="D374" s="66" t="s">
        <v>2766</v>
      </c>
      <c r="E374" s="66">
        <v>4</v>
      </c>
      <c r="F374" s="40">
        <v>2.984</v>
      </c>
      <c r="G374" s="66"/>
      <c r="H374" s="66">
        <v>4500</v>
      </c>
      <c r="I374" s="66">
        <v>22</v>
      </c>
      <c r="J374" s="66" t="s">
        <v>2</v>
      </c>
      <c r="K374" s="66"/>
      <c r="L374" s="66"/>
      <c r="M374" s="66"/>
      <c r="N374" s="66"/>
      <c r="O374" s="66"/>
      <c r="P374" s="66"/>
      <c r="Q374" s="66"/>
      <c r="R374" s="66"/>
      <c r="S374" s="66" t="s">
        <v>2776</v>
      </c>
      <c r="T374" s="66" t="s">
        <v>2776</v>
      </c>
      <c r="U374" s="69">
        <v>88</v>
      </c>
    </row>
    <row r="375" spans="1:21" ht="33" x14ac:dyDescent="0.25">
      <c r="A375" s="68" t="str">
        <f t="shared" si="10"/>
        <v>Км9.2.1</v>
      </c>
      <c r="B375" s="66">
        <v>31</v>
      </c>
      <c r="C375" s="66" t="s">
        <v>2762</v>
      </c>
      <c r="D375" s="66" t="s">
        <v>3181</v>
      </c>
      <c r="E375" s="66">
        <f>4*5</f>
        <v>20</v>
      </c>
      <c r="F375" s="40">
        <v>2.984</v>
      </c>
      <c r="G375" s="66"/>
      <c r="H375" s="66">
        <v>4050</v>
      </c>
      <c r="I375" s="66">
        <v>22</v>
      </c>
      <c r="J375" s="66" t="s">
        <v>2</v>
      </c>
      <c r="K375" s="66"/>
      <c r="L375" s="66"/>
      <c r="M375" s="66"/>
      <c r="N375" s="66"/>
      <c r="O375" s="66"/>
      <c r="P375" s="66"/>
      <c r="Q375" s="66"/>
      <c r="R375" s="66"/>
      <c r="S375" s="66" t="s">
        <v>2776</v>
      </c>
      <c r="T375" s="66" t="s">
        <v>2776</v>
      </c>
      <c r="U375" s="69">
        <v>88</v>
      </c>
    </row>
    <row r="376" spans="1:21" ht="33" x14ac:dyDescent="0.25">
      <c r="A376" s="68" t="str">
        <f t="shared" si="10"/>
        <v>Км9.2.1</v>
      </c>
      <c r="B376" s="66">
        <v>40</v>
      </c>
      <c r="C376" s="66" t="s">
        <v>2762</v>
      </c>
      <c r="D376" s="66" t="s">
        <v>2768</v>
      </c>
      <c r="E376" s="66">
        <v>4</v>
      </c>
      <c r="F376" s="40">
        <v>3.8530000000000002</v>
      </c>
      <c r="G376" s="66"/>
      <c r="H376" s="66">
        <v>3820</v>
      </c>
      <c r="I376" s="66">
        <v>25</v>
      </c>
      <c r="J376" s="66" t="s">
        <v>2</v>
      </c>
      <c r="K376" s="66"/>
      <c r="L376" s="66"/>
      <c r="M376" s="66"/>
      <c r="N376" s="66"/>
      <c r="O376" s="66"/>
      <c r="P376" s="66"/>
      <c r="Q376" s="66"/>
      <c r="R376" s="66"/>
      <c r="S376" s="66" t="s">
        <v>2776</v>
      </c>
      <c r="T376" s="66" t="s">
        <v>2776</v>
      </c>
      <c r="U376" s="69">
        <v>100</v>
      </c>
    </row>
    <row r="377" spans="1:21" ht="33" x14ac:dyDescent="0.25">
      <c r="A377" s="68" t="str">
        <f t="shared" si="10"/>
        <v>Км9.2.1</v>
      </c>
      <c r="B377" s="66">
        <v>32</v>
      </c>
      <c r="C377" s="66" t="s">
        <v>2762</v>
      </c>
      <c r="D377" s="66" t="s">
        <v>2768</v>
      </c>
      <c r="E377" s="66">
        <v>4</v>
      </c>
      <c r="F377" s="40">
        <v>2.984</v>
      </c>
      <c r="G377" s="66"/>
      <c r="H377" s="66">
        <v>5020</v>
      </c>
      <c r="I377" s="66">
        <v>22</v>
      </c>
      <c r="J377" s="66" t="s">
        <v>2</v>
      </c>
      <c r="K377" s="66"/>
      <c r="L377" s="66"/>
      <c r="M377" s="66"/>
      <c r="N377" s="66"/>
      <c r="O377" s="66"/>
      <c r="P377" s="66"/>
      <c r="Q377" s="66"/>
      <c r="R377" s="66"/>
      <c r="S377" s="66" t="s">
        <v>2776</v>
      </c>
      <c r="T377" s="66" t="s">
        <v>2776</v>
      </c>
      <c r="U377" s="69">
        <v>88</v>
      </c>
    </row>
    <row r="378" spans="1:21" ht="33" x14ac:dyDescent="0.25">
      <c r="A378" s="68" t="str">
        <f t="shared" si="10"/>
        <v>Км9.2.1</v>
      </c>
      <c r="B378" s="66">
        <v>2</v>
      </c>
      <c r="C378" s="66" t="s">
        <v>2764</v>
      </c>
      <c r="D378" s="66" t="s">
        <v>2765</v>
      </c>
      <c r="E378" s="66">
        <f>20+29+29+29+29+27+13</f>
        <v>176</v>
      </c>
      <c r="F378" s="40">
        <v>0.39500000000000002</v>
      </c>
      <c r="G378" s="66" t="s">
        <v>0</v>
      </c>
      <c r="H378" s="66">
        <f>420*4+150</f>
        <v>1830</v>
      </c>
      <c r="I378" s="66">
        <v>8</v>
      </c>
      <c r="J378" s="66" t="s">
        <v>1</v>
      </c>
      <c r="K378" s="66"/>
      <c r="L378" s="66"/>
      <c r="M378" s="66"/>
      <c r="N378" s="66"/>
      <c r="O378" s="66"/>
      <c r="P378" s="66"/>
      <c r="Q378" s="66"/>
      <c r="R378" s="66"/>
      <c r="S378" s="66" t="s">
        <v>2776</v>
      </c>
      <c r="T378" s="66" t="s">
        <v>2776</v>
      </c>
      <c r="U378" s="69">
        <v>10</v>
      </c>
    </row>
    <row r="379" spans="1:21" ht="33" x14ac:dyDescent="0.25">
      <c r="A379" s="68" t="str">
        <f>A378</f>
        <v>Км9.2.1</v>
      </c>
      <c r="B379" s="66">
        <v>41</v>
      </c>
      <c r="C379" s="66" t="s">
        <v>2762</v>
      </c>
      <c r="D379" s="66" t="s">
        <v>3148</v>
      </c>
      <c r="E379" s="66">
        <v>4</v>
      </c>
      <c r="F379" s="40">
        <v>3.8530000000000002</v>
      </c>
      <c r="G379" s="66"/>
      <c r="H379" s="66">
        <v>1430</v>
      </c>
      <c r="I379" s="66">
        <v>25</v>
      </c>
      <c r="J379" s="66" t="s">
        <v>2</v>
      </c>
      <c r="K379" s="66"/>
      <c r="L379" s="66"/>
      <c r="M379" s="66"/>
      <c r="N379" s="66"/>
      <c r="O379" s="66"/>
      <c r="P379" s="66"/>
      <c r="Q379" s="66"/>
      <c r="R379" s="66"/>
      <c r="S379" s="66" t="s">
        <v>2776</v>
      </c>
      <c r="T379" s="66" t="s">
        <v>2776</v>
      </c>
      <c r="U379" s="69">
        <v>100</v>
      </c>
    </row>
    <row r="380" spans="1:21" ht="33" x14ac:dyDescent="0.25">
      <c r="A380" s="68" t="str">
        <f t="shared" si="10"/>
        <v>Км9.2.1</v>
      </c>
      <c r="B380" s="66">
        <v>28</v>
      </c>
      <c r="C380" s="66" t="s">
        <v>3169</v>
      </c>
      <c r="D380" s="66" t="s">
        <v>3148</v>
      </c>
      <c r="E380" s="66">
        <v>4</v>
      </c>
      <c r="F380" s="40">
        <v>2.984</v>
      </c>
      <c r="G380" s="66"/>
      <c r="H380" s="66">
        <v>1430</v>
      </c>
      <c r="I380" s="66">
        <v>22</v>
      </c>
      <c r="J380" s="66" t="s">
        <v>2</v>
      </c>
      <c r="K380" s="66"/>
      <c r="L380" s="66"/>
      <c r="M380" s="66"/>
      <c r="N380" s="66"/>
      <c r="O380" s="66"/>
      <c r="P380" s="66"/>
      <c r="Q380" s="66"/>
      <c r="R380" s="66"/>
      <c r="S380" s="66" t="s">
        <v>2776</v>
      </c>
      <c r="T380" s="66" t="s">
        <v>2776</v>
      </c>
      <c r="U380" s="69">
        <v>88</v>
      </c>
    </row>
    <row r="381" spans="1:21" ht="33" x14ac:dyDescent="0.25">
      <c r="A381" s="68" t="str">
        <f t="shared" si="10"/>
        <v>Км9.2.1</v>
      </c>
      <c r="B381" s="66"/>
      <c r="C381" s="47" t="s">
        <v>2769</v>
      </c>
      <c r="D381" s="47" t="s">
        <v>2770</v>
      </c>
      <c r="E381" s="47">
        <f>(1.5*1.5*0.25)+(4.57*0.5*0.5)</f>
        <v>1.7050000000000001</v>
      </c>
      <c r="F381" s="47" t="s">
        <v>4</v>
      </c>
      <c r="G381" s="47" t="s">
        <v>3</v>
      </c>
      <c r="H381" s="66"/>
      <c r="I381" s="66"/>
      <c r="J381" s="66"/>
      <c r="K381" s="66"/>
      <c r="L381" s="66"/>
      <c r="M381" s="66"/>
      <c r="N381" s="66"/>
      <c r="O381" s="66"/>
      <c r="P381" s="66"/>
      <c r="Q381" s="66"/>
      <c r="R381" s="66"/>
      <c r="S381" s="66"/>
      <c r="T381" s="66"/>
      <c r="U381" s="69"/>
    </row>
    <row r="382" spans="1:21" ht="16.5" x14ac:dyDescent="0.25">
      <c r="A382" s="68" t="str">
        <f t="shared" si="10"/>
        <v>Км9.2.1</v>
      </c>
      <c r="B382" s="66"/>
      <c r="C382" s="47" t="s">
        <v>2769</v>
      </c>
      <c r="D382" s="47" t="s">
        <v>2771</v>
      </c>
      <c r="E382" s="47">
        <f>29*0.5*0.5</f>
        <v>7.25</v>
      </c>
      <c r="F382" s="47" t="s">
        <v>4</v>
      </c>
      <c r="G382" s="47" t="s">
        <v>3</v>
      </c>
      <c r="H382" s="66"/>
      <c r="I382" s="66"/>
      <c r="J382" s="66"/>
      <c r="K382" s="66"/>
      <c r="L382" s="66"/>
      <c r="M382" s="66"/>
      <c r="N382" s="66"/>
      <c r="O382" s="66"/>
      <c r="P382" s="66"/>
      <c r="Q382" s="66"/>
      <c r="R382" s="66"/>
      <c r="S382" s="66"/>
      <c r="T382" s="66"/>
      <c r="U382" s="69"/>
    </row>
    <row r="383" spans="1:21" ht="16.5" x14ac:dyDescent="0.25">
      <c r="A383" s="68" t="str">
        <f t="shared" si="10"/>
        <v>Км9.2.1</v>
      </c>
      <c r="B383" s="66"/>
      <c r="C383" s="73" t="s">
        <v>2772</v>
      </c>
      <c r="D383" s="73" t="s">
        <v>2773</v>
      </c>
      <c r="E383" s="73">
        <v>4</v>
      </c>
      <c r="F383" s="73">
        <v>94.2</v>
      </c>
      <c r="G383" s="73"/>
      <c r="H383" s="66"/>
      <c r="I383" s="66"/>
      <c r="J383" s="66"/>
      <c r="K383" s="40">
        <f>120*120</f>
        <v>14400</v>
      </c>
      <c r="L383" s="66" t="s">
        <v>2344</v>
      </c>
      <c r="M383" s="66" t="s">
        <v>2339</v>
      </c>
      <c r="N383" s="66"/>
      <c r="O383" s="66" t="s">
        <v>2351</v>
      </c>
      <c r="P383" s="66"/>
      <c r="Q383" s="66"/>
      <c r="R383" s="66"/>
      <c r="S383" s="66"/>
      <c r="T383" s="66"/>
      <c r="U383" s="69"/>
    </row>
    <row r="384" spans="1:21" ht="16.5" x14ac:dyDescent="0.25">
      <c r="A384" s="42"/>
      <c r="B384" s="42"/>
      <c r="C384" s="42"/>
      <c r="D384" s="42"/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</row>
    <row r="385" spans="1:21" ht="16.5" x14ac:dyDescent="0.25">
      <c r="A385" s="43" t="str">
        <f>B385</f>
        <v>Км1.3</v>
      </c>
      <c r="B385" s="44" t="s">
        <v>2760</v>
      </c>
      <c r="C385" s="44"/>
      <c r="D385" s="44" t="s">
        <v>2761</v>
      </c>
      <c r="E385" s="44">
        <v>1</v>
      </c>
      <c r="F385" s="44"/>
      <c r="G385" s="44"/>
      <c r="H385" s="44"/>
      <c r="I385" s="44"/>
      <c r="J385" s="44"/>
      <c r="K385" s="44"/>
      <c r="L385" s="44"/>
      <c r="M385" s="44"/>
      <c r="N385" s="44"/>
      <c r="O385" s="44"/>
      <c r="P385" s="44"/>
      <c r="Q385" s="44"/>
      <c r="R385" s="44"/>
      <c r="S385" s="44"/>
      <c r="T385" s="44"/>
      <c r="U385" s="45"/>
    </row>
    <row r="386" spans="1:21" ht="33" x14ac:dyDescent="0.25">
      <c r="A386" s="68" t="str">
        <f>A385</f>
        <v>Км1.3</v>
      </c>
      <c r="B386" s="66">
        <v>1</v>
      </c>
      <c r="C386" s="66" t="s">
        <v>2762</v>
      </c>
      <c r="D386" s="66" t="s">
        <v>2763</v>
      </c>
      <c r="E386" s="66">
        <v>4</v>
      </c>
      <c r="F386" s="40">
        <v>2.984</v>
      </c>
      <c r="G386" s="66"/>
      <c r="H386" s="66">
        <v>5070</v>
      </c>
      <c r="I386" s="66">
        <v>22</v>
      </c>
      <c r="J386" s="66" t="s">
        <v>2</v>
      </c>
      <c r="K386" s="66"/>
      <c r="L386" s="66"/>
      <c r="M386" s="66"/>
      <c r="N386" s="66"/>
      <c r="O386" s="66"/>
      <c r="P386" s="66"/>
      <c r="Q386" s="66"/>
      <c r="R386" s="66"/>
      <c r="S386" s="66" t="s">
        <v>2776</v>
      </c>
      <c r="T386" s="66" t="s">
        <v>2776</v>
      </c>
      <c r="U386" s="69">
        <v>88</v>
      </c>
    </row>
    <row r="387" spans="1:21" ht="33" x14ac:dyDescent="0.25">
      <c r="A387" s="68" t="str">
        <f>A386</f>
        <v>Км1.3</v>
      </c>
      <c r="B387" s="66">
        <v>2</v>
      </c>
      <c r="C387" s="66" t="s">
        <v>2764</v>
      </c>
      <c r="D387" s="66" t="s">
        <v>2765</v>
      </c>
      <c r="E387" s="66">
        <f>38+34+(29*5)+30</f>
        <v>247</v>
      </c>
      <c r="F387" s="40">
        <v>0.39500000000000002</v>
      </c>
      <c r="G387" s="66" t="s">
        <v>0</v>
      </c>
      <c r="H387" s="66">
        <f>420*4+150</f>
        <v>1830</v>
      </c>
      <c r="I387" s="66">
        <v>8</v>
      </c>
      <c r="J387" s="66" t="s">
        <v>1</v>
      </c>
      <c r="K387" s="66"/>
      <c r="L387" s="66"/>
      <c r="M387" s="66"/>
      <c r="N387" s="66"/>
      <c r="O387" s="66"/>
      <c r="P387" s="66"/>
      <c r="Q387" s="66"/>
      <c r="R387" s="66"/>
      <c r="S387" s="66" t="s">
        <v>2776</v>
      </c>
      <c r="T387" s="66" t="s">
        <v>2776</v>
      </c>
      <c r="U387" s="69">
        <v>10</v>
      </c>
    </row>
    <row r="388" spans="1:21" ht="33" x14ac:dyDescent="0.25">
      <c r="A388" s="68" t="str">
        <f>A387</f>
        <v>Км1.3</v>
      </c>
      <c r="B388" s="66">
        <v>3</v>
      </c>
      <c r="C388" s="66" t="s">
        <v>2762</v>
      </c>
      <c r="D388" s="66" t="s">
        <v>2766</v>
      </c>
      <c r="E388" s="66">
        <v>4</v>
      </c>
      <c r="F388" s="40">
        <v>2.4660000000000002</v>
      </c>
      <c r="G388" s="66"/>
      <c r="H388" s="66">
        <v>4500</v>
      </c>
      <c r="I388" s="66">
        <v>20</v>
      </c>
      <c r="J388" s="66" t="s">
        <v>2</v>
      </c>
      <c r="K388" s="66"/>
      <c r="L388" s="66"/>
      <c r="M388" s="66"/>
      <c r="N388" s="66"/>
      <c r="O388" s="66"/>
      <c r="P388" s="66"/>
      <c r="Q388" s="66"/>
      <c r="R388" s="66"/>
      <c r="S388" s="66" t="s">
        <v>2776</v>
      </c>
      <c r="T388" s="66" t="s">
        <v>2776</v>
      </c>
      <c r="U388" s="69">
        <v>80</v>
      </c>
    </row>
    <row r="389" spans="1:21" ht="33" x14ac:dyDescent="0.25">
      <c r="A389" s="68" t="str">
        <f>A388</f>
        <v>Км1.3</v>
      </c>
      <c r="B389" s="66">
        <v>4</v>
      </c>
      <c r="C389" s="66" t="s">
        <v>2762</v>
      </c>
      <c r="D389" s="66" t="s">
        <v>2767</v>
      </c>
      <c r="E389" s="66">
        <f>4*5</f>
        <v>20</v>
      </c>
      <c r="F389" s="40">
        <v>2.4660000000000002</v>
      </c>
      <c r="G389" s="66"/>
      <c r="H389" s="66">
        <v>4050</v>
      </c>
      <c r="I389" s="66">
        <v>20</v>
      </c>
      <c r="J389" s="66" t="s">
        <v>2</v>
      </c>
      <c r="K389" s="66"/>
      <c r="L389" s="66"/>
      <c r="M389" s="66"/>
      <c r="N389" s="66"/>
      <c r="O389" s="66"/>
      <c r="P389" s="66"/>
      <c r="Q389" s="66"/>
      <c r="R389" s="66"/>
      <c r="S389" s="66" t="s">
        <v>2776</v>
      </c>
      <c r="T389" s="66" t="s">
        <v>2776</v>
      </c>
      <c r="U389" s="69">
        <v>80</v>
      </c>
    </row>
    <row r="390" spans="1:21" ht="33" x14ac:dyDescent="0.25">
      <c r="A390" s="68" t="str">
        <f>A388</f>
        <v>Км1.3</v>
      </c>
      <c r="B390" s="66">
        <v>23</v>
      </c>
      <c r="C390" s="66" t="s">
        <v>2762</v>
      </c>
      <c r="D390" s="66" t="s">
        <v>2768</v>
      </c>
      <c r="E390" s="66">
        <v>4</v>
      </c>
      <c r="F390" s="40">
        <v>2.4660000000000002</v>
      </c>
      <c r="G390" s="66"/>
      <c r="H390" s="66">
        <v>2720</v>
      </c>
      <c r="I390" s="66">
        <v>20</v>
      </c>
      <c r="J390" s="66" t="s">
        <v>2</v>
      </c>
      <c r="K390" s="66"/>
      <c r="L390" s="66"/>
      <c r="M390" s="66"/>
      <c r="N390" s="66"/>
      <c r="O390" s="66"/>
      <c r="P390" s="66"/>
      <c r="Q390" s="66"/>
      <c r="R390" s="66"/>
      <c r="S390" s="66" t="s">
        <v>2776</v>
      </c>
      <c r="T390" s="66" t="s">
        <v>2776</v>
      </c>
      <c r="U390" s="69">
        <v>80</v>
      </c>
    </row>
    <row r="391" spans="1:21" ht="33" x14ac:dyDescent="0.25">
      <c r="A391" s="68" t="str">
        <f>A390</f>
        <v>Км1.3</v>
      </c>
      <c r="B391" s="66"/>
      <c r="C391" s="47" t="s">
        <v>2769</v>
      </c>
      <c r="D391" s="47" t="s">
        <v>2770</v>
      </c>
      <c r="E391" s="47">
        <f>4.82*0.5*0.5</f>
        <v>1.2050000000000001</v>
      </c>
      <c r="F391" s="47" t="s">
        <v>4</v>
      </c>
      <c r="G391" s="47" t="s">
        <v>3</v>
      </c>
      <c r="H391" s="66"/>
      <c r="I391" s="66"/>
      <c r="J391" s="66"/>
      <c r="K391" s="66"/>
      <c r="L391" s="66"/>
      <c r="M391" s="66"/>
      <c r="N391" s="66"/>
      <c r="O391" s="66"/>
      <c r="P391" s="66"/>
      <c r="Q391" s="66"/>
      <c r="R391" s="66"/>
      <c r="S391" s="66"/>
      <c r="T391" s="66"/>
      <c r="U391" s="69"/>
    </row>
    <row r="392" spans="1:21" ht="16.5" x14ac:dyDescent="0.25">
      <c r="A392" s="68" t="str">
        <f>A391</f>
        <v>Км1.3</v>
      </c>
      <c r="B392" s="66"/>
      <c r="C392" s="47" t="s">
        <v>2769</v>
      </c>
      <c r="D392" s="47" t="s">
        <v>2771</v>
      </c>
      <c r="E392" s="47">
        <f>26.72*0.5*0.5</f>
        <v>6.68</v>
      </c>
      <c r="F392" s="47" t="s">
        <v>4</v>
      </c>
      <c r="G392" s="47" t="s">
        <v>3</v>
      </c>
      <c r="H392" s="66"/>
      <c r="I392" s="66"/>
      <c r="J392" s="66"/>
      <c r="K392" s="66"/>
      <c r="L392" s="66"/>
      <c r="M392" s="66"/>
      <c r="N392" s="66"/>
      <c r="O392" s="66"/>
      <c r="P392" s="66"/>
      <c r="Q392" s="66"/>
      <c r="R392" s="66"/>
      <c r="S392" s="66"/>
      <c r="T392" s="66"/>
      <c r="U392" s="69"/>
    </row>
    <row r="393" spans="1:21" ht="16.5" x14ac:dyDescent="0.25">
      <c r="A393" s="68" t="str">
        <f>A391</f>
        <v>Км1.3</v>
      </c>
      <c r="B393" s="66"/>
      <c r="C393" s="73" t="s">
        <v>2772</v>
      </c>
      <c r="D393" s="73" t="s">
        <v>2773</v>
      </c>
      <c r="E393" s="73">
        <v>4</v>
      </c>
      <c r="F393" s="73">
        <v>94.2</v>
      </c>
      <c r="G393" s="73"/>
      <c r="H393" s="66"/>
      <c r="I393" s="66"/>
      <c r="J393" s="66"/>
      <c r="K393" s="40">
        <f>120*120</f>
        <v>14400</v>
      </c>
      <c r="L393" s="66" t="s">
        <v>2344</v>
      </c>
      <c r="M393" s="66" t="s">
        <v>2339</v>
      </c>
      <c r="N393" s="66"/>
      <c r="O393" s="66" t="s">
        <v>2351</v>
      </c>
      <c r="P393" s="66"/>
      <c r="Q393" s="66"/>
      <c r="R393" s="66"/>
      <c r="S393" s="66"/>
      <c r="T393" s="66"/>
      <c r="U393" s="69"/>
    </row>
    <row r="394" spans="1:21" ht="16.5" x14ac:dyDescent="0.25">
      <c r="A394" s="42"/>
      <c r="B394" s="42"/>
      <c r="C394" s="42"/>
      <c r="D394" s="42"/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</row>
    <row r="395" spans="1:21" ht="16.5" x14ac:dyDescent="0.25">
      <c r="A395" s="39" t="s">
        <v>2757</v>
      </c>
      <c r="B395" s="40" t="s">
        <v>2757</v>
      </c>
      <c r="C395" s="40"/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1"/>
    </row>
    <row r="396" spans="1:21" ht="33" x14ac:dyDescent="0.25">
      <c r="A396" s="43" t="str">
        <f>B396</f>
        <v>Км12.2</v>
      </c>
      <c r="B396" s="44" t="s">
        <v>2774</v>
      </c>
      <c r="C396" s="44"/>
      <c r="D396" s="44" t="s">
        <v>2775</v>
      </c>
      <c r="E396" s="44">
        <v>1</v>
      </c>
      <c r="F396" s="44"/>
      <c r="G396" s="44"/>
      <c r="H396" s="44"/>
      <c r="I396" s="44"/>
      <c r="J396" s="44"/>
      <c r="K396" s="44"/>
      <c r="L396" s="44"/>
      <c r="M396" s="44"/>
      <c r="N396" s="44"/>
      <c r="O396" s="44"/>
      <c r="P396" s="44"/>
      <c r="Q396" s="44"/>
      <c r="R396" s="44"/>
      <c r="S396" s="44"/>
      <c r="T396" s="44"/>
      <c r="U396" s="45"/>
    </row>
    <row r="397" spans="1:21" ht="33" x14ac:dyDescent="0.25">
      <c r="A397" s="68" t="str">
        <f>A396</f>
        <v>Км12.2</v>
      </c>
      <c r="B397" s="66">
        <v>20</v>
      </c>
      <c r="C397" s="66" t="s">
        <v>2762</v>
      </c>
      <c r="D397" s="66" t="s">
        <v>2763</v>
      </c>
      <c r="E397" s="66">
        <v>4</v>
      </c>
      <c r="F397" s="40">
        <v>2.4660000000000002</v>
      </c>
      <c r="G397" s="66"/>
      <c r="H397" s="66">
        <v>5070</v>
      </c>
      <c r="I397" s="66">
        <v>20</v>
      </c>
      <c r="J397" s="66" t="s">
        <v>2</v>
      </c>
      <c r="K397" s="66"/>
      <c r="L397" s="66"/>
      <c r="M397" s="66"/>
      <c r="N397" s="66"/>
      <c r="O397" s="66"/>
      <c r="P397" s="66"/>
      <c r="Q397" s="66"/>
      <c r="R397" s="66"/>
      <c r="S397" s="66" t="s">
        <v>2776</v>
      </c>
      <c r="T397" s="66" t="s">
        <v>2776</v>
      </c>
      <c r="U397" s="69">
        <v>80</v>
      </c>
    </row>
    <row r="398" spans="1:21" ht="33" x14ac:dyDescent="0.25">
      <c r="A398" s="68" t="str">
        <f t="shared" ref="A398:A407" si="11">A397</f>
        <v>Км12.2</v>
      </c>
      <c r="B398" s="66">
        <v>9</v>
      </c>
      <c r="C398" s="66" t="s">
        <v>2762</v>
      </c>
      <c r="D398" s="66" t="s">
        <v>2763</v>
      </c>
      <c r="E398" s="66">
        <v>4</v>
      </c>
      <c r="F398" s="40">
        <v>1.5780000000000001</v>
      </c>
      <c r="G398" s="66" t="s">
        <v>0</v>
      </c>
      <c r="H398" s="66">
        <v>5870</v>
      </c>
      <c r="I398" s="66">
        <v>16</v>
      </c>
      <c r="J398" s="66" t="s">
        <v>2</v>
      </c>
      <c r="K398" s="66"/>
      <c r="L398" s="66"/>
      <c r="M398" s="66"/>
      <c r="N398" s="66"/>
      <c r="O398" s="66"/>
      <c r="P398" s="66"/>
      <c r="Q398" s="66"/>
      <c r="R398" s="66"/>
      <c r="S398" s="66" t="s">
        <v>2776</v>
      </c>
      <c r="T398" s="66" t="s">
        <v>2776</v>
      </c>
      <c r="U398" s="69">
        <v>40</v>
      </c>
    </row>
    <row r="399" spans="1:21" ht="33" x14ac:dyDescent="0.25">
      <c r="A399" s="68" t="str">
        <f>A398</f>
        <v>Км12.2</v>
      </c>
      <c r="B399" s="66">
        <v>13</v>
      </c>
      <c r="C399" s="66" t="s">
        <v>2764</v>
      </c>
      <c r="D399" s="66" t="s">
        <v>2777</v>
      </c>
      <c r="E399" s="66">
        <f>38+33+29+29</f>
        <v>129</v>
      </c>
      <c r="F399" s="40">
        <v>0.39500000000000002</v>
      </c>
      <c r="G399" s="66" t="s">
        <v>0</v>
      </c>
      <c r="H399" s="66">
        <f>520*4+150</f>
        <v>2230</v>
      </c>
      <c r="I399" s="66">
        <v>8</v>
      </c>
      <c r="J399" s="66" t="s">
        <v>1</v>
      </c>
      <c r="K399" s="66"/>
      <c r="L399" s="66"/>
      <c r="M399" s="66"/>
      <c r="N399" s="66"/>
      <c r="O399" s="66"/>
      <c r="P399" s="66"/>
      <c r="Q399" s="66"/>
      <c r="R399" s="66"/>
      <c r="S399" s="66" t="s">
        <v>2776</v>
      </c>
      <c r="T399" s="66" t="s">
        <v>2776</v>
      </c>
      <c r="U399" s="69">
        <v>10</v>
      </c>
    </row>
    <row r="400" spans="1:21" ht="33" x14ac:dyDescent="0.25">
      <c r="A400" s="68" t="str">
        <f>A399</f>
        <v>Км12.2</v>
      </c>
      <c r="B400" s="66">
        <v>13</v>
      </c>
      <c r="C400" s="66" t="s">
        <v>2764</v>
      </c>
      <c r="D400" s="66" t="s">
        <v>2777</v>
      </c>
      <c r="E400" s="66">
        <f>38+33+29+29</f>
        <v>129</v>
      </c>
      <c r="F400" s="40">
        <v>0.39500000000000002</v>
      </c>
      <c r="G400" s="66" t="s">
        <v>0</v>
      </c>
      <c r="H400" s="66">
        <f>370*4+150</f>
        <v>1630</v>
      </c>
      <c r="I400" s="66">
        <v>8</v>
      </c>
      <c r="J400" s="66" t="s">
        <v>1</v>
      </c>
      <c r="K400" s="66"/>
      <c r="L400" s="66"/>
      <c r="M400" s="66"/>
      <c r="N400" s="66"/>
      <c r="O400" s="66"/>
      <c r="P400" s="66"/>
      <c r="Q400" s="66"/>
      <c r="R400" s="66"/>
      <c r="S400" s="66" t="s">
        <v>2776</v>
      </c>
      <c r="T400" s="66" t="s">
        <v>2776</v>
      </c>
      <c r="U400" s="69">
        <v>10</v>
      </c>
    </row>
    <row r="401" spans="1:21" ht="33" x14ac:dyDescent="0.25">
      <c r="A401" s="68" t="str">
        <f>A398</f>
        <v>Км12.2</v>
      </c>
      <c r="B401" s="66">
        <v>34</v>
      </c>
      <c r="C401" s="66" t="s">
        <v>2762</v>
      </c>
      <c r="D401" s="66" t="s">
        <v>2766</v>
      </c>
      <c r="E401" s="66">
        <v>4</v>
      </c>
      <c r="F401" s="40">
        <v>2.4660000000000002</v>
      </c>
      <c r="G401" s="66"/>
      <c r="H401" s="66">
        <v>4500</v>
      </c>
      <c r="I401" s="66">
        <v>20</v>
      </c>
      <c r="J401" s="66" t="s">
        <v>2</v>
      </c>
      <c r="K401" s="66"/>
      <c r="L401" s="66"/>
      <c r="M401" s="66"/>
      <c r="N401" s="66"/>
      <c r="O401" s="66"/>
      <c r="P401" s="66"/>
      <c r="Q401" s="66"/>
      <c r="R401" s="66"/>
      <c r="S401" s="66" t="s">
        <v>2776</v>
      </c>
      <c r="T401" s="66" t="s">
        <v>2776</v>
      </c>
      <c r="U401" s="69">
        <v>80</v>
      </c>
    </row>
    <row r="402" spans="1:21" ht="33" x14ac:dyDescent="0.25">
      <c r="A402" s="68" t="str">
        <f t="shared" si="11"/>
        <v>Км12.2</v>
      </c>
      <c r="B402" s="66">
        <v>31</v>
      </c>
      <c r="C402" s="66" t="s">
        <v>2762</v>
      </c>
      <c r="D402" s="66" t="s">
        <v>3181</v>
      </c>
      <c r="E402" s="66">
        <f>4*5</f>
        <v>20</v>
      </c>
      <c r="F402" s="40">
        <v>2.4660000000000002</v>
      </c>
      <c r="G402" s="66"/>
      <c r="H402" s="66">
        <v>4050</v>
      </c>
      <c r="I402" s="66">
        <v>20</v>
      </c>
      <c r="J402" s="66" t="s">
        <v>2</v>
      </c>
      <c r="K402" s="66"/>
      <c r="L402" s="66"/>
      <c r="M402" s="66"/>
      <c r="N402" s="66"/>
      <c r="O402" s="66"/>
      <c r="P402" s="66"/>
      <c r="Q402" s="66"/>
      <c r="R402" s="66"/>
      <c r="S402" s="66" t="s">
        <v>2776</v>
      </c>
      <c r="T402" s="66" t="s">
        <v>2776</v>
      </c>
      <c r="U402" s="69">
        <v>80</v>
      </c>
    </row>
    <row r="403" spans="1:21" ht="33" x14ac:dyDescent="0.25">
      <c r="A403" s="68" t="str">
        <f t="shared" si="11"/>
        <v>Км12.2</v>
      </c>
      <c r="B403" s="66">
        <v>23</v>
      </c>
      <c r="C403" s="66" t="s">
        <v>2762</v>
      </c>
      <c r="D403" s="66" t="s">
        <v>2768</v>
      </c>
      <c r="E403" s="66">
        <v>4</v>
      </c>
      <c r="F403" s="40">
        <v>2.4660000000000002</v>
      </c>
      <c r="G403" s="66"/>
      <c r="H403" s="66">
        <v>3820</v>
      </c>
      <c r="I403" s="66">
        <v>20</v>
      </c>
      <c r="J403" s="66" t="s">
        <v>2</v>
      </c>
      <c r="K403" s="66"/>
      <c r="L403" s="66"/>
      <c r="M403" s="66"/>
      <c r="N403" s="66"/>
      <c r="O403" s="66"/>
      <c r="P403" s="66"/>
      <c r="Q403" s="66"/>
      <c r="R403" s="66"/>
      <c r="S403" s="66" t="s">
        <v>2776</v>
      </c>
      <c r="T403" s="66" t="s">
        <v>2776</v>
      </c>
      <c r="U403" s="69">
        <v>80</v>
      </c>
    </row>
    <row r="404" spans="1:21" ht="33" x14ac:dyDescent="0.25">
      <c r="A404" s="68" t="str">
        <f t="shared" si="11"/>
        <v>Км12.2</v>
      </c>
      <c r="B404" s="66">
        <v>2</v>
      </c>
      <c r="C404" s="66" t="s">
        <v>2764</v>
      </c>
      <c r="D404" s="66" t="s">
        <v>2765</v>
      </c>
      <c r="E404" s="66">
        <f>29+29+29+40</f>
        <v>127</v>
      </c>
      <c r="F404" s="40">
        <v>0.39500000000000002</v>
      </c>
      <c r="G404" s="66" t="s">
        <v>0</v>
      </c>
      <c r="H404" s="66">
        <f>420*4+150</f>
        <v>1830</v>
      </c>
      <c r="I404" s="66">
        <v>8</v>
      </c>
      <c r="J404" s="66" t="s">
        <v>1</v>
      </c>
      <c r="K404" s="66"/>
      <c r="L404" s="66"/>
      <c r="M404" s="66"/>
      <c r="N404" s="66"/>
      <c r="O404" s="66"/>
      <c r="P404" s="66"/>
      <c r="Q404" s="66"/>
      <c r="R404" s="66"/>
      <c r="S404" s="66" t="s">
        <v>2776</v>
      </c>
      <c r="T404" s="66" t="s">
        <v>2776</v>
      </c>
      <c r="U404" s="69">
        <v>10</v>
      </c>
    </row>
    <row r="405" spans="1:21" ht="33" x14ac:dyDescent="0.25">
      <c r="A405" s="68" t="str">
        <f t="shared" si="11"/>
        <v>Км12.2</v>
      </c>
      <c r="B405" s="66"/>
      <c r="C405" s="47" t="s">
        <v>2769</v>
      </c>
      <c r="D405" s="47" t="s">
        <v>2770</v>
      </c>
      <c r="E405" s="47">
        <f>(1.5*1.5*0.25)+(4.57*0.5*0.5)</f>
        <v>1.7050000000000001</v>
      </c>
      <c r="F405" s="47" t="s">
        <v>4</v>
      </c>
      <c r="G405" s="47" t="s">
        <v>3</v>
      </c>
      <c r="H405" s="66"/>
      <c r="I405" s="66"/>
      <c r="J405" s="66"/>
      <c r="K405" s="66"/>
      <c r="L405" s="66"/>
      <c r="M405" s="66"/>
      <c r="N405" s="66"/>
      <c r="O405" s="66"/>
      <c r="P405" s="66"/>
      <c r="Q405" s="66"/>
      <c r="R405" s="66"/>
      <c r="S405" s="66"/>
      <c r="T405" s="66"/>
      <c r="U405" s="69"/>
    </row>
    <row r="406" spans="1:21" ht="16.5" x14ac:dyDescent="0.25">
      <c r="A406" s="68" t="str">
        <f t="shared" si="11"/>
        <v>Км12.2</v>
      </c>
      <c r="B406" s="66"/>
      <c r="C406" s="47" t="s">
        <v>2769</v>
      </c>
      <c r="D406" s="47" t="s">
        <v>2771</v>
      </c>
      <c r="E406" s="47">
        <f>29*0.5*0.5</f>
        <v>7.25</v>
      </c>
      <c r="F406" s="47" t="s">
        <v>4</v>
      </c>
      <c r="G406" s="47" t="s">
        <v>3</v>
      </c>
      <c r="H406" s="66"/>
      <c r="I406" s="66"/>
      <c r="J406" s="66"/>
      <c r="K406" s="66"/>
      <c r="L406" s="66"/>
      <c r="M406" s="66"/>
      <c r="N406" s="66"/>
      <c r="O406" s="66"/>
      <c r="P406" s="66"/>
      <c r="Q406" s="66"/>
      <c r="R406" s="66"/>
      <c r="S406" s="66"/>
      <c r="T406" s="66"/>
      <c r="U406" s="69"/>
    </row>
    <row r="407" spans="1:21" ht="16.5" x14ac:dyDescent="0.25">
      <c r="A407" s="68" t="str">
        <f t="shared" si="11"/>
        <v>Км12.2</v>
      </c>
      <c r="B407" s="66"/>
      <c r="C407" s="73" t="s">
        <v>2772</v>
      </c>
      <c r="D407" s="73" t="s">
        <v>2773</v>
      </c>
      <c r="E407" s="73">
        <v>4</v>
      </c>
      <c r="F407" s="73">
        <v>94.2</v>
      </c>
      <c r="G407" s="73"/>
      <c r="H407" s="66"/>
      <c r="I407" s="66"/>
      <c r="J407" s="66"/>
      <c r="K407" s="40">
        <f>120*120</f>
        <v>14400</v>
      </c>
      <c r="L407" s="66" t="s">
        <v>2344</v>
      </c>
      <c r="M407" s="66" t="s">
        <v>2339</v>
      </c>
      <c r="N407" s="66"/>
      <c r="O407" s="66" t="s">
        <v>2351</v>
      </c>
      <c r="P407" s="66"/>
      <c r="Q407" s="66"/>
      <c r="R407" s="66"/>
      <c r="S407" s="66"/>
      <c r="T407" s="66"/>
      <c r="U407" s="69"/>
    </row>
    <row r="408" spans="1:21" ht="16.5" x14ac:dyDescent="0.25">
      <c r="A408" s="42"/>
      <c r="B408" s="42"/>
      <c r="C408" s="42"/>
      <c r="D408" s="42"/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</row>
    <row r="409" spans="1:21" ht="16.5" x14ac:dyDescent="0.25">
      <c r="A409" s="39" t="s">
        <v>2757</v>
      </c>
      <c r="B409" s="40" t="s">
        <v>2757</v>
      </c>
      <c r="C409" s="40"/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1"/>
    </row>
    <row r="410" spans="1:21" ht="16.5" x14ac:dyDescent="0.25">
      <c r="A410" s="43" t="str">
        <f>B410</f>
        <v>Км5.1</v>
      </c>
      <c r="B410" s="44" t="s">
        <v>2905</v>
      </c>
      <c r="C410" s="44"/>
      <c r="D410" s="44" t="s">
        <v>2906</v>
      </c>
      <c r="E410" s="44">
        <f>1+1</f>
        <v>2</v>
      </c>
      <c r="F410" s="44"/>
      <c r="G410" s="44"/>
      <c r="H410" s="44"/>
      <c r="I410" s="44"/>
      <c r="J410" s="44"/>
      <c r="K410" s="44"/>
      <c r="L410" s="44"/>
      <c r="M410" s="44"/>
      <c r="N410" s="44"/>
      <c r="O410" s="44"/>
      <c r="P410" s="44"/>
      <c r="Q410" s="44"/>
      <c r="R410" s="44"/>
      <c r="S410" s="44"/>
      <c r="T410" s="44"/>
      <c r="U410" s="45"/>
    </row>
    <row r="411" spans="1:21" ht="33" x14ac:dyDescent="0.25">
      <c r="A411" s="68" t="str">
        <f>A410</f>
        <v>Км5.1</v>
      </c>
      <c r="B411" s="66">
        <v>20</v>
      </c>
      <c r="C411" s="66" t="s">
        <v>2762</v>
      </c>
      <c r="D411" s="66" t="s">
        <v>2763</v>
      </c>
      <c r="E411" s="66">
        <v>4</v>
      </c>
      <c r="F411" s="40">
        <v>2.984</v>
      </c>
      <c r="G411" s="66"/>
      <c r="H411" s="66">
        <v>5070</v>
      </c>
      <c r="I411" s="66">
        <v>22</v>
      </c>
      <c r="J411" s="66" t="s">
        <v>2</v>
      </c>
      <c r="K411" s="66"/>
      <c r="L411" s="66"/>
      <c r="M411" s="66"/>
      <c r="N411" s="66"/>
      <c r="O411" s="66"/>
      <c r="P411" s="66"/>
      <c r="Q411" s="66"/>
      <c r="R411" s="66"/>
      <c r="S411" s="66" t="s">
        <v>2776</v>
      </c>
      <c r="T411" s="66" t="s">
        <v>2776</v>
      </c>
      <c r="U411" s="69">
        <v>88</v>
      </c>
    </row>
    <row r="412" spans="1:21" ht="33" x14ac:dyDescent="0.25">
      <c r="A412" s="68" t="str">
        <f>A411</f>
        <v>Км5.1</v>
      </c>
      <c r="B412" s="66">
        <v>2</v>
      </c>
      <c r="C412" s="66" t="s">
        <v>2764</v>
      </c>
      <c r="D412" s="66" t="s">
        <v>3160</v>
      </c>
      <c r="E412" s="66">
        <f>35+30</f>
        <v>65</v>
      </c>
      <c r="F412" s="40">
        <v>0.39500000000000002</v>
      </c>
      <c r="G412" s="66" t="s">
        <v>0</v>
      </c>
      <c r="H412" s="66">
        <f>420*4+150</f>
        <v>1830</v>
      </c>
      <c r="I412" s="66">
        <v>8</v>
      </c>
      <c r="J412" s="66" t="s">
        <v>1</v>
      </c>
      <c r="K412" s="66"/>
      <c r="L412" s="66"/>
      <c r="M412" s="66"/>
      <c r="N412" s="66"/>
      <c r="O412" s="66"/>
      <c r="P412" s="66"/>
      <c r="Q412" s="66"/>
      <c r="R412" s="66"/>
      <c r="S412" s="66" t="s">
        <v>2776</v>
      </c>
      <c r="T412" s="66" t="s">
        <v>2776</v>
      </c>
      <c r="U412" s="69">
        <v>10</v>
      </c>
    </row>
    <row r="413" spans="1:21" ht="33" x14ac:dyDescent="0.25">
      <c r="A413" s="68" t="str">
        <f>A412</f>
        <v>Км5.1</v>
      </c>
      <c r="B413" s="66">
        <v>21</v>
      </c>
      <c r="C413" s="66" t="s">
        <v>2762</v>
      </c>
      <c r="D413" s="66" t="s">
        <v>3163</v>
      </c>
      <c r="E413" s="66">
        <v>4</v>
      </c>
      <c r="F413" s="40">
        <v>2.984</v>
      </c>
      <c r="G413" s="66"/>
      <c r="H413" s="66">
        <v>2770</v>
      </c>
      <c r="I413" s="66">
        <v>22</v>
      </c>
      <c r="J413" s="66" t="s">
        <v>2</v>
      </c>
      <c r="K413" s="66"/>
      <c r="L413" s="66"/>
      <c r="M413" s="66"/>
      <c r="N413" s="66"/>
      <c r="O413" s="66"/>
      <c r="P413" s="66"/>
      <c r="Q413" s="66"/>
      <c r="R413" s="66"/>
      <c r="S413" s="66" t="s">
        <v>2776</v>
      </c>
      <c r="T413" s="66" t="s">
        <v>2776</v>
      </c>
      <c r="U413" s="69">
        <v>88</v>
      </c>
    </row>
    <row r="414" spans="1:21" ht="33" x14ac:dyDescent="0.25">
      <c r="A414" s="68" t="str">
        <f>A413</f>
        <v>Км5.1</v>
      </c>
      <c r="B414" s="66"/>
      <c r="C414" s="47" t="s">
        <v>2769</v>
      </c>
      <c r="D414" s="47" t="s">
        <v>2770</v>
      </c>
      <c r="E414" s="47">
        <f>(1.5*1.5*0.25)+(0.5*0.5*4.32)</f>
        <v>1.6425000000000001</v>
      </c>
      <c r="F414" s="47" t="s">
        <v>4</v>
      </c>
      <c r="G414" s="47" t="s">
        <v>3</v>
      </c>
      <c r="H414" s="66"/>
      <c r="I414" s="66"/>
      <c r="J414" s="66"/>
      <c r="K414" s="66"/>
      <c r="L414" s="66"/>
      <c r="M414" s="66"/>
      <c r="N414" s="66"/>
      <c r="O414" s="66"/>
      <c r="P414" s="66"/>
      <c r="Q414" s="66"/>
      <c r="R414" s="66"/>
      <c r="S414" s="66"/>
      <c r="T414" s="66"/>
      <c r="U414" s="69"/>
    </row>
    <row r="415" spans="1:21" ht="16.5" x14ac:dyDescent="0.25">
      <c r="A415" s="68" t="str">
        <f>A414</f>
        <v>Км5.1</v>
      </c>
      <c r="B415" s="66"/>
      <c r="C415" s="47" t="s">
        <v>2769</v>
      </c>
      <c r="D415" s="47" t="s">
        <v>2771</v>
      </c>
      <c r="E415" s="47">
        <f>3.77*0.5*0.5</f>
        <v>0.9425</v>
      </c>
      <c r="F415" s="47" t="s">
        <v>4</v>
      </c>
      <c r="G415" s="47" t="s">
        <v>3</v>
      </c>
      <c r="H415" s="66"/>
      <c r="I415" s="66"/>
      <c r="J415" s="66"/>
      <c r="K415" s="66"/>
      <c r="L415" s="66"/>
      <c r="M415" s="66"/>
      <c r="N415" s="66"/>
      <c r="O415" s="66"/>
      <c r="P415" s="66"/>
      <c r="Q415" s="66"/>
      <c r="R415" s="66"/>
      <c r="S415" s="66"/>
      <c r="T415" s="66"/>
      <c r="U415" s="69"/>
    </row>
    <row r="416" spans="1:21" ht="16.5" x14ac:dyDescent="0.25">
      <c r="A416" s="68" t="str">
        <f>A414</f>
        <v>Км5.1</v>
      </c>
      <c r="B416" s="66"/>
      <c r="C416" s="73" t="s">
        <v>2772</v>
      </c>
      <c r="D416" s="73" t="s">
        <v>2773</v>
      </c>
      <c r="E416" s="73">
        <v>4</v>
      </c>
      <c r="F416" s="73">
        <v>94.2</v>
      </c>
      <c r="G416" s="73"/>
      <c r="H416" s="66"/>
      <c r="I416" s="66"/>
      <c r="J416" s="66"/>
      <c r="K416" s="40">
        <v>14400</v>
      </c>
      <c r="L416" s="66" t="s">
        <v>2344</v>
      </c>
      <c r="M416" s="66" t="s">
        <v>2339</v>
      </c>
      <c r="N416" s="66"/>
      <c r="O416" s="66" t="s">
        <v>2351</v>
      </c>
      <c r="P416" s="66"/>
      <c r="Q416" s="66"/>
      <c r="R416" s="66"/>
      <c r="S416" s="66"/>
      <c r="T416" s="66"/>
      <c r="U416" s="69"/>
    </row>
    <row r="417" spans="1:21" ht="16.5" x14ac:dyDescent="0.25">
      <c r="A417" s="42"/>
      <c r="B417" s="42"/>
      <c r="C417" s="42"/>
      <c r="D417" s="42"/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</row>
    <row r="418" spans="1:21" ht="33" x14ac:dyDescent="0.25">
      <c r="A418" s="43" t="str">
        <f>B418</f>
        <v>Км3.1.1</v>
      </c>
      <c r="B418" s="44" t="s">
        <v>2908</v>
      </c>
      <c r="C418" s="44"/>
      <c r="D418" s="44" t="s">
        <v>2909</v>
      </c>
      <c r="E418" s="44">
        <f>1</f>
        <v>1</v>
      </c>
      <c r="F418" s="44"/>
      <c r="G418" s="44"/>
      <c r="H418" s="44"/>
      <c r="I418" s="44"/>
      <c r="J418" s="44"/>
      <c r="K418" s="44"/>
      <c r="L418" s="44"/>
      <c r="M418" s="44"/>
      <c r="N418" s="44"/>
      <c r="O418" s="44"/>
      <c r="P418" s="44"/>
      <c r="Q418" s="44"/>
      <c r="R418" s="44"/>
      <c r="S418" s="44"/>
      <c r="T418" s="44"/>
      <c r="U418" s="45"/>
    </row>
    <row r="419" spans="1:21" ht="33" x14ac:dyDescent="0.25">
      <c r="A419" s="68" t="str">
        <f>A418</f>
        <v>Км3.1.1</v>
      </c>
      <c r="B419" s="66">
        <v>19</v>
      </c>
      <c r="C419" s="66" t="s">
        <v>2762</v>
      </c>
      <c r="D419" s="66" t="s">
        <v>2763</v>
      </c>
      <c r="E419" s="66">
        <v>4</v>
      </c>
      <c r="F419" s="40">
        <v>2.4660000000000002</v>
      </c>
      <c r="G419" s="66" t="s">
        <v>0</v>
      </c>
      <c r="H419" s="66">
        <v>5080</v>
      </c>
      <c r="I419" s="66">
        <v>20</v>
      </c>
      <c r="J419" s="66" t="s">
        <v>2</v>
      </c>
      <c r="K419" s="66"/>
      <c r="L419" s="66"/>
      <c r="M419" s="66"/>
      <c r="N419" s="66"/>
      <c r="O419" s="66"/>
      <c r="P419" s="66"/>
      <c r="Q419" s="66"/>
      <c r="R419" s="66"/>
      <c r="S419" s="66" t="s">
        <v>2776</v>
      </c>
      <c r="T419" s="66" t="s">
        <v>2776</v>
      </c>
      <c r="U419" s="69">
        <v>80</v>
      </c>
    </row>
    <row r="420" spans="1:21" ht="33" x14ac:dyDescent="0.25">
      <c r="A420" s="68" t="str">
        <f t="shared" ref="A420:A429" si="12">A419</f>
        <v>Км3.1.1</v>
      </c>
      <c r="B420" s="66">
        <v>22</v>
      </c>
      <c r="C420" s="66" t="s">
        <v>2762</v>
      </c>
      <c r="D420" s="66" t="s">
        <v>2763</v>
      </c>
      <c r="E420" s="66">
        <v>4</v>
      </c>
      <c r="F420" s="40">
        <v>1.5780000000000001</v>
      </c>
      <c r="G420" s="66" t="s">
        <v>0</v>
      </c>
      <c r="H420" s="66">
        <v>5870</v>
      </c>
      <c r="I420" s="66">
        <v>16</v>
      </c>
      <c r="J420" s="66" t="s">
        <v>2</v>
      </c>
      <c r="K420" s="66"/>
      <c r="L420" s="66"/>
      <c r="M420" s="66"/>
      <c r="N420" s="66"/>
      <c r="O420" s="66"/>
      <c r="P420" s="66"/>
      <c r="Q420" s="66"/>
      <c r="R420" s="66"/>
      <c r="S420" s="66" t="s">
        <v>2776</v>
      </c>
      <c r="T420" s="66" t="s">
        <v>2776</v>
      </c>
      <c r="U420" s="69">
        <v>40</v>
      </c>
    </row>
    <row r="421" spans="1:21" ht="33" x14ac:dyDescent="0.25">
      <c r="A421" s="68" t="str">
        <f t="shared" si="12"/>
        <v>Км3.1.1</v>
      </c>
      <c r="B421" s="66">
        <v>7</v>
      </c>
      <c r="C421" s="66" t="s">
        <v>2762</v>
      </c>
      <c r="D421" s="66" t="s">
        <v>3161</v>
      </c>
      <c r="E421" s="66">
        <f>4+4</f>
        <v>8</v>
      </c>
      <c r="F421" s="40">
        <v>2.4660000000000002</v>
      </c>
      <c r="G421" s="66"/>
      <c r="H421" s="66">
        <v>4270</v>
      </c>
      <c r="I421" s="66">
        <v>20</v>
      </c>
      <c r="J421" s="66" t="s">
        <v>2</v>
      </c>
      <c r="K421" s="66"/>
      <c r="L421" s="66"/>
      <c r="M421" s="66"/>
      <c r="N421" s="66"/>
      <c r="O421" s="66"/>
      <c r="P421" s="66"/>
      <c r="Q421" s="66"/>
      <c r="R421" s="66"/>
      <c r="S421" s="66" t="s">
        <v>2776</v>
      </c>
      <c r="T421" s="66" t="s">
        <v>2776</v>
      </c>
      <c r="U421" s="69">
        <v>80</v>
      </c>
    </row>
    <row r="422" spans="1:21" ht="33" x14ac:dyDescent="0.25">
      <c r="A422" s="68" t="str">
        <f t="shared" si="12"/>
        <v>Км3.1.1</v>
      </c>
      <c r="B422" s="66">
        <v>13</v>
      </c>
      <c r="C422" s="66" t="s">
        <v>2764</v>
      </c>
      <c r="D422" s="66" t="s">
        <v>3155</v>
      </c>
      <c r="E422" s="66">
        <f>35</f>
        <v>35</v>
      </c>
      <c r="F422" s="40">
        <v>0.39500000000000002</v>
      </c>
      <c r="G422" s="66" t="s">
        <v>0</v>
      </c>
      <c r="H422" s="66">
        <f>520*4+150</f>
        <v>2230</v>
      </c>
      <c r="I422" s="66">
        <v>8</v>
      </c>
      <c r="J422" s="66" t="s">
        <v>1</v>
      </c>
      <c r="K422" s="66"/>
      <c r="L422" s="66"/>
      <c r="M422" s="66"/>
      <c r="N422" s="66"/>
      <c r="O422" s="66"/>
      <c r="P422" s="66"/>
      <c r="Q422" s="66"/>
      <c r="R422" s="66"/>
      <c r="S422" s="66" t="s">
        <v>2776</v>
      </c>
      <c r="T422" s="66" t="s">
        <v>2776</v>
      </c>
      <c r="U422" s="69">
        <v>10</v>
      </c>
    </row>
    <row r="423" spans="1:21" ht="33" x14ac:dyDescent="0.25">
      <c r="A423" s="68" t="str">
        <f t="shared" si="12"/>
        <v>Км3.1.1</v>
      </c>
      <c r="B423" s="66">
        <v>14</v>
      </c>
      <c r="C423" s="66" t="s">
        <v>2764</v>
      </c>
      <c r="D423" s="66" t="s">
        <v>3156</v>
      </c>
      <c r="E423" s="66">
        <f>35</f>
        <v>35</v>
      </c>
      <c r="F423" s="40">
        <v>0.39500000000000002</v>
      </c>
      <c r="G423" s="66" t="s">
        <v>0</v>
      </c>
      <c r="H423" s="66">
        <f>370*4+150</f>
        <v>1630</v>
      </c>
      <c r="I423" s="66">
        <v>8</v>
      </c>
      <c r="J423" s="66" t="s">
        <v>1</v>
      </c>
      <c r="K423" s="66"/>
      <c r="L423" s="66"/>
      <c r="M423" s="66"/>
      <c r="N423" s="66"/>
      <c r="O423" s="66"/>
      <c r="P423" s="66"/>
      <c r="Q423" s="66"/>
      <c r="R423" s="66"/>
      <c r="S423" s="66" t="s">
        <v>2776</v>
      </c>
      <c r="T423" s="66" t="s">
        <v>2776</v>
      </c>
      <c r="U423" s="69">
        <v>10</v>
      </c>
    </row>
    <row r="424" spans="1:21" ht="33" x14ac:dyDescent="0.25">
      <c r="A424" s="68" t="str">
        <f t="shared" si="12"/>
        <v>Км3.1.1</v>
      </c>
      <c r="B424" s="66">
        <v>4</v>
      </c>
      <c r="C424" s="66" t="s">
        <v>2762</v>
      </c>
      <c r="D424" s="66" t="s">
        <v>3162</v>
      </c>
      <c r="E424" s="66">
        <f>4*4</f>
        <v>16</v>
      </c>
      <c r="F424" s="40">
        <v>2.4660000000000002</v>
      </c>
      <c r="G424" s="66"/>
      <c r="H424" s="66">
        <v>4050</v>
      </c>
      <c r="I424" s="66">
        <v>20</v>
      </c>
      <c r="J424" s="66" t="s">
        <v>2</v>
      </c>
      <c r="K424" s="66"/>
      <c r="L424" s="66"/>
      <c r="M424" s="66"/>
      <c r="N424" s="66"/>
      <c r="O424" s="66"/>
      <c r="P424" s="66"/>
      <c r="Q424" s="66"/>
      <c r="R424" s="66"/>
      <c r="S424" s="66" t="s">
        <v>2776</v>
      </c>
      <c r="T424" s="66" t="s">
        <v>2776</v>
      </c>
      <c r="U424" s="69">
        <v>80</v>
      </c>
    </row>
    <row r="425" spans="1:21" ht="33" x14ac:dyDescent="0.25">
      <c r="A425" s="68" t="str">
        <f t="shared" si="12"/>
        <v>Км3.1.1</v>
      </c>
      <c r="B425" s="66">
        <v>5</v>
      </c>
      <c r="C425" s="66" t="s">
        <v>2762</v>
      </c>
      <c r="D425" s="66" t="s">
        <v>2768</v>
      </c>
      <c r="E425" s="66">
        <v>4</v>
      </c>
      <c r="F425" s="40">
        <v>2.4660000000000002</v>
      </c>
      <c r="G425" s="66"/>
      <c r="H425" s="66">
        <v>3820</v>
      </c>
      <c r="I425" s="66">
        <v>20</v>
      </c>
      <c r="J425" s="66" t="s">
        <v>2</v>
      </c>
      <c r="K425" s="66"/>
      <c r="L425" s="66"/>
      <c r="M425" s="66"/>
      <c r="N425" s="66"/>
      <c r="O425" s="66"/>
      <c r="P425" s="66"/>
      <c r="Q425" s="66"/>
      <c r="R425" s="66"/>
      <c r="S425" s="66" t="s">
        <v>2776</v>
      </c>
      <c r="T425" s="66" t="s">
        <v>2776</v>
      </c>
      <c r="U425" s="69">
        <v>80</v>
      </c>
    </row>
    <row r="426" spans="1:21" ht="33" x14ac:dyDescent="0.25">
      <c r="A426" s="68" t="str">
        <f t="shared" si="12"/>
        <v>Км3.1.1</v>
      </c>
      <c r="B426" s="66">
        <v>6</v>
      </c>
      <c r="C426" s="66" t="s">
        <v>2762</v>
      </c>
      <c r="D426" s="66" t="s">
        <v>3148</v>
      </c>
      <c r="E426" s="66">
        <v>4</v>
      </c>
      <c r="F426" s="40">
        <v>2.4660000000000002</v>
      </c>
      <c r="G426" s="66"/>
      <c r="H426" s="66">
        <v>1430</v>
      </c>
      <c r="I426" s="66">
        <v>20</v>
      </c>
      <c r="J426" s="66" t="s">
        <v>2</v>
      </c>
      <c r="K426" s="66"/>
      <c r="L426" s="66"/>
      <c r="M426" s="66"/>
      <c r="N426" s="66"/>
      <c r="O426" s="66"/>
      <c r="P426" s="66"/>
      <c r="Q426" s="66"/>
      <c r="R426" s="66"/>
      <c r="S426" s="66" t="s">
        <v>2776</v>
      </c>
      <c r="T426" s="66" t="s">
        <v>2776</v>
      </c>
      <c r="U426" s="69">
        <v>80</v>
      </c>
    </row>
    <row r="427" spans="1:21" ht="33" x14ac:dyDescent="0.25">
      <c r="A427" s="68" t="str">
        <f t="shared" si="12"/>
        <v>Км3.1.1</v>
      </c>
      <c r="B427" s="66">
        <v>2</v>
      </c>
      <c r="C427" s="66" t="s">
        <v>2764</v>
      </c>
      <c r="D427" s="66" t="s">
        <v>2765</v>
      </c>
      <c r="E427" s="66">
        <f>30+33+29+29+29+27+1+32+16</f>
        <v>226</v>
      </c>
      <c r="F427" s="40">
        <v>0.39500000000000002</v>
      </c>
      <c r="G427" s="66" t="s">
        <v>0</v>
      </c>
      <c r="H427" s="66">
        <f>420*4+150</f>
        <v>1830</v>
      </c>
      <c r="I427" s="66">
        <v>8</v>
      </c>
      <c r="J427" s="66" t="s">
        <v>1</v>
      </c>
      <c r="K427" s="66"/>
      <c r="L427" s="66"/>
      <c r="M427" s="66"/>
      <c r="N427" s="66"/>
      <c r="O427" s="66"/>
      <c r="P427" s="66"/>
      <c r="Q427" s="66"/>
      <c r="R427" s="66"/>
      <c r="S427" s="66" t="s">
        <v>2776</v>
      </c>
      <c r="T427" s="66" t="s">
        <v>2776</v>
      </c>
      <c r="U427" s="69">
        <v>10</v>
      </c>
    </row>
    <row r="428" spans="1:21" ht="33" x14ac:dyDescent="0.25">
      <c r="A428" s="68" t="str">
        <f t="shared" si="12"/>
        <v>Км3.1.1</v>
      </c>
      <c r="B428" s="66"/>
      <c r="C428" s="47" t="s">
        <v>2769</v>
      </c>
      <c r="D428" s="47" t="s">
        <v>2770</v>
      </c>
      <c r="E428" s="47">
        <f>(1.5*1.5*0.25)+(0.6*0.6*4.32)</f>
        <v>2.1177000000000001</v>
      </c>
      <c r="F428" s="47" t="s">
        <v>4</v>
      </c>
      <c r="G428" s="47" t="s">
        <v>3</v>
      </c>
      <c r="H428" s="66"/>
      <c r="I428" s="66"/>
      <c r="J428" s="66"/>
      <c r="K428" s="66"/>
      <c r="L428" s="66"/>
      <c r="M428" s="66"/>
      <c r="N428" s="66"/>
      <c r="O428" s="66"/>
      <c r="P428" s="66"/>
      <c r="Q428" s="66"/>
      <c r="R428" s="66"/>
      <c r="S428" s="66"/>
      <c r="T428" s="66"/>
      <c r="U428" s="69"/>
    </row>
    <row r="429" spans="1:21" ht="16.5" x14ac:dyDescent="0.25">
      <c r="A429" s="68" t="str">
        <f t="shared" si="12"/>
        <v>Км3.1.1</v>
      </c>
      <c r="B429" s="66"/>
      <c r="C429" s="47" t="s">
        <v>2769</v>
      </c>
      <c r="D429" s="47" t="s">
        <v>2771</v>
      </c>
      <c r="E429" s="47">
        <f>0.5*0.5*29</f>
        <v>7.25</v>
      </c>
      <c r="F429" s="47" t="s">
        <v>4</v>
      </c>
      <c r="G429" s="47" t="s">
        <v>3</v>
      </c>
      <c r="H429" s="66"/>
      <c r="I429" s="66"/>
      <c r="J429" s="66"/>
      <c r="K429" s="66"/>
      <c r="L429" s="66"/>
      <c r="M429" s="66"/>
      <c r="N429" s="66"/>
      <c r="O429" s="66"/>
      <c r="P429" s="66"/>
      <c r="Q429" s="66"/>
      <c r="R429" s="66"/>
      <c r="S429" s="66"/>
      <c r="T429" s="66"/>
      <c r="U429" s="69"/>
    </row>
    <row r="430" spans="1:21" ht="16.5" x14ac:dyDescent="0.25">
      <c r="A430" s="42"/>
      <c r="B430" s="42"/>
      <c r="C430" s="42"/>
      <c r="D430" s="42"/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</row>
    <row r="431" spans="1:21" ht="33" x14ac:dyDescent="0.25">
      <c r="A431" s="43" t="str">
        <f>B431</f>
        <v>Км14.1</v>
      </c>
      <c r="B431" s="44" t="s">
        <v>2911</v>
      </c>
      <c r="C431" s="44"/>
      <c r="D431" s="44" t="s">
        <v>2912</v>
      </c>
      <c r="E431" s="44">
        <f>1</f>
        <v>1</v>
      </c>
      <c r="F431" s="44"/>
      <c r="G431" s="44"/>
      <c r="H431" s="44"/>
      <c r="I431" s="44"/>
      <c r="J431" s="44"/>
      <c r="K431" s="44"/>
      <c r="L431" s="44"/>
      <c r="M431" s="44"/>
      <c r="N431" s="44"/>
      <c r="O431" s="44"/>
      <c r="P431" s="44"/>
      <c r="Q431" s="44"/>
      <c r="R431" s="44"/>
      <c r="S431" s="44"/>
      <c r="T431" s="44"/>
      <c r="U431" s="45"/>
    </row>
    <row r="432" spans="1:21" ht="33" x14ac:dyDescent="0.25">
      <c r="A432" s="68" t="str">
        <f>A431</f>
        <v>Км14.1</v>
      </c>
      <c r="B432" s="66">
        <v>8</v>
      </c>
      <c r="C432" s="66" t="s">
        <v>3149</v>
      </c>
      <c r="D432" s="66" t="s">
        <v>2763</v>
      </c>
      <c r="E432" s="66">
        <f>4</f>
        <v>4</v>
      </c>
      <c r="F432" s="40">
        <v>2.984</v>
      </c>
      <c r="G432" s="66" t="s">
        <v>0</v>
      </c>
      <c r="H432" s="66">
        <v>5080</v>
      </c>
      <c r="I432" s="66">
        <v>22</v>
      </c>
      <c r="J432" s="66" t="s">
        <v>2</v>
      </c>
      <c r="K432" s="66"/>
      <c r="L432" s="66"/>
      <c r="M432" s="66"/>
      <c r="N432" s="66"/>
      <c r="O432" s="66"/>
      <c r="P432" s="66"/>
      <c r="Q432" s="66"/>
      <c r="R432" s="66"/>
      <c r="S432" s="66" t="s">
        <v>2776</v>
      </c>
      <c r="T432" s="66" t="s">
        <v>2776</v>
      </c>
      <c r="U432" s="69">
        <v>88</v>
      </c>
    </row>
    <row r="433" spans="1:21" ht="33" x14ac:dyDescent="0.25">
      <c r="A433" s="68" t="str">
        <f t="shared" ref="A433:A450" si="13">A432</f>
        <v>Км14.1</v>
      </c>
      <c r="B433" s="66">
        <v>9</v>
      </c>
      <c r="C433" s="66" t="s">
        <v>3149</v>
      </c>
      <c r="D433" s="66" t="s">
        <v>2763</v>
      </c>
      <c r="E433" s="66">
        <f>4</f>
        <v>4</v>
      </c>
      <c r="F433" s="40">
        <v>1.5780000000000001</v>
      </c>
      <c r="G433" s="66" t="s">
        <v>0</v>
      </c>
      <c r="H433" s="66">
        <v>5870</v>
      </c>
      <c r="I433" s="66">
        <v>16</v>
      </c>
      <c r="J433" s="66" t="s">
        <v>2</v>
      </c>
      <c r="K433" s="66"/>
      <c r="L433" s="66"/>
      <c r="M433" s="66"/>
      <c r="N433" s="66"/>
      <c r="O433" s="66"/>
      <c r="P433" s="66"/>
      <c r="Q433" s="66"/>
      <c r="R433" s="66"/>
      <c r="S433" s="66" t="s">
        <v>2776</v>
      </c>
      <c r="T433" s="66" t="s">
        <v>2776</v>
      </c>
      <c r="U433" s="69">
        <v>40</v>
      </c>
    </row>
    <row r="434" spans="1:21" ht="33" x14ac:dyDescent="0.25">
      <c r="A434" s="68" t="str">
        <f t="shared" si="13"/>
        <v>Км14.1</v>
      </c>
      <c r="B434" s="66">
        <v>3</v>
      </c>
      <c r="C434" s="66" t="s">
        <v>3149</v>
      </c>
      <c r="D434" s="66" t="s">
        <v>3150</v>
      </c>
      <c r="E434" s="66">
        <f>4</f>
        <v>4</v>
      </c>
      <c r="F434" s="40">
        <v>2.4660000000000002</v>
      </c>
      <c r="G434" s="66"/>
      <c r="H434" s="66">
        <v>4500</v>
      </c>
      <c r="I434" s="66">
        <v>20</v>
      </c>
      <c r="J434" s="66" t="s">
        <v>2</v>
      </c>
      <c r="K434" s="66"/>
      <c r="L434" s="66"/>
      <c r="M434" s="66"/>
      <c r="N434" s="66"/>
      <c r="O434" s="66"/>
      <c r="P434" s="66"/>
      <c r="Q434" s="66"/>
      <c r="R434" s="66"/>
      <c r="S434" s="66" t="s">
        <v>2776</v>
      </c>
      <c r="T434" s="66" t="s">
        <v>2776</v>
      </c>
      <c r="U434" s="69">
        <v>80</v>
      </c>
    </row>
    <row r="435" spans="1:21" ht="33" x14ac:dyDescent="0.25">
      <c r="A435" s="68" t="str">
        <f t="shared" si="13"/>
        <v>Км14.1</v>
      </c>
      <c r="B435" s="66">
        <v>12</v>
      </c>
      <c r="C435" s="66" t="s">
        <v>3149</v>
      </c>
      <c r="D435" s="66" t="s">
        <v>3151</v>
      </c>
      <c r="E435" s="66">
        <f>4</f>
        <v>4</v>
      </c>
      <c r="F435" s="40">
        <v>1.5780000000000001</v>
      </c>
      <c r="G435" s="66" t="s">
        <v>0</v>
      </c>
      <c r="H435" s="66">
        <v>5370</v>
      </c>
      <c r="I435" s="66">
        <v>16</v>
      </c>
      <c r="J435" s="66" t="s">
        <v>2</v>
      </c>
      <c r="K435" s="66"/>
      <c r="L435" s="66"/>
      <c r="M435" s="66"/>
      <c r="N435" s="66"/>
      <c r="O435" s="66"/>
      <c r="P435" s="66"/>
      <c r="Q435" s="66"/>
      <c r="R435" s="66"/>
      <c r="S435" s="66" t="s">
        <v>2776</v>
      </c>
      <c r="T435" s="66" t="s">
        <v>2776</v>
      </c>
      <c r="U435" s="69">
        <v>40</v>
      </c>
    </row>
    <row r="436" spans="1:21" ht="33" x14ac:dyDescent="0.25">
      <c r="A436" s="68" t="str">
        <f t="shared" si="13"/>
        <v>Км14.1</v>
      </c>
      <c r="B436" s="66">
        <v>4</v>
      </c>
      <c r="C436" s="66" t="s">
        <v>3149</v>
      </c>
      <c r="D436" s="66" t="s">
        <v>3152</v>
      </c>
      <c r="E436" s="66">
        <f>4*4</f>
        <v>16</v>
      </c>
      <c r="F436" s="40">
        <v>2.4660000000000002</v>
      </c>
      <c r="G436" s="66"/>
      <c r="H436" s="66">
        <v>4050</v>
      </c>
      <c r="I436" s="66">
        <v>20</v>
      </c>
      <c r="J436" s="66" t="s">
        <v>2</v>
      </c>
      <c r="K436" s="66"/>
      <c r="L436" s="66"/>
      <c r="M436" s="66"/>
      <c r="N436" s="66"/>
      <c r="O436" s="66"/>
      <c r="P436" s="66"/>
      <c r="Q436" s="66"/>
      <c r="R436" s="66"/>
      <c r="S436" s="66" t="s">
        <v>2776</v>
      </c>
      <c r="T436" s="66" t="s">
        <v>2776</v>
      </c>
      <c r="U436" s="69">
        <v>80</v>
      </c>
    </row>
    <row r="437" spans="1:21" ht="33" x14ac:dyDescent="0.25">
      <c r="A437" s="68" t="str">
        <f t="shared" si="13"/>
        <v>Км14.1</v>
      </c>
      <c r="B437" s="66">
        <v>5</v>
      </c>
      <c r="C437" s="66" t="s">
        <v>2762</v>
      </c>
      <c r="D437" s="66" t="s">
        <v>3147</v>
      </c>
      <c r="E437" s="66">
        <v>4</v>
      </c>
      <c r="F437" s="40">
        <v>2.4660000000000002</v>
      </c>
      <c r="G437" s="66"/>
      <c r="H437" s="66">
        <v>3820</v>
      </c>
      <c r="I437" s="66">
        <v>20</v>
      </c>
      <c r="J437" s="66" t="s">
        <v>2</v>
      </c>
      <c r="K437" s="66"/>
      <c r="L437" s="66"/>
      <c r="M437" s="66"/>
      <c r="N437" s="66"/>
      <c r="O437" s="66"/>
      <c r="P437" s="66"/>
      <c r="Q437" s="66"/>
      <c r="R437" s="66"/>
      <c r="S437" s="66" t="s">
        <v>2776</v>
      </c>
      <c r="T437" s="66" t="s">
        <v>2776</v>
      </c>
      <c r="U437" s="69">
        <v>80</v>
      </c>
    </row>
    <row r="438" spans="1:21" ht="33" x14ac:dyDescent="0.25">
      <c r="A438" s="68" t="str">
        <f t="shared" si="13"/>
        <v>Км14.1</v>
      </c>
      <c r="B438" s="66">
        <v>10</v>
      </c>
      <c r="C438" s="66" t="s">
        <v>2764</v>
      </c>
      <c r="D438" s="66" t="s">
        <v>3153</v>
      </c>
      <c r="E438" s="66">
        <f>37</f>
        <v>37</v>
      </c>
      <c r="F438" s="40">
        <v>0.39500000000000002</v>
      </c>
      <c r="G438" s="66" t="s">
        <v>0</v>
      </c>
      <c r="H438" s="66">
        <f>620*4+150</f>
        <v>2630</v>
      </c>
      <c r="I438" s="66">
        <v>8</v>
      </c>
      <c r="J438" s="66" t="s">
        <v>1</v>
      </c>
      <c r="K438" s="66"/>
      <c r="L438" s="66"/>
      <c r="M438" s="66"/>
      <c r="N438" s="66"/>
      <c r="O438" s="66"/>
      <c r="P438" s="66"/>
      <c r="Q438" s="66"/>
      <c r="R438" s="66"/>
      <c r="S438" s="66" t="s">
        <v>2776</v>
      </c>
      <c r="T438" s="66" t="s">
        <v>2776</v>
      </c>
      <c r="U438" s="69">
        <v>10</v>
      </c>
    </row>
    <row r="439" spans="1:21" ht="33" x14ac:dyDescent="0.25">
      <c r="A439" s="68" t="str">
        <f t="shared" si="13"/>
        <v>Км14.1</v>
      </c>
      <c r="B439" s="66">
        <v>11</v>
      </c>
      <c r="C439" s="66" t="s">
        <v>2764</v>
      </c>
      <c r="D439" s="66" t="s">
        <v>3154</v>
      </c>
      <c r="E439" s="66">
        <f>37</f>
        <v>37</v>
      </c>
      <c r="F439" s="40">
        <v>0.39500000000000002</v>
      </c>
      <c r="G439" s="66" t="s">
        <v>0</v>
      </c>
      <c r="H439" s="66">
        <f>450*4+150</f>
        <v>1950</v>
      </c>
      <c r="I439" s="66">
        <v>8</v>
      </c>
      <c r="J439" s="66" t="s">
        <v>1</v>
      </c>
      <c r="K439" s="66"/>
      <c r="L439" s="66"/>
      <c r="M439" s="66"/>
      <c r="N439" s="66"/>
      <c r="O439" s="66"/>
      <c r="P439" s="66"/>
      <c r="Q439" s="66"/>
      <c r="R439" s="66"/>
      <c r="S439" s="66" t="s">
        <v>2776</v>
      </c>
      <c r="T439" s="66" t="s">
        <v>2776</v>
      </c>
      <c r="U439" s="69">
        <v>10</v>
      </c>
    </row>
    <row r="440" spans="1:21" ht="33" x14ac:dyDescent="0.25">
      <c r="A440" s="68" t="str">
        <f t="shared" si="13"/>
        <v>Км14.1</v>
      </c>
      <c r="B440" s="66">
        <v>13</v>
      </c>
      <c r="C440" s="66" t="s">
        <v>2764</v>
      </c>
      <c r="D440" s="66" t="s">
        <v>3155</v>
      </c>
      <c r="E440" s="66">
        <f>32+29+29</f>
        <v>90</v>
      </c>
      <c r="F440" s="40">
        <v>0.39500000000000002</v>
      </c>
      <c r="G440" s="66" t="s">
        <v>0</v>
      </c>
      <c r="H440" s="66">
        <f>520*4+150</f>
        <v>2230</v>
      </c>
      <c r="I440" s="66">
        <v>8</v>
      </c>
      <c r="J440" s="66" t="s">
        <v>1</v>
      </c>
      <c r="K440" s="66"/>
      <c r="L440" s="66"/>
      <c r="M440" s="66"/>
      <c r="N440" s="66"/>
      <c r="O440" s="66"/>
      <c r="P440" s="66"/>
      <c r="Q440" s="66"/>
      <c r="R440" s="66"/>
      <c r="S440" s="66" t="s">
        <v>2776</v>
      </c>
      <c r="T440" s="66" t="s">
        <v>2776</v>
      </c>
      <c r="U440" s="69">
        <v>10</v>
      </c>
    </row>
    <row r="441" spans="1:21" ht="33" x14ac:dyDescent="0.25">
      <c r="A441" s="68" t="str">
        <f t="shared" si="13"/>
        <v>Км14.1</v>
      </c>
      <c r="B441" s="66">
        <v>14</v>
      </c>
      <c r="C441" s="66" t="s">
        <v>2764</v>
      </c>
      <c r="D441" s="66" t="s">
        <v>3156</v>
      </c>
      <c r="E441" s="66">
        <f>32+29+29</f>
        <v>90</v>
      </c>
      <c r="F441" s="40">
        <v>0.39500000000000002</v>
      </c>
      <c r="G441" s="66" t="s">
        <v>0</v>
      </c>
      <c r="H441" s="66">
        <f>370*4+150</f>
        <v>1630</v>
      </c>
      <c r="I441" s="66">
        <v>8</v>
      </c>
      <c r="J441" s="66" t="s">
        <v>1</v>
      </c>
      <c r="K441" s="66"/>
      <c r="L441" s="66"/>
      <c r="M441" s="66"/>
      <c r="N441" s="66"/>
      <c r="O441" s="66"/>
      <c r="P441" s="66"/>
      <c r="Q441" s="66"/>
      <c r="R441" s="66"/>
      <c r="S441" s="66" t="s">
        <v>2776</v>
      </c>
      <c r="T441" s="66" t="s">
        <v>2776</v>
      </c>
      <c r="U441" s="69">
        <v>10</v>
      </c>
    </row>
    <row r="442" spans="1:21" ht="33" x14ac:dyDescent="0.25">
      <c r="A442" s="68" t="str">
        <f t="shared" si="13"/>
        <v>Км14.1</v>
      </c>
      <c r="B442" s="66">
        <v>15</v>
      </c>
      <c r="C442" s="66" t="s">
        <v>3149</v>
      </c>
      <c r="D442" s="66" t="s">
        <v>2778</v>
      </c>
      <c r="E442" s="66">
        <f>4</f>
        <v>4</v>
      </c>
      <c r="F442" s="40">
        <v>1.5780000000000001</v>
      </c>
      <c r="G442" s="66" t="s">
        <v>0</v>
      </c>
      <c r="H442" s="66">
        <v>4870</v>
      </c>
      <c r="I442" s="66">
        <v>16</v>
      </c>
      <c r="J442" s="66" t="s">
        <v>2</v>
      </c>
      <c r="K442" s="66"/>
      <c r="L442" s="66"/>
      <c r="M442" s="66"/>
      <c r="N442" s="66"/>
      <c r="O442" s="66"/>
      <c r="P442" s="66"/>
      <c r="Q442" s="66"/>
      <c r="R442" s="66"/>
      <c r="S442" s="66" t="s">
        <v>2776</v>
      </c>
      <c r="T442" s="66" t="s">
        <v>2776</v>
      </c>
      <c r="U442" s="69">
        <v>40</v>
      </c>
    </row>
    <row r="443" spans="1:21" ht="33" x14ac:dyDescent="0.25">
      <c r="A443" s="68" t="str">
        <f t="shared" si="13"/>
        <v>Км14.1</v>
      </c>
      <c r="B443" s="66">
        <v>16</v>
      </c>
      <c r="C443" s="66" t="s">
        <v>3157</v>
      </c>
      <c r="D443" s="66" t="s">
        <v>3158</v>
      </c>
      <c r="E443" s="66">
        <f>4</f>
        <v>4</v>
      </c>
      <c r="F443" s="40">
        <v>2.4660000000000002</v>
      </c>
      <c r="G443" s="66" t="s">
        <v>0</v>
      </c>
      <c r="H443" s="66">
        <v>4060</v>
      </c>
      <c r="I443" s="66">
        <v>20</v>
      </c>
      <c r="J443" s="66" t="s">
        <v>2</v>
      </c>
      <c r="K443" s="66"/>
      <c r="L443" s="66"/>
      <c r="M443" s="66"/>
      <c r="N443" s="66"/>
      <c r="O443" s="66"/>
      <c r="P443" s="66"/>
      <c r="Q443" s="66"/>
      <c r="R443" s="66"/>
      <c r="S443" s="66" t="s">
        <v>2776</v>
      </c>
      <c r="T443" s="66" t="s">
        <v>2776</v>
      </c>
      <c r="U443" s="69">
        <v>80</v>
      </c>
    </row>
    <row r="444" spans="1:21" ht="33" x14ac:dyDescent="0.25">
      <c r="A444" s="68" t="str">
        <f t="shared" si="13"/>
        <v>Км14.1</v>
      </c>
      <c r="B444" s="66">
        <v>17</v>
      </c>
      <c r="C444" s="66" t="s">
        <v>3159</v>
      </c>
      <c r="D444" s="66" t="s">
        <v>3158</v>
      </c>
      <c r="E444" s="66">
        <f>4</f>
        <v>4</v>
      </c>
      <c r="F444" s="40">
        <v>1.5780000000000001</v>
      </c>
      <c r="G444" s="66" t="s">
        <v>0</v>
      </c>
      <c r="H444" s="66">
        <v>4400</v>
      </c>
      <c r="I444" s="66">
        <v>16</v>
      </c>
      <c r="J444" s="66" t="s">
        <v>2</v>
      </c>
      <c r="K444" s="66"/>
      <c r="L444" s="66"/>
      <c r="M444" s="66"/>
      <c r="N444" s="66"/>
      <c r="O444" s="66"/>
      <c r="P444" s="66"/>
      <c r="Q444" s="66"/>
      <c r="R444" s="66"/>
      <c r="S444" s="66" t="s">
        <v>2776</v>
      </c>
      <c r="T444" s="66" t="s">
        <v>2776</v>
      </c>
      <c r="U444" s="69">
        <v>40</v>
      </c>
    </row>
    <row r="445" spans="1:21" ht="33" x14ac:dyDescent="0.25">
      <c r="A445" s="68" t="str">
        <f t="shared" si="13"/>
        <v>Км14.1</v>
      </c>
      <c r="B445" s="66">
        <v>2</v>
      </c>
      <c r="C445" s="66" t="s">
        <v>2764</v>
      </c>
      <c r="D445" s="66" t="s">
        <v>3160</v>
      </c>
      <c r="E445" s="66">
        <f>29+29+27+1+32+16</f>
        <v>134</v>
      </c>
      <c r="F445" s="40">
        <v>0.39500000000000002</v>
      </c>
      <c r="G445" s="66" t="s">
        <v>0</v>
      </c>
      <c r="H445" s="66">
        <f>420*4+150</f>
        <v>1830</v>
      </c>
      <c r="I445" s="66">
        <v>8</v>
      </c>
      <c r="J445" s="66" t="s">
        <v>1</v>
      </c>
      <c r="K445" s="66"/>
      <c r="L445" s="66"/>
      <c r="M445" s="66"/>
      <c r="N445" s="66"/>
      <c r="O445" s="66"/>
      <c r="P445" s="66"/>
      <c r="Q445" s="66"/>
      <c r="R445" s="66"/>
      <c r="S445" s="66" t="s">
        <v>2776</v>
      </c>
      <c r="T445" s="66" t="s">
        <v>2776</v>
      </c>
      <c r="U445" s="69">
        <v>10</v>
      </c>
    </row>
    <row r="446" spans="1:21" ht="33" x14ac:dyDescent="0.25">
      <c r="A446" s="68" t="str">
        <f t="shared" si="13"/>
        <v>Км14.1</v>
      </c>
      <c r="B446" s="66">
        <v>6</v>
      </c>
      <c r="C446" s="66" t="s">
        <v>2762</v>
      </c>
      <c r="D446" s="66" t="s">
        <v>3148</v>
      </c>
      <c r="E446" s="66">
        <v>4</v>
      </c>
      <c r="F446" s="40">
        <v>2.4660000000000002</v>
      </c>
      <c r="G446" s="66"/>
      <c r="H446" s="66">
        <v>1430</v>
      </c>
      <c r="I446" s="66">
        <v>20</v>
      </c>
      <c r="J446" s="66" t="s">
        <v>2</v>
      </c>
      <c r="K446" s="66"/>
      <c r="L446" s="66"/>
      <c r="M446" s="66"/>
      <c r="N446" s="66"/>
      <c r="O446" s="66"/>
      <c r="P446" s="66"/>
      <c r="Q446" s="66"/>
      <c r="R446" s="66"/>
      <c r="S446" s="66" t="s">
        <v>2776</v>
      </c>
      <c r="T446" s="66" t="s">
        <v>2776</v>
      </c>
      <c r="U446" s="69">
        <v>80</v>
      </c>
    </row>
    <row r="447" spans="1:21" ht="33" x14ac:dyDescent="0.25">
      <c r="A447" s="68" t="str">
        <f t="shared" si="13"/>
        <v>Км14.1</v>
      </c>
      <c r="B447" s="66">
        <v>18</v>
      </c>
      <c r="C447" s="66" t="s">
        <v>2762</v>
      </c>
      <c r="D447" s="66" t="s">
        <v>3148</v>
      </c>
      <c r="E447" s="66">
        <v>4</v>
      </c>
      <c r="F447" s="40">
        <v>1.5780000000000001</v>
      </c>
      <c r="G447" s="66" t="s">
        <v>0</v>
      </c>
      <c r="H447" s="66">
        <v>2630</v>
      </c>
      <c r="I447" s="66">
        <v>16</v>
      </c>
      <c r="J447" s="66" t="s">
        <v>2</v>
      </c>
      <c r="K447" s="66"/>
      <c r="L447" s="66"/>
      <c r="M447" s="66"/>
      <c r="N447" s="66"/>
      <c r="O447" s="66"/>
      <c r="P447" s="66"/>
      <c r="Q447" s="66"/>
      <c r="R447" s="66"/>
      <c r="S447" s="66" t="s">
        <v>2776</v>
      </c>
      <c r="T447" s="66" t="s">
        <v>2776</v>
      </c>
      <c r="U447" s="69">
        <v>40</v>
      </c>
    </row>
    <row r="448" spans="1:21" ht="33" x14ac:dyDescent="0.25">
      <c r="A448" s="68" t="str">
        <f t="shared" si="13"/>
        <v>Км14.1</v>
      </c>
      <c r="B448" s="66"/>
      <c r="C448" s="47" t="s">
        <v>2769</v>
      </c>
      <c r="D448" s="47" t="s">
        <v>2770</v>
      </c>
      <c r="E448" s="47">
        <f>(1.5*1.5*0.25)+(0.7*0.7*4.57)</f>
        <v>2.8017999999999996</v>
      </c>
      <c r="F448" s="47" t="s">
        <v>4</v>
      </c>
      <c r="G448" s="47" t="s">
        <v>3</v>
      </c>
      <c r="H448" s="66"/>
      <c r="I448" s="66"/>
      <c r="J448" s="66"/>
      <c r="K448" s="66"/>
      <c r="L448" s="66"/>
      <c r="M448" s="66"/>
      <c r="N448" s="66"/>
      <c r="O448" s="66"/>
      <c r="P448" s="66"/>
      <c r="Q448" s="66"/>
      <c r="R448" s="66"/>
      <c r="S448" s="66"/>
      <c r="T448" s="66"/>
      <c r="U448" s="69"/>
    </row>
    <row r="449" spans="1:21" ht="16.5" x14ac:dyDescent="0.25">
      <c r="A449" s="68" t="str">
        <f t="shared" si="13"/>
        <v>Км14.1</v>
      </c>
      <c r="B449" s="66"/>
      <c r="C449" s="47" t="s">
        <v>2769</v>
      </c>
      <c r="D449" s="47" t="s">
        <v>2771</v>
      </c>
      <c r="E449" s="47">
        <f>(11.6*0.6*6)+(0.5*0.5*17.15)</f>
        <v>46.047499999999999</v>
      </c>
      <c r="F449" s="47" t="s">
        <v>4</v>
      </c>
      <c r="G449" s="47" t="s">
        <v>3</v>
      </c>
      <c r="H449" s="66"/>
      <c r="I449" s="66"/>
      <c r="J449" s="66"/>
      <c r="K449" s="66"/>
      <c r="L449" s="66"/>
      <c r="M449" s="66"/>
      <c r="N449" s="66"/>
      <c r="O449" s="66"/>
      <c r="P449" s="66"/>
      <c r="Q449" s="66"/>
      <c r="R449" s="66"/>
      <c r="S449" s="66"/>
      <c r="T449" s="66"/>
      <c r="U449" s="69"/>
    </row>
    <row r="450" spans="1:21" ht="17.25" thickBot="1" x14ac:dyDescent="0.3">
      <c r="A450" s="70" t="str">
        <f t="shared" si="13"/>
        <v>Км14.1</v>
      </c>
      <c r="B450" s="71"/>
      <c r="C450" s="74" t="s">
        <v>2772</v>
      </c>
      <c r="D450" s="74" t="s">
        <v>2773</v>
      </c>
      <c r="E450" s="74">
        <v>4</v>
      </c>
      <c r="F450" s="74">
        <v>94.2</v>
      </c>
      <c r="G450" s="74"/>
      <c r="H450" s="71"/>
      <c r="I450" s="71"/>
      <c r="J450" s="71"/>
      <c r="K450" s="50">
        <v>14400</v>
      </c>
      <c r="L450" s="71" t="s">
        <v>2344</v>
      </c>
      <c r="M450" s="71" t="s">
        <v>2339</v>
      </c>
      <c r="N450" s="71"/>
      <c r="O450" s="71" t="s">
        <v>2351</v>
      </c>
      <c r="P450" s="71"/>
      <c r="Q450" s="71"/>
      <c r="R450" s="71"/>
      <c r="S450" s="71"/>
      <c r="T450" s="71"/>
      <c r="U450" s="72"/>
    </row>
  </sheetData>
  <mergeCells count="11">
    <mergeCell ref="F1:F2"/>
    <mergeCell ref="A1:A2"/>
    <mergeCell ref="B1:B2"/>
    <mergeCell ref="C1:C2"/>
    <mergeCell ref="D1:D2"/>
    <mergeCell ref="E1:E2"/>
    <mergeCell ref="G1:G2"/>
    <mergeCell ref="H1:J1"/>
    <mergeCell ref="K1:Q1"/>
    <mergeCell ref="R1:R2"/>
    <mergeCell ref="S1:U1"/>
  </mergeCells>
  <conditionalFormatting sqref="A1:H1 A3:U450 H2:Q2 K1 R1:S1 S2:U2">
    <cfRule type="containsText" dxfId="104" priority="10" stopIfTrue="1" operator="containsText" text="шт.)">
      <formula>NOT(ISERROR(SEARCH("шт.)",A1)))</formula>
    </cfRule>
    <cfRule type="containsText" dxfId="103" priority="9" stopIfTrue="1" operator="containsText" text=", на ">
      <formula>NOT(ISERROR(SEARCH(", на ",A1)))</formula>
    </cfRule>
    <cfRule type="containsText" dxfId="102" priority="8" stopIfTrue="1" operator="containsText" text=" Материалы ">
      <formula>NOT(ISERROR(SEARCH(" Материалы ",A1)))</formula>
    </cfRule>
    <cfRule type="containsText" dxfId="101" priority="7" stopIfTrue="1" operator="containsText" text=" Сборочные единицы ">
      <formula>NOT(ISERROR(SEARCH(" Сборочные единицы ",A1)))</formula>
    </cfRule>
    <cfRule type="containsText" dxfId="100" priority="6" stopIfTrue="1" operator="containsText" text=" Прокат ">
      <formula>NOT(ISERROR(SEARCH(" Прокат ",A1)))</formula>
    </cfRule>
    <cfRule type="containsText" dxfId="99" priority="5" stopIfTrue="1" operator="containsText" text=" Изделия ">
      <formula>NOT(ISERROR(SEARCH(" Изделия ",A1)))</formula>
    </cfRule>
    <cfRule type="containsText" dxfId="98" priority="4" stopIfTrue="1" operator="containsText" text="!!!">
      <formula>NOT(ISERROR(SEARCH("!!!",A1)))</formula>
    </cfRule>
    <cfRule type="containsText" dxfId="97" priority="3" stopIfTrue="1" operator="containsText" text="ИЗ ФАЙЛА">
      <formula>NOT(ISERROR(SEARCH("ИЗ ФАЙЛА",A1)))</formula>
    </cfRule>
    <cfRule type="containsText" dxfId="96" priority="2" stopIfTrue="1" operator="containsText" text="С ЛИСТА">
      <formula>NOT(ISERROR(SEARCH("С ЛИСТА",A1)))</formula>
    </cfRule>
  </conditionalFormatting>
  <conditionalFormatting sqref="A1:U1048576">
    <cfRule type="expression" dxfId="95" priority="1">
      <formula>ISERROR(A1)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96">
        <x14:dataValidation type="list" errorStyle="warning" allowBlank="1" showInputMessage="1" showErrorMessage="1">
          <x14:formula1>
            <xm:f>'!System'!$AN$1:$AN$6</xm:f>
          </x14:formula1>
          <xm:sqref>G3:G450</xm:sqref>
        </x14:dataValidation>
        <x14:dataValidation type="list" allowBlank="1" showInputMessage="1" showErrorMessage="1">
          <x14:formula1>
            <xm:f>'!System'!$T$1:$AB$1</xm:f>
          </x14:formula1>
          <xm:sqref>J3:J450</xm:sqref>
        </x14:dataValidation>
        <x14:dataValidation type="list" allowBlank="1" showInputMessage="1" showErrorMessage="1">
          <x14:formula1>
            <xm:f>'!System'!$A$1:$R$1</xm:f>
          </x14:formula1>
          <xm:sqref>L3:L450</xm:sqref>
        </x14:dataValidation>
        <x14:dataValidation type="list" allowBlank="1" showInputMessage="1" showErrorMessage="1">
          <x14:formula1>
            <xm:f>'!System'!$AC$1:$AM$1</xm:f>
          </x14:formula1>
          <xm:sqref>O3:O450</xm:sqref>
        </x14:dataValidation>
        <x14:dataValidation type="list" allowBlank="1" showInputMessage="1" showErrorMessage="1">
          <x14:formula1>
            <xm:f>'!System'!$AO$1:$AO$5</xm:f>
          </x14:formula1>
          <xm:sqref>P3:P450</xm:sqref>
        </x14:dataValidation>
        <x14:dataValidation type="list" allowBlank="1" showInputMessage="1" showErrorMessage="1">
          <x14:formula1>
            <xm:f>'!System'!$T$2:$T$17</xm:f>
          </x14:formula1>
          <xm:sqref>I8</xm:sqref>
        </x14:dataValidation>
        <x14:dataValidation type="list" allowBlank="1" showInputMessage="1" showErrorMessage="1">
          <x14:formula1>
            <xm:f>'!System'!$U$2:$U$16</xm:f>
          </x14:formula1>
          <xm:sqref>I9</xm:sqref>
        </x14:dataValidation>
        <x14:dataValidation type="list" allowBlank="1" showInputMessage="1" showErrorMessage="1">
          <x14:formula1>
            <xm:f>'!System'!$T$2:$T$17</xm:f>
          </x14:formula1>
          <xm:sqref>I10</xm:sqref>
        </x14:dataValidation>
        <x14:dataValidation type="list" allowBlank="1" showInputMessage="1" showErrorMessage="1">
          <x14:formula1>
            <xm:f>'!System'!$T$2:$T$17</xm:f>
          </x14:formula1>
          <xm:sqref>I11</xm:sqref>
        </x14:dataValidation>
        <x14:dataValidation type="list" allowBlank="1" showInputMessage="1" showErrorMessage="1">
          <x14:formula1>
            <xm:f>'!System'!$T$2:$T$17</xm:f>
          </x14:formula1>
          <xm:sqref>I12</xm:sqref>
        </x14:dataValidation>
        <x14:dataValidation type="list" allowBlank="1" showInputMessage="1" showErrorMessage="1">
          <x14:formula1>
            <xm:f>'!System'!$T$2:$T$17</xm:f>
          </x14:formula1>
          <xm:sqref>I13</xm:sqref>
        </x14:dataValidation>
        <x14:dataValidation type="list" allowBlank="1" showInputMessage="1" showErrorMessage="1">
          <x14:formula1>
            <xm:f>'!System'!$Q$3:$Q$15</xm:f>
          </x14:formula1>
          <xm:sqref>M16</xm:sqref>
        </x14:dataValidation>
        <x14:dataValidation type="list" allowBlank="1" showInputMessage="1" showErrorMessage="1">
          <x14:formula1>
            <xm:f>'!System'!$T$2:$T$17</xm:f>
          </x14:formula1>
          <xm:sqref>I20</xm:sqref>
        </x14:dataValidation>
        <x14:dataValidation type="list" allowBlank="1" showInputMessage="1" showErrorMessage="1">
          <x14:formula1>
            <xm:f>'!System'!$T$2:$T$17</xm:f>
          </x14:formula1>
          <xm:sqref>I21</xm:sqref>
        </x14:dataValidation>
        <x14:dataValidation type="list" allowBlank="1" showInputMessage="1" showErrorMessage="1">
          <x14:formula1>
            <xm:f>'!System'!$T$2:$T$17</xm:f>
          </x14:formula1>
          <xm:sqref>I22</xm:sqref>
        </x14:dataValidation>
        <x14:dataValidation type="list" allowBlank="1" showInputMessage="1" showErrorMessage="1">
          <x14:formula1>
            <xm:f>'!System'!$T$2:$T$17</xm:f>
          </x14:formula1>
          <xm:sqref>I23</xm:sqref>
        </x14:dataValidation>
        <x14:dataValidation type="list" allowBlank="1" showInputMessage="1" showErrorMessage="1">
          <x14:formula1>
            <xm:f>'!System'!$T$2:$T$17</xm:f>
          </x14:formula1>
          <xm:sqref>I24</xm:sqref>
        </x14:dataValidation>
        <x14:dataValidation type="list" allowBlank="1" showInputMessage="1" showErrorMessage="1">
          <x14:formula1>
            <xm:f>'!System'!$T$2:$T$17</xm:f>
          </x14:formula1>
          <xm:sqref>I25</xm:sqref>
        </x14:dataValidation>
        <x14:dataValidation type="list" allowBlank="1" showInputMessage="1" showErrorMessage="1">
          <x14:formula1>
            <xm:f>'!System'!$U$2:$U$16</xm:f>
          </x14:formula1>
          <xm:sqref>I26</xm:sqref>
        </x14:dataValidation>
        <x14:dataValidation type="list" allowBlank="1" showInputMessage="1" showErrorMessage="1">
          <x14:formula1>
            <xm:f>'!System'!$U$2:$U$16</xm:f>
          </x14:formula1>
          <xm:sqref>I27</xm:sqref>
        </x14:dataValidation>
        <x14:dataValidation type="list" allowBlank="1" showInputMessage="1" showErrorMessage="1">
          <x14:formula1>
            <xm:f>'!System'!$U$2:$U$16</xm:f>
          </x14:formula1>
          <xm:sqref>I28</xm:sqref>
        </x14:dataValidation>
        <x14:dataValidation type="list" allowBlank="1" showInputMessage="1" showErrorMessage="1">
          <x14:formula1>
            <xm:f>'!System'!$U$2:$U$16</xm:f>
          </x14:formula1>
          <xm:sqref>I29</xm:sqref>
        </x14:dataValidation>
        <x14:dataValidation type="list" allowBlank="1" showInputMessage="1" showErrorMessage="1">
          <x14:formula1>
            <xm:f>'!System'!$T$2:$T$17</xm:f>
          </x14:formula1>
          <xm:sqref>I30</xm:sqref>
        </x14:dataValidation>
        <x14:dataValidation type="list" allowBlank="1" showInputMessage="1" showErrorMessage="1">
          <x14:formula1>
            <xm:f>'!System'!$T$2:$T$17</xm:f>
          </x14:formula1>
          <xm:sqref>I31</xm:sqref>
        </x14:dataValidation>
        <x14:dataValidation type="list" allowBlank="1" showInputMessage="1" showErrorMessage="1">
          <x14:formula1>
            <xm:f>'!System'!$T$2:$T$17</xm:f>
          </x14:formula1>
          <xm:sqref>I32</xm:sqref>
        </x14:dataValidation>
        <x14:dataValidation type="list" allowBlank="1" showInputMessage="1" showErrorMessage="1">
          <x14:formula1>
            <xm:f>'!System'!$U$2:$U$16</xm:f>
          </x14:formula1>
          <xm:sqref>I33</xm:sqref>
        </x14:dataValidation>
        <x14:dataValidation type="list" allowBlank="1" showInputMessage="1" showErrorMessage="1">
          <x14:formula1>
            <xm:f>'!System'!$T$2:$T$17</xm:f>
          </x14:formula1>
          <xm:sqref>I34</xm:sqref>
        </x14:dataValidation>
        <x14:dataValidation type="list" allowBlank="1" showInputMessage="1" showErrorMessage="1">
          <x14:formula1>
            <xm:f>'!System'!$T$2:$T$17</xm:f>
          </x14:formula1>
          <xm:sqref>I35</xm:sqref>
        </x14:dataValidation>
        <x14:dataValidation type="list" allowBlank="1" showInputMessage="1" showErrorMessage="1">
          <x14:formula1>
            <xm:f>'!System'!$Q$3:$Q$15</xm:f>
          </x14:formula1>
          <xm:sqref>M36</xm:sqref>
        </x14:dataValidation>
        <x14:dataValidation type="list" allowBlank="1" showInputMessage="1" showErrorMessage="1">
          <x14:formula1>
            <xm:f>'!System'!$T$2:$T$17</xm:f>
          </x14:formula1>
          <xm:sqref>I39</xm:sqref>
        </x14:dataValidation>
        <x14:dataValidation type="list" allowBlank="1" showInputMessage="1" showErrorMessage="1">
          <x14:formula1>
            <xm:f>'!System'!$T$2:$T$17</xm:f>
          </x14:formula1>
          <xm:sqref>I40</xm:sqref>
        </x14:dataValidation>
        <x14:dataValidation type="list" allowBlank="1" showInputMessage="1" showErrorMessage="1">
          <x14:formula1>
            <xm:f>'!System'!$T$2:$T$17</xm:f>
          </x14:formula1>
          <xm:sqref>I41</xm:sqref>
        </x14:dataValidation>
        <x14:dataValidation type="list" allowBlank="1" showInputMessage="1" showErrorMessage="1">
          <x14:formula1>
            <xm:f>'!System'!$U$2:$U$16</xm:f>
          </x14:formula1>
          <xm:sqref>I42</xm:sqref>
        </x14:dataValidation>
        <x14:dataValidation type="list" allowBlank="1" showInputMessage="1" showErrorMessage="1">
          <x14:formula1>
            <xm:f>'!System'!$U$2:$U$16</xm:f>
          </x14:formula1>
          <xm:sqref>I43</xm:sqref>
        </x14:dataValidation>
        <x14:dataValidation type="list" allowBlank="1" showInputMessage="1" showErrorMessage="1">
          <x14:formula1>
            <xm:f>'!System'!$T$2:$T$17</xm:f>
          </x14:formula1>
          <xm:sqref>I44</xm:sqref>
        </x14:dataValidation>
        <x14:dataValidation type="list" allowBlank="1" showInputMessage="1" showErrorMessage="1">
          <x14:formula1>
            <xm:f>'!System'!$T$2:$T$17</xm:f>
          </x14:formula1>
          <xm:sqref>I45</xm:sqref>
        </x14:dataValidation>
        <x14:dataValidation type="list" allowBlank="1" showInputMessage="1" showErrorMessage="1">
          <x14:formula1>
            <xm:f>'!System'!$T$2:$T$17</xm:f>
          </x14:formula1>
          <xm:sqref>I46</xm:sqref>
        </x14:dataValidation>
        <x14:dataValidation type="list" allowBlank="1" showInputMessage="1" showErrorMessage="1">
          <x14:formula1>
            <xm:f>'!System'!$U$2:$U$16</xm:f>
          </x14:formula1>
          <xm:sqref>I47</xm:sqref>
        </x14:dataValidation>
        <x14:dataValidation type="list" allowBlank="1" showInputMessage="1" showErrorMessage="1">
          <x14:formula1>
            <xm:f>'!System'!$Q$3:$Q$15</xm:f>
          </x14:formula1>
          <xm:sqref>M50</xm:sqref>
        </x14:dataValidation>
        <x14:dataValidation type="list" allowBlank="1" showInputMessage="1" showErrorMessage="1">
          <x14:formula1>
            <xm:f>'!System'!$T$2:$T$17</xm:f>
          </x14:formula1>
          <xm:sqref>I54</xm:sqref>
        </x14:dataValidation>
        <x14:dataValidation type="list" allowBlank="1" showInputMessage="1" showErrorMessage="1">
          <x14:formula1>
            <xm:f>'!System'!$U$2:$U$16</xm:f>
          </x14:formula1>
          <xm:sqref>I55</xm:sqref>
        </x14:dataValidation>
        <x14:dataValidation type="list" allowBlank="1" showInputMessage="1" showErrorMessage="1">
          <x14:formula1>
            <xm:f>'!System'!$T$2:$T$17</xm:f>
          </x14:formula1>
          <xm:sqref>I56</xm:sqref>
        </x14:dataValidation>
        <x14:dataValidation type="list" allowBlank="1" showInputMessage="1" showErrorMessage="1">
          <x14:formula1>
            <xm:f>'!System'!$Q$3:$Q$15</xm:f>
          </x14:formula1>
          <xm:sqref>M59</xm:sqref>
        </x14:dataValidation>
        <x14:dataValidation type="list" allowBlank="1" showInputMessage="1" showErrorMessage="1">
          <x14:formula1>
            <xm:f>'!System'!$T$2:$T$17</xm:f>
          </x14:formula1>
          <xm:sqref>I64</xm:sqref>
        </x14:dataValidation>
        <x14:dataValidation type="list" allowBlank="1" showInputMessage="1" showErrorMessage="1">
          <x14:formula1>
            <xm:f>'!System'!$T$2:$T$17</xm:f>
          </x14:formula1>
          <xm:sqref>I65</xm:sqref>
        </x14:dataValidation>
        <x14:dataValidation type="list" allowBlank="1" showInputMessage="1" showErrorMessage="1">
          <x14:formula1>
            <xm:f>'!System'!$U$2:$U$16</xm:f>
          </x14:formula1>
          <xm:sqref>I66</xm:sqref>
        </x14:dataValidation>
        <x14:dataValidation type="list" allowBlank="1" showInputMessage="1" showErrorMessage="1">
          <x14:formula1>
            <xm:f>'!System'!$U$2:$U$16</xm:f>
          </x14:formula1>
          <xm:sqref>I67</xm:sqref>
        </x14:dataValidation>
        <x14:dataValidation type="list" allowBlank="1" showInputMessage="1" showErrorMessage="1">
          <x14:formula1>
            <xm:f>'!System'!$T$2:$T$17</xm:f>
          </x14:formula1>
          <xm:sqref>I68</xm:sqref>
        </x14:dataValidation>
        <x14:dataValidation type="list" allowBlank="1" showInputMessage="1" showErrorMessage="1">
          <x14:formula1>
            <xm:f>'!System'!$T$2:$T$17</xm:f>
          </x14:formula1>
          <xm:sqref>I69</xm:sqref>
        </x14:dataValidation>
        <x14:dataValidation type="list" allowBlank="1" showInputMessage="1" showErrorMessage="1">
          <x14:formula1>
            <xm:f>'!System'!$U$2:$U$16</xm:f>
          </x14:formula1>
          <xm:sqref>I70</xm:sqref>
        </x14:dataValidation>
        <x14:dataValidation type="list" allowBlank="1" showInputMessage="1" showErrorMessage="1">
          <x14:formula1>
            <xm:f>'!System'!$Q$3:$Q$15</xm:f>
          </x14:formula1>
          <xm:sqref>M72</xm:sqref>
        </x14:dataValidation>
        <x14:dataValidation type="list" allowBlank="1" showInputMessage="1" showErrorMessage="1">
          <x14:formula1>
            <xm:f>'!System'!$T$2:$T$17</xm:f>
          </x14:formula1>
          <xm:sqref>I75</xm:sqref>
        </x14:dataValidation>
        <x14:dataValidation type="list" allowBlank="1" showInputMessage="1" showErrorMessage="1">
          <x14:formula1>
            <xm:f>'!System'!$T$2:$T$17</xm:f>
          </x14:formula1>
          <xm:sqref>I76</xm:sqref>
        </x14:dataValidation>
        <x14:dataValidation type="list" allowBlank="1" showInputMessage="1" showErrorMessage="1">
          <x14:formula1>
            <xm:f>'!System'!$U$2:$U$16</xm:f>
          </x14:formula1>
          <xm:sqref>I77</xm:sqref>
        </x14:dataValidation>
        <x14:dataValidation type="list" allowBlank="1" showInputMessage="1" showErrorMessage="1">
          <x14:formula1>
            <xm:f>'!System'!$U$2:$U$16</xm:f>
          </x14:formula1>
          <xm:sqref>I78</xm:sqref>
        </x14:dataValidation>
        <x14:dataValidation type="list" allowBlank="1" showInputMessage="1" showErrorMessage="1">
          <x14:formula1>
            <xm:f>'!System'!$T$2:$T$17</xm:f>
          </x14:formula1>
          <xm:sqref>I79</xm:sqref>
        </x14:dataValidation>
        <x14:dataValidation type="list" allowBlank="1" showInputMessage="1" showErrorMessage="1">
          <x14:formula1>
            <xm:f>'!System'!$T$2:$T$17</xm:f>
          </x14:formula1>
          <xm:sqref>I80</xm:sqref>
        </x14:dataValidation>
        <x14:dataValidation type="list" allowBlank="1" showInputMessage="1" showErrorMessage="1">
          <x14:formula1>
            <xm:f>'!System'!$T$2:$T$17</xm:f>
          </x14:formula1>
          <xm:sqref>I81</xm:sqref>
        </x14:dataValidation>
        <x14:dataValidation type="list" allowBlank="1" showInputMessage="1" showErrorMessage="1">
          <x14:formula1>
            <xm:f>'!System'!$T$2:$T$17</xm:f>
          </x14:formula1>
          <xm:sqref>I82</xm:sqref>
        </x14:dataValidation>
        <x14:dataValidation type="list" allowBlank="1" showInputMessage="1" showErrorMessage="1">
          <x14:formula1>
            <xm:f>'!System'!$T$2:$T$17</xm:f>
          </x14:formula1>
          <xm:sqref>I83</xm:sqref>
        </x14:dataValidation>
        <x14:dataValidation type="list" allowBlank="1" showInputMessage="1" showErrorMessage="1">
          <x14:formula1>
            <xm:f>'!System'!$T$2:$T$17</xm:f>
          </x14:formula1>
          <xm:sqref>I84</xm:sqref>
        </x14:dataValidation>
        <x14:dataValidation type="list" allowBlank="1" showInputMessage="1" showErrorMessage="1">
          <x14:formula1>
            <xm:f>'!System'!$U$2:$U$16</xm:f>
          </x14:formula1>
          <xm:sqref>I85</xm:sqref>
        </x14:dataValidation>
        <x14:dataValidation type="list" allowBlank="1" showInputMessage="1" showErrorMessage="1">
          <x14:formula1>
            <xm:f>'!System'!$Q$3:$Q$15</xm:f>
          </x14:formula1>
          <xm:sqref>M88</xm:sqref>
        </x14:dataValidation>
        <x14:dataValidation type="list" allowBlank="1" showInputMessage="1" showErrorMessage="1">
          <x14:formula1>
            <xm:f>'!System'!$T$2:$T$17</xm:f>
          </x14:formula1>
          <xm:sqref>I94</xm:sqref>
        </x14:dataValidation>
        <x14:dataValidation type="list" allowBlank="1" showInputMessage="1" showErrorMessage="1">
          <x14:formula1>
            <xm:f>'!System'!$U$2:$U$16</xm:f>
          </x14:formula1>
          <xm:sqref>I95</xm:sqref>
        </x14:dataValidation>
        <x14:dataValidation type="list" allowBlank="1" showInputMessage="1" showErrorMessage="1">
          <x14:formula1>
            <xm:f>'!System'!$T$2:$T$17</xm:f>
          </x14:formula1>
          <xm:sqref>I96</xm:sqref>
        </x14:dataValidation>
        <x14:dataValidation type="list" allowBlank="1" showInputMessage="1" showErrorMessage="1">
          <x14:formula1>
            <xm:f>'!System'!$T$2:$T$17</xm:f>
          </x14:formula1>
          <xm:sqref>I97</xm:sqref>
        </x14:dataValidation>
        <x14:dataValidation type="list" allowBlank="1" showInputMessage="1" showErrorMessage="1">
          <x14:formula1>
            <xm:f>'!System'!$T$2:$T$17</xm:f>
          </x14:formula1>
          <xm:sqref>I98</xm:sqref>
        </x14:dataValidation>
        <x14:dataValidation type="list" allowBlank="1" showInputMessage="1" showErrorMessage="1">
          <x14:formula1>
            <xm:f>'!System'!$T$2:$T$17</xm:f>
          </x14:formula1>
          <xm:sqref>I99</xm:sqref>
        </x14:dataValidation>
        <x14:dataValidation type="list" allowBlank="1" showInputMessage="1" showErrorMessage="1">
          <x14:formula1>
            <xm:f>'!System'!$Q$3:$Q$15</xm:f>
          </x14:formula1>
          <xm:sqref>M102</xm:sqref>
        </x14:dataValidation>
        <x14:dataValidation type="list" allowBlank="1" showInputMessage="1" showErrorMessage="1">
          <x14:formula1>
            <xm:f>'!System'!$T$2:$T$17</xm:f>
          </x14:formula1>
          <xm:sqref>I106</xm:sqref>
        </x14:dataValidation>
        <x14:dataValidation type="list" allowBlank="1" showInputMessage="1" showErrorMessage="1">
          <x14:formula1>
            <xm:f>'!System'!$U$2:$U$16</xm:f>
          </x14:formula1>
          <xm:sqref>I107</xm:sqref>
        </x14:dataValidation>
        <x14:dataValidation type="list" allowBlank="1" showInputMessage="1" showErrorMessage="1">
          <x14:formula1>
            <xm:f>'!System'!$T$2:$T$17</xm:f>
          </x14:formula1>
          <xm:sqref>I108</xm:sqref>
        </x14:dataValidation>
        <x14:dataValidation type="list" allowBlank="1" showInputMessage="1" showErrorMessage="1">
          <x14:formula1>
            <xm:f>'!System'!$T$2:$T$17</xm:f>
          </x14:formula1>
          <xm:sqref>I109</xm:sqref>
        </x14:dataValidation>
        <x14:dataValidation type="list" allowBlank="1" showInputMessage="1" showErrorMessage="1">
          <x14:formula1>
            <xm:f>'!System'!$T$2:$T$17</xm:f>
          </x14:formula1>
          <xm:sqref>I110</xm:sqref>
        </x14:dataValidation>
        <x14:dataValidation type="list" allowBlank="1" showInputMessage="1" showErrorMessage="1">
          <x14:formula1>
            <xm:f>'!System'!$T$2:$T$17</xm:f>
          </x14:formula1>
          <xm:sqref>I111</xm:sqref>
        </x14:dataValidation>
        <x14:dataValidation type="list" allowBlank="1" showInputMessage="1" showErrorMessage="1">
          <x14:formula1>
            <xm:f>'!System'!$Q$3:$Q$15</xm:f>
          </x14:formula1>
          <xm:sqref>M114</xm:sqref>
        </x14:dataValidation>
        <x14:dataValidation type="list" allowBlank="1" showInputMessage="1" showErrorMessage="1">
          <x14:formula1>
            <xm:f>'!System'!$T$2:$T$17</xm:f>
          </x14:formula1>
          <xm:sqref>I118</xm:sqref>
        </x14:dataValidation>
        <x14:dataValidation type="list" allowBlank="1" showInputMessage="1" showErrorMessage="1">
          <x14:formula1>
            <xm:f>'!System'!$U$2:$U$16</xm:f>
          </x14:formula1>
          <xm:sqref>I119</xm:sqref>
        </x14:dataValidation>
        <x14:dataValidation type="list" allowBlank="1" showInputMessage="1" showErrorMessage="1">
          <x14:formula1>
            <xm:f>'!System'!$T$2:$T$17</xm:f>
          </x14:formula1>
          <xm:sqref>I120</xm:sqref>
        </x14:dataValidation>
        <x14:dataValidation type="list" allowBlank="1" showInputMessage="1" showErrorMessage="1">
          <x14:formula1>
            <xm:f>'!System'!$T$2:$T$17</xm:f>
          </x14:formula1>
          <xm:sqref>I121</xm:sqref>
        </x14:dataValidation>
        <x14:dataValidation type="list" allowBlank="1" showInputMessage="1" showErrorMessage="1">
          <x14:formula1>
            <xm:f>'!System'!$T$2:$T$17</xm:f>
          </x14:formula1>
          <xm:sqref>I122</xm:sqref>
        </x14:dataValidation>
        <x14:dataValidation type="list" allowBlank="1" showInputMessage="1" showErrorMessage="1">
          <x14:formula1>
            <xm:f>'!System'!$T$2:$T$17</xm:f>
          </x14:formula1>
          <xm:sqref>I123</xm:sqref>
        </x14:dataValidation>
        <x14:dataValidation type="list" allowBlank="1" showInputMessage="1" showErrorMessage="1">
          <x14:formula1>
            <xm:f>'!System'!$Q$3:$Q$15</xm:f>
          </x14:formula1>
          <xm:sqref>M126</xm:sqref>
        </x14:dataValidation>
        <x14:dataValidation type="list" allowBlank="1" showInputMessage="1" showErrorMessage="1">
          <x14:formula1>
            <xm:f>'!System'!$T$2:$T$17</xm:f>
          </x14:formula1>
          <xm:sqref>I130</xm:sqref>
        </x14:dataValidation>
        <x14:dataValidation type="list" allowBlank="1" showInputMessage="1" showErrorMessage="1">
          <x14:formula1>
            <xm:f>'!System'!$T$2:$T$17</xm:f>
          </x14:formula1>
          <xm:sqref>I131</xm:sqref>
        </x14:dataValidation>
        <x14:dataValidation type="list" allowBlank="1" showInputMessage="1" showErrorMessage="1">
          <x14:formula1>
            <xm:f>'!System'!$U$2:$U$16</xm:f>
          </x14:formula1>
          <xm:sqref>I132</xm:sqref>
        </x14:dataValidation>
        <x14:dataValidation type="list" allowBlank="1" showInputMessage="1" showErrorMessage="1">
          <x14:formula1>
            <xm:f>'!System'!$U$2:$U$16</xm:f>
          </x14:formula1>
          <xm:sqref>I133</xm:sqref>
        </x14:dataValidation>
        <x14:dataValidation type="list" allowBlank="1" showInputMessage="1" showErrorMessage="1">
          <x14:formula1>
            <xm:f>'!System'!$T$2:$T$17</xm:f>
          </x14:formula1>
          <xm:sqref>I134</xm:sqref>
        </x14:dataValidation>
        <x14:dataValidation type="list" allowBlank="1" showInputMessage="1" showErrorMessage="1">
          <x14:formula1>
            <xm:f>'!System'!$T$2:$T$17</xm:f>
          </x14:formula1>
          <xm:sqref>I135</xm:sqref>
        </x14:dataValidation>
        <x14:dataValidation type="list" allowBlank="1" showInputMessage="1" showErrorMessage="1">
          <x14:formula1>
            <xm:f>'!System'!$T$2:$T$17</xm:f>
          </x14:formula1>
          <xm:sqref>I136</xm:sqref>
        </x14:dataValidation>
        <x14:dataValidation type="list" allowBlank="1" showInputMessage="1" showErrorMessage="1">
          <x14:formula1>
            <xm:f>'!System'!$T$2:$T$17</xm:f>
          </x14:formula1>
          <xm:sqref>I137</xm:sqref>
        </x14:dataValidation>
        <x14:dataValidation type="list" allowBlank="1" showInputMessage="1" showErrorMessage="1">
          <x14:formula1>
            <xm:f>'!System'!$U$2:$U$16</xm:f>
          </x14:formula1>
          <xm:sqref>I138</xm:sqref>
        </x14:dataValidation>
        <x14:dataValidation type="list" allowBlank="1" showInputMessage="1" showErrorMessage="1">
          <x14:formula1>
            <xm:f>'!System'!$Q$3:$Q$15</xm:f>
          </x14:formula1>
          <xm:sqref>M141</xm:sqref>
        </x14:dataValidation>
        <x14:dataValidation type="list" allowBlank="1" showInputMessage="1" showErrorMessage="1">
          <x14:formula1>
            <xm:f>'!System'!$T$2:$T$17</xm:f>
          </x14:formula1>
          <xm:sqref>I145</xm:sqref>
        </x14:dataValidation>
        <x14:dataValidation type="list" allowBlank="1" showInputMessage="1" showErrorMessage="1">
          <x14:formula1>
            <xm:f>'!System'!$T$2:$T$17</xm:f>
          </x14:formula1>
          <xm:sqref>I146</xm:sqref>
        </x14:dataValidation>
        <x14:dataValidation type="list" allowBlank="1" showInputMessage="1" showErrorMessage="1">
          <x14:formula1>
            <xm:f>'!System'!$U$2:$U$16</xm:f>
          </x14:formula1>
          <xm:sqref>I147</xm:sqref>
        </x14:dataValidation>
        <x14:dataValidation type="list" allowBlank="1" showInputMessage="1" showErrorMessage="1">
          <x14:formula1>
            <xm:f>'!System'!$U$2:$U$16</xm:f>
          </x14:formula1>
          <xm:sqref>I148</xm:sqref>
        </x14:dataValidation>
        <x14:dataValidation type="list" allowBlank="1" showInputMessage="1" showErrorMessage="1">
          <x14:formula1>
            <xm:f>'!System'!$T$2:$T$17</xm:f>
          </x14:formula1>
          <xm:sqref>I149</xm:sqref>
        </x14:dataValidation>
        <x14:dataValidation type="list" allowBlank="1" showInputMessage="1" showErrorMessage="1">
          <x14:formula1>
            <xm:f>'!System'!$T$2:$T$17</xm:f>
          </x14:formula1>
          <xm:sqref>I150</xm:sqref>
        </x14:dataValidation>
        <x14:dataValidation type="list" allowBlank="1" showInputMessage="1" showErrorMessage="1">
          <x14:formula1>
            <xm:f>'!System'!$T$2:$T$17</xm:f>
          </x14:formula1>
          <xm:sqref>I151</xm:sqref>
        </x14:dataValidation>
        <x14:dataValidation type="list" allowBlank="1" showInputMessage="1" showErrorMessage="1">
          <x14:formula1>
            <xm:f>'!System'!$T$2:$T$17</xm:f>
          </x14:formula1>
          <xm:sqref>I152</xm:sqref>
        </x14:dataValidation>
        <x14:dataValidation type="list" allowBlank="1" showInputMessage="1" showErrorMessage="1">
          <x14:formula1>
            <xm:f>'!System'!$T$2:$T$17</xm:f>
          </x14:formula1>
          <xm:sqref>I153</xm:sqref>
        </x14:dataValidation>
        <x14:dataValidation type="list" allowBlank="1" showInputMessage="1" showErrorMessage="1">
          <x14:formula1>
            <xm:f>'!System'!$T$2:$T$17</xm:f>
          </x14:formula1>
          <xm:sqref>I154</xm:sqref>
        </x14:dataValidation>
        <x14:dataValidation type="list" allowBlank="1" showInputMessage="1" showErrorMessage="1">
          <x14:formula1>
            <xm:f>'!System'!$U$2:$U$16</xm:f>
          </x14:formula1>
          <xm:sqref>I155</xm:sqref>
        </x14:dataValidation>
        <x14:dataValidation type="list" allowBlank="1" showInputMessage="1" showErrorMessage="1">
          <x14:formula1>
            <xm:f>'!System'!$U$2:$U$16</xm:f>
          </x14:formula1>
          <xm:sqref>I156</xm:sqref>
        </x14:dataValidation>
        <x14:dataValidation type="list" allowBlank="1" showInputMessage="1" showErrorMessage="1">
          <x14:formula1>
            <xm:f>'!System'!$Q$3:$Q$15</xm:f>
          </x14:formula1>
          <xm:sqref>M159</xm:sqref>
        </x14:dataValidation>
        <x14:dataValidation type="list" allowBlank="1" showInputMessage="1" showErrorMessage="1">
          <x14:formula1>
            <xm:f>'!System'!$T$2:$T$17</xm:f>
          </x14:formula1>
          <xm:sqref>I163</xm:sqref>
        </x14:dataValidation>
        <x14:dataValidation type="list" allowBlank="1" showInputMessage="1" showErrorMessage="1">
          <x14:formula1>
            <xm:f>'!System'!$T$2:$T$17</xm:f>
          </x14:formula1>
          <xm:sqref>I164</xm:sqref>
        </x14:dataValidation>
        <x14:dataValidation type="list" allowBlank="1" showInputMessage="1" showErrorMessage="1">
          <x14:formula1>
            <xm:f>'!System'!$U$2:$U$16</xm:f>
          </x14:formula1>
          <xm:sqref>I165</xm:sqref>
        </x14:dataValidation>
        <x14:dataValidation type="list" allowBlank="1" showInputMessage="1" showErrorMessage="1">
          <x14:formula1>
            <xm:f>'!System'!$U$2:$U$16</xm:f>
          </x14:formula1>
          <xm:sqref>I166</xm:sqref>
        </x14:dataValidation>
        <x14:dataValidation type="list" allowBlank="1" showInputMessage="1" showErrorMessage="1">
          <x14:formula1>
            <xm:f>'!System'!$T$2:$T$17</xm:f>
          </x14:formula1>
          <xm:sqref>I167</xm:sqref>
        </x14:dataValidation>
        <x14:dataValidation type="list" allowBlank="1" showInputMessage="1" showErrorMessage="1">
          <x14:formula1>
            <xm:f>'!System'!$T$2:$T$17</xm:f>
          </x14:formula1>
          <xm:sqref>I168</xm:sqref>
        </x14:dataValidation>
        <x14:dataValidation type="list" allowBlank="1" showInputMessage="1" showErrorMessage="1">
          <x14:formula1>
            <xm:f>'!System'!$T$2:$T$17</xm:f>
          </x14:formula1>
          <xm:sqref>I169</xm:sqref>
        </x14:dataValidation>
        <x14:dataValidation type="list" allowBlank="1" showInputMessage="1" showErrorMessage="1">
          <x14:formula1>
            <xm:f>'!System'!$T$2:$T$17</xm:f>
          </x14:formula1>
          <xm:sqref>I170</xm:sqref>
        </x14:dataValidation>
        <x14:dataValidation type="list" allowBlank="1" showInputMessage="1" showErrorMessage="1">
          <x14:formula1>
            <xm:f>'!System'!$T$2:$T$17</xm:f>
          </x14:formula1>
          <xm:sqref>I171</xm:sqref>
        </x14:dataValidation>
        <x14:dataValidation type="list" allowBlank="1" showInputMessage="1" showErrorMessage="1">
          <x14:formula1>
            <xm:f>'!System'!$T$2:$T$17</xm:f>
          </x14:formula1>
          <xm:sqref>I172</xm:sqref>
        </x14:dataValidation>
        <x14:dataValidation type="list" allowBlank="1" showInputMessage="1" showErrorMessage="1">
          <x14:formula1>
            <xm:f>'!System'!$U$2:$U$16</xm:f>
          </x14:formula1>
          <xm:sqref>I173</xm:sqref>
        </x14:dataValidation>
        <x14:dataValidation type="list" allowBlank="1" showInputMessage="1" showErrorMessage="1">
          <x14:formula1>
            <xm:f>'!System'!$U$2:$U$16</xm:f>
          </x14:formula1>
          <xm:sqref>I174</xm:sqref>
        </x14:dataValidation>
        <x14:dataValidation type="list" allowBlank="1" showInputMessage="1" showErrorMessage="1">
          <x14:formula1>
            <xm:f>'!System'!$Q$3:$Q$15</xm:f>
          </x14:formula1>
          <xm:sqref>M177</xm:sqref>
        </x14:dataValidation>
        <x14:dataValidation type="list" allowBlank="1" showInputMessage="1" showErrorMessage="1">
          <x14:formula1>
            <xm:f>'!System'!$T$2:$T$17</xm:f>
          </x14:formula1>
          <xm:sqref>I182</xm:sqref>
        </x14:dataValidation>
        <x14:dataValidation type="list" allowBlank="1" showInputMessage="1" showErrorMessage="1">
          <x14:formula1>
            <xm:f>'!System'!$T$2:$T$17</xm:f>
          </x14:formula1>
          <xm:sqref>I183</xm:sqref>
        </x14:dataValidation>
        <x14:dataValidation type="list" allowBlank="1" showInputMessage="1" showErrorMessage="1">
          <x14:formula1>
            <xm:f>'!System'!$T$2:$T$17</xm:f>
          </x14:formula1>
          <xm:sqref>I184</xm:sqref>
        </x14:dataValidation>
        <x14:dataValidation type="list" allowBlank="1" showInputMessage="1" showErrorMessage="1">
          <x14:formula1>
            <xm:f>'!System'!$T$2:$T$17</xm:f>
          </x14:formula1>
          <xm:sqref>I185</xm:sqref>
        </x14:dataValidation>
        <x14:dataValidation type="list" allowBlank="1" showInputMessage="1" showErrorMessage="1">
          <x14:formula1>
            <xm:f>'!System'!$T$2:$T$17</xm:f>
          </x14:formula1>
          <xm:sqref>I186</xm:sqref>
        </x14:dataValidation>
        <x14:dataValidation type="list" allowBlank="1" showInputMessage="1" showErrorMessage="1">
          <x14:formula1>
            <xm:f>'!System'!$T$2:$T$17</xm:f>
          </x14:formula1>
          <xm:sqref>I187</xm:sqref>
        </x14:dataValidation>
        <x14:dataValidation type="list" allowBlank="1" showInputMessage="1" showErrorMessage="1">
          <x14:formula1>
            <xm:f>'!System'!$U$2:$U$16</xm:f>
          </x14:formula1>
          <xm:sqref>I188</xm:sqref>
        </x14:dataValidation>
        <x14:dataValidation type="list" allowBlank="1" showInputMessage="1" showErrorMessage="1">
          <x14:formula1>
            <xm:f>'!System'!$Q$3:$Q$15</xm:f>
          </x14:formula1>
          <xm:sqref>M191</xm:sqref>
        </x14:dataValidation>
        <x14:dataValidation type="list" allowBlank="1" showInputMessage="1" showErrorMessage="1">
          <x14:formula1>
            <xm:f>'!System'!$T$2:$T$17</xm:f>
          </x14:formula1>
          <xm:sqref>I195</xm:sqref>
        </x14:dataValidation>
        <x14:dataValidation type="list" allowBlank="1" showInputMessage="1" showErrorMessage="1">
          <x14:formula1>
            <xm:f>'!System'!$U$2:$U$16</xm:f>
          </x14:formula1>
          <xm:sqref>I196</xm:sqref>
        </x14:dataValidation>
        <x14:dataValidation type="list" allowBlank="1" showInputMessage="1" showErrorMessage="1">
          <x14:formula1>
            <xm:f>'!System'!$T$2:$T$17</xm:f>
          </x14:formula1>
          <xm:sqref>I197</xm:sqref>
        </x14:dataValidation>
        <x14:dataValidation type="list" allowBlank="1" showInputMessage="1" showErrorMessage="1">
          <x14:formula1>
            <xm:f>'!System'!$T$2:$T$17</xm:f>
          </x14:formula1>
          <xm:sqref>I198</xm:sqref>
        </x14:dataValidation>
        <x14:dataValidation type="list" allowBlank="1" showInputMessage="1" showErrorMessage="1">
          <x14:formula1>
            <xm:f>'!System'!$T$2:$T$17</xm:f>
          </x14:formula1>
          <xm:sqref>I199</xm:sqref>
        </x14:dataValidation>
        <x14:dataValidation type="list" allowBlank="1" showInputMessage="1" showErrorMessage="1">
          <x14:formula1>
            <xm:f>'!System'!$T$2:$T$17</xm:f>
          </x14:formula1>
          <xm:sqref>I200</xm:sqref>
        </x14:dataValidation>
        <x14:dataValidation type="list" allowBlank="1" showInputMessage="1" showErrorMessage="1">
          <x14:formula1>
            <xm:f>'!System'!$Q$3:$Q$15</xm:f>
          </x14:formula1>
          <xm:sqref>M203</xm:sqref>
        </x14:dataValidation>
        <x14:dataValidation type="list" allowBlank="1" showInputMessage="1" showErrorMessage="1">
          <x14:formula1>
            <xm:f>'!System'!$T$2:$T$17</xm:f>
          </x14:formula1>
          <xm:sqref>I209</xm:sqref>
        </x14:dataValidation>
        <x14:dataValidation type="list" allowBlank="1" showInputMessage="1" showErrorMessage="1">
          <x14:formula1>
            <xm:f>'!System'!$U$2:$U$16</xm:f>
          </x14:formula1>
          <xm:sqref>I210</xm:sqref>
        </x14:dataValidation>
        <x14:dataValidation type="list" allowBlank="1" showInputMessage="1" showErrorMessage="1">
          <x14:formula1>
            <xm:f>'!System'!$T$2:$T$17</xm:f>
          </x14:formula1>
          <xm:sqref>I211</xm:sqref>
        </x14:dataValidation>
        <x14:dataValidation type="list" allowBlank="1" showInputMessage="1" showErrorMessage="1">
          <x14:formula1>
            <xm:f>'!System'!$T$2:$T$17</xm:f>
          </x14:formula1>
          <xm:sqref>I212</xm:sqref>
        </x14:dataValidation>
        <x14:dataValidation type="list" allowBlank="1" showInputMessage="1" showErrorMessage="1">
          <x14:formula1>
            <xm:f>'!System'!$T$2:$T$17</xm:f>
          </x14:formula1>
          <xm:sqref>I213</xm:sqref>
        </x14:dataValidation>
        <x14:dataValidation type="list" allowBlank="1" showInputMessage="1" showErrorMessage="1">
          <x14:formula1>
            <xm:f>'!System'!$T$2:$T$17</xm:f>
          </x14:formula1>
          <xm:sqref>I214</xm:sqref>
        </x14:dataValidation>
        <x14:dataValidation type="list" allowBlank="1" showInputMessage="1" showErrorMessage="1">
          <x14:formula1>
            <xm:f>'!System'!$T$2:$T$17</xm:f>
          </x14:formula1>
          <xm:sqref>I215</xm:sqref>
        </x14:dataValidation>
        <x14:dataValidation type="list" allowBlank="1" showInputMessage="1" showErrorMessage="1">
          <x14:formula1>
            <xm:f>'!System'!$T$2:$T$17</xm:f>
          </x14:formula1>
          <xm:sqref>I216</xm:sqref>
        </x14:dataValidation>
        <x14:dataValidation type="list" allowBlank="1" showInputMessage="1" showErrorMessage="1">
          <x14:formula1>
            <xm:f>'!System'!$Q$3:$Q$15</xm:f>
          </x14:formula1>
          <xm:sqref>M219</xm:sqref>
        </x14:dataValidation>
        <x14:dataValidation type="list" allowBlank="1" showInputMessage="1" showErrorMessage="1">
          <x14:formula1>
            <xm:f>'!System'!$T$2:$T$17</xm:f>
          </x14:formula1>
          <xm:sqref>I223</xm:sqref>
        </x14:dataValidation>
        <x14:dataValidation type="list" allowBlank="1" showInputMessage="1" showErrorMessage="1">
          <x14:formula1>
            <xm:f>'!System'!$U$2:$U$16</xm:f>
          </x14:formula1>
          <xm:sqref>I224</xm:sqref>
        </x14:dataValidation>
        <x14:dataValidation type="list" allowBlank="1" showInputMessage="1" showErrorMessage="1">
          <x14:formula1>
            <xm:f>'!System'!$T$2:$T$17</xm:f>
          </x14:formula1>
          <xm:sqref>I225</xm:sqref>
        </x14:dataValidation>
        <x14:dataValidation type="list" allowBlank="1" showInputMessage="1" showErrorMessage="1">
          <x14:formula1>
            <xm:f>'!System'!$T$2:$T$17</xm:f>
          </x14:formula1>
          <xm:sqref>I226</xm:sqref>
        </x14:dataValidation>
        <x14:dataValidation type="list" allowBlank="1" showInputMessage="1" showErrorMessage="1">
          <x14:formula1>
            <xm:f>'!System'!$T$2:$T$17</xm:f>
          </x14:formula1>
          <xm:sqref>I227</xm:sqref>
        </x14:dataValidation>
        <x14:dataValidation type="list" allowBlank="1" showInputMessage="1" showErrorMessage="1">
          <x14:formula1>
            <xm:f>'!System'!$T$2:$T$17</xm:f>
          </x14:formula1>
          <xm:sqref>I228</xm:sqref>
        </x14:dataValidation>
        <x14:dataValidation type="list" allowBlank="1" showInputMessage="1" showErrorMessage="1">
          <x14:formula1>
            <xm:f>'!System'!$T$2:$T$17</xm:f>
          </x14:formula1>
          <xm:sqref>I229</xm:sqref>
        </x14:dataValidation>
        <x14:dataValidation type="list" allowBlank="1" showInputMessage="1" showErrorMessage="1">
          <x14:formula1>
            <xm:f>'!System'!$T$2:$T$17</xm:f>
          </x14:formula1>
          <xm:sqref>I230</xm:sqref>
        </x14:dataValidation>
        <x14:dataValidation type="list" allowBlank="1" showInputMessage="1" showErrorMessage="1">
          <x14:formula1>
            <xm:f>'!System'!$T$2:$T$17</xm:f>
          </x14:formula1>
          <xm:sqref>I231</xm:sqref>
        </x14:dataValidation>
        <x14:dataValidation type="list" allowBlank="1" showInputMessage="1" showErrorMessage="1">
          <x14:formula1>
            <xm:f>'!System'!$T$2:$T$17</xm:f>
          </x14:formula1>
          <xm:sqref>I232</xm:sqref>
        </x14:dataValidation>
        <x14:dataValidation type="list" allowBlank="1" showInputMessage="1" showErrorMessage="1">
          <x14:formula1>
            <xm:f>'!System'!$Q$3:$Q$15</xm:f>
          </x14:formula1>
          <xm:sqref>M235</xm:sqref>
        </x14:dataValidation>
        <x14:dataValidation type="list" allowBlank="1" showInputMessage="1" showErrorMessage="1">
          <x14:formula1>
            <xm:f>'!System'!$T$2:$T$17</xm:f>
          </x14:formula1>
          <xm:sqref>I238</xm:sqref>
        </x14:dataValidation>
        <x14:dataValidation type="list" allowBlank="1" showInputMessage="1" showErrorMessage="1">
          <x14:formula1>
            <xm:f>'!System'!$U$2:$U$16</xm:f>
          </x14:formula1>
          <xm:sqref>I239</xm:sqref>
        </x14:dataValidation>
        <x14:dataValidation type="list" allowBlank="1" showInputMessage="1" showErrorMessage="1">
          <x14:formula1>
            <xm:f>'!System'!$T$2:$T$17</xm:f>
          </x14:formula1>
          <xm:sqref>I240</xm:sqref>
        </x14:dataValidation>
        <x14:dataValidation type="list" allowBlank="1" showInputMessage="1" showErrorMessage="1">
          <x14:formula1>
            <xm:f>'!System'!$T$2:$T$17</xm:f>
          </x14:formula1>
          <xm:sqref>I241</xm:sqref>
        </x14:dataValidation>
        <x14:dataValidation type="list" allowBlank="1" showInputMessage="1" showErrorMessage="1">
          <x14:formula1>
            <xm:f>'!System'!$T$2:$T$17</xm:f>
          </x14:formula1>
          <xm:sqref>I242</xm:sqref>
        </x14:dataValidation>
        <x14:dataValidation type="list" allowBlank="1" showInputMessage="1" showErrorMessage="1">
          <x14:formula1>
            <xm:f>'!System'!$T$2:$T$17</xm:f>
          </x14:formula1>
          <xm:sqref>I243</xm:sqref>
        </x14:dataValidation>
        <x14:dataValidation type="list" allowBlank="1" showInputMessage="1" showErrorMessage="1">
          <x14:formula1>
            <xm:f>'!System'!$T$2:$T$17</xm:f>
          </x14:formula1>
          <xm:sqref>I244</xm:sqref>
        </x14:dataValidation>
        <x14:dataValidation type="list" allowBlank="1" showInputMessage="1" showErrorMessage="1">
          <x14:formula1>
            <xm:f>'!System'!$Q$3:$Q$15</xm:f>
          </x14:formula1>
          <xm:sqref>M247</xm:sqref>
        </x14:dataValidation>
        <x14:dataValidation type="list" allowBlank="1" showInputMessage="1" showErrorMessage="1">
          <x14:formula1>
            <xm:f>'!System'!$T$2:$T$17</xm:f>
          </x14:formula1>
          <xm:sqref>I250</xm:sqref>
        </x14:dataValidation>
        <x14:dataValidation type="list" allowBlank="1" showInputMessage="1" showErrorMessage="1">
          <x14:formula1>
            <xm:f>'!System'!$U$2:$U$16</xm:f>
          </x14:formula1>
          <xm:sqref>I251</xm:sqref>
        </x14:dataValidation>
        <x14:dataValidation type="list" allowBlank="1" showInputMessage="1" showErrorMessage="1">
          <x14:formula1>
            <xm:f>'!System'!$T$2:$T$17</xm:f>
          </x14:formula1>
          <xm:sqref>I252</xm:sqref>
        </x14:dataValidation>
        <x14:dataValidation type="list" allowBlank="1" showInputMessage="1" showErrorMessage="1">
          <x14:formula1>
            <xm:f>'!System'!$T$2:$T$17</xm:f>
          </x14:formula1>
          <xm:sqref>I253</xm:sqref>
        </x14:dataValidation>
        <x14:dataValidation type="list" allowBlank="1" showInputMessage="1" showErrorMessage="1">
          <x14:formula1>
            <xm:f>'!System'!$T$2:$T$17</xm:f>
          </x14:formula1>
          <xm:sqref>I254</xm:sqref>
        </x14:dataValidation>
        <x14:dataValidation type="list" allowBlank="1" showInputMessage="1" showErrorMessage="1">
          <x14:formula1>
            <xm:f>'!System'!$T$2:$T$17</xm:f>
          </x14:formula1>
          <xm:sqref>I255</xm:sqref>
        </x14:dataValidation>
        <x14:dataValidation type="list" allowBlank="1" showInputMessage="1" showErrorMessage="1">
          <x14:formula1>
            <xm:f>'!System'!$T$2:$T$17</xm:f>
          </x14:formula1>
          <xm:sqref>I256</xm:sqref>
        </x14:dataValidation>
        <x14:dataValidation type="list" allowBlank="1" showInputMessage="1" showErrorMessage="1">
          <x14:formula1>
            <xm:f>'!System'!$Q$3:$Q$15</xm:f>
          </x14:formula1>
          <xm:sqref>M259</xm:sqref>
        </x14:dataValidation>
        <x14:dataValidation type="list" allowBlank="1" showInputMessage="1" showErrorMessage="1">
          <x14:formula1>
            <xm:f>'!System'!$T$2:$T$17</xm:f>
          </x14:formula1>
          <xm:sqref>I262</xm:sqref>
        </x14:dataValidation>
        <x14:dataValidation type="list" allowBlank="1" showInputMessage="1" showErrorMessage="1">
          <x14:formula1>
            <xm:f>'!System'!$U$2:$U$16</xm:f>
          </x14:formula1>
          <xm:sqref>I263</xm:sqref>
        </x14:dataValidation>
        <x14:dataValidation type="list" allowBlank="1" showInputMessage="1" showErrorMessage="1">
          <x14:formula1>
            <xm:f>'!System'!$T$2:$T$17</xm:f>
          </x14:formula1>
          <xm:sqref>I264</xm:sqref>
        </x14:dataValidation>
        <x14:dataValidation type="list" allowBlank="1" showInputMessage="1" showErrorMessage="1">
          <x14:formula1>
            <xm:f>'!System'!$T$2:$T$17</xm:f>
          </x14:formula1>
          <xm:sqref>I265</xm:sqref>
        </x14:dataValidation>
        <x14:dataValidation type="list" allowBlank="1" showInputMessage="1" showErrorMessage="1">
          <x14:formula1>
            <xm:f>'!System'!$T$2:$T$17</xm:f>
          </x14:formula1>
          <xm:sqref>I266</xm:sqref>
        </x14:dataValidation>
        <x14:dataValidation type="list" allowBlank="1" showInputMessage="1" showErrorMessage="1">
          <x14:formula1>
            <xm:f>'!System'!$T$2:$T$17</xm:f>
          </x14:formula1>
          <xm:sqref>I267</xm:sqref>
        </x14:dataValidation>
        <x14:dataValidation type="list" allowBlank="1" showInputMessage="1" showErrorMessage="1">
          <x14:formula1>
            <xm:f>'!System'!$T$2:$T$17</xm:f>
          </x14:formula1>
          <xm:sqref>I268</xm:sqref>
        </x14:dataValidation>
        <x14:dataValidation type="list" allowBlank="1" showInputMessage="1" showErrorMessage="1">
          <x14:formula1>
            <xm:f>'!System'!$Q$3:$Q$15</xm:f>
          </x14:formula1>
          <xm:sqref>M271</xm:sqref>
        </x14:dataValidation>
        <x14:dataValidation type="list" allowBlank="1" showInputMessage="1" showErrorMessage="1">
          <x14:formula1>
            <xm:f>'!System'!$T$2:$T$17</xm:f>
          </x14:formula1>
          <xm:sqref>I274</xm:sqref>
        </x14:dataValidation>
        <x14:dataValidation type="list" allowBlank="1" showInputMessage="1" showErrorMessage="1">
          <x14:formula1>
            <xm:f>'!System'!$U$2:$U$16</xm:f>
          </x14:formula1>
          <xm:sqref>I275</xm:sqref>
        </x14:dataValidation>
        <x14:dataValidation type="list" allowBlank="1" showInputMessage="1" showErrorMessage="1">
          <x14:formula1>
            <xm:f>'!System'!$T$2:$T$17</xm:f>
          </x14:formula1>
          <xm:sqref>I276</xm:sqref>
        </x14:dataValidation>
        <x14:dataValidation type="list" allowBlank="1" showInputMessage="1" showErrorMessage="1">
          <x14:formula1>
            <xm:f>'!System'!$T$2:$T$17</xm:f>
          </x14:formula1>
          <xm:sqref>I277</xm:sqref>
        </x14:dataValidation>
        <x14:dataValidation type="list" allowBlank="1" showInputMessage="1" showErrorMessage="1">
          <x14:formula1>
            <xm:f>'!System'!$T$2:$T$17</xm:f>
          </x14:formula1>
          <xm:sqref>I278</xm:sqref>
        </x14:dataValidation>
        <x14:dataValidation type="list" allowBlank="1" showInputMessage="1" showErrorMessage="1">
          <x14:formula1>
            <xm:f>'!System'!$T$2:$T$17</xm:f>
          </x14:formula1>
          <xm:sqref>I279</xm:sqref>
        </x14:dataValidation>
        <x14:dataValidation type="list" allowBlank="1" showInputMessage="1" showErrorMessage="1">
          <x14:formula1>
            <xm:f>'!System'!$T$2:$T$17</xm:f>
          </x14:formula1>
          <xm:sqref>I280</xm:sqref>
        </x14:dataValidation>
        <x14:dataValidation type="list" allowBlank="1" showInputMessage="1" showErrorMessage="1">
          <x14:formula1>
            <xm:f>'!System'!$T$2:$T$17</xm:f>
          </x14:formula1>
          <xm:sqref>I281</xm:sqref>
        </x14:dataValidation>
        <x14:dataValidation type="list" allowBlank="1" showInputMessage="1" showErrorMessage="1">
          <x14:formula1>
            <xm:f>'!System'!$Q$3:$Q$15</xm:f>
          </x14:formula1>
          <xm:sqref>M284</xm:sqref>
        </x14:dataValidation>
        <x14:dataValidation type="list" allowBlank="1" showInputMessage="1" showErrorMessage="1">
          <x14:formula1>
            <xm:f>'!System'!$T$2:$T$17</xm:f>
          </x14:formula1>
          <xm:sqref>I288</xm:sqref>
        </x14:dataValidation>
        <x14:dataValidation type="list" allowBlank="1" showInputMessage="1" showErrorMessage="1">
          <x14:formula1>
            <xm:f>'!System'!$U$2:$U$16</xm:f>
          </x14:formula1>
          <xm:sqref>I289</xm:sqref>
        </x14:dataValidation>
        <x14:dataValidation type="list" allowBlank="1" showInputMessage="1" showErrorMessage="1">
          <x14:formula1>
            <xm:f>'!System'!$T$2:$T$17</xm:f>
          </x14:formula1>
          <xm:sqref>I290</xm:sqref>
        </x14:dataValidation>
        <x14:dataValidation type="list" allowBlank="1" showInputMessage="1" showErrorMessage="1">
          <x14:formula1>
            <xm:f>'!System'!$T$2:$T$17</xm:f>
          </x14:formula1>
          <xm:sqref>I291</xm:sqref>
        </x14:dataValidation>
        <x14:dataValidation type="list" allowBlank="1" showInputMessage="1" showErrorMessage="1">
          <x14:formula1>
            <xm:f>'!System'!$T$2:$T$17</xm:f>
          </x14:formula1>
          <xm:sqref>I292</xm:sqref>
        </x14:dataValidation>
        <x14:dataValidation type="list" allowBlank="1" showInputMessage="1" showErrorMessage="1">
          <x14:formula1>
            <xm:f>'!System'!$T$2:$T$17</xm:f>
          </x14:formula1>
          <xm:sqref>I293</xm:sqref>
        </x14:dataValidation>
        <x14:dataValidation type="list" allowBlank="1" showInputMessage="1" showErrorMessage="1">
          <x14:formula1>
            <xm:f>'!System'!$Q$3:$Q$15</xm:f>
          </x14:formula1>
          <xm:sqref>M296</xm:sqref>
        </x14:dataValidation>
        <x14:dataValidation type="list" allowBlank="1" showInputMessage="1" showErrorMessage="1">
          <x14:formula1>
            <xm:f>'!System'!$T$2:$T$17</xm:f>
          </x14:formula1>
          <xm:sqref>I300</xm:sqref>
        </x14:dataValidation>
        <x14:dataValidation type="list" allowBlank="1" showInputMessage="1" showErrorMessage="1">
          <x14:formula1>
            <xm:f>'!System'!$U$2:$U$16</xm:f>
          </x14:formula1>
          <xm:sqref>I301</xm:sqref>
        </x14:dataValidation>
        <x14:dataValidation type="list" allowBlank="1" showInputMessage="1" showErrorMessage="1">
          <x14:formula1>
            <xm:f>'!System'!$T$2:$T$17</xm:f>
          </x14:formula1>
          <xm:sqref>I302</xm:sqref>
        </x14:dataValidation>
        <x14:dataValidation type="list" allowBlank="1" showInputMessage="1" showErrorMessage="1">
          <x14:formula1>
            <xm:f>'!System'!$T$2:$T$17</xm:f>
          </x14:formula1>
          <xm:sqref>I303</xm:sqref>
        </x14:dataValidation>
        <x14:dataValidation type="list" allowBlank="1" showInputMessage="1" showErrorMessage="1">
          <x14:formula1>
            <xm:f>'!System'!$T$2:$T$17</xm:f>
          </x14:formula1>
          <xm:sqref>I304</xm:sqref>
        </x14:dataValidation>
        <x14:dataValidation type="list" allowBlank="1" showInputMessage="1" showErrorMessage="1">
          <x14:formula1>
            <xm:f>'!System'!$T$2:$T$17</xm:f>
          </x14:formula1>
          <xm:sqref>I305</xm:sqref>
        </x14:dataValidation>
        <x14:dataValidation type="list" allowBlank="1" showInputMessage="1" showErrorMessage="1">
          <x14:formula1>
            <xm:f>'!System'!$Q$3:$Q$15</xm:f>
          </x14:formula1>
          <xm:sqref>M308</xm:sqref>
        </x14:dataValidation>
        <x14:dataValidation type="list" allowBlank="1" showInputMessage="1" showErrorMessage="1">
          <x14:formula1>
            <xm:f>'!System'!$T$2:$T$17</xm:f>
          </x14:formula1>
          <xm:sqref>I313</xm:sqref>
        </x14:dataValidation>
        <x14:dataValidation type="list" allowBlank="1" showInputMessage="1" showErrorMessage="1">
          <x14:formula1>
            <xm:f>'!System'!$U$2:$U$16</xm:f>
          </x14:formula1>
          <xm:sqref>I314</xm:sqref>
        </x14:dataValidation>
        <x14:dataValidation type="list" allowBlank="1" showInputMessage="1" showErrorMessage="1">
          <x14:formula1>
            <xm:f>'!System'!$T$2:$T$17</xm:f>
          </x14:formula1>
          <xm:sqref>I315</xm:sqref>
        </x14:dataValidation>
        <x14:dataValidation type="list" allowBlank="1" showInputMessage="1" showErrorMessage="1">
          <x14:formula1>
            <xm:f>'!System'!$T$2:$T$17</xm:f>
          </x14:formula1>
          <xm:sqref>I316</xm:sqref>
        </x14:dataValidation>
        <x14:dataValidation type="list" allowBlank="1" showInputMessage="1" showErrorMessage="1">
          <x14:formula1>
            <xm:f>'!System'!$T$2:$T$17</xm:f>
          </x14:formula1>
          <xm:sqref>I317</xm:sqref>
        </x14:dataValidation>
        <x14:dataValidation type="list" allowBlank="1" showInputMessage="1" showErrorMessage="1">
          <x14:formula1>
            <xm:f>'!System'!$Q$3:$Q$15</xm:f>
          </x14:formula1>
          <xm:sqref>M320</xm:sqref>
        </x14:dataValidation>
        <x14:dataValidation type="list" allowBlank="1" showInputMessage="1" showErrorMessage="1">
          <x14:formula1>
            <xm:f>'!System'!$T$2:$T$17</xm:f>
          </x14:formula1>
          <xm:sqref>I324</xm:sqref>
        </x14:dataValidation>
        <x14:dataValidation type="list" allowBlank="1" showInputMessage="1" showErrorMessage="1">
          <x14:formula1>
            <xm:f>'!System'!$U$2:$U$16</xm:f>
          </x14:formula1>
          <xm:sqref>I325</xm:sqref>
        </x14:dataValidation>
        <x14:dataValidation type="list" allowBlank="1" showInputMessage="1" showErrorMessage="1">
          <x14:formula1>
            <xm:f>'!System'!$T$2:$T$17</xm:f>
          </x14:formula1>
          <xm:sqref>I326</xm:sqref>
        </x14:dataValidation>
        <x14:dataValidation type="list" allowBlank="1" showInputMessage="1" showErrorMessage="1">
          <x14:formula1>
            <xm:f>'!System'!$T$2:$T$17</xm:f>
          </x14:formula1>
          <xm:sqref>I327</xm:sqref>
        </x14:dataValidation>
        <x14:dataValidation type="list" allowBlank="1" showInputMessage="1" showErrorMessage="1">
          <x14:formula1>
            <xm:f>'!System'!$T$2:$T$17</xm:f>
          </x14:formula1>
          <xm:sqref>I328</xm:sqref>
        </x14:dataValidation>
        <x14:dataValidation type="list" allowBlank="1" showInputMessage="1" showErrorMessage="1">
          <x14:formula1>
            <xm:f>'!System'!$T$2:$T$17</xm:f>
          </x14:formula1>
          <xm:sqref>I329</xm:sqref>
        </x14:dataValidation>
        <x14:dataValidation type="list" allowBlank="1" showInputMessage="1" showErrorMessage="1">
          <x14:formula1>
            <xm:f>'!System'!$T$2:$T$17</xm:f>
          </x14:formula1>
          <xm:sqref>I330</xm:sqref>
        </x14:dataValidation>
        <x14:dataValidation type="list" allowBlank="1" showInputMessage="1" showErrorMessage="1">
          <x14:formula1>
            <xm:f>'!System'!$T$2:$T$17</xm:f>
          </x14:formula1>
          <xm:sqref>I331</xm:sqref>
        </x14:dataValidation>
        <x14:dataValidation type="list" allowBlank="1" showInputMessage="1" showErrorMessage="1">
          <x14:formula1>
            <xm:f>'!System'!$T$2:$T$17</xm:f>
          </x14:formula1>
          <xm:sqref>I332</xm:sqref>
        </x14:dataValidation>
        <x14:dataValidation type="list" allowBlank="1" showInputMessage="1" showErrorMessage="1">
          <x14:formula1>
            <xm:f>'!System'!$T$2:$T$17</xm:f>
          </x14:formula1>
          <xm:sqref>I333</xm:sqref>
        </x14:dataValidation>
        <x14:dataValidation type="list" allowBlank="1" showInputMessage="1" showErrorMessage="1">
          <x14:formula1>
            <xm:f>'!System'!$Q$3:$Q$15</xm:f>
          </x14:formula1>
          <xm:sqref>M336</xm:sqref>
        </x14:dataValidation>
        <x14:dataValidation type="list" allowBlank="1" showInputMessage="1" showErrorMessage="1">
          <x14:formula1>
            <xm:f>'!System'!$T$2:$T$17</xm:f>
          </x14:formula1>
          <xm:sqref>I340</xm:sqref>
        </x14:dataValidation>
        <x14:dataValidation type="list" allowBlank="1" showInputMessage="1" showErrorMessage="1">
          <x14:formula1>
            <xm:f>'!System'!$U$2:$U$16</xm:f>
          </x14:formula1>
          <xm:sqref>I341</xm:sqref>
        </x14:dataValidation>
        <x14:dataValidation type="list" allowBlank="1" showInputMessage="1" showErrorMessage="1">
          <x14:formula1>
            <xm:f>'!System'!$T$2:$T$17</xm:f>
          </x14:formula1>
          <xm:sqref>I342</xm:sqref>
        </x14:dataValidation>
        <x14:dataValidation type="list" allowBlank="1" showInputMessage="1" showErrorMessage="1">
          <x14:formula1>
            <xm:f>'!System'!$T$2:$T$17</xm:f>
          </x14:formula1>
          <xm:sqref>I343</xm:sqref>
        </x14:dataValidation>
        <x14:dataValidation type="list" allowBlank="1" showInputMessage="1" showErrorMessage="1">
          <x14:formula1>
            <xm:f>'!System'!$T$2:$T$17</xm:f>
          </x14:formula1>
          <xm:sqref>I344</xm:sqref>
        </x14:dataValidation>
        <x14:dataValidation type="list" allowBlank="1" showInputMessage="1" showErrorMessage="1">
          <x14:formula1>
            <xm:f>'!System'!$T$2:$T$17</xm:f>
          </x14:formula1>
          <xm:sqref>I345</xm:sqref>
        </x14:dataValidation>
        <x14:dataValidation type="list" allowBlank="1" showInputMessage="1" showErrorMessage="1">
          <x14:formula1>
            <xm:f>'!System'!$T$2:$T$17</xm:f>
          </x14:formula1>
          <xm:sqref>I346</xm:sqref>
        </x14:dataValidation>
        <x14:dataValidation type="list" allowBlank="1" showInputMessage="1" showErrorMessage="1">
          <x14:formula1>
            <xm:f>'!System'!$T$2:$T$17</xm:f>
          </x14:formula1>
          <xm:sqref>I347</xm:sqref>
        </x14:dataValidation>
        <x14:dataValidation type="list" allowBlank="1" showInputMessage="1" showErrorMessage="1">
          <x14:formula1>
            <xm:f>'!System'!$T$2:$T$17</xm:f>
          </x14:formula1>
          <xm:sqref>I348</xm:sqref>
        </x14:dataValidation>
        <x14:dataValidation type="list" allowBlank="1" showInputMessage="1" showErrorMessage="1">
          <x14:formula1>
            <xm:f>'!System'!$Q$3:$Q$15</xm:f>
          </x14:formula1>
          <xm:sqref>M351</xm:sqref>
        </x14:dataValidation>
        <x14:dataValidation type="list" allowBlank="1" showInputMessage="1" showErrorMessage="1">
          <x14:formula1>
            <xm:f>'!System'!$T$2:$T$17</xm:f>
          </x14:formula1>
          <xm:sqref>I355</xm:sqref>
        </x14:dataValidation>
        <x14:dataValidation type="list" allowBlank="1" showInputMessage="1" showErrorMessage="1">
          <x14:formula1>
            <xm:f>'!System'!$U$2:$U$16</xm:f>
          </x14:formula1>
          <xm:sqref>I356</xm:sqref>
        </x14:dataValidation>
        <x14:dataValidation type="list" allowBlank="1" showInputMessage="1" showErrorMessage="1">
          <x14:formula1>
            <xm:f>'!System'!$U$2:$U$16</xm:f>
          </x14:formula1>
          <xm:sqref>I357</xm:sqref>
        </x14:dataValidation>
        <x14:dataValidation type="list" allowBlank="1" showInputMessage="1" showErrorMessage="1">
          <x14:formula1>
            <xm:f>'!System'!$T$2:$T$17</xm:f>
          </x14:formula1>
          <xm:sqref>I358</xm:sqref>
        </x14:dataValidation>
        <x14:dataValidation type="list" allowBlank="1" showInputMessage="1" showErrorMessage="1">
          <x14:formula1>
            <xm:f>'!System'!$T$2:$T$17</xm:f>
          </x14:formula1>
          <xm:sqref>I359</xm:sqref>
        </x14:dataValidation>
        <x14:dataValidation type="list" allowBlank="1" showInputMessage="1" showErrorMessage="1">
          <x14:formula1>
            <xm:f>'!System'!$T$2:$T$17</xm:f>
          </x14:formula1>
          <xm:sqref>I360</xm:sqref>
        </x14:dataValidation>
        <x14:dataValidation type="list" allowBlank="1" showInputMessage="1" showErrorMessage="1">
          <x14:formula1>
            <xm:f>'!System'!$T$2:$T$17</xm:f>
          </x14:formula1>
          <xm:sqref>I361</xm:sqref>
        </x14:dataValidation>
        <x14:dataValidation type="list" allowBlank="1" showInputMessage="1" showErrorMessage="1">
          <x14:formula1>
            <xm:f>'!System'!$U$2:$U$16</xm:f>
          </x14:formula1>
          <xm:sqref>I362</xm:sqref>
        </x14:dataValidation>
        <x14:dataValidation type="list" allowBlank="1" showInputMessage="1" showErrorMessage="1">
          <x14:formula1>
            <xm:f>'!System'!$T$2:$T$17</xm:f>
          </x14:formula1>
          <xm:sqref>I363</xm:sqref>
        </x14:dataValidation>
        <x14:dataValidation type="list" allowBlank="1" showInputMessage="1" showErrorMessage="1">
          <x14:formula1>
            <xm:f>'!System'!$T$2:$T$17</xm:f>
          </x14:formula1>
          <xm:sqref>I364</xm:sqref>
        </x14:dataValidation>
        <x14:dataValidation type="list" allowBlank="1" showInputMessage="1" showErrorMessage="1">
          <x14:formula1>
            <xm:f>'!System'!$Q$3:$Q$15</xm:f>
          </x14:formula1>
          <xm:sqref>M367</xm:sqref>
        </x14:dataValidation>
        <x14:dataValidation type="list" allowBlank="1" showInputMessage="1" showErrorMessage="1">
          <x14:formula1>
            <xm:f>'!System'!$T$2:$T$17</xm:f>
          </x14:formula1>
          <xm:sqref>I371</xm:sqref>
        </x14:dataValidation>
        <x14:dataValidation type="list" allowBlank="1" showInputMessage="1" showErrorMessage="1">
          <x14:formula1>
            <xm:f>'!System'!$U$2:$U$16</xm:f>
          </x14:formula1>
          <xm:sqref>I372</xm:sqref>
        </x14:dataValidation>
        <x14:dataValidation type="list" allowBlank="1" showInputMessage="1" showErrorMessage="1">
          <x14:formula1>
            <xm:f>'!System'!$U$2:$U$16</xm:f>
          </x14:formula1>
          <xm:sqref>I373</xm:sqref>
        </x14:dataValidation>
        <x14:dataValidation type="list" allowBlank="1" showInputMessage="1" showErrorMessage="1">
          <x14:formula1>
            <xm:f>'!System'!$T$2:$T$17</xm:f>
          </x14:formula1>
          <xm:sqref>I374</xm:sqref>
        </x14:dataValidation>
        <x14:dataValidation type="list" allowBlank="1" showInputMessage="1" showErrorMessage="1">
          <x14:formula1>
            <xm:f>'!System'!$T$2:$T$17</xm:f>
          </x14:formula1>
          <xm:sqref>I375</xm:sqref>
        </x14:dataValidation>
        <x14:dataValidation type="list" allowBlank="1" showInputMessage="1" showErrorMessage="1">
          <x14:formula1>
            <xm:f>'!System'!$T$2:$T$17</xm:f>
          </x14:formula1>
          <xm:sqref>I376</xm:sqref>
        </x14:dataValidation>
        <x14:dataValidation type="list" allowBlank="1" showInputMessage="1" showErrorMessage="1">
          <x14:formula1>
            <xm:f>'!System'!$T$2:$T$17</xm:f>
          </x14:formula1>
          <xm:sqref>I377</xm:sqref>
        </x14:dataValidation>
        <x14:dataValidation type="list" allowBlank="1" showInputMessage="1" showErrorMessage="1">
          <x14:formula1>
            <xm:f>'!System'!$U$2:$U$16</xm:f>
          </x14:formula1>
          <xm:sqref>I378</xm:sqref>
        </x14:dataValidation>
        <x14:dataValidation type="list" allowBlank="1" showInputMessage="1" showErrorMessage="1">
          <x14:formula1>
            <xm:f>'!System'!$T$2:$T$17</xm:f>
          </x14:formula1>
          <xm:sqref>I379</xm:sqref>
        </x14:dataValidation>
        <x14:dataValidation type="list" allowBlank="1" showInputMessage="1" showErrorMessage="1">
          <x14:formula1>
            <xm:f>'!System'!$T$2:$T$17</xm:f>
          </x14:formula1>
          <xm:sqref>I380</xm:sqref>
        </x14:dataValidation>
        <x14:dataValidation type="list" allowBlank="1" showInputMessage="1" showErrorMessage="1">
          <x14:formula1>
            <xm:f>'!System'!$Q$3:$Q$15</xm:f>
          </x14:formula1>
          <xm:sqref>M383</xm:sqref>
        </x14:dataValidation>
        <x14:dataValidation type="list" allowBlank="1" showInputMessage="1" showErrorMessage="1">
          <x14:formula1>
            <xm:f>'!System'!$T$2:$T$17</xm:f>
          </x14:formula1>
          <xm:sqref>I386</xm:sqref>
        </x14:dataValidation>
        <x14:dataValidation type="list" allowBlank="1" showInputMessage="1" showErrorMessage="1">
          <x14:formula1>
            <xm:f>'!System'!$U$2:$U$16</xm:f>
          </x14:formula1>
          <xm:sqref>I387</xm:sqref>
        </x14:dataValidation>
        <x14:dataValidation type="list" allowBlank="1" showInputMessage="1" showErrorMessage="1">
          <x14:formula1>
            <xm:f>'!System'!$T$2:$T$17</xm:f>
          </x14:formula1>
          <xm:sqref>I388</xm:sqref>
        </x14:dataValidation>
        <x14:dataValidation type="list" allowBlank="1" showInputMessage="1" showErrorMessage="1">
          <x14:formula1>
            <xm:f>'!System'!$T$2:$T$17</xm:f>
          </x14:formula1>
          <xm:sqref>I389</xm:sqref>
        </x14:dataValidation>
        <x14:dataValidation type="list" allowBlank="1" showInputMessage="1" showErrorMessage="1">
          <x14:formula1>
            <xm:f>'!System'!$T$2:$T$17</xm:f>
          </x14:formula1>
          <xm:sqref>I390</xm:sqref>
        </x14:dataValidation>
        <x14:dataValidation type="list" allowBlank="1" showInputMessage="1" showErrorMessage="1">
          <x14:formula1>
            <xm:f>'!System'!$Q$3:$Q$15</xm:f>
          </x14:formula1>
          <xm:sqref>M393</xm:sqref>
        </x14:dataValidation>
        <x14:dataValidation type="list" allowBlank="1" showInputMessage="1" showErrorMessage="1">
          <x14:formula1>
            <xm:f>'!System'!$T$2:$T$17</xm:f>
          </x14:formula1>
          <xm:sqref>I397</xm:sqref>
        </x14:dataValidation>
        <x14:dataValidation type="list" allowBlank="1" showInputMessage="1" showErrorMessage="1">
          <x14:formula1>
            <xm:f>'!System'!$T$2:$T$17</xm:f>
          </x14:formula1>
          <xm:sqref>I398</xm:sqref>
        </x14:dataValidation>
        <x14:dataValidation type="list" allowBlank="1" showInputMessage="1" showErrorMessage="1">
          <x14:formula1>
            <xm:f>'!System'!$U$2:$U$16</xm:f>
          </x14:formula1>
          <xm:sqref>I399</xm:sqref>
        </x14:dataValidation>
        <x14:dataValidation type="list" allowBlank="1" showInputMessage="1" showErrorMessage="1">
          <x14:formula1>
            <xm:f>'!System'!$U$2:$U$16</xm:f>
          </x14:formula1>
          <xm:sqref>I400</xm:sqref>
        </x14:dataValidation>
        <x14:dataValidation type="list" allowBlank="1" showInputMessage="1" showErrorMessage="1">
          <x14:formula1>
            <xm:f>'!System'!$T$2:$T$17</xm:f>
          </x14:formula1>
          <xm:sqref>I401</xm:sqref>
        </x14:dataValidation>
        <x14:dataValidation type="list" allowBlank="1" showInputMessage="1" showErrorMessage="1">
          <x14:formula1>
            <xm:f>'!System'!$T$2:$T$17</xm:f>
          </x14:formula1>
          <xm:sqref>I402</xm:sqref>
        </x14:dataValidation>
        <x14:dataValidation type="list" allowBlank="1" showInputMessage="1" showErrorMessage="1">
          <x14:formula1>
            <xm:f>'!System'!$T$2:$T$17</xm:f>
          </x14:formula1>
          <xm:sqref>I403</xm:sqref>
        </x14:dataValidation>
        <x14:dataValidation type="list" allowBlank="1" showInputMessage="1" showErrorMessage="1">
          <x14:formula1>
            <xm:f>'!System'!$U$2:$U$16</xm:f>
          </x14:formula1>
          <xm:sqref>I404</xm:sqref>
        </x14:dataValidation>
        <x14:dataValidation type="list" allowBlank="1" showInputMessage="1" showErrorMessage="1">
          <x14:formula1>
            <xm:f>'!System'!$Q$3:$Q$15</xm:f>
          </x14:formula1>
          <xm:sqref>M407</xm:sqref>
        </x14:dataValidation>
        <x14:dataValidation type="list" allowBlank="1" showInputMessage="1" showErrorMessage="1">
          <x14:formula1>
            <xm:f>'!System'!$T$2:$T$17</xm:f>
          </x14:formula1>
          <xm:sqref>I411</xm:sqref>
        </x14:dataValidation>
        <x14:dataValidation type="list" allowBlank="1" showInputMessage="1" showErrorMessage="1">
          <x14:formula1>
            <xm:f>'!System'!$U$2:$U$16</xm:f>
          </x14:formula1>
          <xm:sqref>I412</xm:sqref>
        </x14:dataValidation>
        <x14:dataValidation type="list" allowBlank="1" showInputMessage="1" showErrorMessage="1">
          <x14:formula1>
            <xm:f>'!System'!$T$2:$T$17</xm:f>
          </x14:formula1>
          <xm:sqref>I413</xm:sqref>
        </x14:dataValidation>
        <x14:dataValidation type="list" allowBlank="1" showInputMessage="1" showErrorMessage="1">
          <x14:formula1>
            <xm:f>'!System'!$Q$3:$Q$15</xm:f>
          </x14:formula1>
          <xm:sqref>M416</xm:sqref>
        </x14:dataValidation>
        <x14:dataValidation type="list" allowBlank="1" showInputMessage="1" showErrorMessage="1">
          <x14:formula1>
            <xm:f>'!System'!$T$2:$T$17</xm:f>
          </x14:formula1>
          <xm:sqref>I419</xm:sqref>
        </x14:dataValidation>
        <x14:dataValidation type="list" allowBlank="1" showInputMessage="1" showErrorMessage="1">
          <x14:formula1>
            <xm:f>'!System'!$T$2:$T$17</xm:f>
          </x14:formula1>
          <xm:sqref>I420</xm:sqref>
        </x14:dataValidation>
        <x14:dataValidation type="list" allowBlank="1" showInputMessage="1" showErrorMessage="1">
          <x14:formula1>
            <xm:f>'!System'!$T$2:$T$17</xm:f>
          </x14:formula1>
          <xm:sqref>I421</xm:sqref>
        </x14:dataValidation>
        <x14:dataValidation type="list" allowBlank="1" showInputMessage="1" showErrorMessage="1">
          <x14:formula1>
            <xm:f>'!System'!$U$2:$U$16</xm:f>
          </x14:formula1>
          <xm:sqref>I422</xm:sqref>
        </x14:dataValidation>
        <x14:dataValidation type="list" allowBlank="1" showInputMessage="1" showErrorMessage="1">
          <x14:formula1>
            <xm:f>'!System'!$U$2:$U$16</xm:f>
          </x14:formula1>
          <xm:sqref>I423</xm:sqref>
        </x14:dataValidation>
        <x14:dataValidation type="list" allowBlank="1" showInputMessage="1" showErrorMessage="1">
          <x14:formula1>
            <xm:f>'!System'!$T$2:$T$17</xm:f>
          </x14:formula1>
          <xm:sqref>I424</xm:sqref>
        </x14:dataValidation>
        <x14:dataValidation type="list" allowBlank="1" showInputMessage="1" showErrorMessage="1">
          <x14:formula1>
            <xm:f>'!System'!$T$2:$T$17</xm:f>
          </x14:formula1>
          <xm:sqref>I425</xm:sqref>
        </x14:dataValidation>
        <x14:dataValidation type="list" allowBlank="1" showInputMessage="1" showErrorMessage="1">
          <x14:formula1>
            <xm:f>'!System'!$T$2:$T$17</xm:f>
          </x14:formula1>
          <xm:sqref>I426</xm:sqref>
        </x14:dataValidation>
        <x14:dataValidation type="list" allowBlank="1" showInputMessage="1" showErrorMessage="1">
          <x14:formula1>
            <xm:f>'!System'!$U$2:$U$16</xm:f>
          </x14:formula1>
          <xm:sqref>I427</xm:sqref>
        </x14:dataValidation>
        <x14:dataValidation type="list" allowBlank="1" showInputMessage="1" showErrorMessage="1">
          <x14:formula1>
            <xm:f>'!System'!$T$2:$T$17</xm:f>
          </x14:formula1>
          <xm:sqref>I432</xm:sqref>
        </x14:dataValidation>
        <x14:dataValidation type="list" allowBlank="1" showInputMessage="1" showErrorMessage="1">
          <x14:formula1>
            <xm:f>'!System'!$T$2:$T$17</xm:f>
          </x14:formula1>
          <xm:sqref>I433</xm:sqref>
        </x14:dataValidation>
        <x14:dataValidation type="list" allowBlank="1" showInputMessage="1" showErrorMessage="1">
          <x14:formula1>
            <xm:f>'!System'!$T$2:$T$17</xm:f>
          </x14:formula1>
          <xm:sqref>I434</xm:sqref>
        </x14:dataValidation>
        <x14:dataValidation type="list" allowBlank="1" showInputMessage="1" showErrorMessage="1">
          <x14:formula1>
            <xm:f>'!System'!$T$2:$T$17</xm:f>
          </x14:formula1>
          <xm:sqref>I435</xm:sqref>
        </x14:dataValidation>
        <x14:dataValidation type="list" allowBlank="1" showInputMessage="1" showErrorMessage="1">
          <x14:formula1>
            <xm:f>'!System'!$T$2:$T$17</xm:f>
          </x14:formula1>
          <xm:sqref>I436</xm:sqref>
        </x14:dataValidation>
        <x14:dataValidation type="list" allowBlank="1" showInputMessage="1" showErrorMessage="1">
          <x14:formula1>
            <xm:f>'!System'!$T$2:$T$17</xm:f>
          </x14:formula1>
          <xm:sqref>I437</xm:sqref>
        </x14:dataValidation>
        <x14:dataValidation type="list" allowBlank="1" showInputMessage="1" showErrorMessage="1">
          <x14:formula1>
            <xm:f>'!System'!$U$2:$U$16</xm:f>
          </x14:formula1>
          <xm:sqref>I438</xm:sqref>
        </x14:dataValidation>
        <x14:dataValidation type="list" allowBlank="1" showInputMessage="1" showErrorMessage="1">
          <x14:formula1>
            <xm:f>'!System'!$U$2:$U$16</xm:f>
          </x14:formula1>
          <xm:sqref>I439</xm:sqref>
        </x14:dataValidation>
        <x14:dataValidation type="list" allowBlank="1" showInputMessage="1" showErrorMessage="1">
          <x14:formula1>
            <xm:f>'!System'!$U$2:$U$16</xm:f>
          </x14:formula1>
          <xm:sqref>I440</xm:sqref>
        </x14:dataValidation>
        <x14:dataValidation type="list" allowBlank="1" showInputMessage="1" showErrorMessage="1">
          <x14:formula1>
            <xm:f>'!System'!$U$2:$U$16</xm:f>
          </x14:formula1>
          <xm:sqref>I441</xm:sqref>
        </x14:dataValidation>
        <x14:dataValidation type="list" allowBlank="1" showInputMessage="1" showErrorMessage="1">
          <x14:formula1>
            <xm:f>'!System'!$T$2:$T$17</xm:f>
          </x14:formula1>
          <xm:sqref>I442</xm:sqref>
        </x14:dataValidation>
        <x14:dataValidation type="list" allowBlank="1" showInputMessage="1" showErrorMessage="1">
          <x14:formula1>
            <xm:f>'!System'!$T$2:$T$17</xm:f>
          </x14:formula1>
          <xm:sqref>I443</xm:sqref>
        </x14:dataValidation>
        <x14:dataValidation type="list" allowBlank="1" showInputMessage="1" showErrorMessage="1">
          <x14:formula1>
            <xm:f>'!System'!$T$2:$T$17</xm:f>
          </x14:formula1>
          <xm:sqref>I444</xm:sqref>
        </x14:dataValidation>
        <x14:dataValidation type="list" allowBlank="1" showInputMessage="1" showErrorMessage="1">
          <x14:formula1>
            <xm:f>'!System'!$U$2:$U$16</xm:f>
          </x14:formula1>
          <xm:sqref>I445</xm:sqref>
        </x14:dataValidation>
        <x14:dataValidation type="list" allowBlank="1" showInputMessage="1" showErrorMessage="1">
          <x14:formula1>
            <xm:f>'!System'!$T$2:$T$17</xm:f>
          </x14:formula1>
          <xm:sqref>I446</xm:sqref>
        </x14:dataValidation>
        <x14:dataValidation type="list" allowBlank="1" showInputMessage="1" showErrorMessage="1">
          <x14:formula1>
            <xm:f>'!System'!$T$2:$T$17</xm:f>
          </x14:formula1>
          <xm:sqref>I447</xm:sqref>
        </x14:dataValidation>
        <x14:dataValidation type="list" allowBlank="1" showInputMessage="1" showErrorMessage="1">
          <x14:formula1>
            <xm:f>'!System'!$Q$3:$Q$15</xm:f>
          </x14:formula1>
          <xm:sqref>M450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>
    <tabColor theme="7" tint="0.39997558519241921"/>
  </sheetPr>
  <dimension ref="A1:I22"/>
  <sheetViews>
    <sheetView workbookViewId="0">
      <selection activeCell="E19" sqref="E19:G19"/>
    </sheetView>
  </sheetViews>
  <sheetFormatPr defaultRowHeight="15" x14ac:dyDescent="0.25"/>
  <cols>
    <col min="1" max="1" width="5.42578125" style="16" customWidth="1"/>
    <col min="2" max="2" width="16.28515625" style="16" customWidth="1"/>
    <col min="3" max="3" width="21.7109375" style="16" customWidth="1"/>
    <col min="4" max="4" width="8.140625" style="16" customWidth="1"/>
    <col min="5" max="5" width="21.7109375" style="16" customWidth="1"/>
    <col min="6" max="6" width="8.140625" style="16" customWidth="1"/>
    <col min="7" max="7" width="21.7109375" style="16" customWidth="1"/>
    <col min="8" max="8" width="8.140625" style="16" customWidth="1"/>
    <col min="9" max="9" width="16.28515625" style="16" customWidth="1"/>
    <col min="10" max="16384" width="9.140625" style="16"/>
  </cols>
  <sheetData>
    <row r="1" spans="1:9" ht="16.5" x14ac:dyDescent="0.25">
      <c r="A1" s="110" t="s">
        <v>2369</v>
      </c>
      <c r="B1" s="112" t="s">
        <v>2476</v>
      </c>
      <c r="C1" s="112" t="s">
        <v>2477</v>
      </c>
      <c r="D1" s="112"/>
      <c r="E1" s="112"/>
      <c r="F1" s="112"/>
      <c r="G1" s="112"/>
      <c r="H1" s="112"/>
      <c r="I1" s="98" t="s">
        <v>2478</v>
      </c>
    </row>
    <row r="2" spans="1:9" ht="40.5" x14ac:dyDescent="0.25">
      <c r="A2" s="111"/>
      <c r="B2" s="113"/>
      <c r="C2" s="23" t="s">
        <v>2480</v>
      </c>
      <c r="D2" s="24" t="s">
        <v>2481</v>
      </c>
      <c r="E2" s="23" t="s">
        <v>2482</v>
      </c>
      <c r="F2" s="24" t="s">
        <v>2481</v>
      </c>
      <c r="G2" s="23" t="s">
        <v>2483</v>
      </c>
      <c r="H2" s="24" t="s">
        <v>2481</v>
      </c>
      <c r="I2" s="99"/>
    </row>
    <row r="3" spans="1:9" ht="27" x14ac:dyDescent="0.25">
      <c r="A3" s="100" t="s">
        <v>2493</v>
      </c>
      <c r="B3" s="102" t="s">
        <v>2565</v>
      </c>
      <c r="C3" s="102" t="s">
        <v>2495</v>
      </c>
      <c r="D3" s="106">
        <v>1186.0999999999999</v>
      </c>
      <c r="E3" s="18" t="s">
        <v>2495</v>
      </c>
      <c r="F3" s="26">
        <v>350.90000000000003</v>
      </c>
      <c r="G3" s="18" t="s">
        <v>2495</v>
      </c>
      <c r="H3" s="26">
        <v>168.1</v>
      </c>
      <c r="I3" s="104" t="s">
        <v>2479</v>
      </c>
    </row>
    <row r="4" spans="1:9" ht="22.7" customHeight="1" x14ac:dyDescent="0.25">
      <c r="A4" s="100"/>
      <c r="B4" s="102"/>
      <c r="C4" s="102"/>
      <c r="D4" s="106"/>
      <c r="E4" s="18" t="s">
        <v>2446</v>
      </c>
      <c r="F4" s="26">
        <v>6.2</v>
      </c>
      <c r="G4" s="102" t="s">
        <v>2445</v>
      </c>
      <c r="H4" s="106">
        <v>168.1</v>
      </c>
      <c r="I4" s="104"/>
    </row>
    <row r="5" spans="1:9" ht="22.7" customHeight="1" x14ac:dyDescent="0.25">
      <c r="A5" s="100"/>
      <c r="B5" s="102"/>
      <c r="C5" s="102"/>
      <c r="D5" s="106"/>
      <c r="E5" s="18" t="s">
        <v>2447</v>
      </c>
      <c r="F5" s="26">
        <v>90</v>
      </c>
      <c r="G5" s="102"/>
      <c r="H5" s="106"/>
      <c r="I5" s="104"/>
    </row>
    <row r="6" spans="1:9" ht="22.7" customHeight="1" x14ac:dyDescent="0.25">
      <c r="A6" s="100"/>
      <c r="B6" s="102"/>
      <c r="C6" s="102"/>
      <c r="D6" s="106"/>
      <c r="E6" s="18" t="s">
        <v>2444</v>
      </c>
      <c r="F6" s="26">
        <v>22.2</v>
      </c>
      <c r="G6" s="102"/>
      <c r="H6" s="106"/>
      <c r="I6" s="104"/>
    </row>
    <row r="7" spans="1:9" ht="22.7" customHeight="1" x14ac:dyDescent="0.25">
      <c r="A7" s="100"/>
      <c r="B7" s="102"/>
      <c r="C7" s="102"/>
      <c r="D7" s="106"/>
      <c r="E7" s="18" t="s">
        <v>2453</v>
      </c>
      <c r="F7" s="26">
        <v>6.2</v>
      </c>
      <c r="G7" s="102"/>
      <c r="H7" s="106"/>
      <c r="I7" s="104"/>
    </row>
    <row r="8" spans="1:9" ht="22.7" customHeight="1" x14ac:dyDescent="0.25">
      <c r="A8" s="100"/>
      <c r="B8" s="102"/>
      <c r="C8" s="102"/>
      <c r="D8" s="106"/>
      <c r="E8" s="18" t="s">
        <v>2443</v>
      </c>
      <c r="F8" s="26">
        <v>170.2</v>
      </c>
      <c r="G8" s="102"/>
      <c r="H8" s="106"/>
      <c r="I8" s="104"/>
    </row>
    <row r="9" spans="1:9" ht="22.7" customHeight="1" x14ac:dyDescent="0.25">
      <c r="A9" s="100"/>
      <c r="B9" s="102"/>
      <c r="C9" s="102"/>
      <c r="D9" s="106"/>
      <c r="E9" s="18" t="s">
        <v>2454</v>
      </c>
      <c r="F9" s="26">
        <v>48.2</v>
      </c>
      <c r="G9" s="102"/>
      <c r="H9" s="106"/>
      <c r="I9" s="104"/>
    </row>
    <row r="10" spans="1:9" ht="22.7" customHeight="1" x14ac:dyDescent="0.25">
      <c r="A10" s="100"/>
      <c r="B10" s="102"/>
      <c r="C10" s="102"/>
      <c r="D10" s="106"/>
      <c r="E10" s="102" t="s">
        <v>2451</v>
      </c>
      <c r="F10" s="106">
        <v>8</v>
      </c>
      <c r="G10" s="102"/>
      <c r="H10" s="106"/>
      <c r="I10" s="104"/>
    </row>
    <row r="11" spans="1:9" ht="22.7" customHeight="1" thickBot="1" x14ac:dyDescent="0.3">
      <c r="A11" s="101"/>
      <c r="B11" s="103"/>
      <c r="C11" s="103"/>
      <c r="D11" s="107"/>
      <c r="E11" s="108"/>
      <c r="F11" s="114"/>
      <c r="G11" s="108"/>
      <c r="H11" s="114"/>
      <c r="I11" s="105"/>
    </row>
    <row r="12" spans="1:9" ht="15" customHeight="1" x14ac:dyDescent="0.25">
      <c r="A12" s="115" t="s">
        <v>2491</v>
      </c>
      <c r="B12" s="116"/>
      <c r="C12" s="116"/>
      <c r="D12" s="117"/>
      <c r="E12" s="109" t="s">
        <v>2479</v>
      </c>
      <c r="F12" s="109"/>
      <c r="G12" s="109"/>
      <c r="H12" s="109"/>
      <c r="I12" s="20" t="s">
        <v>2479</v>
      </c>
    </row>
    <row r="13" spans="1:9" ht="15" customHeight="1" x14ac:dyDescent="0.25">
      <c r="A13" s="100" t="s">
        <v>2498</v>
      </c>
      <c r="B13" s="102"/>
      <c r="C13" s="102"/>
      <c r="D13" s="21">
        <v>1186.0999999999999</v>
      </c>
      <c r="E13" s="109" t="s">
        <v>2479</v>
      </c>
      <c r="F13" s="109"/>
      <c r="G13" s="109"/>
      <c r="H13" s="20" t="s">
        <v>2479</v>
      </c>
      <c r="I13" s="20" t="s">
        <v>2479</v>
      </c>
    </row>
    <row r="14" spans="1:9" ht="15" customHeight="1" x14ac:dyDescent="0.25">
      <c r="A14" s="100" t="s">
        <v>2495</v>
      </c>
      <c r="B14" s="102"/>
      <c r="C14" s="102"/>
      <c r="D14" s="21">
        <v>519</v>
      </c>
      <c r="E14" s="109" t="s">
        <v>2479</v>
      </c>
      <c r="F14" s="109"/>
      <c r="G14" s="109"/>
      <c r="H14" s="20" t="s">
        <v>2479</v>
      </c>
      <c r="I14" s="20" t="s">
        <v>2479</v>
      </c>
    </row>
    <row r="15" spans="1:9" ht="15" customHeight="1" x14ac:dyDescent="0.25">
      <c r="A15" s="100" t="s">
        <v>2446</v>
      </c>
      <c r="B15" s="102"/>
      <c r="C15" s="102"/>
      <c r="D15" s="21">
        <v>6.2</v>
      </c>
      <c r="E15" s="109" t="s">
        <v>2479</v>
      </c>
      <c r="F15" s="109"/>
      <c r="G15" s="109"/>
      <c r="H15" s="20" t="s">
        <v>2479</v>
      </c>
      <c r="I15" s="20" t="s">
        <v>2479</v>
      </c>
    </row>
    <row r="16" spans="1:9" ht="15" customHeight="1" x14ac:dyDescent="0.25">
      <c r="A16" s="100" t="s">
        <v>2447</v>
      </c>
      <c r="B16" s="102"/>
      <c r="C16" s="102"/>
      <c r="D16" s="21">
        <v>90</v>
      </c>
      <c r="E16" s="109" t="s">
        <v>2479</v>
      </c>
      <c r="F16" s="109"/>
      <c r="G16" s="109"/>
      <c r="H16" s="20" t="s">
        <v>2479</v>
      </c>
      <c r="I16" s="20" t="s">
        <v>2479</v>
      </c>
    </row>
    <row r="17" spans="1:9" ht="15" customHeight="1" x14ac:dyDescent="0.25">
      <c r="A17" s="100" t="s">
        <v>2444</v>
      </c>
      <c r="B17" s="102"/>
      <c r="C17" s="102"/>
      <c r="D17" s="21">
        <v>22.2</v>
      </c>
      <c r="E17" s="109" t="s">
        <v>2479</v>
      </c>
      <c r="F17" s="109"/>
      <c r="G17" s="109"/>
      <c r="H17" s="20" t="s">
        <v>2479</v>
      </c>
      <c r="I17" s="20" t="s">
        <v>2479</v>
      </c>
    </row>
    <row r="18" spans="1:9" ht="15" customHeight="1" x14ac:dyDescent="0.25">
      <c r="A18" s="100" t="s">
        <v>2453</v>
      </c>
      <c r="B18" s="102"/>
      <c r="C18" s="102"/>
      <c r="D18" s="21">
        <v>6.2</v>
      </c>
      <c r="E18" s="109" t="s">
        <v>2479</v>
      </c>
      <c r="F18" s="109"/>
      <c r="G18" s="109"/>
      <c r="H18" s="20" t="s">
        <v>2479</v>
      </c>
      <c r="I18" s="20" t="s">
        <v>2479</v>
      </c>
    </row>
    <row r="19" spans="1:9" ht="15" customHeight="1" x14ac:dyDescent="0.25">
      <c r="A19" s="100" t="s">
        <v>2443</v>
      </c>
      <c r="B19" s="102"/>
      <c r="C19" s="102"/>
      <c r="D19" s="21">
        <v>170.2</v>
      </c>
      <c r="E19" s="109" t="s">
        <v>2479</v>
      </c>
      <c r="F19" s="109"/>
      <c r="G19" s="109"/>
      <c r="H19" s="20" t="s">
        <v>2479</v>
      </c>
      <c r="I19" s="20" t="s">
        <v>2479</v>
      </c>
    </row>
    <row r="20" spans="1:9" ht="15" customHeight="1" x14ac:dyDescent="0.25">
      <c r="A20" s="100" t="s">
        <v>2454</v>
      </c>
      <c r="B20" s="102"/>
      <c r="C20" s="102"/>
      <c r="D20" s="21">
        <v>48.2</v>
      </c>
      <c r="E20" s="109" t="s">
        <v>2479</v>
      </c>
      <c r="F20" s="109"/>
      <c r="G20" s="109"/>
      <c r="H20" s="20" t="s">
        <v>2479</v>
      </c>
      <c r="I20" s="20" t="s">
        <v>2479</v>
      </c>
    </row>
    <row r="21" spans="1:9" ht="15" customHeight="1" x14ac:dyDescent="0.25">
      <c r="A21" s="100" t="s">
        <v>2451</v>
      </c>
      <c r="B21" s="102"/>
      <c r="C21" s="102"/>
      <c r="D21" s="21">
        <v>8</v>
      </c>
      <c r="E21" s="109" t="s">
        <v>2479</v>
      </c>
      <c r="F21" s="109"/>
      <c r="G21" s="109"/>
      <c r="H21" s="20" t="s">
        <v>2479</v>
      </c>
      <c r="I21" s="20" t="s">
        <v>2479</v>
      </c>
    </row>
    <row r="22" spans="1:9" ht="15" customHeight="1" thickBot="1" x14ac:dyDescent="0.3">
      <c r="A22" s="118" t="s">
        <v>2445</v>
      </c>
      <c r="B22" s="108"/>
      <c r="C22" s="108"/>
      <c r="D22" s="22">
        <v>168.1</v>
      </c>
      <c r="E22" s="109" t="s">
        <v>2479</v>
      </c>
      <c r="F22" s="109"/>
      <c r="G22" s="109"/>
      <c r="H22" s="20" t="s">
        <v>2479</v>
      </c>
      <c r="I22" s="20" t="s">
        <v>2479</v>
      </c>
    </row>
  </sheetData>
  <mergeCells count="35">
    <mergeCell ref="A20:C20"/>
    <mergeCell ref="E20:G20"/>
    <mergeCell ref="A21:C21"/>
    <mergeCell ref="E21:G21"/>
    <mergeCell ref="A22:C22"/>
    <mergeCell ref="E22:G22"/>
    <mergeCell ref="A17:C17"/>
    <mergeCell ref="E17:G17"/>
    <mergeCell ref="A18:C18"/>
    <mergeCell ref="E18:G18"/>
    <mergeCell ref="A19:C19"/>
    <mergeCell ref="E19:G19"/>
    <mergeCell ref="A14:C14"/>
    <mergeCell ref="E14:G14"/>
    <mergeCell ref="A15:C15"/>
    <mergeCell ref="E15:G15"/>
    <mergeCell ref="A16:C16"/>
    <mergeCell ref="E16:G16"/>
    <mergeCell ref="A13:C13"/>
    <mergeCell ref="E13:G13"/>
    <mergeCell ref="A1:A2"/>
    <mergeCell ref="B1:B2"/>
    <mergeCell ref="C1:H1"/>
    <mergeCell ref="F10:F11"/>
    <mergeCell ref="G4:G11"/>
    <mergeCell ref="H4:H11"/>
    <mergeCell ref="A12:D12"/>
    <mergeCell ref="E12:H12"/>
    <mergeCell ref="I1:I2"/>
    <mergeCell ref="A3:A11"/>
    <mergeCell ref="B3:B11"/>
    <mergeCell ref="I3:I11"/>
    <mergeCell ref="C3:C11"/>
    <mergeCell ref="D3:D11"/>
    <mergeCell ref="E10:E11"/>
  </mergeCells>
  <conditionalFormatting sqref="A1:I22">
    <cfRule type="containsText" dxfId="94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tabColor theme="7" tint="0.39997558519241921"/>
  </sheetPr>
  <dimension ref="A1:E33"/>
  <sheetViews>
    <sheetView workbookViewId="0">
      <selection activeCell="E2" sqref="E2:E32"/>
    </sheetView>
  </sheetViews>
  <sheetFormatPr defaultRowHeight="15" x14ac:dyDescent="0.25"/>
  <cols>
    <col min="1" max="1" width="15.7109375" style="1" customWidth="1"/>
    <col min="2" max="2" width="25.7109375" style="1" customWidth="1"/>
    <col min="3" max="5" width="15.7109375" style="1" customWidth="1"/>
    <col min="6" max="16384" width="9.140625" style="1"/>
  </cols>
  <sheetData>
    <row r="1" spans="1:5" ht="49.5" x14ac:dyDescent="0.25">
      <c r="A1" s="75" t="s">
        <v>2734</v>
      </c>
      <c r="B1" s="76" t="s">
        <v>3201</v>
      </c>
      <c r="C1" s="76" t="s">
        <v>3202</v>
      </c>
      <c r="D1" s="76" t="s">
        <v>3203</v>
      </c>
      <c r="E1" s="77" t="s">
        <v>3204</v>
      </c>
    </row>
    <row r="2" spans="1:5" ht="16.5" x14ac:dyDescent="0.25">
      <c r="A2" s="78" t="s">
        <v>2784</v>
      </c>
      <c r="B2" s="64" t="s">
        <v>3209</v>
      </c>
      <c r="C2" s="64">
        <v>3.6150000000000002</v>
      </c>
      <c r="D2" s="64">
        <v>1658.09</v>
      </c>
      <c r="E2" s="65">
        <v>459</v>
      </c>
    </row>
    <row r="3" spans="1:5" ht="16.5" x14ac:dyDescent="0.25">
      <c r="A3" s="78" t="s">
        <v>2805</v>
      </c>
      <c r="B3" s="64" t="s">
        <v>3210</v>
      </c>
      <c r="C3" s="64">
        <v>7.25</v>
      </c>
      <c r="D3" s="64">
        <v>553.41999999999996</v>
      </c>
      <c r="E3" s="65">
        <v>76</v>
      </c>
    </row>
    <row r="4" spans="1:5" ht="16.5" x14ac:dyDescent="0.25">
      <c r="A4" s="78" t="s">
        <v>2760</v>
      </c>
      <c r="B4" s="64" t="s">
        <v>3210</v>
      </c>
      <c r="C4" s="64">
        <v>6.68</v>
      </c>
      <c r="D4" s="64">
        <v>514.73</v>
      </c>
      <c r="E4" s="65">
        <v>77</v>
      </c>
    </row>
    <row r="5" spans="1:5" ht="16.5" x14ac:dyDescent="0.25">
      <c r="A5" s="78" t="s">
        <v>2802</v>
      </c>
      <c r="B5" s="64" t="s">
        <v>3210</v>
      </c>
      <c r="C5" s="64">
        <v>13.484999999999999</v>
      </c>
      <c r="D5" s="64">
        <v>1030.9000000000001</v>
      </c>
      <c r="E5" s="65">
        <v>76</v>
      </c>
    </row>
    <row r="6" spans="1:5" ht="16.5" x14ac:dyDescent="0.25">
      <c r="A6" s="78" t="s">
        <v>2853</v>
      </c>
      <c r="B6" s="64" t="s">
        <v>3210</v>
      </c>
      <c r="C6" s="64">
        <v>6.68</v>
      </c>
      <c r="D6" s="64">
        <v>514.73</v>
      </c>
      <c r="E6" s="65">
        <v>77</v>
      </c>
    </row>
    <row r="7" spans="1:5" ht="16.5" x14ac:dyDescent="0.25">
      <c r="A7" s="78" t="s">
        <v>2823</v>
      </c>
      <c r="B7" s="64" t="s">
        <v>3210</v>
      </c>
      <c r="C7" s="64">
        <v>6.7424999999999997</v>
      </c>
      <c r="D7" s="64">
        <v>515.45000000000005</v>
      </c>
      <c r="E7" s="65">
        <v>76</v>
      </c>
    </row>
    <row r="8" spans="1:5" ht="16.5" x14ac:dyDescent="0.25">
      <c r="A8" s="78" t="s">
        <v>2808</v>
      </c>
      <c r="B8" s="64" t="s">
        <v>3210</v>
      </c>
      <c r="C8" s="64">
        <v>7.25</v>
      </c>
      <c r="D8" s="64">
        <v>551.98</v>
      </c>
      <c r="E8" s="65">
        <v>76</v>
      </c>
    </row>
    <row r="9" spans="1:5" ht="16.5" x14ac:dyDescent="0.25">
      <c r="A9" s="78" t="s">
        <v>2847</v>
      </c>
      <c r="B9" s="64" t="s">
        <v>3210</v>
      </c>
      <c r="C9" s="64">
        <v>6.6174999999999997</v>
      </c>
      <c r="D9" s="64">
        <v>539.11</v>
      </c>
      <c r="E9" s="65">
        <v>81</v>
      </c>
    </row>
    <row r="10" spans="1:5" ht="16.5" x14ac:dyDescent="0.25">
      <c r="A10" s="78" t="s">
        <v>2829</v>
      </c>
      <c r="B10" s="64" t="s">
        <v>3210</v>
      </c>
      <c r="C10" s="64">
        <v>7.1875</v>
      </c>
      <c r="D10" s="64">
        <v>1058.7</v>
      </c>
      <c r="E10" s="65">
        <v>147</v>
      </c>
    </row>
    <row r="11" spans="1:5" ht="16.5" x14ac:dyDescent="0.25">
      <c r="A11" s="78" t="s">
        <v>2838</v>
      </c>
      <c r="B11" s="64" t="s">
        <v>3210</v>
      </c>
      <c r="C11" s="64">
        <v>21.75</v>
      </c>
      <c r="D11" s="64">
        <v>1730.89</v>
      </c>
      <c r="E11" s="65">
        <v>80</v>
      </c>
    </row>
    <row r="12" spans="1:5" ht="16.5" x14ac:dyDescent="0.25">
      <c r="A12" s="78" t="s">
        <v>2841</v>
      </c>
      <c r="B12" s="64" t="s">
        <v>3210</v>
      </c>
      <c r="C12" s="64">
        <v>14.625</v>
      </c>
      <c r="D12" s="64">
        <v>1156.82</v>
      </c>
      <c r="E12" s="65">
        <v>79</v>
      </c>
    </row>
    <row r="13" spans="1:5" ht="16.5" x14ac:dyDescent="0.25">
      <c r="A13" s="78" t="s">
        <v>2835</v>
      </c>
      <c r="B13" s="64" t="s">
        <v>3210</v>
      </c>
      <c r="C13" s="64">
        <v>14.5</v>
      </c>
      <c r="D13" s="64">
        <v>1058.7</v>
      </c>
      <c r="E13" s="65">
        <v>73</v>
      </c>
    </row>
    <row r="14" spans="1:5" ht="16.5" x14ac:dyDescent="0.25">
      <c r="A14" s="78" t="s">
        <v>2850</v>
      </c>
      <c r="B14" s="64" t="s">
        <v>3210</v>
      </c>
      <c r="C14" s="64">
        <v>6.6174999999999997</v>
      </c>
      <c r="D14" s="64">
        <v>540.54999999999995</v>
      </c>
      <c r="E14" s="65">
        <v>82</v>
      </c>
    </row>
    <row r="15" spans="1:5" ht="16.5" x14ac:dyDescent="0.25">
      <c r="A15" s="78" t="s">
        <v>2799</v>
      </c>
      <c r="B15" s="64" t="s">
        <v>3210</v>
      </c>
      <c r="C15" s="64">
        <v>7.8934999999999995</v>
      </c>
      <c r="D15" s="64">
        <v>701.92</v>
      </c>
      <c r="E15" s="65">
        <v>89</v>
      </c>
    </row>
    <row r="16" spans="1:5" ht="16.5" x14ac:dyDescent="0.25">
      <c r="A16" s="78" t="s">
        <v>2774</v>
      </c>
      <c r="B16" s="64" t="s">
        <v>3210</v>
      </c>
      <c r="C16" s="64">
        <v>7.25</v>
      </c>
      <c r="D16" s="64">
        <v>662.8</v>
      </c>
      <c r="E16" s="65">
        <v>91</v>
      </c>
    </row>
    <row r="17" spans="1:5" ht="16.5" x14ac:dyDescent="0.25">
      <c r="A17" s="78" t="s">
        <v>2911</v>
      </c>
      <c r="B17" s="64" t="s">
        <v>3210</v>
      </c>
      <c r="C17" s="64">
        <v>46.047499999999999</v>
      </c>
      <c r="D17" s="64">
        <v>809.17</v>
      </c>
      <c r="E17" s="65">
        <v>18</v>
      </c>
    </row>
    <row r="18" spans="1:5" ht="16.5" x14ac:dyDescent="0.25">
      <c r="A18" s="78" t="s">
        <v>2897</v>
      </c>
      <c r="B18" s="64" t="s">
        <v>3210</v>
      </c>
      <c r="C18" s="64">
        <v>7.25</v>
      </c>
      <c r="D18" s="64">
        <v>862.38</v>
      </c>
      <c r="E18" s="65">
        <v>119</v>
      </c>
    </row>
    <row r="19" spans="1:5" ht="16.5" x14ac:dyDescent="0.25">
      <c r="A19" s="78" t="s">
        <v>2790</v>
      </c>
      <c r="B19" s="64" t="s">
        <v>3210</v>
      </c>
      <c r="C19" s="64">
        <v>14.625</v>
      </c>
      <c r="D19" s="64">
        <v>611.26</v>
      </c>
      <c r="E19" s="65">
        <v>42</v>
      </c>
    </row>
    <row r="20" spans="1:5" ht="16.5" x14ac:dyDescent="0.25">
      <c r="A20" s="78" t="s">
        <v>2908</v>
      </c>
      <c r="B20" s="64" t="s">
        <v>3210</v>
      </c>
      <c r="C20" s="64">
        <v>7.25</v>
      </c>
      <c r="D20" s="64">
        <v>599.72</v>
      </c>
      <c r="E20" s="65">
        <v>83</v>
      </c>
    </row>
    <row r="21" spans="1:5" ht="16.5" x14ac:dyDescent="0.25">
      <c r="A21" s="78" t="s">
        <v>2811</v>
      </c>
      <c r="B21" s="64" t="s">
        <v>3210</v>
      </c>
      <c r="C21" s="64">
        <v>7.3125</v>
      </c>
      <c r="D21" s="64">
        <v>611.26</v>
      </c>
      <c r="E21" s="65">
        <v>84</v>
      </c>
    </row>
    <row r="22" spans="1:5" ht="16.5" x14ac:dyDescent="0.25">
      <c r="A22" s="78" t="s">
        <v>2820</v>
      </c>
      <c r="B22" s="64" t="s">
        <v>3210</v>
      </c>
      <c r="C22" s="64">
        <v>6.6174999999999997</v>
      </c>
      <c r="D22" s="64">
        <v>577.61</v>
      </c>
      <c r="E22" s="65">
        <v>87</v>
      </c>
    </row>
    <row r="23" spans="1:5" ht="16.5" x14ac:dyDescent="0.25">
      <c r="A23" s="78" t="s">
        <v>2796</v>
      </c>
      <c r="B23" s="64" t="s">
        <v>3211</v>
      </c>
      <c r="C23" s="64">
        <v>6.6231</v>
      </c>
      <c r="D23" s="64">
        <v>1683.95</v>
      </c>
      <c r="E23" s="65">
        <v>254</v>
      </c>
    </row>
    <row r="24" spans="1:5" ht="16.5" x14ac:dyDescent="0.25">
      <c r="A24" s="78" t="s">
        <v>2793</v>
      </c>
      <c r="B24" s="64" t="s">
        <v>3212</v>
      </c>
      <c r="C24" s="64">
        <v>6.5975000000000001</v>
      </c>
      <c r="D24" s="64">
        <v>291.98</v>
      </c>
      <c r="E24" s="65">
        <v>44</v>
      </c>
    </row>
    <row r="25" spans="1:5" ht="16.5" x14ac:dyDescent="0.25">
      <c r="A25" s="78" t="s">
        <v>2905</v>
      </c>
      <c r="B25" s="64" t="s">
        <v>3210</v>
      </c>
      <c r="C25" s="64">
        <v>1.885</v>
      </c>
      <c r="D25" s="64">
        <v>291.98</v>
      </c>
      <c r="E25" s="65">
        <v>155</v>
      </c>
    </row>
    <row r="26" spans="1:5" ht="16.5" x14ac:dyDescent="0.25">
      <c r="A26" s="78" t="s">
        <v>2814</v>
      </c>
      <c r="B26" s="64" t="s">
        <v>3210</v>
      </c>
      <c r="C26" s="64">
        <v>7.25</v>
      </c>
      <c r="D26" s="64">
        <v>714.43</v>
      </c>
      <c r="E26" s="65">
        <v>99</v>
      </c>
    </row>
    <row r="27" spans="1:5" ht="16.5" x14ac:dyDescent="0.25">
      <c r="A27" s="78" t="s">
        <v>2817</v>
      </c>
      <c r="B27" s="64" t="s">
        <v>3210</v>
      </c>
      <c r="C27" s="64">
        <v>7.25</v>
      </c>
      <c r="D27" s="64">
        <v>715.15</v>
      </c>
      <c r="E27" s="65">
        <v>99</v>
      </c>
    </row>
    <row r="28" spans="1:5" ht="16.5" x14ac:dyDescent="0.25">
      <c r="A28" s="78" t="s">
        <v>2856</v>
      </c>
      <c r="B28" s="64" t="s">
        <v>3210</v>
      </c>
      <c r="C28" s="64">
        <v>7.3125</v>
      </c>
      <c r="D28" s="64">
        <v>760.02</v>
      </c>
      <c r="E28" s="65">
        <v>104</v>
      </c>
    </row>
    <row r="29" spans="1:5" ht="16.5" x14ac:dyDescent="0.25">
      <c r="A29" s="78" t="s">
        <v>2859</v>
      </c>
      <c r="B29" s="64" t="s">
        <v>3210</v>
      </c>
      <c r="C29" s="64">
        <v>7.125</v>
      </c>
      <c r="D29" s="64">
        <v>760.84</v>
      </c>
      <c r="E29" s="65">
        <v>107</v>
      </c>
    </row>
    <row r="30" spans="1:5" ht="16.5" x14ac:dyDescent="0.25">
      <c r="A30" s="78" t="s">
        <v>2832</v>
      </c>
      <c r="B30" s="64" t="s">
        <v>3210</v>
      </c>
      <c r="C30" s="64">
        <v>7.25</v>
      </c>
      <c r="D30" s="64">
        <v>727.74</v>
      </c>
      <c r="E30" s="65">
        <v>100</v>
      </c>
    </row>
    <row r="31" spans="1:5" ht="16.5" x14ac:dyDescent="0.25">
      <c r="A31" s="78" t="s">
        <v>2844</v>
      </c>
      <c r="B31" s="64" t="s">
        <v>3210</v>
      </c>
      <c r="C31" s="64">
        <v>7.125</v>
      </c>
      <c r="D31" s="64">
        <v>684.18</v>
      </c>
      <c r="E31" s="65">
        <v>96</v>
      </c>
    </row>
    <row r="32" spans="1:5" ht="16.5" x14ac:dyDescent="0.25">
      <c r="A32" s="78" t="s">
        <v>2900</v>
      </c>
      <c r="B32" s="64" t="s">
        <v>3210</v>
      </c>
      <c r="C32" s="64">
        <v>7.25</v>
      </c>
      <c r="D32" s="64">
        <v>763.18999999999994</v>
      </c>
      <c r="E32" s="65">
        <v>105</v>
      </c>
    </row>
    <row r="33" spans="1:5" ht="17.25" thickBot="1" x14ac:dyDescent="0.3">
      <c r="A33" s="79" t="s">
        <v>3146</v>
      </c>
      <c r="B33" s="59" t="s">
        <v>2479</v>
      </c>
      <c r="C33" s="59">
        <v>292.91409999999996</v>
      </c>
      <c r="D33" s="59">
        <v>24253.649999999998</v>
      </c>
      <c r="E33" s="60">
        <v>83</v>
      </c>
    </row>
  </sheetData>
  <conditionalFormatting sqref="A1:E33">
    <cfRule type="containsText" dxfId="93" priority="10" stopIfTrue="1" operator="containsText" text="шт.)">
      <formula>NOT(ISERROR(SEARCH("шт.)",A1)))</formula>
    </cfRule>
    <cfRule type="containsText" dxfId="92" priority="9" stopIfTrue="1" operator="containsText" text=", на ">
      <formula>NOT(ISERROR(SEARCH(", на ",A1)))</formula>
    </cfRule>
    <cfRule type="containsText" dxfId="91" priority="8" stopIfTrue="1" operator="containsText" text=" Материалы ">
      <formula>NOT(ISERROR(SEARCH(" Материалы ",A1)))</formula>
    </cfRule>
    <cfRule type="containsText" dxfId="90" priority="7" stopIfTrue="1" operator="containsText" text=" Сборочные единицы ">
      <formula>NOT(ISERROR(SEARCH(" Сборочные единицы ",A1)))</formula>
    </cfRule>
    <cfRule type="containsText" dxfId="89" priority="6" stopIfTrue="1" operator="containsText" text=" Прокат ">
      <formula>NOT(ISERROR(SEARCH(" Прокат ",A1)))</formula>
    </cfRule>
    <cfRule type="containsText" dxfId="88" priority="5" stopIfTrue="1" operator="containsText" text=" Изделия ">
      <formula>NOT(ISERROR(SEARCH(" Изделия ",A1)))</formula>
    </cfRule>
    <cfRule type="containsText" dxfId="87" priority="4" stopIfTrue="1" operator="containsText" text="!!!">
      <formula>NOT(ISERROR(SEARCH("!!!",A1)))</formula>
    </cfRule>
    <cfRule type="containsText" dxfId="86" priority="3" stopIfTrue="1" operator="containsText" text="ИЗ ФАЙЛА">
      <formula>NOT(ISERROR(SEARCH("ИЗ ФАЙЛА",A1)))</formula>
    </cfRule>
    <cfRule type="containsText" dxfId="85" priority="2" stopIfTrue="1" operator="containsText" text="С ЛИСТА">
      <formula>NOT(ISERROR(SEARCH("С ЛИСТА",A1)))</formula>
    </cfRule>
  </conditionalFormatting>
  <conditionalFormatting sqref="E2:E3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4">
    <tabColor theme="7" tint="0.39997558519241921"/>
  </sheetPr>
  <dimension ref="A1:AR35"/>
  <sheetViews>
    <sheetView zoomScale="85" zoomScaleNormal="85" workbookViewId="0">
      <selection activeCell="I23" sqref="I23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44" ht="16.5" x14ac:dyDescent="0.25">
      <c r="A1" s="96" t="s">
        <v>2733</v>
      </c>
      <c r="B1" s="90" t="s">
        <v>2734</v>
      </c>
      <c r="C1" s="90" t="s">
        <v>2735</v>
      </c>
      <c r="D1" s="90" t="s">
        <v>2736</v>
      </c>
      <c r="E1" s="90" t="s">
        <v>2737</v>
      </c>
      <c r="F1" s="90" t="s">
        <v>2738</v>
      </c>
      <c r="G1" s="90" t="s">
        <v>2739</v>
      </c>
      <c r="H1" s="92" t="s">
        <v>2740</v>
      </c>
      <c r="I1" s="93"/>
      <c r="J1" s="94"/>
      <c r="K1" s="92" t="s">
        <v>2741</v>
      </c>
      <c r="L1" s="93"/>
      <c r="M1" s="93"/>
      <c r="N1" s="93"/>
      <c r="O1" s="93"/>
      <c r="P1" s="93"/>
      <c r="Q1" s="94"/>
      <c r="R1" s="90" t="s">
        <v>2742</v>
      </c>
      <c r="S1" s="92" t="s">
        <v>2743</v>
      </c>
      <c r="T1" s="93"/>
      <c r="U1" s="95"/>
    </row>
    <row r="2" spans="1:44" ht="66" x14ac:dyDescent="0.25">
      <c r="A2" s="97"/>
      <c r="B2" s="91"/>
      <c r="C2" s="91"/>
      <c r="D2" s="91"/>
      <c r="E2" s="91"/>
      <c r="F2" s="91"/>
      <c r="G2" s="91"/>
      <c r="H2" s="66" t="s">
        <v>2744</v>
      </c>
      <c r="I2" s="66" t="s">
        <v>2745</v>
      </c>
      <c r="J2" s="66" t="s">
        <v>2746</v>
      </c>
      <c r="K2" s="66" t="s">
        <v>2747</v>
      </c>
      <c r="L2" s="66" t="s">
        <v>2748</v>
      </c>
      <c r="M2" s="66" t="s">
        <v>2749</v>
      </c>
      <c r="N2" s="66" t="s">
        <v>2750</v>
      </c>
      <c r="O2" s="66" t="s">
        <v>2751</v>
      </c>
      <c r="P2" s="66" t="s">
        <v>2752</v>
      </c>
      <c r="Q2" s="66" t="s">
        <v>2753</v>
      </c>
      <c r="R2" s="91"/>
      <c r="S2" s="66" t="s">
        <v>2754</v>
      </c>
      <c r="T2" s="66" t="s">
        <v>2755</v>
      </c>
      <c r="U2" s="69" t="s">
        <v>2756</v>
      </c>
    </row>
    <row r="3" spans="1:44" ht="16.5" x14ac:dyDescent="0.25">
      <c r="A3" s="39" t="str">
        <f>B8</f>
        <v>Км1.3</v>
      </c>
      <c r="B3" s="40" t="s">
        <v>2757</v>
      </c>
      <c r="C3" s="40" t="s">
        <v>2758</v>
      </c>
      <c r="D3" s="40" t="s">
        <v>2759</v>
      </c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1"/>
    </row>
    <row r="4" spans="1:44" ht="16.5" x14ac:dyDescent="0.25">
      <c r="A4" s="39" t="str">
        <f>A9</f>
        <v>Км1.3</v>
      </c>
      <c r="B4" s="40" t="s">
        <v>2757</v>
      </c>
      <c r="C4" s="40" t="str">
        <f>A3</f>
        <v>Км1.3</v>
      </c>
      <c r="D4" s="40"/>
      <c r="E4" s="40" t="e">
        <f>Сумма_ПоИД(C4,'[1]Из архикада плиты'!A3:G29,1,5)</f>
        <v>#VALUE!</v>
      </c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1"/>
    </row>
    <row r="5" spans="1:44" ht="16.5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</row>
    <row r="6" spans="1:44" ht="16.5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</row>
    <row r="7" spans="1:44" ht="16.5" x14ac:dyDescent="0.25">
      <c r="A7" s="39" t="s">
        <v>2757</v>
      </c>
      <c r="B7" s="40" t="s">
        <v>2757</v>
      </c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1"/>
    </row>
    <row r="8" spans="1:44" ht="16.5" x14ac:dyDescent="0.25">
      <c r="A8" s="43" t="str">
        <f>B8</f>
        <v>Км1.3</v>
      </c>
      <c r="B8" s="44" t="s">
        <v>2760</v>
      </c>
      <c r="C8" s="44"/>
      <c r="D8" s="44" t="s">
        <v>2761</v>
      </c>
      <c r="E8" s="44">
        <v>1</v>
      </c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5"/>
    </row>
    <row r="9" spans="1:44" ht="16.5" x14ac:dyDescent="0.25">
      <c r="A9" s="68" t="str">
        <f>A8</f>
        <v>Км1.3</v>
      </c>
      <c r="B9" s="66">
        <v>1</v>
      </c>
      <c r="C9" s="66" t="s">
        <v>2762</v>
      </c>
      <c r="D9" s="66" t="s">
        <v>2763</v>
      </c>
      <c r="E9" s="66">
        <v>4</v>
      </c>
      <c r="F9" s="40">
        <v>2.984</v>
      </c>
      <c r="G9" s="66"/>
      <c r="H9" s="66">
        <v>5070</v>
      </c>
      <c r="I9" s="66">
        <v>22</v>
      </c>
      <c r="J9" s="66" t="s">
        <v>2</v>
      </c>
      <c r="K9" s="66"/>
      <c r="L9" s="66"/>
      <c r="M9" s="66"/>
      <c r="N9" s="66"/>
      <c r="O9" s="66"/>
      <c r="P9" s="66"/>
      <c r="Q9" s="66"/>
      <c r="R9" s="66"/>
      <c r="S9" s="66">
        <v>800</v>
      </c>
      <c r="T9" s="66">
        <v>960</v>
      </c>
      <c r="U9" s="69">
        <v>88</v>
      </c>
      <c r="AP9">
        <v>650</v>
      </c>
      <c r="AQ9">
        <v>780</v>
      </c>
      <c r="AR9">
        <v>30</v>
      </c>
    </row>
    <row r="10" spans="1:44" ht="16.5" x14ac:dyDescent="0.25">
      <c r="A10" s="68" t="str">
        <f>A9</f>
        <v>Км1.3</v>
      </c>
      <c r="B10" s="66">
        <v>2</v>
      </c>
      <c r="C10" s="66" t="s">
        <v>2764</v>
      </c>
      <c r="D10" s="66" t="s">
        <v>2765</v>
      </c>
      <c r="E10" s="66">
        <f>38+34+(29*5)+30</f>
        <v>247</v>
      </c>
      <c r="F10" s="40">
        <v>0.39500000000000002</v>
      </c>
      <c r="G10" s="66" t="s">
        <v>0</v>
      </c>
      <c r="H10" s="66">
        <f>420*4+150</f>
        <v>1830</v>
      </c>
      <c r="I10" s="66">
        <v>8</v>
      </c>
      <c r="J10" s="66" t="s">
        <v>1</v>
      </c>
      <c r="K10" s="66"/>
      <c r="L10" s="66"/>
      <c r="M10" s="66"/>
      <c r="N10" s="66"/>
      <c r="O10" s="66"/>
      <c r="P10" s="66"/>
      <c r="Q10" s="66"/>
      <c r="R10" s="66"/>
      <c r="S10" s="66">
        <v>200</v>
      </c>
      <c r="T10" s="66">
        <v>250</v>
      </c>
      <c r="U10" s="69">
        <v>10</v>
      </c>
    </row>
    <row r="11" spans="1:44" ht="16.5" x14ac:dyDescent="0.25">
      <c r="A11" s="68" t="str">
        <f>A10</f>
        <v>Км1.3</v>
      </c>
      <c r="B11" s="66">
        <v>3</v>
      </c>
      <c r="C11" s="66" t="s">
        <v>2762</v>
      </c>
      <c r="D11" s="66" t="s">
        <v>2766</v>
      </c>
      <c r="E11" s="66">
        <v>4</v>
      </c>
      <c r="F11" s="40">
        <v>2.4660000000000002</v>
      </c>
      <c r="G11" s="66"/>
      <c r="H11" s="66">
        <v>4500</v>
      </c>
      <c r="I11" s="66">
        <v>20</v>
      </c>
      <c r="J11" s="66" t="s">
        <v>2</v>
      </c>
      <c r="K11" s="66"/>
      <c r="L11" s="66"/>
      <c r="M11" s="66"/>
      <c r="N11" s="66"/>
      <c r="O11" s="66"/>
      <c r="P11" s="66"/>
      <c r="Q11" s="66"/>
      <c r="R11" s="66"/>
      <c r="S11" s="66">
        <v>725</v>
      </c>
      <c r="T11" s="66">
        <v>870</v>
      </c>
      <c r="U11" s="69">
        <v>80</v>
      </c>
      <c r="AP11">
        <v>970</v>
      </c>
      <c r="AQ11">
        <v>1165</v>
      </c>
      <c r="AR11">
        <v>45</v>
      </c>
    </row>
    <row r="12" spans="1:44" ht="16.5" x14ac:dyDescent="0.25">
      <c r="A12" s="68" t="str">
        <f>A11</f>
        <v>Км1.3</v>
      </c>
      <c r="B12" s="66">
        <v>4</v>
      </c>
      <c r="C12" s="66" t="s">
        <v>2762</v>
      </c>
      <c r="D12" s="66" t="s">
        <v>2767</v>
      </c>
      <c r="E12" s="66">
        <f>4*5</f>
        <v>20</v>
      </c>
      <c r="F12" s="40">
        <v>2.4660000000000002</v>
      </c>
      <c r="G12" s="66"/>
      <c r="H12" s="66">
        <v>4050</v>
      </c>
      <c r="I12" s="66">
        <v>20</v>
      </c>
      <c r="J12" s="66" t="s">
        <v>2</v>
      </c>
      <c r="K12" s="66"/>
      <c r="L12" s="66"/>
      <c r="M12" s="66"/>
      <c r="N12" s="66"/>
      <c r="O12" s="66"/>
      <c r="P12" s="66"/>
      <c r="Q12" s="66"/>
      <c r="R12" s="66"/>
      <c r="S12" s="66">
        <v>725</v>
      </c>
      <c r="T12" s="66">
        <v>870</v>
      </c>
      <c r="U12" s="69">
        <v>80</v>
      </c>
    </row>
    <row r="13" spans="1:44" ht="16.5" x14ac:dyDescent="0.25">
      <c r="A13" s="68" t="str">
        <f>A12</f>
        <v>Км1.3</v>
      </c>
      <c r="B13" s="66">
        <v>23</v>
      </c>
      <c r="C13" s="66" t="s">
        <v>2762</v>
      </c>
      <c r="D13" s="66" t="s">
        <v>2768</v>
      </c>
      <c r="E13" s="66">
        <v>4</v>
      </c>
      <c r="F13" s="40">
        <v>2.4660000000000002</v>
      </c>
      <c r="G13" s="66"/>
      <c r="H13" s="66">
        <v>2720</v>
      </c>
      <c r="I13" s="66">
        <v>20</v>
      </c>
      <c r="J13" s="66" t="s">
        <v>2</v>
      </c>
      <c r="K13" s="66"/>
      <c r="L13" s="66"/>
      <c r="M13" s="66"/>
      <c r="N13" s="66"/>
      <c r="O13" s="66"/>
      <c r="P13" s="66"/>
      <c r="Q13" s="66"/>
      <c r="R13" s="66"/>
      <c r="S13" s="66">
        <v>725</v>
      </c>
      <c r="T13" s="66">
        <v>870</v>
      </c>
      <c r="U13" s="69">
        <v>80</v>
      </c>
    </row>
    <row r="14" spans="1:44" ht="33" x14ac:dyDescent="0.25">
      <c r="A14" s="68" t="str">
        <f t="shared" ref="A14:A16" si="0">A13</f>
        <v>Км1.3</v>
      </c>
      <c r="B14" s="66"/>
      <c r="C14" s="47" t="s">
        <v>2769</v>
      </c>
      <c r="D14" s="47" t="s">
        <v>2770</v>
      </c>
      <c r="E14" s="47">
        <f>4.82*0.5*0.5</f>
        <v>1.2050000000000001</v>
      </c>
      <c r="F14" s="47" t="s">
        <v>4</v>
      </c>
      <c r="G14" s="47" t="s">
        <v>3</v>
      </c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9"/>
      <c r="AP14">
        <v>865</v>
      </c>
      <c r="AQ14">
        <v>1035</v>
      </c>
      <c r="AR14">
        <v>40</v>
      </c>
    </row>
    <row r="15" spans="1:44" ht="16.5" x14ac:dyDescent="0.25">
      <c r="A15" s="68" t="str">
        <f t="shared" si="0"/>
        <v>Км1.3</v>
      </c>
      <c r="B15" s="66"/>
      <c r="C15" s="47" t="s">
        <v>2769</v>
      </c>
      <c r="D15" s="47" t="s">
        <v>2771</v>
      </c>
      <c r="E15" s="47">
        <f>26.97*0.5*0.5</f>
        <v>6.7424999999999997</v>
      </c>
      <c r="F15" s="47" t="s">
        <v>4</v>
      </c>
      <c r="G15" s="47" t="s">
        <v>3</v>
      </c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6"/>
      <c r="U15" s="69"/>
      <c r="AP15">
        <v>970</v>
      </c>
      <c r="AQ15">
        <v>1165</v>
      </c>
      <c r="AR15">
        <v>45</v>
      </c>
    </row>
    <row r="16" spans="1:44" ht="16.5" x14ac:dyDescent="0.25">
      <c r="A16" s="68" t="str">
        <f t="shared" si="0"/>
        <v>Км1.3</v>
      </c>
      <c r="B16" s="66"/>
      <c r="C16" s="73" t="s">
        <v>2772</v>
      </c>
      <c r="D16" s="73" t="s">
        <v>2773</v>
      </c>
      <c r="E16" s="73">
        <v>4</v>
      </c>
      <c r="F16" s="73">
        <f>0.012*0.12*0.12*7850</f>
        <v>1.3564799999999997</v>
      </c>
      <c r="G16" s="73"/>
      <c r="H16" s="66"/>
      <c r="I16" s="66"/>
      <c r="J16" s="66"/>
      <c r="K16" s="66">
        <f>120*120</f>
        <v>14400</v>
      </c>
      <c r="L16" s="66" t="s">
        <v>2344</v>
      </c>
      <c r="M16" s="85">
        <f>--12</f>
        <v>12</v>
      </c>
      <c r="N16" s="66"/>
      <c r="O16" s="66" t="s">
        <v>2351</v>
      </c>
      <c r="P16" s="66"/>
      <c r="Q16" s="66"/>
      <c r="R16" s="66"/>
      <c r="S16" s="66"/>
      <c r="T16" s="66"/>
      <c r="U16" s="69"/>
      <c r="AP16">
        <v>865</v>
      </c>
      <c r="AQ16">
        <v>1035</v>
      </c>
      <c r="AR16">
        <v>40</v>
      </c>
    </row>
    <row r="17" spans="1:44" ht="16.5" x14ac:dyDescent="0.25">
      <c r="A17" s="68" t="str">
        <f>A16</f>
        <v>Км1.3</v>
      </c>
      <c r="B17" s="66"/>
      <c r="C17" s="66" t="s">
        <v>2772</v>
      </c>
      <c r="D17" s="66" t="s">
        <v>2773</v>
      </c>
      <c r="E17" s="66">
        <v>4</v>
      </c>
      <c r="F17" s="66">
        <f>0.012*0.12*0.12*7850</f>
        <v>1.3564799999999997</v>
      </c>
      <c r="G17" s="66"/>
      <c r="H17" s="66"/>
      <c r="I17" s="66"/>
      <c r="J17" s="66"/>
      <c r="K17" s="66"/>
      <c r="L17" s="66"/>
      <c r="M17" s="66"/>
      <c r="N17" s="66"/>
      <c r="O17" s="66"/>
      <c r="P17" s="66"/>
      <c r="Q17" s="66"/>
      <c r="R17" s="66"/>
      <c r="S17" s="66"/>
      <c r="T17" s="66"/>
      <c r="U17" s="69"/>
      <c r="AP17">
        <v>970</v>
      </c>
      <c r="AQ17">
        <v>1165</v>
      </c>
      <c r="AR17">
        <v>45</v>
      </c>
    </row>
    <row r="18" spans="1:44" ht="16.5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</row>
    <row r="19" spans="1:44" ht="16.5" x14ac:dyDescent="0.25">
      <c r="A19" s="39" t="s">
        <v>2757</v>
      </c>
      <c r="B19" s="40" t="s">
        <v>2757</v>
      </c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1"/>
    </row>
    <row r="20" spans="1:44" ht="33" x14ac:dyDescent="0.25">
      <c r="A20" s="43" t="str">
        <f>B20</f>
        <v>Км12.2</v>
      </c>
      <c r="B20" s="44" t="s">
        <v>2774</v>
      </c>
      <c r="C20" s="44"/>
      <c r="D20" s="44" t="s">
        <v>2775</v>
      </c>
      <c r="E20" s="44">
        <v>1</v>
      </c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5"/>
    </row>
    <row r="21" spans="1:44" ht="33" x14ac:dyDescent="0.25">
      <c r="A21" s="68" t="str">
        <f>A20</f>
        <v>Км12.2</v>
      </c>
      <c r="B21" s="66">
        <v>20</v>
      </c>
      <c r="C21" s="66" t="s">
        <v>2762</v>
      </c>
      <c r="D21" s="66" t="s">
        <v>2763</v>
      </c>
      <c r="E21" s="66">
        <v>4</v>
      </c>
      <c r="F21" s="40">
        <v>2.4660000000000002</v>
      </c>
      <c r="G21" s="66"/>
      <c r="H21" s="66">
        <v>5070</v>
      </c>
      <c r="I21" s="66">
        <v>20</v>
      </c>
      <c r="J21" s="66" t="s">
        <v>2</v>
      </c>
      <c r="K21" s="66"/>
      <c r="L21" s="66"/>
      <c r="M21" s="66"/>
      <c r="N21" s="66"/>
      <c r="O21" s="66"/>
      <c r="P21" s="66"/>
      <c r="Q21" s="66"/>
      <c r="R21" s="66"/>
      <c r="S21" s="66" t="s">
        <v>2776</v>
      </c>
      <c r="T21" s="66" t="s">
        <v>2776</v>
      </c>
      <c r="U21" s="69">
        <v>80</v>
      </c>
    </row>
    <row r="22" spans="1:44" ht="33" x14ac:dyDescent="0.25">
      <c r="A22" s="68" t="str">
        <f>A21</f>
        <v>Км12.2</v>
      </c>
      <c r="B22" s="66">
        <v>9</v>
      </c>
      <c r="C22" s="66" t="s">
        <v>2762</v>
      </c>
      <c r="D22" s="66" t="s">
        <v>2763</v>
      </c>
      <c r="E22" s="66">
        <v>4</v>
      </c>
      <c r="F22" s="40">
        <v>1.208</v>
      </c>
      <c r="G22" s="66" t="s">
        <v>0</v>
      </c>
      <c r="H22" s="66">
        <v>5870</v>
      </c>
      <c r="I22" s="66">
        <v>14</v>
      </c>
      <c r="J22" s="66" t="s">
        <v>2</v>
      </c>
      <c r="K22" s="66"/>
      <c r="L22" s="66"/>
      <c r="M22" s="66"/>
      <c r="N22" s="66"/>
      <c r="O22" s="66"/>
      <c r="P22" s="66"/>
      <c r="Q22" s="66"/>
      <c r="R22" s="66"/>
      <c r="S22" s="66" t="s">
        <v>2776</v>
      </c>
      <c r="T22" s="66" t="s">
        <v>2776</v>
      </c>
      <c r="U22" s="69">
        <v>35</v>
      </c>
    </row>
    <row r="23" spans="1:44" ht="33" x14ac:dyDescent="0.25">
      <c r="A23" s="68" t="str">
        <f>A21</f>
        <v>Км12.2</v>
      </c>
      <c r="B23" s="66">
        <v>13</v>
      </c>
      <c r="C23" s="66" t="s">
        <v>2764</v>
      </c>
      <c r="D23" s="66" t="s">
        <v>2777</v>
      </c>
      <c r="E23" s="66">
        <f>38+34+(29*5)+30</f>
        <v>247</v>
      </c>
      <c r="F23" s="40">
        <v>0.39500000000000002</v>
      </c>
      <c r="G23" s="66" t="s">
        <v>0</v>
      </c>
      <c r="H23" s="66">
        <f>520*4+150</f>
        <v>2230</v>
      </c>
      <c r="I23" s="66">
        <v>8</v>
      </c>
      <c r="J23" s="66" t="s">
        <v>1</v>
      </c>
      <c r="K23" s="66"/>
      <c r="L23" s="66"/>
      <c r="M23" s="66"/>
      <c r="N23" s="66"/>
      <c r="O23" s="66"/>
      <c r="P23" s="66"/>
      <c r="Q23" s="66"/>
      <c r="R23" s="66"/>
      <c r="S23" s="66" t="s">
        <v>2776</v>
      </c>
      <c r="T23" s="66" t="s">
        <v>2776</v>
      </c>
      <c r="U23" s="69">
        <v>10</v>
      </c>
    </row>
    <row r="24" spans="1:44" ht="33" x14ac:dyDescent="0.25">
      <c r="A24" s="68" t="str">
        <f>A22</f>
        <v>Км12.2</v>
      </c>
      <c r="B24" s="66">
        <v>14</v>
      </c>
      <c r="C24" s="66" t="s">
        <v>2764</v>
      </c>
      <c r="D24" s="66" t="s">
        <v>2777</v>
      </c>
      <c r="E24" s="66">
        <f>38+34+(29*5)+30</f>
        <v>247</v>
      </c>
      <c r="F24" s="40">
        <v>0.39500000000000002</v>
      </c>
      <c r="G24" s="66" t="s">
        <v>0</v>
      </c>
      <c r="H24" s="66">
        <f>370*4+150</f>
        <v>1630</v>
      </c>
      <c r="I24" s="66">
        <v>8</v>
      </c>
      <c r="J24" s="66" t="s">
        <v>1</v>
      </c>
      <c r="K24" s="66"/>
      <c r="L24" s="66"/>
      <c r="M24" s="66"/>
      <c r="N24" s="66"/>
      <c r="O24" s="66"/>
      <c r="P24" s="66"/>
      <c r="Q24" s="66"/>
      <c r="R24" s="66"/>
      <c r="S24" s="66" t="s">
        <v>2776</v>
      </c>
      <c r="T24" s="66" t="s">
        <v>2776</v>
      </c>
      <c r="U24" s="69">
        <v>10</v>
      </c>
    </row>
    <row r="25" spans="1:44" ht="33" x14ac:dyDescent="0.25">
      <c r="A25" s="68" t="str">
        <f>A22</f>
        <v>Км12.2</v>
      </c>
      <c r="B25" s="66">
        <v>12</v>
      </c>
      <c r="C25" s="66" t="s">
        <v>2762</v>
      </c>
      <c r="D25" s="66" t="s">
        <v>2766</v>
      </c>
      <c r="E25" s="66">
        <v>4</v>
      </c>
      <c r="F25" s="40">
        <v>1.5780000000000001</v>
      </c>
      <c r="G25" s="66" t="s">
        <v>0</v>
      </c>
      <c r="H25" s="66">
        <v>5970</v>
      </c>
      <c r="I25" s="66">
        <v>16</v>
      </c>
      <c r="J25" s="66" t="s">
        <v>2</v>
      </c>
      <c r="K25" s="66"/>
      <c r="L25" s="66"/>
      <c r="M25" s="66"/>
      <c r="N25" s="66"/>
      <c r="O25" s="66"/>
      <c r="P25" s="66"/>
      <c r="Q25" s="66"/>
      <c r="R25" s="66"/>
      <c r="S25" s="66" t="s">
        <v>2776</v>
      </c>
      <c r="T25" s="66" t="s">
        <v>2776</v>
      </c>
      <c r="U25" s="69">
        <v>40</v>
      </c>
    </row>
    <row r="26" spans="1:44" ht="33" x14ac:dyDescent="0.25">
      <c r="A26" s="68" t="str">
        <f>A23</f>
        <v>Км12.2</v>
      </c>
      <c r="B26" s="66">
        <v>3</v>
      </c>
      <c r="C26" s="66" t="s">
        <v>2762</v>
      </c>
      <c r="D26" s="66" t="s">
        <v>2778</v>
      </c>
      <c r="E26" s="66">
        <v>4</v>
      </c>
      <c r="F26" s="40">
        <v>2.4660000000000002</v>
      </c>
      <c r="G26" s="66"/>
      <c r="H26" s="66">
        <v>4500</v>
      </c>
      <c r="I26" s="66">
        <v>20</v>
      </c>
      <c r="J26" s="66" t="s">
        <v>2</v>
      </c>
      <c r="K26" s="66"/>
      <c r="L26" s="66"/>
      <c r="M26" s="66"/>
      <c r="N26" s="66"/>
      <c r="O26" s="66"/>
      <c r="P26" s="66"/>
      <c r="Q26" s="66"/>
      <c r="R26" s="66"/>
      <c r="S26" s="66" t="s">
        <v>2776</v>
      </c>
      <c r="T26" s="66" t="s">
        <v>2776</v>
      </c>
      <c r="U26" s="69">
        <v>80</v>
      </c>
    </row>
    <row r="27" spans="1:44" ht="33" x14ac:dyDescent="0.25">
      <c r="A27" s="68" t="str">
        <f>A24</f>
        <v>Км12.2</v>
      </c>
      <c r="B27" s="66">
        <v>15</v>
      </c>
      <c r="C27" s="66" t="s">
        <v>2762</v>
      </c>
      <c r="D27" s="66" t="s">
        <v>2779</v>
      </c>
      <c r="E27" s="66">
        <v>4</v>
      </c>
      <c r="F27" s="40">
        <v>1.5780000000000001</v>
      </c>
      <c r="G27" s="66" t="s">
        <v>0</v>
      </c>
      <c r="H27" s="66">
        <v>4870</v>
      </c>
      <c r="I27" s="66">
        <v>16</v>
      </c>
      <c r="J27" s="66" t="s">
        <v>2</v>
      </c>
      <c r="K27" s="66"/>
      <c r="L27" s="66"/>
      <c r="M27" s="66"/>
      <c r="N27" s="66"/>
      <c r="O27" s="66"/>
      <c r="P27" s="66"/>
      <c r="Q27" s="66"/>
      <c r="R27" s="66"/>
      <c r="S27" s="66" t="s">
        <v>2776</v>
      </c>
      <c r="T27" s="66" t="s">
        <v>2776</v>
      </c>
      <c r="U27" s="69">
        <v>40</v>
      </c>
    </row>
    <row r="28" spans="1:44" ht="33" x14ac:dyDescent="0.25">
      <c r="A28" s="68" t="str">
        <f>A25</f>
        <v>Км12.2</v>
      </c>
      <c r="B28" s="66">
        <v>16</v>
      </c>
      <c r="C28" s="66" t="s">
        <v>2762</v>
      </c>
      <c r="D28" s="66" t="s">
        <v>2780</v>
      </c>
      <c r="E28" s="66">
        <v>4</v>
      </c>
      <c r="F28" s="40">
        <v>2.4660000000000002</v>
      </c>
      <c r="G28" s="66"/>
      <c r="H28" s="66">
        <v>4060</v>
      </c>
      <c r="I28" s="66">
        <v>20</v>
      </c>
      <c r="J28" s="66" t="s">
        <v>2</v>
      </c>
      <c r="K28" s="66"/>
      <c r="L28" s="66"/>
      <c r="M28" s="66"/>
      <c r="N28" s="66"/>
      <c r="O28" s="66"/>
      <c r="P28" s="66"/>
      <c r="Q28" s="66"/>
      <c r="R28" s="66"/>
      <c r="S28" s="66" t="s">
        <v>2776</v>
      </c>
      <c r="T28" s="66" t="s">
        <v>2776</v>
      </c>
      <c r="U28" s="69">
        <v>80</v>
      </c>
    </row>
    <row r="29" spans="1:44" ht="33" x14ac:dyDescent="0.25">
      <c r="A29" s="68" t="str">
        <f>A26</f>
        <v>Км12.2</v>
      </c>
      <c r="B29" s="66">
        <v>17</v>
      </c>
      <c r="C29" s="66" t="s">
        <v>2762</v>
      </c>
      <c r="D29" s="66" t="s">
        <v>2780</v>
      </c>
      <c r="E29" s="66">
        <v>4</v>
      </c>
      <c r="F29" s="40">
        <v>1.5780000000000001</v>
      </c>
      <c r="G29" s="66"/>
      <c r="H29" s="66">
        <v>4400</v>
      </c>
      <c r="I29" s="66">
        <v>16</v>
      </c>
      <c r="J29" s="66" t="s">
        <v>2</v>
      </c>
      <c r="K29" s="66"/>
      <c r="L29" s="66"/>
      <c r="M29" s="66"/>
      <c r="N29" s="66"/>
      <c r="O29" s="66"/>
      <c r="P29" s="66"/>
      <c r="Q29" s="66"/>
      <c r="R29" s="66"/>
      <c r="S29" s="66" t="s">
        <v>2776</v>
      </c>
      <c r="T29" s="66" t="s">
        <v>2776</v>
      </c>
      <c r="U29" s="69">
        <v>40</v>
      </c>
    </row>
    <row r="30" spans="1:44" ht="33" x14ac:dyDescent="0.25">
      <c r="A30" s="68" t="str">
        <f>A26</f>
        <v>Км12.2</v>
      </c>
      <c r="B30" s="66">
        <v>4</v>
      </c>
      <c r="C30" s="66" t="s">
        <v>2762</v>
      </c>
      <c r="D30" s="66" t="s">
        <v>2781</v>
      </c>
      <c r="E30" s="66">
        <v>4</v>
      </c>
      <c r="F30" s="40">
        <v>2.4660000000000002</v>
      </c>
      <c r="G30" s="66"/>
      <c r="H30" s="66">
        <v>4050</v>
      </c>
      <c r="I30" s="66">
        <v>20</v>
      </c>
      <c r="J30" s="66" t="s">
        <v>2</v>
      </c>
      <c r="K30" s="66"/>
      <c r="L30" s="66"/>
      <c r="M30" s="66"/>
      <c r="N30" s="66"/>
      <c r="O30" s="66"/>
      <c r="P30" s="66"/>
      <c r="Q30" s="66"/>
      <c r="R30" s="66"/>
      <c r="S30" s="66" t="s">
        <v>2776</v>
      </c>
      <c r="T30" s="66" t="s">
        <v>2776</v>
      </c>
      <c r="U30" s="69">
        <v>80</v>
      </c>
    </row>
    <row r="31" spans="1:44" ht="33" x14ac:dyDescent="0.25">
      <c r="A31" s="68" t="str">
        <f>A29</f>
        <v>Км12.2</v>
      </c>
      <c r="B31" s="66">
        <v>23</v>
      </c>
      <c r="C31" s="66" t="s">
        <v>2762</v>
      </c>
      <c r="D31" s="66" t="s">
        <v>2768</v>
      </c>
      <c r="E31" s="66">
        <v>4</v>
      </c>
      <c r="F31" s="40">
        <v>2.4660000000000002</v>
      </c>
      <c r="G31" s="66"/>
      <c r="H31" s="66">
        <v>2720</v>
      </c>
      <c r="I31" s="66">
        <v>20</v>
      </c>
      <c r="J31" s="66" t="s">
        <v>2</v>
      </c>
      <c r="K31" s="66"/>
      <c r="L31" s="66"/>
      <c r="M31" s="66"/>
      <c r="N31" s="66"/>
      <c r="O31" s="66"/>
      <c r="P31" s="66"/>
      <c r="Q31" s="66"/>
      <c r="R31" s="66"/>
      <c r="S31" s="66" t="s">
        <v>2776</v>
      </c>
      <c r="T31" s="66" t="s">
        <v>2776</v>
      </c>
      <c r="U31" s="69">
        <v>80</v>
      </c>
    </row>
    <row r="32" spans="1:44" ht="33" x14ac:dyDescent="0.25">
      <c r="A32" s="68" t="str">
        <f>A30</f>
        <v>Км12.2</v>
      </c>
      <c r="B32" s="66">
        <v>2</v>
      </c>
      <c r="C32" s="66" t="s">
        <v>2764</v>
      </c>
      <c r="D32" s="66" t="s">
        <v>2765</v>
      </c>
      <c r="E32" s="66">
        <f>29+29+29+40</f>
        <v>127</v>
      </c>
      <c r="F32" s="40">
        <v>0.39500000000000002</v>
      </c>
      <c r="G32" s="66" t="s">
        <v>0</v>
      </c>
      <c r="H32" s="66">
        <f>420*4+150</f>
        <v>1830</v>
      </c>
      <c r="I32" s="66">
        <v>8</v>
      </c>
      <c r="J32" s="66" t="s">
        <v>1</v>
      </c>
      <c r="K32" s="66"/>
      <c r="L32" s="66"/>
      <c r="M32" s="66"/>
      <c r="N32" s="66"/>
      <c r="O32" s="66"/>
      <c r="P32" s="66"/>
      <c r="Q32" s="66"/>
      <c r="R32" s="66"/>
      <c r="S32" s="66" t="s">
        <v>2776</v>
      </c>
      <c r="T32" s="66" t="s">
        <v>2776</v>
      </c>
      <c r="U32" s="69">
        <v>10</v>
      </c>
    </row>
    <row r="33" spans="1:21" ht="33" x14ac:dyDescent="0.25">
      <c r="A33" s="68" t="str">
        <f t="shared" ref="A33:A35" si="1">A32</f>
        <v>Км12.2</v>
      </c>
      <c r="B33" s="66"/>
      <c r="C33" s="47" t="s">
        <v>2769</v>
      </c>
      <c r="D33" s="47" t="s">
        <v>2770</v>
      </c>
      <c r="E33" s="47">
        <f>(0.25*1.5*1.5)+(0.6*0.6*4.57)</f>
        <v>2.2077</v>
      </c>
      <c r="F33" s="47" t="s">
        <v>4</v>
      </c>
      <c r="G33" s="47" t="s">
        <v>3</v>
      </c>
      <c r="H33" s="66"/>
      <c r="I33" s="66"/>
      <c r="J33" s="66"/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9"/>
    </row>
    <row r="34" spans="1:21" ht="16.5" x14ac:dyDescent="0.25">
      <c r="A34" s="68" t="str">
        <f t="shared" si="1"/>
        <v>Км12.2</v>
      </c>
      <c r="B34" s="66"/>
      <c r="C34" s="47" t="s">
        <v>2769</v>
      </c>
      <c r="D34" s="47" t="s">
        <v>2771</v>
      </c>
      <c r="E34" s="47">
        <f>(0.6*0.6*11.85)+(0.5*0.5*15.12)</f>
        <v>8.0459999999999994</v>
      </c>
      <c r="F34" s="47" t="s">
        <v>4</v>
      </c>
      <c r="G34" s="47" t="s">
        <v>3</v>
      </c>
      <c r="H34" s="66"/>
      <c r="I34" s="66"/>
      <c r="J34" s="66"/>
      <c r="K34" s="66"/>
      <c r="L34" s="66"/>
      <c r="M34" s="66"/>
      <c r="N34" s="66"/>
      <c r="O34" s="66"/>
      <c r="P34" s="66"/>
      <c r="Q34" s="66"/>
      <c r="R34" s="66"/>
      <c r="S34" s="66"/>
      <c r="T34" s="66"/>
      <c r="U34" s="69"/>
    </row>
    <row r="35" spans="1:21" ht="17.25" thickBot="1" x14ac:dyDescent="0.3">
      <c r="A35" s="70" t="str">
        <f t="shared" si="1"/>
        <v>Км12.2</v>
      </c>
      <c r="B35" s="71"/>
      <c r="C35" s="74" t="s">
        <v>2772</v>
      </c>
      <c r="D35" s="74" t="s">
        <v>2773</v>
      </c>
      <c r="E35" s="74">
        <v>4</v>
      </c>
      <c r="F35" s="74">
        <f>0.012*0.12*0.12*7850</f>
        <v>1.3564799999999997</v>
      </c>
      <c r="G35" s="74"/>
      <c r="H35" s="71"/>
      <c r="I35" s="71"/>
      <c r="J35" s="71"/>
      <c r="K35" s="71">
        <f>120*120</f>
        <v>14400</v>
      </c>
      <c r="L35" s="71" t="s">
        <v>2344</v>
      </c>
      <c r="M35" s="86">
        <f>--12</f>
        <v>12</v>
      </c>
      <c r="N35" s="71"/>
      <c r="O35" s="71" t="s">
        <v>2351</v>
      </c>
      <c r="P35" s="71"/>
      <c r="Q35" s="71"/>
      <c r="R35" s="71"/>
      <c r="S35" s="71"/>
      <c r="T35" s="71"/>
      <c r="U35" s="72"/>
    </row>
  </sheetData>
  <mergeCells count="11">
    <mergeCell ref="F1:F2"/>
    <mergeCell ref="A1:A2"/>
    <mergeCell ref="B1:B2"/>
    <mergeCell ref="C1:C2"/>
    <mergeCell ref="D1:D2"/>
    <mergeCell ref="E1:E2"/>
    <mergeCell ref="G1:G2"/>
    <mergeCell ref="H1:J1"/>
    <mergeCell ref="K1:Q1"/>
    <mergeCell ref="R1:R2"/>
    <mergeCell ref="S1:U1"/>
  </mergeCells>
  <conditionalFormatting sqref="A1:H1 A3:U35 H2:Q2 K1 R1:S1 S2:U2">
    <cfRule type="containsText" dxfId="84" priority="10" stopIfTrue="1" operator="containsText" text="шт.)">
      <formula>NOT(ISERROR(SEARCH("шт.)",A1)))</formula>
    </cfRule>
    <cfRule type="containsText" dxfId="83" priority="9" stopIfTrue="1" operator="containsText" text=", на ">
      <formula>NOT(ISERROR(SEARCH(", на ",A1)))</formula>
    </cfRule>
    <cfRule type="containsText" dxfId="82" priority="8" stopIfTrue="1" operator="containsText" text=" Материалы ">
      <formula>NOT(ISERROR(SEARCH(" Материалы ",A1)))</formula>
    </cfRule>
    <cfRule type="containsText" dxfId="81" priority="7" stopIfTrue="1" operator="containsText" text=" Сборочные единицы ">
      <formula>NOT(ISERROR(SEARCH(" Сборочные единицы ",A1)))</formula>
    </cfRule>
    <cfRule type="containsText" dxfId="80" priority="6" stopIfTrue="1" operator="containsText" text=" Прокат ">
      <formula>NOT(ISERROR(SEARCH(" Прокат ",A1)))</formula>
    </cfRule>
    <cfRule type="containsText" dxfId="79" priority="5" stopIfTrue="1" operator="containsText" text=" Изделия ">
      <formula>NOT(ISERROR(SEARCH(" Изделия ",A1)))</formula>
    </cfRule>
    <cfRule type="containsText" dxfId="78" priority="4" stopIfTrue="1" operator="containsText" text="!!!">
      <formula>NOT(ISERROR(SEARCH("!!!",A1)))</formula>
    </cfRule>
    <cfRule type="containsText" dxfId="77" priority="3" stopIfTrue="1" operator="containsText" text="ИЗ ФАЙЛА">
      <formula>NOT(ISERROR(SEARCH("ИЗ ФАЙЛА",A1)))</formula>
    </cfRule>
    <cfRule type="containsText" dxfId="76" priority="2" stopIfTrue="1" operator="containsText" text="С ЛИСТА">
      <formula>NOT(ISERROR(SEARCH("С ЛИСТА",A1)))</formula>
    </cfRule>
  </conditionalFormatting>
  <conditionalFormatting sqref="A1:U1048576">
    <cfRule type="expression" dxfId="75" priority="1">
      <formula>ISERROR(A1)</formula>
    </cfRule>
  </conditionalFormatting>
  <pageMargins left="0.7" right="0.7" top="0.75" bottom="0.75" header="0.3" footer="0.3"/>
  <pageSetup paperSize="9"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4">
        <x14:dataValidation type="list" errorStyle="warning" allowBlank="1" showInputMessage="1" showErrorMessage="1">
          <x14:formula1>
            <xm:f>'!System'!$AN$1:$AN$6</xm:f>
          </x14:formula1>
          <xm:sqref>G3:G35</xm:sqref>
        </x14:dataValidation>
        <x14:dataValidation type="list" allowBlank="1" showInputMessage="1" showErrorMessage="1">
          <x14:formula1>
            <xm:f>'!System'!$T$1:$AB$1</xm:f>
          </x14:formula1>
          <xm:sqref>J3:J35</xm:sqref>
        </x14:dataValidation>
        <x14:dataValidation type="list" allowBlank="1" showInputMessage="1" showErrorMessage="1">
          <x14:formula1>
            <xm:f>'!System'!$A$1:$R$1</xm:f>
          </x14:formula1>
          <xm:sqref>L3:L35</xm:sqref>
        </x14:dataValidation>
        <x14:dataValidation type="list" allowBlank="1" showInputMessage="1" showErrorMessage="1">
          <x14:formula1>
            <xm:f>'!System'!$AC$1:$AM$1</xm:f>
          </x14:formula1>
          <xm:sqref>O3:O35</xm:sqref>
        </x14:dataValidation>
        <x14:dataValidation type="list" allowBlank="1" showInputMessage="1" showErrorMessage="1">
          <x14:formula1>
            <xm:f>'!System'!$AO$1:$AO$5</xm:f>
          </x14:formula1>
          <xm:sqref>P3:P35</xm:sqref>
        </x14:dataValidation>
        <x14:dataValidation type="list" allowBlank="1" showInputMessage="1" showErrorMessage="1">
          <x14:formula1>
            <xm:f>'!System'!$T$2:$T$17</xm:f>
          </x14:formula1>
          <xm:sqref>I9</xm:sqref>
        </x14:dataValidation>
        <x14:dataValidation type="list" allowBlank="1" showInputMessage="1" showErrorMessage="1">
          <x14:formula1>
            <xm:f>'!System'!$U$2:$U$16</xm:f>
          </x14:formula1>
          <xm:sqref>I10</xm:sqref>
        </x14:dataValidation>
        <x14:dataValidation type="list" allowBlank="1" showInputMessage="1" showErrorMessage="1">
          <x14:formula1>
            <xm:f>'!System'!$T$2:$T$17</xm:f>
          </x14:formula1>
          <xm:sqref>I11</xm:sqref>
        </x14:dataValidation>
        <x14:dataValidation type="list" allowBlank="1" showInputMessage="1" showErrorMessage="1">
          <x14:formula1>
            <xm:f>'!System'!$T$2:$T$17</xm:f>
          </x14:formula1>
          <xm:sqref>I12</xm:sqref>
        </x14:dataValidation>
        <x14:dataValidation type="list" allowBlank="1" showInputMessage="1" showErrorMessage="1">
          <x14:formula1>
            <xm:f>'!System'!$T$2:$T$17</xm:f>
          </x14:formula1>
          <xm:sqref>I13</xm:sqref>
        </x14:dataValidation>
        <x14:dataValidation type="list" allowBlank="1" showInputMessage="1" showErrorMessage="1">
          <x14:formula1>
            <xm:f>'!System'!$Q$3:$Q$15</xm:f>
          </x14:formula1>
          <xm:sqref>M16</xm:sqref>
        </x14:dataValidation>
        <x14:dataValidation type="list" allowBlank="1" showInputMessage="1" showErrorMessage="1">
          <x14:formula1>
            <xm:f>'!System'!$T$2:$T$17</xm:f>
          </x14:formula1>
          <xm:sqref>I21</xm:sqref>
        </x14:dataValidation>
        <x14:dataValidation type="list" allowBlank="1" showInputMessage="1" showErrorMessage="1">
          <x14:formula1>
            <xm:f>'!System'!$T$2:$T$17</xm:f>
          </x14:formula1>
          <xm:sqref>I22</xm:sqref>
        </x14:dataValidation>
        <x14:dataValidation type="list" allowBlank="1" showInputMessage="1" showErrorMessage="1">
          <x14:formula1>
            <xm:f>'!System'!$U$2:$U$16</xm:f>
          </x14:formula1>
          <xm:sqref>I23</xm:sqref>
        </x14:dataValidation>
        <x14:dataValidation type="list" allowBlank="1" showInputMessage="1" showErrorMessage="1">
          <x14:formula1>
            <xm:f>'!System'!$U$2:$U$16</xm:f>
          </x14:formula1>
          <xm:sqref>I24</xm:sqref>
        </x14:dataValidation>
        <x14:dataValidation type="list" allowBlank="1" showInputMessage="1" showErrorMessage="1">
          <x14:formula1>
            <xm:f>'!System'!$T$2:$T$17</xm:f>
          </x14:formula1>
          <xm:sqref>I25</xm:sqref>
        </x14:dataValidation>
        <x14:dataValidation type="list" allowBlank="1" showInputMessage="1" showErrorMessage="1">
          <x14:formula1>
            <xm:f>'!System'!$T$2:$T$17</xm:f>
          </x14:formula1>
          <xm:sqref>I26</xm:sqref>
        </x14:dataValidation>
        <x14:dataValidation type="list" allowBlank="1" showInputMessage="1" showErrorMessage="1">
          <x14:formula1>
            <xm:f>'!System'!$T$2:$T$17</xm:f>
          </x14:formula1>
          <xm:sqref>I27</xm:sqref>
        </x14:dataValidation>
        <x14:dataValidation type="list" allowBlank="1" showInputMessage="1" showErrorMessage="1">
          <x14:formula1>
            <xm:f>'!System'!$T$2:$T$17</xm:f>
          </x14:formula1>
          <xm:sqref>I28</xm:sqref>
        </x14:dataValidation>
        <x14:dataValidation type="list" allowBlank="1" showInputMessage="1" showErrorMessage="1">
          <x14:formula1>
            <xm:f>'!System'!$T$2:$T$17</xm:f>
          </x14:formula1>
          <xm:sqref>I29</xm:sqref>
        </x14:dataValidation>
        <x14:dataValidation type="list" allowBlank="1" showInputMessage="1" showErrorMessage="1">
          <x14:formula1>
            <xm:f>'!System'!$T$2:$T$17</xm:f>
          </x14:formula1>
          <xm:sqref>I30</xm:sqref>
        </x14:dataValidation>
        <x14:dataValidation type="list" allowBlank="1" showInputMessage="1" showErrorMessage="1">
          <x14:formula1>
            <xm:f>'!System'!$T$2:$T$17</xm:f>
          </x14:formula1>
          <xm:sqref>I31</xm:sqref>
        </x14:dataValidation>
        <x14:dataValidation type="list" allowBlank="1" showInputMessage="1" showErrorMessage="1">
          <x14:formula1>
            <xm:f>'!System'!$U$2:$U$16</xm:f>
          </x14:formula1>
          <xm:sqref>I32</xm:sqref>
        </x14:dataValidation>
        <x14:dataValidation type="list" allowBlank="1" showInputMessage="1" showErrorMessage="1">
          <x14:formula1>
            <xm:f>'!System'!$Q$3:$Q$15</xm:f>
          </x14:formula1>
          <xm:sqref>M35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7" tint="0.39997558519241921"/>
    <pageSetUpPr fitToPage="1"/>
  </sheetPr>
  <dimension ref="A1:L116"/>
  <sheetViews>
    <sheetView topLeftCell="A55" zoomScale="85" zoomScaleNormal="85" workbookViewId="0">
      <selection activeCell="E44" sqref="E44"/>
    </sheetView>
  </sheetViews>
  <sheetFormatPr defaultRowHeight="15" x14ac:dyDescent="0.25"/>
  <cols>
    <col min="1" max="1" width="7" style="16" customWidth="1"/>
    <col min="2" max="2" width="47.42578125" style="16" customWidth="1"/>
    <col min="3" max="3" width="21.7109375" style="16" customWidth="1"/>
    <col min="4" max="4" width="8.140625" style="16" customWidth="1"/>
    <col min="5" max="5" width="21.7109375" style="16" customWidth="1"/>
    <col min="6" max="6" width="8.140625" style="16" customWidth="1"/>
    <col min="7" max="7" width="21.7109375" style="16" customWidth="1"/>
    <col min="8" max="8" width="8.140625" style="16" customWidth="1"/>
    <col min="9" max="9" width="21.7109375" style="16" customWidth="1"/>
    <col min="10" max="11" width="8.140625" style="16" customWidth="1"/>
    <col min="12" max="12" width="16.28515625" style="16" customWidth="1"/>
    <col min="13" max="16384" width="9.140625" style="16"/>
  </cols>
  <sheetData>
    <row r="1" spans="1:12" ht="16.5" x14ac:dyDescent="0.25">
      <c r="A1" s="110" t="s">
        <v>2369</v>
      </c>
      <c r="B1" s="112" t="s">
        <v>2476</v>
      </c>
      <c r="C1" s="112" t="s">
        <v>2477</v>
      </c>
      <c r="D1" s="112"/>
      <c r="E1" s="112"/>
      <c r="F1" s="112"/>
      <c r="G1" s="112"/>
      <c r="H1" s="112"/>
      <c r="I1" s="112"/>
      <c r="J1" s="112"/>
      <c r="K1" s="112"/>
      <c r="L1" s="98" t="s">
        <v>2478</v>
      </c>
    </row>
    <row r="2" spans="1:12" ht="41.25" thickBot="1" x14ac:dyDescent="0.3">
      <c r="A2" s="128"/>
      <c r="B2" s="129"/>
      <c r="C2" s="34" t="s">
        <v>2480</v>
      </c>
      <c r="D2" s="35" t="s">
        <v>2481</v>
      </c>
      <c r="E2" s="34" t="s">
        <v>2482</v>
      </c>
      <c r="F2" s="35" t="s">
        <v>2481</v>
      </c>
      <c r="G2" s="34" t="s">
        <v>2483</v>
      </c>
      <c r="H2" s="35" t="s">
        <v>2481</v>
      </c>
      <c r="I2" s="34" t="s">
        <v>2484</v>
      </c>
      <c r="J2" s="35" t="s">
        <v>2481</v>
      </c>
      <c r="K2" s="35" t="s">
        <v>2485</v>
      </c>
      <c r="L2" s="130"/>
    </row>
    <row r="3" spans="1:12" ht="256.5" x14ac:dyDescent="0.25">
      <c r="A3" s="126" t="s">
        <v>2497</v>
      </c>
      <c r="B3" s="32" t="s">
        <v>2574</v>
      </c>
      <c r="C3" s="32" t="s">
        <v>2495</v>
      </c>
      <c r="D3" s="36">
        <v>190.5</v>
      </c>
      <c r="E3" s="32" t="s">
        <v>2495</v>
      </c>
      <c r="F3" s="36">
        <v>1882.6</v>
      </c>
      <c r="G3" s="32" t="s">
        <v>2495</v>
      </c>
      <c r="H3" s="36">
        <v>90.5</v>
      </c>
      <c r="I3" s="32" t="s">
        <v>2434</v>
      </c>
      <c r="J3" s="36">
        <v>2804.5</v>
      </c>
      <c r="K3" s="36" t="s">
        <v>2490</v>
      </c>
      <c r="L3" s="127" t="s">
        <v>2479</v>
      </c>
    </row>
    <row r="4" spans="1:12" ht="27" x14ac:dyDescent="0.25">
      <c r="A4" s="100"/>
      <c r="B4" s="18" t="s">
        <v>2690</v>
      </c>
      <c r="C4" s="18" t="s">
        <v>2499</v>
      </c>
      <c r="D4" s="26">
        <v>320.39999999999998</v>
      </c>
      <c r="E4" s="18" t="s">
        <v>2446</v>
      </c>
      <c r="F4" s="26">
        <v>4.2</v>
      </c>
      <c r="G4" s="103" t="s">
        <v>2445</v>
      </c>
      <c r="H4" s="107">
        <v>90.5</v>
      </c>
      <c r="I4" s="18" t="s">
        <v>2446</v>
      </c>
      <c r="J4" s="26">
        <v>8.8000000000000007</v>
      </c>
      <c r="K4" s="26" t="s">
        <v>2490</v>
      </c>
      <c r="L4" s="104"/>
    </row>
    <row r="5" spans="1:12" ht="175.5" x14ac:dyDescent="0.25">
      <c r="A5" s="100"/>
      <c r="B5" s="18" t="s">
        <v>2691</v>
      </c>
      <c r="C5" s="18" t="s">
        <v>2500</v>
      </c>
      <c r="D5" s="26">
        <v>443.8</v>
      </c>
      <c r="E5" s="18" t="s">
        <v>2447</v>
      </c>
      <c r="F5" s="26">
        <v>76.399999999999991</v>
      </c>
      <c r="G5" s="120"/>
      <c r="H5" s="122"/>
      <c r="I5" s="18" t="s">
        <v>2447</v>
      </c>
      <c r="J5" s="26">
        <v>111.3</v>
      </c>
      <c r="K5" s="26" t="s">
        <v>2490</v>
      </c>
      <c r="L5" s="104"/>
    </row>
    <row r="6" spans="1:12" ht="27" x14ac:dyDescent="0.25">
      <c r="A6" s="100"/>
      <c r="B6" s="18" t="s">
        <v>2692</v>
      </c>
      <c r="C6" s="18" t="s">
        <v>2501</v>
      </c>
      <c r="D6" s="26">
        <v>226.9</v>
      </c>
      <c r="E6" s="18" t="s">
        <v>2444</v>
      </c>
      <c r="F6" s="26">
        <v>965.4</v>
      </c>
      <c r="G6" s="120"/>
      <c r="H6" s="122"/>
      <c r="I6" s="18" t="s">
        <v>2445</v>
      </c>
      <c r="J6" s="26">
        <v>126.7</v>
      </c>
      <c r="K6" s="26" t="s">
        <v>2490</v>
      </c>
      <c r="L6" s="104"/>
    </row>
    <row r="7" spans="1:12" x14ac:dyDescent="0.25">
      <c r="A7" s="100"/>
      <c r="B7" s="103" t="s">
        <v>2693</v>
      </c>
      <c r="C7" s="103" t="s">
        <v>2494</v>
      </c>
      <c r="D7" s="107">
        <v>31</v>
      </c>
      <c r="E7" s="18" t="s">
        <v>2453</v>
      </c>
      <c r="F7" s="26">
        <v>2.2999999999999998</v>
      </c>
      <c r="G7" s="120"/>
      <c r="H7" s="122"/>
      <c r="I7" s="18" t="s">
        <v>2444</v>
      </c>
      <c r="J7" s="26">
        <v>1069.7</v>
      </c>
      <c r="K7" s="26" t="s">
        <v>2490</v>
      </c>
      <c r="L7" s="104"/>
    </row>
    <row r="8" spans="1:12" x14ac:dyDescent="0.25">
      <c r="A8" s="100"/>
      <c r="B8" s="120"/>
      <c r="C8" s="120"/>
      <c r="D8" s="122"/>
      <c r="E8" s="18" t="s">
        <v>2443</v>
      </c>
      <c r="F8" s="26">
        <v>11.4</v>
      </c>
      <c r="G8" s="120"/>
      <c r="H8" s="122"/>
      <c r="I8" s="18" t="s">
        <v>2453</v>
      </c>
      <c r="J8" s="26">
        <v>5.9</v>
      </c>
      <c r="K8" s="26" t="s">
        <v>2490</v>
      </c>
      <c r="L8" s="104"/>
    </row>
    <row r="9" spans="1:12" x14ac:dyDescent="0.25">
      <c r="A9" s="100"/>
      <c r="B9" s="120"/>
      <c r="C9" s="120"/>
      <c r="D9" s="122"/>
      <c r="E9" s="18" t="s">
        <v>2451</v>
      </c>
      <c r="F9" s="26">
        <v>43.6</v>
      </c>
      <c r="G9" s="120"/>
      <c r="H9" s="122"/>
      <c r="I9" s="18" t="s">
        <v>2443</v>
      </c>
      <c r="J9" s="26">
        <v>74.699999999999989</v>
      </c>
      <c r="K9" s="26" t="s">
        <v>2490</v>
      </c>
      <c r="L9" s="104"/>
    </row>
    <row r="10" spans="1:12" x14ac:dyDescent="0.25">
      <c r="A10" s="100"/>
      <c r="B10" s="120"/>
      <c r="C10" s="120"/>
      <c r="D10" s="122"/>
      <c r="E10" s="18" t="s">
        <v>2448</v>
      </c>
      <c r="F10" s="26">
        <v>7.6999999999999993</v>
      </c>
      <c r="G10" s="120"/>
      <c r="H10" s="122"/>
      <c r="I10" s="18" t="s">
        <v>2451</v>
      </c>
      <c r="J10" s="26">
        <v>110.2</v>
      </c>
      <c r="K10" s="26" t="s">
        <v>2490</v>
      </c>
      <c r="L10" s="104"/>
    </row>
    <row r="11" spans="1:12" x14ac:dyDescent="0.25">
      <c r="A11" s="100"/>
      <c r="B11" s="120"/>
      <c r="C11" s="120"/>
      <c r="D11" s="122"/>
      <c r="E11" s="18" t="s">
        <v>2450</v>
      </c>
      <c r="F11" s="26">
        <v>347.1</v>
      </c>
      <c r="G11" s="120"/>
      <c r="H11" s="122"/>
      <c r="I11" s="18" t="s">
        <v>2448</v>
      </c>
      <c r="J11" s="26">
        <v>15.7</v>
      </c>
      <c r="K11" s="26" t="s">
        <v>2490</v>
      </c>
      <c r="L11" s="104"/>
    </row>
    <row r="12" spans="1:12" x14ac:dyDescent="0.25">
      <c r="A12" s="100"/>
      <c r="B12" s="120"/>
      <c r="C12" s="120"/>
      <c r="D12" s="122"/>
      <c r="E12" s="18" t="s">
        <v>2449</v>
      </c>
      <c r="F12" s="26">
        <v>390</v>
      </c>
      <c r="G12" s="120"/>
      <c r="H12" s="122"/>
      <c r="I12" s="18" t="s">
        <v>2450</v>
      </c>
      <c r="J12" s="26">
        <v>480.8</v>
      </c>
      <c r="K12" s="26" t="s">
        <v>2490</v>
      </c>
      <c r="L12" s="104"/>
    </row>
    <row r="13" spans="1:12" x14ac:dyDescent="0.25">
      <c r="A13" s="100"/>
      <c r="B13" s="120"/>
      <c r="C13" s="120"/>
      <c r="D13" s="122"/>
      <c r="E13" s="103" t="s">
        <v>2452</v>
      </c>
      <c r="F13" s="107">
        <v>34.800000000000004</v>
      </c>
      <c r="G13" s="120"/>
      <c r="H13" s="122"/>
      <c r="I13" s="18" t="s">
        <v>2449</v>
      </c>
      <c r="J13" s="26">
        <v>762.30000000000007</v>
      </c>
      <c r="K13" s="26" t="s">
        <v>2490</v>
      </c>
      <c r="L13" s="104"/>
    </row>
    <row r="14" spans="1:12" ht="15.75" thickBot="1" x14ac:dyDescent="0.3">
      <c r="A14" s="101"/>
      <c r="B14" s="121"/>
      <c r="C14" s="121"/>
      <c r="D14" s="123"/>
      <c r="E14" s="121"/>
      <c r="F14" s="123"/>
      <c r="G14" s="121"/>
      <c r="H14" s="123"/>
      <c r="I14" s="19" t="s">
        <v>2452</v>
      </c>
      <c r="J14" s="25">
        <v>38.700000000000003</v>
      </c>
      <c r="K14" s="25" t="s">
        <v>2490</v>
      </c>
      <c r="L14" s="125"/>
    </row>
    <row r="15" spans="1:12" ht="40.5" x14ac:dyDescent="0.25">
      <c r="A15" s="115" t="s">
        <v>2486</v>
      </c>
      <c r="B15" s="119" t="s">
        <v>2487</v>
      </c>
      <c r="C15" s="119" t="s">
        <v>2488</v>
      </c>
      <c r="D15" s="124">
        <v>133.6</v>
      </c>
      <c r="E15" s="17" t="s">
        <v>2488</v>
      </c>
      <c r="F15" s="33">
        <v>294.10000000000002</v>
      </c>
      <c r="G15" s="17" t="s">
        <v>2488</v>
      </c>
      <c r="H15" s="33">
        <v>18.399999999999999</v>
      </c>
      <c r="I15" s="17" t="s">
        <v>2489</v>
      </c>
      <c r="J15" s="33">
        <v>262.5</v>
      </c>
      <c r="K15" s="33" t="s">
        <v>2490</v>
      </c>
      <c r="L15" s="117" t="s">
        <v>2479</v>
      </c>
    </row>
    <row r="16" spans="1:12" x14ac:dyDescent="0.25">
      <c r="A16" s="100"/>
      <c r="B16" s="120"/>
      <c r="C16" s="120"/>
      <c r="D16" s="122"/>
      <c r="E16" s="18" t="s">
        <v>2447</v>
      </c>
      <c r="F16" s="26">
        <v>49.7</v>
      </c>
      <c r="G16" s="103" t="s">
        <v>2445</v>
      </c>
      <c r="H16" s="107">
        <v>18.399999999999999</v>
      </c>
      <c r="I16" s="18" t="s">
        <v>2447</v>
      </c>
      <c r="J16" s="26">
        <v>49.9</v>
      </c>
      <c r="K16" s="26" t="s">
        <v>2490</v>
      </c>
      <c r="L16" s="104"/>
    </row>
    <row r="17" spans="1:12" x14ac:dyDescent="0.25">
      <c r="A17" s="100"/>
      <c r="B17" s="120"/>
      <c r="C17" s="120"/>
      <c r="D17" s="122"/>
      <c r="E17" s="18" t="s">
        <v>2444</v>
      </c>
      <c r="F17" s="26">
        <v>165.1</v>
      </c>
      <c r="G17" s="120"/>
      <c r="H17" s="122"/>
      <c r="I17" s="18" t="s">
        <v>2445</v>
      </c>
      <c r="J17" s="26">
        <v>15.6</v>
      </c>
      <c r="K17" s="26" t="s">
        <v>2490</v>
      </c>
      <c r="L17" s="104"/>
    </row>
    <row r="18" spans="1:12" x14ac:dyDescent="0.25">
      <c r="A18" s="100"/>
      <c r="B18" s="120"/>
      <c r="C18" s="120"/>
      <c r="D18" s="122"/>
      <c r="E18" s="18" t="s">
        <v>2451</v>
      </c>
      <c r="F18" s="26">
        <v>1.4000000000000001</v>
      </c>
      <c r="G18" s="120"/>
      <c r="H18" s="122"/>
      <c r="I18" s="18" t="s">
        <v>2444</v>
      </c>
      <c r="J18" s="26">
        <v>127.8</v>
      </c>
      <c r="K18" s="26" t="s">
        <v>2490</v>
      </c>
      <c r="L18" s="104"/>
    </row>
    <row r="19" spans="1:12" x14ac:dyDescent="0.25">
      <c r="A19" s="100"/>
      <c r="B19" s="120"/>
      <c r="C19" s="120"/>
      <c r="D19" s="122"/>
      <c r="E19" s="18" t="s">
        <v>2455</v>
      </c>
      <c r="F19" s="26">
        <v>30.1</v>
      </c>
      <c r="G19" s="120"/>
      <c r="H19" s="122"/>
      <c r="I19" s="18" t="s">
        <v>2451</v>
      </c>
      <c r="J19" s="26">
        <v>1.3</v>
      </c>
      <c r="K19" s="26" t="s">
        <v>2490</v>
      </c>
      <c r="L19" s="104"/>
    </row>
    <row r="20" spans="1:12" x14ac:dyDescent="0.25">
      <c r="A20" s="100"/>
      <c r="B20" s="120"/>
      <c r="C20" s="120"/>
      <c r="D20" s="122"/>
      <c r="E20" s="103" t="s">
        <v>2452</v>
      </c>
      <c r="F20" s="107">
        <v>48</v>
      </c>
      <c r="G20" s="120"/>
      <c r="H20" s="122"/>
      <c r="I20" s="18" t="s">
        <v>2455</v>
      </c>
      <c r="J20" s="26">
        <v>27.400000000000002</v>
      </c>
      <c r="K20" s="26" t="s">
        <v>2490</v>
      </c>
      <c r="L20" s="104"/>
    </row>
    <row r="21" spans="1:12" ht="15.75" thickBot="1" x14ac:dyDescent="0.3">
      <c r="A21" s="101"/>
      <c r="B21" s="121"/>
      <c r="C21" s="121"/>
      <c r="D21" s="123"/>
      <c r="E21" s="121"/>
      <c r="F21" s="123"/>
      <c r="G21" s="121"/>
      <c r="H21" s="123"/>
      <c r="I21" s="19" t="s">
        <v>2452</v>
      </c>
      <c r="J21" s="25">
        <v>40.800000000000004</v>
      </c>
      <c r="K21" s="25" t="s">
        <v>2490</v>
      </c>
      <c r="L21" s="125"/>
    </row>
    <row r="22" spans="1:12" x14ac:dyDescent="0.25">
      <c r="A22" s="115" t="s">
        <v>2509</v>
      </c>
      <c r="B22" s="119" t="s">
        <v>2694</v>
      </c>
      <c r="C22" s="119" t="s">
        <v>2510</v>
      </c>
      <c r="D22" s="124">
        <v>194.1</v>
      </c>
      <c r="E22" s="17" t="s">
        <v>2510</v>
      </c>
      <c r="F22" s="33">
        <v>800.9</v>
      </c>
      <c r="G22" s="17" t="s">
        <v>2510</v>
      </c>
      <c r="H22" s="33">
        <v>56.3</v>
      </c>
      <c r="I22" s="119" t="s">
        <v>4</v>
      </c>
      <c r="J22" s="124" t="s">
        <v>4</v>
      </c>
      <c r="K22" s="124" t="s">
        <v>4</v>
      </c>
      <c r="L22" s="117" t="s">
        <v>2479</v>
      </c>
    </row>
    <row r="23" spans="1:12" x14ac:dyDescent="0.25">
      <c r="A23" s="100"/>
      <c r="B23" s="120"/>
      <c r="C23" s="120"/>
      <c r="D23" s="122"/>
      <c r="E23" s="18" t="s">
        <v>2447</v>
      </c>
      <c r="F23" s="26">
        <v>91</v>
      </c>
      <c r="G23" s="103" t="s">
        <v>2445</v>
      </c>
      <c r="H23" s="107">
        <v>56.3</v>
      </c>
      <c r="I23" s="120"/>
      <c r="J23" s="122"/>
      <c r="K23" s="122"/>
      <c r="L23" s="104"/>
    </row>
    <row r="24" spans="1:12" x14ac:dyDescent="0.25">
      <c r="A24" s="100"/>
      <c r="B24" s="120"/>
      <c r="C24" s="120"/>
      <c r="D24" s="122"/>
      <c r="E24" s="18" t="s">
        <v>2444</v>
      </c>
      <c r="F24" s="26">
        <v>572.6</v>
      </c>
      <c r="G24" s="120"/>
      <c r="H24" s="122"/>
      <c r="I24" s="120"/>
      <c r="J24" s="122"/>
      <c r="K24" s="122"/>
      <c r="L24" s="104"/>
    </row>
    <row r="25" spans="1:12" x14ac:dyDescent="0.25">
      <c r="A25" s="100"/>
      <c r="B25" s="120"/>
      <c r="C25" s="120"/>
      <c r="D25" s="122"/>
      <c r="E25" s="18" t="s">
        <v>2453</v>
      </c>
      <c r="F25" s="26">
        <v>9.1</v>
      </c>
      <c r="G25" s="120"/>
      <c r="H25" s="122"/>
      <c r="I25" s="120"/>
      <c r="J25" s="122"/>
      <c r="K25" s="122"/>
      <c r="L25" s="104"/>
    </row>
    <row r="26" spans="1:12" x14ac:dyDescent="0.25">
      <c r="A26" s="100"/>
      <c r="B26" s="120"/>
      <c r="C26" s="120"/>
      <c r="D26" s="122"/>
      <c r="E26" s="18" t="s">
        <v>2451</v>
      </c>
      <c r="F26" s="26">
        <v>0.7</v>
      </c>
      <c r="G26" s="120"/>
      <c r="H26" s="122"/>
      <c r="I26" s="120"/>
      <c r="J26" s="122"/>
      <c r="K26" s="122"/>
      <c r="L26" s="104"/>
    </row>
    <row r="27" spans="1:12" x14ac:dyDescent="0.25">
      <c r="A27" s="100"/>
      <c r="B27" s="120"/>
      <c r="C27" s="120"/>
      <c r="D27" s="122"/>
      <c r="E27" s="18" t="s">
        <v>2450</v>
      </c>
      <c r="F27" s="26">
        <v>6.4</v>
      </c>
      <c r="G27" s="120"/>
      <c r="H27" s="122"/>
      <c r="I27" s="120"/>
      <c r="J27" s="122"/>
      <c r="K27" s="122"/>
      <c r="L27" s="104"/>
    </row>
    <row r="28" spans="1:12" x14ac:dyDescent="0.25">
      <c r="A28" s="100"/>
      <c r="B28" s="120"/>
      <c r="C28" s="120"/>
      <c r="D28" s="122"/>
      <c r="E28" s="18" t="s">
        <v>2449</v>
      </c>
      <c r="F28" s="26">
        <v>37.5</v>
      </c>
      <c r="G28" s="120"/>
      <c r="H28" s="122"/>
      <c r="I28" s="120"/>
      <c r="J28" s="122"/>
      <c r="K28" s="122"/>
      <c r="L28" s="104"/>
    </row>
    <row r="29" spans="1:12" ht="15.75" thickBot="1" x14ac:dyDescent="0.3">
      <c r="A29" s="101"/>
      <c r="B29" s="121"/>
      <c r="C29" s="121"/>
      <c r="D29" s="123"/>
      <c r="E29" s="19" t="s">
        <v>2452</v>
      </c>
      <c r="F29" s="25">
        <v>83.8</v>
      </c>
      <c r="G29" s="121"/>
      <c r="H29" s="123"/>
      <c r="I29" s="121"/>
      <c r="J29" s="123"/>
      <c r="K29" s="123"/>
      <c r="L29" s="125"/>
    </row>
    <row r="30" spans="1:12" ht="409.5" x14ac:dyDescent="0.25">
      <c r="A30" s="115" t="s">
        <v>2493</v>
      </c>
      <c r="B30" s="17" t="s">
        <v>2695</v>
      </c>
      <c r="C30" s="17" t="s">
        <v>2495</v>
      </c>
      <c r="D30" s="33">
        <v>3090.7</v>
      </c>
      <c r="E30" s="17" t="s">
        <v>2495</v>
      </c>
      <c r="F30" s="33">
        <v>23484.6</v>
      </c>
      <c r="G30" s="17" t="s">
        <v>2495</v>
      </c>
      <c r="H30" s="33">
        <v>2501.1999999999998</v>
      </c>
      <c r="I30" s="119" t="s">
        <v>4</v>
      </c>
      <c r="J30" s="124" t="s">
        <v>4</v>
      </c>
      <c r="K30" s="124" t="s">
        <v>4</v>
      </c>
      <c r="L30" s="117" t="s">
        <v>2479</v>
      </c>
    </row>
    <row r="31" spans="1:12" ht="135" x14ac:dyDescent="0.25">
      <c r="A31" s="100"/>
      <c r="B31" s="18" t="s">
        <v>2696</v>
      </c>
      <c r="C31" s="18" t="s">
        <v>2499</v>
      </c>
      <c r="D31" s="26">
        <v>2249.5</v>
      </c>
      <c r="E31" s="18" t="s">
        <v>2442</v>
      </c>
      <c r="F31" s="26">
        <v>31.700000000000003</v>
      </c>
      <c r="G31" s="103" t="s">
        <v>2445</v>
      </c>
      <c r="H31" s="107">
        <v>2501.1999999999998</v>
      </c>
      <c r="I31" s="120"/>
      <c r="J31" s="122"/>
      <c r="K31" s="122"/>
      <c r="L31" s="104"/>
    </row>
    <row r="32" spans="1:12" ht="27" x14ac:dyDescent="0.25">
      <c r="A32" s="100"/>
      <c r="B32" s="18" t="s">
        <v>2697</v>
      </c>
      <c r="C32" s="18" t="s">
        <v>2500</v>
      </c>
      <c r="D32" s="26">
        <v>191.5</v>
      </c>
      <c r="E32" s="18" t="s">
        <v>2446</v>
      </c>
      <c r="F32" s="26">
        <v>86.8</v>
      </c>
      <c r="G32" s="120"/>
      <c r="H32" s="122"/>
      <c r="I32" s="120"/>
      <c r="J32" s="122"/>
      <c r="K32" s="122"/>
      <c r="L32" s="104"/>
    </row>
    <row r="33" spans="1:12" ht="27" x14ac:dyDescent="0.25">
      <c r="A33" s="100"/>
      <c r="B33" s="18" t="s">
        <v>2698</v>
      </c>
      <c r="C33" s="18" t="s">
        <v>2501</v>
      </c>
      <c r="D33" s="26">
        <v>163.29999999999998</v>
      </c>
      <c r="E33" s="18" t="s">
        <v>2447</v>
      </c>
      <c r="F33" s="26">
        <v>2526.1999999999998</v>
      </c>
      <c r="G33" s="120"/>
      <c r="H33" s="122"/>
      <c r="I33" s="120"/>
      <c r="J33" s="122"/>
      <c r="K33" s="122"/>
      <c r="L33" s="104"/>
    </row>
    <row r="34" spans="1:12" x14ac:dyDescent="0.25">
      <c r="A34" s="100"/>
      <c r="B34" s="103" t="s">
        <v>2699</v>
      </c>
      <c r="C34" s="103" t="s">
        <v>2494</v>
      </c>
      <c r="D34" s="107">
        <v>5154.8999999999996</v>
      </c>
      <c r="E34" s="18" t="s">
        <v>2444</v>
      </c>
      <c r="F34" s="26">
        <v>5323</v>
      </c>
      <c r="G34" s="120"/>
      <c r="H34" s="122"/>
      <c r="I34" s="120"/>
      <c r="J34" s="122"/>
      <c r="K34" s="122"/>
      <c r="L34" s="104"/>
    </row>
    <row r="35" spans="1:12" x14ac:dyDescent="0.25">
      <c r="A35" s="100"/>
      <c r="B35" s="120"/>
      <c r="C35" s="120"/>
      <c r="D35" s="122"/>
      <c r="E35" s="18" t="s">
        <v>2453</v>
      </c>
      <c r="F35" s="26">
        <v>93.2</v>
      </c>
      <c r="G35" s="120"/>
      <c r="H35" s="122"/>
      <c r="I35" s="120"/>
      <c r="J35" s="122"/>
      <c r="K35" s="122"/>
      <c r="L35" s="104"/>
    </row>
    <row r="36" spans="1:12" x14ac:dyDescent="0.25">
      <c r="A36" s="100"/>
      <c r="B36" s="120"/>
      <c r="C36" s="120"/>
      <c r="D36" s="122"/>
      <c r="E36" s="18" t="s">
        <v>2443</v>
      </c>
      <c r="F36" s="26">
        <v>2035.3999999999999</v>
      </c>
      <c r="G36" s="120"/>
      <c r="H36" s="122"/>
      <c r="I36" s="120"/>
      <c r="J36" s="122"/>
      <c r="K36" s="122"/>
      <c r="L36" s="104"/>
    </row>
    <row r="37" spans="1:12" x14ac:dyDescent="0.25">
      <c r="A37" s="100"/>
      <c r="B37" s="120"/>
      <c r="C37" s="120"/>
      <c r="D37" s="122"/>
      <c r="E37" s="18" t="s">
        <v>2454</v>
      </c>
      <c r="F37" s="26">
        <v>440.8</v>
      </c>
      <c r="G37" s="120"/>
      <c r="H37" s="122"/>
      <c r="I37" s="120"/>
      <c r="J37" s="122"/>
      <c r="K37" s="122"/>
      <c r="L37" s="104"/>
    </row>
    <row r="38" spans="1:12" x14ac:dyDescent="0.25">
      <c r="A38" s="100"/>
      <c r="B38" s="120"/>
      <c r="C38" s="120"/>
      <c r="D38" s="122"/>
      <c r="E38" s="18" t="s">
        <v>2451</v>
      </c>
      <c r="F38" s="26">
        <v>576.9</v>
      </c>
      <c r="G38" s="120"/>
      <c r="H38" s="122"/>
      <c r="I38" s="120"/>
      <c r="J38" s="122"/>
      <c r="K38" s="122"/>
      <c r="L38" s="104"/>
    </row>
    <row r="39" spans="1:12" x14ac:dyDescent="0.25">
      <c r="A39" s="100"/>
      <c r="B39" s="120"/>
      <c r="C39" s="120"/>
      <c r="D39" s="122"/>
      <c r="E39" s="18" t="s">
        <v>2455</v>
      </c>
      <c r="F39" s="26">
        <v>246.7</v>
      </c>
      <c r="G39" s="120"/>
      <c r="H39" s="122"/>
      <c r="I39" s="120"/>
      <c r="J39" s="122"/>
      <c r="K39" s="122"/>
      <c r="L39" s="104"/>
    </row>
    <row r="40" spans="1:12" x14ac:dyDescent="0.25">
      <c r="A40" s="100"/>
      <c r="B40" s="120"/>
      <c r="C40" s="120"/>
      <c r="D40" s="122"/>
      <c r="E40" s="18" t="s">
        <v>2448</v>
      </c>
      <c r="F40" s="26">
        <v>38.799999999999997</v>
      </c>
      <c r="G40" s="120"/>
      <c r="H40" s="122"/>
      <c r="I40" s="120"/>
      <c r="J40" s="122"/>
      <c r="K40" s="122"/>
      <c r="L40" s="104"/>
    </row>
    <row r="41" spans="1:12" x14ac:dyDescent="0.25">
      <c r="A41" s="100"/>
      <c r="B41" s="120"/>
      <c r="C41" s="120"/>
      <c r="D41" s="122"/>
      <c r="E41" s="18" t="s">
        <v>2450</v>
      </c>
      <c r="F41" s="26">
        <v>10280.5</v>
      </c>
      <c r="G41" s="120"/>
      <c r="H41" s="122"/>
      <c r="I41" s="120"/>
      <c r="J41" s="122"/>
      <c r="K41" s="122"/>
      <c r="L41" s="104"/>
    </row>
    <row r="42" spans="1:12" x14ac:dyDescent="0.25">
      <c r="A42" s="100"/>
      <c r="B42" s="120"/>
      <c r="C42" s="120"/>
      <c r="D42" s="122"/>
      <c r="E42" s="18" t="s">
        <v>2449</v>
      </c>
      <c r="F42" s="26">
        <v>1574.9</v>
      </c>
      <c r="G42" s="120"/>
      <c r="H42" s="122"/>
      <c r="I42" s="120"/>
      <c r="J42" s="122"/>
      <c r="K42" s="122"/>
      <c r="L42" s="104"/>
    </row>
    <row r="43" spans="1:12" ht="15.75" thickBot="1" x14ac:dyDescent="0.3">
      <c r="A43" s="101"/>
      <c r="B43" s="121"/>
      <c r="C43" s="121"/>
      <c r="D43" s="123"/>
      <c r="E43" s="19" t="s">
        <v>2452</v>
      </c>
      <c r="F43" s="25">
        <v>230.29999999999998</v>
      </c>
      <c r="G43" s="121"/>
      <c r="H43" s="123"/>
      <c r="I43" s="121"/>
      <c r="J43" s="123"/>
      <c r="K43" s="123"/>
      <c r="L43" s="125"/>
    </row>
    <row r="44" spans="1:12" ht="40.5" x14ac:dyDescent="0.25">
      <c r="A44" s="115" t="s">
        <v>2505</v>
      </c>
      <c r="B44" s="17" t="s">
        <v>2700</v>
      </c>
      <c r="C44" s="17" t="s">
        <v>2499</v>
      </c>
      <c r="D44" s="33">
        <v>631.20000000000005</v>
      </c>
      <c r="E44" s="17" t="s">
        <v>2495</v>
      </c>
      <c r="F44" s="33">
        <v>4344.1000000000004</v>
      </c>
      <c r="G44" s="17" t="s">
        <v>2495</v>
      </c>
      <c r="H44" s="33">
        <v>248.9</v>
      </c>
      <c r="I44" s="17" t="s">
        <v>2506</v>
      </c>
      <c r="J44" s="33">
        <v>360.3</v>
      </c>
      <c r="K44" s="33" t="s">
        <v>2507</v>
      </c>
      <c r="L44" s="117" t="s">
        <v>2479</v>
      </c>
    </row>
    <row r="45" spans="1:12" x14ac:dyDescent="0.25">
      <c r="A45" s="100"/>
      <c r="B45" s="103" t="s">
        <v>2701</v>
      </c>
      <c r="C45" s="103" t="s">
        <v>2494</v>
      </c>
      <c r="D45" s="107">
        <v>1980.4</v>
      </c>
      <c r="E45" s="18" t="s">
        <v>2446</v>
      </c>
      <c r="F45" s="26">
        <v>5.0999999999999996</v>
      </c>
      <c r="G45" s="103" t="s">
        <v>2445</v>
      </c>
      <c r="H45" s="107">
        <v>248.9</v>
      </c>
      <c r="I45" s="18" t="s">
        <v>2446</v>
      </c>
      <c r="J45" s="26">
        <v>0.4</v>
      </c>
      <c r="K45" s="26" t="s">
        <v>2507</v>
      </c>
      <c r="L45" s="104"/>
    </row>
    <row r="46" spans="1:12" x14ac:dyDescent="0.25">
      <c r="A46" s="100"/>
      <c r="B46" s="120"/>
      <c r="C46" s="120"/>
      <c r="D46" s="122"/>
      <c r="E46" s="18" t="s">
        <v>2447</v>
      </c>
      <c r="F46" s="26">
        <v>266</v>
      </c>
      <c r="G46" s="120"/>
      <c r="H46" s="122"/>
      <c r="I46" s="18" t="s">
        <v>2447</v>
      </c>
      <c r="J46" s="26">
        <v>21.5</v>
      </c>
      <c r="K46" s="26" t="s">
        <v>2507</v>
      </c>
      <c r="L46" s="104"/>
    </row>
    <row r="47" spans="1:12" x14ac:dyDescent="0.25">
      <c r="A47" s="100"/>
      <c r="B47" s="120"/>
      <c r="C47" s="120"/>
      <c r="D47" s="122"/>
      <c r="E47" s="18" t="s">
        <v>2444</v>
      </c>
      <c r="F47" s="26">
        <v>1135.2</v>
      </c>
      <c r="G47" s="120"/>
      <c r="H47" s="122"/>
      <c r="I47" s="18" t="s">
        <v>2445</v>
      </c>
      <c r="J47" s="26">
        <v>20.100000000000001</v>
      </c>
      <c r="K47" s="26" t="s">
        <v>2507</v>
      </c>
      <c r="L47" s="104"/>
    </row>
    <row r="48" spans="1:12" x14ac:dyDescent="0.25">
      <c r="A48" s="100"/>
      <c r="B48" s="120"/>
      <c r="C48" s="120"/>
      <c r="D48" s="122"/>
      <c r="E48" s="18" t="s">
        <v>2443</v>
      </c>
      <c r="F48" s="26">
        <v>54.7</v>
      </c>
      <c r="G48" s="120"/>
      <c r="H48" s="122"/>
      <c r="I48" s="18" t="s">
        <v>2444</v>
      </c>
      <c r="J48" s="26">
        <v>77.199999999999989</v>
      </c>
      <c r="K48" s="26" t="s">
        <v>2507</v>
      </c>
      <c r="L48" s="104"/>
    </row>
    <row r="49" spans="1:12" x14ac:dyDescent="0.25">
      <c r="A49" s="100"/>
      <c r="B49" s="120"/>
      <c r="C49" s="120"/>
      <c r="D49" s="122"/>
      <c r="E49" s="18" t="s">
        <v>2454</v>
      </c>
      <c r="F49" s="26">
        <v>76.5</v>
      </c>
      <c r="G49" s="120"/>
      <c r="H49" s="122"/>
      <c r="I49" s="18" t="s">
        <v>2443</v>
      </c>
      <c r="J49" s="26">
        <v>17.100000000000001</v>
      </c>
      <c r="K49" s="26" t="s">
        <v>2507</v>
      </c>
      <c r="L49" s="104"/>
    </row>
    <row r="50" spans="1:12" x14ac:dyDescent="0.25">
      <c r="A50" s="100"/>
      <c r="B50" s="120"/>
      <c r="C50" s="120"/>
      <c r="D50" s="122"/>
      <c r="E50" s="18" t="s">
        <v>2451</v>
      </c>
      <c r="F50" s="26">
        <v>370.1</v>
      </c>
      <c r="G50" s="120"/>
      <c r="H50" s="122"/>
      <c r="I50" s="18" t="s">
        <v>2454</v>
      </c>
      <c r="J50" s="26">
        <v>10.799999999999999</v>
      </c>
      <c r="K50" s="26" t="s">
        <v>2507</v>
      </c>
      <c r="L50" s="104"/>
    </row>
    <row r="51" spans="1:12" x14ac:dyDescent="0.25">
      <c r="A51" s="100"/>
      <c r="B51" s="120"/>
      <c r="C51" s="120"/>
      <c r="D51" s="122"/>
      <c r="E51" s="18" t="s">
        <v>2448</v>
      </c>
      <c r="F51" s="26">
        <v>63.6</v>
      </c>
      <c r="G51" s="120"/>
      <c r="H51" s="122"/>
      <c r="I51" s="18" t="s">
        <v>2451</v>
      </c>
      <c r="J51" s="26">
        <v>33.1</v>
      </c>
      <c r="K51" s="26" t="s">
        <v>2507</v>
      </c>
      <c r="L51" s="104"/>
    </row>
    <row r="52" spans="1:12" x14ac:dyDescent="0.25">
      <c r="A52" s="100"/>
      <c r="B52" s="120"/>
      <c r="C52" s="120"/>
      <c r="D52" s="122"/>
      <c r="E52" s="18" t="s">
        <v>2450</v>
      </c>
      <c r="F52" s="26">
        <v>1673.6999999999998</v>
      </c>
      <c r="G52" s="120"/>
      <c r="H52" s="122"/>
      <c r="I52" s="18" t="s">
        <v>2448</v>
      </c>
      <c r="J52" s="26">
        <v>4.8</v>
      </c>
      <c r="K52" s="26" t="s">
        <v>2507</v>
      </c>
      <c r="L52" s="104"/>
    </row>
    <row r="53" spans="1:12" x14ac:dyDescent="0.25">
      <c r="A53" s="100"/>
      <c r="B53" s="120"/>
      <c r="C53" s="120"/>
      <c r="D53" s="122"/>
      <c r="E53" s="103" t="s">
        <v>2449</v>
      </c>
      <c r="F53" s="107">
        <v>699.7</v>
      </c>
      <c r="G53" s="120"/>
      <c r="H53" s="122"/>
      <c r="I53" s="18" t="s">
        <v>2450</v>
      </c>
      <c r="J53" s="26">
        <v>122</v>
      </c>
      <c r="K53" s="26" t="s">
        <v>2507</v>
      </c>
      <c r="L53" s="104"/>
    </row>
    <row r="54" spans="1:12" ht="15.75" thickBot="1" x14ac:dyDescent="0.3">
      <c r="A54" s="101"/>
      <c r="B54" s="121"/>
      <c r="C54" s="121"/>
      <c r="D54" s="123"/>
      <c r="E54" s="121"/>
      <c r="F54" s="123"/>
      <c r="G54" s="121"/>
      <c r="H54" s="123"/>
      <c r="I54" s="19" t="s">
        <v>2449</v>
      </c>
      <c r="J54" s="25">
        <v>53.6</v>
      </c>
      <c r="K54" s="25" t="s">
        <v>2507</v>
      </c>
      <c r="L54" s="125"/>
    </row>
    <row r="55" spans="1:12" ht="54" x14ac:dyDescent="0.25">
      <c r="A55" s="115" t="s">
        <v>2512</v>
      </c>
      <c r="B55" s="17" t="s">
        <v>2702</v>
      </c>
      <c r="C55" s="17" t="s">
        <v>2499</v>
      </c>
      <c r="D55" s="33">
        <v>362.1</v>
      </c>
      <c r="E55" s="17" t="s">
        <v>2434</v>
      </c>
      <c r="F55" s="33">
        <v>4562</v>
      </c>
      <c r="G55" s="17" t="s">
        <v>2434</v>
      </c>
      <c r="H55" s="33">
        <v>230.9</v>
      </c>
      <c r="I55" s="119" t="s">
        <v>4</v>
      </c>
      <c r="J55" s="124" t="s">
        <v>4</v>
      </c>
      <c r="K55" s="124" t="s">
        <v>4</v>
      </c>
      <c r="L55" s="117" t="s">
        <v>2479</v>
      </c>
    </row>
    <row r="56" spans="1:12" ht="189" x14ac:dyDescent="0.25">
      <c r="A56" s="100"/>
      <c r="B56" s="18" t="s">
        <v>2703</v>
      </c>
      <c r="C56" s="18" t="s">
        <v>2500</v>
      </c>
      <c r="D56" s="26">
        <v>470.6</v>
      </c>
      <c r="E56" s="18" t="s">
        <v>2446</v>
      </c>
      <c r="F56" s="26">
        <v>12.9</v>
      </c>
      <c r="G56" s="103" t="s">
        <v>2445</v>
      </c>
      <c r="H56" s="107">
        <v>230.9</v>
      </c>
      <c r="I56" s="120"/>
      <c r="J56" s="122"/>
      <c r="K56" s="122"/>
      <c r="L56" s="104"/>
    </row>
    <row r="57" spans="1:12" ht="27" x14ac:dyDescent="0.25">
      <c r="A57" s="100"/>
      <c r="B57" s="18" t="s">
        <v>2704</v>
      </c>
      <c r="C57" s="18" t="s">
        <v>2501</v>
      </c>
      <c r="D57" s="26">
        <v>237</v>
      </c>
      <c r="E57" s="18" t="s">
        <v>2447</v>
      </c>
      <c r="F57" s="26">
        <v>248.5</v>
      </c>
      <c r="G57" s="120"/>
      <c r="H57" s="122"/>
      <c r="I57" s="120"/>
      <c r="J57" s="122"/>
      <c r="K57" s="122"/>
      <c r="L57" s="104"/>
    </row>
    <row r="58" spans="1:12" x14ac:dyDescent="0.25">
      <c r="A58" s="100"/>
      <c r="B58" s="103" t="s">
        <v>2705</v>
      </c>
      <c r="C58" s="103" t="s">
        <v>2494</v>
      </c>
      <c r="D58" s="107">
        <v>183</v>
      </c>
      <c r="E58" s="18" t="s">
        <v>2444</v>
      </c>
      <c r="F58" s="26">
        <v>1382.5</v>
      </c>
      <c r="G58" s="120"/>
      <c r="H58" s="122"/>
      <c r="I58" s="120"/>
      <c r="J58" s="122"/>
      <c r="K58" s="122"/>
      <c r="L58" s="104"/>
    </row>
    <row r="59" spans="1:12" x14ac:dyDescent="0.25">
      <c r="A59" s="100"/>
      <c r="B59" s="120"/>
      <c r="C59" s="120"/>
      <c r="D59" s="122"/>
      <c r="E59" s="18" t="s">
        <v>2453</v>
      </c>
      <c r="F59" s="26">
        <v>34.200000000000003</v>
      </c>
      <c r="G59" s="120"/>
      <c r="H59" s="122"/>
      <c r="I59" s="120"/>
      <c r="J59" s="122"/>
      <c r="K59" s="122"/>
      <c r="L59" s="104"/>
    </row>
    <row r="60" spans="1:12" x14ac:dyDescent="0.25">
      <c r="A60" s="100"/>
      <c r="B60" s="120"/>
      <c r="C60" s="120"/>
      <c r="D60" s="122"/>
      <c r="E60" s="18" t="s">
        <v>2443</v>
      </c>
      <c r="F60" s="26">
        <v>220.9</v>
      </c>
      <c r="G60" s="120"/>
      <c r="H60" s="122"/>
      <c r="I60" s="120"/>
      <c r="J60" s="122"/>
      <c r="K60" s="122"/>
      <c r="L60" s="104"/>
    </row>
    <row r="61" spans="1:12" x14ac:dyDescent="0.25">
      <c r="A61" s="100"/>
      <c r="B61" s="120"/>
      <c r="C61" s="120"/>
      <c r="D61" s="122"/>
      <c r="E61" s="18" t="s">
        <v>2451</v>
      </c>
      <c r="F61" s="26">
        <v>202</v>
      </c>
      <c r="G61" s="120"/>
      <c r="H61" s="122"/>
      <c r="I61" s="120"/>
      <c r="J61" s="122"/>
      <c r="K61" s="122"/>
      <c r="L61" s="104"/>
    </row>
    <row r="62" spans="1:12" x14ac:dyDescent="0.25">
      <c r="A62" s="100"/>
      <c r="B62" s="120"/>
      <c r="C62" s="120"/>
      <c r="D62" s="122"/>
      <c r="E62" s="18" t="s">
        <v>2448</v>
      </c>
      <c r="F62" s="26">
        <v>24.900000000000002</v>
      </c>
      <c r="G62" s="120"/>
      <c r="H62" s="122"/>
      <c r="I62" s="120"/>
      <c r="J62" s="122"/>
      <c r="K62" s="122"/>
      <c r="L62" s="104"/>
    </row>
    <row r="63" spans="1:12" x14ac:dyDescent="0.25">
      <c r="A63" s="100"/>
      <c r="B63" s="120"/>
      <c r="C63" s="120"/>
      <c r="D63" s="122"/>
      <c r="E63" s="18" t="s">
        <v>2450</v>
      </c>
      <c r="F63" s="26">
        <v>575.70000000000005</v>
      </c>
      <c r="G63" s="120"/>
      <c r="H63" s="122"/>
      <c r="I63" s="120"/>
      <c r="J63" s="122"/>
      <c r="K63" s="122"/>
      <c r="L63" s="104"/>
    </row>
    <row r="64" spans="1:12" x14ac:dyDescent="0.25">
      <c r="A64" s="100"/>
      <c r="B64" s="120"/>
      <c r="C64" s="120"/>
      <c r="D64" s="122"/>
      <c r="E64" s="18" t="s">
        <v>2449</v>
      </c>
      <c r="F64" s="26">
        <v>1821.8</v>
      </c>
      <c r="G64" s="120"/>
      <c r="H64" s="122"/>
      <c r="I64" s="120"/>
      <c r="J64" s="122"/>
      <c r="K64" s="122"/>
      <c r="L64" s="104"/>
    </row>
    <row r="65" spans="1:12" ht="15.75" thickBot="1" x14ac:dyDescent="0.3">
      <c r="A65" s="101"/>
      <c r="B65" s="121"/>
      <c r="C65" s="121"/>
      <c r="D65" s="123"/>
      <c r="E65" s="19" t="s">
        <v>2452</v>
      </c>
      <c r="F65" s="25">
        <v>39</v>
      </c>
      <c r="G65" s="121"/>
      <c r="H65" s="123"/>
      <c r="I65" s="121"/>
      <c r="J65" s="123"/>
      <c r="K65" s="123"/>
      <c r="L65" s="125"/>
    </row>
    <row r="66" spans="1:12" ht="40.5" x14ac:dyDescent="0.25">
      <c r="A66" s="115" t="s">
        <v>2518</v>
      </c>
      <c r="B66" s="17" t="s">
        <v>2706</v>
      </c>
      <c r="C66" s="17" t="s">
        <v>2501</v>
      </c>
      <c r="D66" s="33">
        <v>164.2</v>
      </c>
      <c r="E66" s="17" t="s">
        <v>2520</v>
      </c>
      <c r="F66" s="33">
        <v>311.89999999999998</v>
      </c>
      <c r="G66" s="17" t="s">
        <v>2520</v>
      </c>
      <c r="H66" s="33">
        <v>30.1</v>
      </c>
      <c r="I66" s="119" t="s">
        <v>4</v>
      </c>
      <c r="J66" s="124" t="s">
        <v>4</v>
      </c>
      <c r="K66" s="124" t="s">
        <v>4</v>
      </c>
      <c r="L66" s="117" t="s">
        <v>2479</v>
      </c>
    </row>
    <row r="67" spans="1:12" x14ac:dyDescent="0.25">
      <c r="A67" s="100"/>
      <c r="B67" s="103" t="s">
        <v>2529</v>
      </c>
      <c r="C67" s="103" t="s">
        <v>2494</v>
      </c>
      <c r="D67" s="107">
        <v>14.7</v>
      </c>
      <c r="E67" s="18" t="s">
        <v>2447</v>
      </c>
      <c r="F67" s="26">
        <v>38.4</v>
      </c>
      <c r="G67" s="103" t="s">
        <v>2445</v>
      </c>
      <c r="H67" s="107">
        <v>30.1</v>
      </c>
      <c r="I67" s="120"/>
      <c r="J67" s="122"/>
      <c r="K67" s="122"/>
      <c r="L67" s="104"/>
    </row>
    <row r="68" spans="1:12" x14ac:dyDescent="0.25">
      <c r="A68" s="100"/>
      <c r="B68" s="120"/>
      <c r="C68" s="120"/>
      <c r="D68" s="122"/>
      <c r="E68" s="18" t="s">
        <v>2444</v>
      </c>
      <c r="F68" s="26">
        <v>17.600000000000001</v>
      </c>
      <c r="G68" s="120"/>
      <c r="H68" s="122"/>
      <c r="I68" s="120"/>
      <c r="J68" s="122"/>
      <c r="K68" s="122"/>
      <c r="L68" s="104"/>
    </row>
    <row r="69" spans="1:12" x14ac:dyDescent="0.25">
      <c r="A69" s="100"/>
      <c r="B69" s="120"/>
      <c r="C69" s="120"/>
      <c r="D69" s="122"/>
      <c r="E69" s="18" t="s">
        <v>2453</v>
      </c>
      <c r="F69" s="26">
        <v>14.7</v>
      </c>
      <c r="G69" s="120"/>
      <c r="H69" s="122"/>
      <c r="I69" s="120"/>
      <c r="J69" s="122"/>
      <c r="K69" s="122"/>
      <c r="L69" s="104"/>
    </row>
    <row r="70" spans="1:12" x14ac:dyDescent="0.25">
      <c r="A70" s="100"/>
      <c r="B70" s="120"/>
      <c r="C70" s="120"/>
      <c r="D70" s="122"/>
      <c r="E70" s="18" t="s">
        <v>2443</v>
      </c>
      <c r="F70" s="26">
        <v>41.8</v>
      </c>
      <c r="G70" s="120"/>
      <c r="H70" s="122"/>
      <c r="I70" s="120"/>
      <c r="J70" s="122"/>
      <c r="K70" s="122"/>
      <c r="L70" s="104"/>
    </row>
    <row r="71" spans="1:12" x14ac:dyDescent="0.25">
      <c r="A71" s="100"/>
      <c r="B71" s="120"/>
      <c r="C71" s="120"/>
      <c r="D71" s="122"/>
      <c r="E71" s="18" t="s">
        <v>2451</v>
      </c>
      <c r="F71" s="26">
        <v>0.6</v>
      </c>
      <c r="G71" s="120"/>
      <c r="H71" s="122"/>
      <c r="I71" s="120"/>
      <c r="J71" s="122"/>
      <c r="K71" s="122"/>
      <c r="L71" s="104"/>
    </row>
    <row r="72" spans="1:12" x14ac:dyDescent="0.25">
      <c r="A72" s="100"/>
      <c r="B72" s="120"/>
      <c r="C72" s="120"/>
      <c r="D72" s="122"/>
      <c r="E72" s="18" t="s">
        <v>2450</v>
      </c>
      <c r="F72" s="26">
        <v>183.2</v>
      </c>
      <c r="G72" s="120"/>
      <c r="H72" s="122"/>
      <c r="I72" s="120"/>
      <c r="J72" s="122"/>
      <c r="K72" s="122"/>
      <c r="L72" s="104"/>
    </row>
    <row r="73" spans="1:12" ht="15.75" thickBot="1" x14ac:dyDescent="0.3">
      <c r="A73" s="101"/>
      <c r="B73" s="121"/>
      <c r="C73" s="121"/>
      <c r="D73" s="123"/>
      <c r="E73" s="19" t="s">
        <v>2449</v>
      </c>
      <c r="F73" s="25">
        <v>15.9</v>
      </c>
      <c r="G73" s="121"/>
      <c r="H73" s="123"/>
      <c r="I73" s="121"/>
      <c r="J73" s="123"/>
      <c r="K73" s="123"/>
      <c r="L73" s="125"/>
    </row>
    <row r="74" spans="1:12" ht="27" x14ac:dyDescent="0.25">
      <c r="A74" s="115" t="s">
        <v>2521</v>
      </c>
      <c r="B74" s="119" t="s">
        <v>2707</v>
      </c>
      <c r="C74" s="119" t="s">
        <v>4</v>
      </c>
      <c r="D74" s="124" t="s">
        <v>4</v>
      </c>
      <c r="E74" s="17" t="s">
        <v>2523</v>
      </c>
      <c r="F74" s="33">
        <v>359.40000000000003</v>
      </c>
      <c r="G74" s="17" t="s">
        <v>2523</v>
      </c>
      <c r="H74" s="33">
        <v>34.6</v>
      </c>
      <c r="I74" s="119" t="s">
        <v>4</v>
      </c>
      <c r="J74" s="124" t="s">
        <v>4</v>
      </c>
      <c r="K74" s="124" t="s">
        <v>4</v>
      </c>
      <c r="L74" s="117" t="s">
        <v>2479</v>
      </c>
    </row>
    <row r="75" spans="1:12" x14ac:dyDescent="0.25">
      <c r="A75" s="100"/>
      <c r="B75" s="120"/>
      <c r="C75" s="120"/>
      <c r="D75" s="122"/>
      <c r="E75" s="18" t="s">
        <v>2447</v>
      </c>
      <c r="F75" s="26">
        <v>20.700000000000003</v>
      </c>
      <c r="G75" s="103" t="s">
        <v>2445</v>
      </c>
      <c r="H75" s="107">
        <v>34.6</v>
      </c>
      <c r="I75" s="120"/>
      <c r="J75" s="122"/>
      <c r="K75" s="122"/>
      <c r="L75" s="104"/>
    </row>
    <row r="76" spans="1:12" x14ac:dyDescent="0.25">
      <c r="A76" s="100"/>
      <c r="B76" s="120"/>
      <c r="C76" s="120"/>
      <c r="D76" s="122"/>
      <c r="E76" s="18" t="s">
        <v>2444</v>
      </c>
      <c r="F76" s="26">
        <v>77.099999999999994</v>
      </c>
      <c r="G76" s="120"/>
      <c r="H76" s="122"/>
      <c r="I76" s="120"/>
      <c r="J76" s="122"/>
      <c r="K76" s="122"/>
      <c r="L76" s="104"/>
    </row>
    <row r="77" spans="1:12" x14ac:dyDescent="0.25">
      <c r="A77" s="100"/>
      <c r="B77" s="120"/>
      <c r="C77" s="120"/>
      <c r="D77" s="122"/>
      <c r="E77" s="18" t="s">
        <v>2443</v>
      </c>
      <c r="F77" s="26">
        <v>49.5</v>
      </c>
      <c r="G77" s="120"/>
      <c r="H77" s="122"/>
      <c r="I77" s="120"/>
      <c r="J77" s="122"/>
      <c r="K77" s="122"/>
      <c r="L77" s="104"/>
    </row>
    <row r="78" spans="1:12" x14ac:dyDescent="0.25">
      <c r="A78" s="100"/>
      <c r="B78" s="120"/>
      <c r="C78" s="120"/>
      <c r="D78" s="122"/>
      <c r="E78" s="18" t="s">
        <v>2450</v>
      </c>
      <c r="F78" s="26">
        <v>192.9</v>
      </c>
      <c r="G78" s="120"/>
      <c r="H78" s="122"/>
      <c r="I78" s="120"/>
      <c r="J78" s="122"/>
      <c r="K78" s="122"/>
      <c r="L78" s="104"/>
    </row>
    <row r="79" spans="1:12" ht="15.75" thickBot="1" x14ac:dyDescent="0.3">
      <c r="A79" s="101"/>
      <c r="B79" s="121"/>
      <c r="C79" s="121"/>
      <c r="D79" s="123"/>
      <c r="E79" s="19" t="s">
        <v>2449</v>
      </c>
      <c r="F79" s="25">
        <v>19.3</v>
      </c>
      <c r="G79" s="121"/>
      <c r="H79" s="123"/>
      <c r="I79" s="121"/>
      <c r="J79" s="123"/>
      <c r="K79" s="123"/>
      <c r="L79" s="125"/>
    </row>
    <row r="80" spans="1:12" ht="27" x14ac:dyDescent="0.25">
      <c r="A80" s="115" t="s">
        <v>2531</v>
      </c>
      <c r="B80" s="119" t="s">
        <v>2708</v>
      </c>
      <c r="C80" s="119" t="s">
        <v>2533</v>
      </c>
      <c r="D80" s="124">
        <v>11.6</v>
      </c>
      <c r="E80" s="17" t="s">
        <v>2533</v>
      </c>
      <c r="F80" s="33">
        <v>60.300000000000004</v>
      </c>
      <c r="G80" s="17" t="s">
        <v>2533</v>
      </c>
      <c r="H80" s="33">
        <v>3.8</v>
      </c>
      <c r="I80" s="119" t="s">
        <v>4</v>
      </c>
      <c r="J80" s="124" t="s">
        <v>4</v>
      </c>
      <c r="K80" s="124" t="s">
        <v>4</v>
      </c>
      <c r="L80" s="117" t="s">
        <v>2479</v>
      </c>
    </row>
    <row r="81" spans="1:12" x14ac:dyDescent="0.25">
      <c r="A81" s="100"/>
      <c r="B81" s="120"/>
      <c r="C81" s="120"/>
      <c r="D81" s="122"/>
      <c r="E81" s="18" t="s">
        <v>2444</v>
      </c>
      <c r="F81" s="26">
        <v>18.100000000000001</v>
      </c>
      <c r="G81" s="103" t="s">
        <v>2445</v>
      </c>
      <c r="H81" s="107">
        <v>3.8</v>
      </c>
      <c r="I81" s="120"/>
      <c r="J81" s="122"/>
      <c r="K81" s="122"/>
      <c r="L81" s="104"/>
    </row>
    <row r="82" spans="1:12" x14ac:dyDescent="0.25">
      <c r="A82" s="100"/>
      <c r="B82" s="120"/>
      <c r="C82" s="120"/>
      <c r="D82" s="122"/>
      <c r="E82" s="18" t="s">
        <v>2450</v>
      </c>
      <c r="F82" s="26">
        <v>32.799999999999997</v>
      </c>
      <c r="G82" s="120"/>
      <c r="H82" s="122"/>
      <c r="I82" s="120"/>
      <c r="J82" s="122"/>
      <c r="K82" s="122"/>
      <c r="L82" s="104"/>
    </row>
    <row r="83" spans="1:12" x14ac:dyDescent="0.25">
      <c r="A83" s="100"/>
      <c r="B83" s="120"/>
      <c r="C83" s="120"/>
      <c r="D83" s="122"/>
      <c r="E83" s="103" t="s">
        <v>2449</v>
      </c>
      <c r="F83" s="107">
        <v>9.4</v>
      </c>
      <c r="G83" s="120"/>
      <c r="H83" s="122"/>
      <c r="I83" s="120"/>
      <c r="J83" s="122"/>
      <c r="K83" s="122"/>
      <c r="L83" s="104"/>
    </row>
    <row r="84" spans="1:12" ht="15.75" thickBot="1" x14ac:dyDescent="0.3">
      <c r="A84" s="101"/>
      <c r="B84" s="120"/>
      <c r="C84" s="120"/>
      <c r="D84" s="122"/>
      <c r="E84" s="121"/>
      <c r="F84" s="123"/>
      <c r="G84" s="121"/>
      <c r="H84" s="123"/>
      <c r="I84" s="121"/>
      <c r="J84" s="123"/>
      <c r="K84" s="123"/>
      <c r="L84" s="105"/>
    </row>
    <row r="85" spans="1:12" x14ac:dyDescent="0.25">
      <c r="A85" s="115" t="s">
        <v>2491</v>
      </c>
      <c r="B85" s="116"/>
      <c r="C85" s="116"/>
      <c r="D85" s="117"/>
      <c r="E85" s="109" t="s">
        <v>2479</v>
      </c>
      <c r="F85" s="109"/>
      <c r="G85" s="109"/>
      <c r="H85" s="109"/>
      <c r="I85" s="20" t="s">
        <v>2479</v>
      </c>
      <c r="J85" s="20" t="s">
        <v>2479</v>
      </c>
      <c r="K85" s="20" t="s">
        <v>2479</v>
      </c>
      <c r="L85" s="20" t="s">
        <v>2479</v>
      </c>
    </row>
    <row r="86" spans="1:12" x14ac:dyDescent="0.25">
      <c r="A86" s="100" t="s">
        <v>2498</v>
      </c>
      <c r="B86" s="102"/>
      <c r="C86" s="102"/>
      <c r="D86" s="21">
        <v>3281.2</v>
      </c>
      <c r="E86" s="109" t="s">
        <v>2479</v>
      </c>
      <c r="F86" s="109"/>
      <c r="G86" s="109"/>
      <c r="H86" s="20" t="s">
        <v>2479</v>
      </c>
      <c r="I86" s="20" t="s">
        <v>2479</v>
      </c>
      <c r="J86" s="20" t="s">
        <v>2479</v>
      </c>
      <c r="K86" s="20" t="s">
        <v>2479</v>
      </c>
      <c r="L86" s="20" t="s">
        <v>2479</v>
      </c>
    </row>
    <row r="87" spans="1:12" x14ac:dyDescent="0.25">
      <c r="A87" s="100" t="s">
        <v>2492</v>
      </c>
      <c r="B87" s="102"/>
      <c r="C87" s="102"/>
      <c r="D87" s="21">
        <v>133.6</v>
      </c>
      <c r="E87" s="109" t="s">
        <v>2479</v>
      </c>
      <c r="F87" s="109"/>
      <c r="G87" s="109"/>
      <c r="H87" s="20" t="s">
        <v>2479</v>
      </c>
      <c r="I87" s="20" t="s">
        <v>2479</v>
      </c>
      <c r="J87" s="20" t="s">
        <v>2479</v>
      </c>
      <c r="K87" s="20" t="s">
        <v>2479</v>
      </c>
      <c r="L87" s="20" t="s">
        <v>2479</v>
      </c>
    </row>
    <row r="88" spans="1:12" x14ac:dyDescent="0.25">
      <c r="A88" s="100" t="s">
        <v>2511</v>
      </c>
      <c r="B88" s="102"/>
      <c r="C88" s="102"/>
      <c r="D88" s="21">
        <v>194.1</v>
      </c>
      <c r="E88" s="109" t="s">
        <v>2479</v>
      </c>
      <c r="F88" s="109"/>
      <c r="G88" s="109"/>
      <c r="H88" s="20" t="s">
        <v>2479</v>
      </c>
      <c r="I88" s="20" t="s">
        <v>2479</v>
      </c>
      <c r="J88" s="20" t="s">
        <v>2479</v>
      </c>
      <c r="K88" s="20" t="s">
        <v>2479</v>
      </c>
      <c r="L88" s="20" t="s">
        <v>2479</v>
      </c>
    </row>
    <row r="89" spans="1:12" x14ac:dyDescent="0.25">
      <c r="A89" s="100" t="s">
        <v>2534</v>
      </c>
      <c r="B89" s="102"/>
      <c r="C89" s="102"/>
      <c r="D89" s="21">
        <v>11.6</v>
      </c>
      <c r="E89" s="109" t="s">
        <v>2479</v>
      </c>
      <c r="F89" s="109"/>
      <c r="G89" s="109"/>
      <c r="H89" s="20" t="s">
        <v>2479</v>
      </c>
      <c r="I89" s="20" t="s">
        <v>2479</v>
      </c>
      <c r="J89" s="20" t="s">
        <v>2479</v>
      </c>
      <c r="K89" s="20" t="s">
        <v>2479</v>
      </c>
      <c r="L89" s="20" t="s">
        <v>2479</v>
      </c>
    </row>
    <row r="90" spans="1:12" x14ac:dyDescent="0.25">
      <c r="A90" s="100" t="s">
        <v>2502</v>
      </c>
      <c r="B90" s="102"/>
      <c r="C90" s="102"/>
      <c r="D90" s="21">
        <v>3563.2000000000003</v>
      </c>
      <c r="E90" s="109" t="s">
        <v>2479</v>
      </c>
      <c r="F90" s="109"/>
      <c r="G90" s="109"/>
      <c r="H90" s="20" t="s">
        <v>2479</v>
      </c>
      <c r="I90" s="20" t="s">
        <v>2479</v>
      </c>
      <c r="J90" s="20" t="s">
        <v>2479</v>
      </c>
      <c r="K90" s="20" t="s">
        <v>2479</v>
      </c>
      <c r="L90" s="20" t="s">
        <v>2479</v>
      </c>
    </row>
    <row r="91" spans="1:12" x14ac:dyDescent="0.25">
      <c r="A91" s="100" t="s">
        <v>2503</v>
      </c>
      <c r="B91" s="102"/>
      <c r="C91" s="102"/>
      <c r="D91" s="21">
        <v>1105.9000000000001</v>
      </c>
      <c r="E91" s="109" t="s">
        <v>2479</v>
      </c>
      <c r="F91" s="109"/>
      <c r="G91" s="109"/>
      <c r="H91" s="20" t="s">
        <v>2479</v>
      </c>
      <c r="I91" s="20" t="s">
        <v>2479</v>
      </c>
      <c r="J91" s="20" t="s">
        <v>2479</v>
      </c>
      <c r="K91" s="20" t="s">
        <v>2479</v>
      </c>
      <c r="L91" s="20" t="s">
        <v>2479</v>
      </c>
    </row>
    <row r="92" spans="1:12" x14ac:dyDescent="0.25">
      <c r="A92" s="100" t="s">
        <v>2504</v>
      </c>
      <c r="B92" s="102"/>
      <c r="C92" s="102"/>
      <c r="D92" s="21">
        <v>791.40000000000009</v>
      </c>
      <c r="E92" s="109" t="s">
        <v>2479</v>
      </c>
      <c r="F92" s="109"/>
      <c r="G92" s="109"/>
      <c r="H92" s="20" t="s">
        <v>2479</v>
      </c>
      <c r="I92" s="20" t="s">
        <v>2479</v>
      </c>
      <c r="J92" s="20" t="s">
        <v>2479</v>
      </c>
      <c r="K92" s="20" t="s">
        <v>2479</v>
      </c>
      <c r="L92" s="20" t="s">
        <v>2479</v>
      </c>
    </row>
    <row r="93" spans="1:12" x14ac:dyDescent="0.25">
      <c r="A93" s="100" t="s">
        <v>2496</v>
      </c>
      <c r="B93" s="102"/>
      <c r="C93" s="102"/>
      <c r="D93" s="21">
        <v>7363.9999999999991</v>
      </c>
      <c r="E93" s="109" t="s">
        <v>2479</v>
      </c>
      <c r="F93" s="109"/>
      <c r="G93" s="109"/>
      <c r="H93" s="20" t="s">
        <v>2479</v>
      </c>
      <c r="I93" s="20" t="s">
        <v>2479</v>
      </c>
      <c r="J93" s="20" t="s">
        <v>2479</v>
      </c>
      <c r="K93" s="20" t="s">
        <v>2479</v>
      </c>
      <c r="L93" s="20" t="s">
        <v>2479</v>
      </c>
    </row>
    <row r="94" spans="1:12" x14ac:dyDescent="0.25">
      <c r="A94" s="100" t="s">
        <v>2495</v>
      </c>
      <c r="B94" s="102"/>
      <c r="C94" s="102"/>
      <c r="D94" s="21">
        <v>32551.9</v>
      </c>
      <c r="E94" s="109" t="s">
        <v>2479</v>
      </c>
      <c r="F94" s="109"/>
      <c r="G94" s="109"/>
      <c r="H94" s="20" t="s">
        <v>2479</v>
      </c>
      <c r="I94" s="20" t="s">
        <v>2479</v>
      </c>
      <c r="J94" s="20" t="s">
        <v>2479</v>
      </c>
      <c r="K94" s="20" t="s">
        <v>2479</v>
      </c>
      <c r="L94" s="20" t="s">
        <v>2479</v>
      </c>
    </row>
    <row r="95" spans="1:12" x14ac:dyDescent="0.25">
      <c r="A95" s="100" t="s">
        <v>2434</v>
      </c>
      <c r="B95" s="102"/>
      <c r="C95" s="102"/>
      <c r="D95" s="21">
        <v>7597.4</v>
      </c>
      <c r="E95" s="109" t="s">
        <v>2479</v>
      </c>
      <c r="F95" s="109"/>
      <c r="G95" s="109"/>
      <c r="H95" s="20" t="s">
        <v>2479</v>
      </c>
      <c r="I95" s="20" t="s">
        <v>2479</v>
      </c>
      <c r="J95" s="20" t="s">
        <v>2479</v>
      </c>
      <c r="K95" s="20" t="s">
        <v>2479</v>
      </c>
      <c r="L95" s="20" t="s">
        <v>2479</v>
      </c>
    </row>
    <row r="96" spans="1:12" x14ac:dyDescent="0.25">
      <c r="A96" s="100" t="s">
        <v>2488</v>
      </c>
      <c r="B96" s="102"/>
      <c r="C96" s="102"/>
      <c r="D96" s="21">
        <v>312.5</v>
      </c>
      <c r="E96" s="109" t="s">
        <v>2479</v>
      </c>
      <c r="F96" s="109"/>
      <c r="G96" s="109"/>
      <c r="H96" s="20" t="s">
        <v>2479</v>
      </c>
      <c r="I96" s="20" t="s">
        <v>2479</v>
      </c>
      <c r="J96" s="20" t="s">
        <v>2479</v>
      </c>
      <c r="K96" s="20" t="s">
        <v>2479</v>
      </c>
      <c r="L96" s="20" t="s">
        <v>2479</v>
      </c>
    </row>
    <row r="97" spans="1:12" x14ac:dyDescent="0.25">
      <c r="A97" s="100" t="s">
        <v>2489</v>
      </c>
      <c r="B97" s="102"/>
      <c r="C97" s="102"/>
      <c r="D97" s="21">
        <v>262.5</v>
      </c>
      <c r="E97" s="109" t="s">
        <v>2479</v>
      </c>
      <c r="F97" s="109"/>
      <c r="G97" s="109"/>
      <c r="H97" s="20" t="s">
        <v>2479</v>
      </c>
      <c r="I97" s="20" t="s">
        <v>2479</v>
      </c>
      <c r="J97" s="20" t="s">
        <v>2479</v>
      </c>
      <c r="K97" s="20" t="s">
        <v>2479</v>
      </c>
      <c r="L97" s="20" t="s">
        <v>2479</v>
      </c>
    </row>
    <row r="98" spans="1:12" x14ac:dyDescent="0.25">
      <c r="A98" s="100" t="s">
        <v>2510</v>
      </c>
      <c r="B98" s="102"/>
      <c r="C98" s="102"/>
      <c r="D98" s="21">
        <v>857.19999999999993</v>
      </c>
      <c r="E98" s="109" t="s">
        <v>2479</v>
      </c>
      <c r="F98" s="109"/>
      <c r="G98" s="109"/>
      <c r="H98" s="20" t="s">
        <v>2479</v>
      </c>
      <c r="I98" s="20" t="s">
        <v>2479</v>
      </c>
      <c r="J98" s="20" t="s">
        <v>2479</v>
      </c>
      <c r="K98" s="20" t="s">
        <v>2479</v>
      </c>
      <c r="L98" s="20" t="s">
        <v>2479</v>
      </c>
    </row>
    <row r="99" spans="1:12" x14ac:dyDescent="0.25">
      <c r="A99" s="100" t="s">
        <v>2506</v>
      </c>
      <c r="B99" s="102"/>
      <c r="C99" s="102"/>
      <c r="D99" s="21">
        <v>360.3</v>
      </c>
      <c r="E99" s="109" t="s">
        <v>2479</v>
      </c>
      <c r="F99" s="109"/>
      <c r="G99" s="109"/>
      <c r="H99" s="20" t="s">
        <v>2479</v>
      </c>
      <c r="I99" s="20" t="s">
        <v>2479</v>
      </c>
      <c r="J99" s="20" t="s">
        <v>2479</v>
      </c>
      <c r="K99" s="20" t="s">
        <v>2479</v>
      </c>
      <c r="L99" s="20" t="s">
        <v>2479</v>
      </c>
    </row>
    <row r="100" spans="1:12" x14ac:dyDescent="0.25">
      <c r="A100" s="100" t="s">
        <v>2520</v>
      </c>
      <c r="B100" s="102"/>
      <c r="C100" s="102"/>
      <c r="D100" s="21">
        <v>342</v>
      </c>
      <c r="E100" s="109" t="s">
        <v>2479</v>
      </c>
      <c r="F100" s="109"/>
      <c r="G100" s="109"/>
      <c r="H100" s="20" t="s">
        <v>2479</v>
      </c>
      <c r="I100" s="20" t="s">
        <v>2479</v>
      </c>
      <c r="J100" s="20" t="s">
        <v>2479</v>
      </c>
      <c r="K100" s="20" t="s">
        <v>2479</v>
      </c>
      <c r="L100" s="20" t="s">
        <v>2479</v>
      </c>
    </row>
    <row r="101" spans="1:12" x14ac:dyDescent="0.25">
      <c r="A101" s="100" t="s">
        <v>2523</v>
      </c>
      <c r="B101" s="102"/>
      <c r="C101" s="102"/>
      <c r="D101" s="21">
        <v>394.00000000000006</v>
      </c>
      <c r="E101" s="109" t="s">
        <v>2479</v>
      </c>
      <c r="F101" s="109"/>
      <c r="G101" s="109"/>
      <c r="H101" s="20" t="s">
        <v>2479</v>
      </c>
      <c r="I101" s="20" t="s">
        <v>2479</v>
      </c>
      <c r="J101" s="20" t="s">
        <v>2479</v>
      </c>
      <c r="K101" s="20" t="s">
        <v>2479</v>
      </c>
      <c r="L101" s="20" t="s">
        <v>2479</v>
      </c>
    </row>
    <row r="102" spans="1:12" x14ac:dyDescent="0.25">
      <c r="A102" s="100" t="s">
        <v>2533</v>
      </c>
      <c r="B102" s="102"/>
      <c r="C102" s="102"/>
      <c r="D102" s="21">
        <v>64.100000000000009</v>
      </c>
      <c r="E102" s="109" t="s">
        <v>2479</v>
      </c>
      <c r="F102" s="109"/>
      <c r="G102" s="109"/>
      <c r="H102" s="20" t="s">
        <v>2479</v>
      </c>
      <c r="I102" s="20" t="s">
        <v>2479</v>
      </c>
      <c r="J102" s="20" t="s">
        <v>2479</v>
      </c>
      <c r="K102" s="20" t="s">
        <v>2479</v>
      </c>
      <c r="L102" s="20" t="s">
        <v>2479</v>
      </c>
    </row>
    <row r="103" spans="1:12" x14ac:dyDescent="0.25">
      <c r="A103" s="100" t="s">
        <v>2446</v>
      </c>
      <c r="B103" s="102"/>
      <c r="C103" s="102"/>
      <c r="D103" s="21">
        <v>118.2</v>
      </c>
      <c r="E103" s="109" t="s">
        <v>2479</v>
      </c>
      <c r="F103" s="109"/>
      <c r="G103" s="109"/>
      <c r="H103" s="20" t="s">
        <v>2479</v>
      </c>
      <c r="I103" s="20" t="s">
        <v>2479</v>
      </c>
      <c r="J103" s="20" t="s">
        <v>2479</v>
      </c>
      <c r="K103" s="20" t="s">
        <v>2479</v>
      </c>
      <c r="L103" s="20" t="s">
        <v>2479</v>
      </c>
    </row>
    <row r="104" spans="1:12" x14ac:dyDescent="0.25">
      <c r="A104" s="100" t="s">
        <v>2447</v>
      </c>
      <c r="B104" s="102"/>
      <c r="C104" s="102"/>
      <c r="D104" s="21">
        <v>3499.6</v>
      </c>
      <c r="E104" s="109" t="s">
        <v>2479</v>
      </c>
      <c r="F104" s="109"/>
      <c r="G104" s="109"/>
      <c r="H104" s="20" t="s">
        <v>2479</v>
      </c>
      <c r="I104" s="20" t="s">
        <v>2479</v>
      </c>
      <c r="J104" s="20" t="s">
        <v>2479</v>
      </c>
      <c r="K104" s="20" t="s">
        <v>2479</v>
      </c>
      <c r="L104" s="20" t="s">
        <v>2479</v>
      </c>
    </row>
    <row r="105" spans="1:12" x14ac:dyDescent="0.25">
      <c r="A105" s="100" t="s">
        <v>2444</v>
      </c>
      <c r="B105" s="102"/>
      <c r="C105" s="102"/>
      <c r="D105" s="21">
        <v>10931.300000000003</v>
      </c>
      <c r="E105" s="109" t="s">
        <v>2479</v>
      </c>
      <c r="F105" s="109"/>
      <c r="G105" s="109"/>
      <c r="H105" s="20" t="s">
        <v>2479</v>
      </c>
      <c r="I105" s="20" t="s">
        <v>2479</v>
      </c>
      <c r="J105" s="20" t="s">
        <v>2479</v>
      </c>
      <c r="K105" s="20" t="s">
        <v>2479</v>
      </c>
      <c r="L105" s="20" t="s">
        <v>2479</v>
      </c>
    </row>
    <row r="106" spans="1:12" x14ac:dyDescent="0.25">
      <c r="A106" s="100" t="s">
        <v>2453</v>
      </c>
      <c r="B106" s="102"/>
      <c r="C106" s="102"/>
      <c r="D106" s="21">
        <v>159.39999999999998</v>
      </c>
      <c r="E106" s="109" t="s">
        <v>2479</v>
      </c>
      <c r="F106" s="109"/>
      <c r="G106" s="109"/>
      <c r="H106" s="20" t="s">
        <v>2479</v>
      </c>
      <c r="I106" s="20" t="s">
        <v>2479</v>
      </c>
      <c r="J106" s="20" t="s">
        <v>2479</v>
      </c>
      <c r="K106" s="20" t="s">
        <v>2479</v>
      </c>
      <c r="L106" s="20" t="s">
        <v>2479</v>
      </c>
    </row>
    <row r="107" spans="1:12" x14ac:dyDescent="0.25">
      <c r="A107" s="100" t="s">
        <v>2443</v>
      </c>
      <c r="B107" s="102"/>
      <c r="C107" s="102"/>
      <c r="D107" s="21">
        <v>2505.5</v>
      </c>
      <c r="E107" s="109" t="s">
        <v>2479</v>
      </c>
      <c r="F107" s="109"/>
      <c r="G107" s="109"/>
      <c r="H107" s="20" t="s">
        <v>2479</v>
      </c>
      <c r="I107" s="20" t="s">
        <v>2479</v>
      </c>
      <c r="J107" s="20" t="s">
        <v>2479</v>
      </c>
      <c r="K107" s="20" t="s">
        <v>2479</v>
      </c>
      <c r="L107" s="20" t="s">
        <v>2479</v>
      </c>
    </row>
    <row r="108" spans="1:12" x14ac:dyDescent="0.25">
      <c r="A108" s="100" t="s">
        <v>2451</v>
      </c>
      <c r="B108" s="102"/>
      <c r="C108" s="102"/>
      <c r="D108" s="21">
        <v>1339.8999999999999</v>
      </c>
      <c r="E108" s="109" t="s">
        <v>2479</v>
      </c>
      <c r="F108" s="109"/>
      <c r="G108" s="109"/>
      <c r="H108" s="20" t="s">
        <v>2479</v>
      </c>
      <c r="I108" s="20" t="s">
        <v>2479</v>
      </c>
      <c r="J108" s="20" t="s">
        <v>2479</v>
      </c>
      <c r="K108" s="20" t="s">
        <v>2479</v>
      </c>
      <c r="L108" s="20" t="s">
        <v>2479</v>
      </c>
    </row>
    <row r="109" spans="1:12" x14ac:dyDescent="0.25">
      <c r="A109" s="100" t="s">
        <v>2448</v>
      </c>
      <c r="B109" s="102"/>
      <c r="C109" s="102"/>
      <c r="D109" s="21">
        <v>155.5</v>
      </c>
      <c r="E109" s="109" t="s">
        <v>2479</v>
      </c>
      <c r="F109" s="109"/>
      <c r="G109" s="109"/>
      <c r="H109" s="20" t="s">
        <v>2479</v>
      </c>
      <c r="I109" s="20" t="s">
        <v>2479</v>
      </c>
      <c r="J109" s="20" t="s">
        <v>2479</v>
      </c>
      <c r="K109" s="20" t="s">
        <v>2479</v>
      </c>
      <c r="L109" s="20" t="s">
        <v>2479</v>
      </c>
    </row>
    <row r="110" spans="1:12" x14ac:dyDescent="0.25">
      <c r="A110" s="100" t="s">
        <v>2450</v>
      </c>
      <c r="B110" s="102"/>
      <c r="C110" s="102"/>
      <c r="D110" s="21">
        <v>13895.1</v>
      </c>
      <c r="E110" s="109" t="s">
        <v>2479</v>
      </c>
      <c r="F110" s="109"/>
      <c r="G110" s="109"/>
      <c r="H110" s="20" t="s">
        <v>2479</v>
      </c>
      <c r="I110" s="20" t="s">
        <v>2479</v>
      </c>
      <c r="J110" s="20" t="s">
        <v>2479</v>
      </c>
      <c r="K110" s="20" t="s">
        <v>2479</v>
      </c>
      <c r="L110" s="20" t="s">
        <v>2479</v>
      </c>
    </row>
    <row r="111" spans="1:12" x14ac:dyDescent="0.25">
      <c r="A111" s="100" t="s">
        <v>2449</v>
      </c>
      <c r="B111" s="102"/>
      <c r="C111" s="102"/>
      <c r="D111" s="21">
        <v>5384.4</v>
      </c>
      <c r="E111" s="109" t="s">
        <v>2479</v>
      </c>
      <c r="F111" s="109"/>
      <c r="G111" s="109"/>
      <c r="H111" s="20" t="s">
        <v>2479</v>
      </c>
      <c r="I111" s="20" t="s">
        <v>2479</v>
      </c>
      <c r="J111" s="20" t="s">
        <v>2479</v>
      </c>
      <c r="K111" s="20" t="s">
        <v>2479</v>
      </c>
      <c r="L111" s="20" t="s">
        <v>2479</v>
      </c>
    </row>
    <row r="112" spans="1:12" x14ac:dyDescent="0.25">
      <c r="A112" s="100" t="s">
        <v>2452</v>
      </c>
      <c r="B112" s="102"/>
      <c r="C112" s="102"/>
      <c r="D112" s="21">
        <v>515.4</v>
      </c>
      <c r="E112" s="109" t="s">
        <v>2479</v>
      </c>
      <c r="F112" s="109"/>
      <c r="G112" s="109"/>
      <c r="H112" s="20" t="s">
        <v>2479</v>
      </c>
      <c r="I112" s="20" t="s">
        <v>2479</v>
      </c>
      <c r="J112" s="20" t="s">
        <v>2479</v>
      </c>
      <c r="K112" s="20" t="s">
        <v>2479</v>
      </c>
      <c r="L112" s="20" t="s">
        <v>2479</v>
      </c>
    </row>
    <row r="113" spans="1:12" x14ac:dyDescent="0.25">
      <c r="A113" s="100" t="s">
        <v>2445</v>
      </c>
      <c r="B113" s="102"/>
      <c r="C113" s="102"/>
      <c r="D113" s="21">
        <v>3377.1</v>
      </c>
      <c r="E113" s="109" t="s">
        <v>2479</v>
      </c>
      <c r="F113" s="109"/>
      <c r="G113" s="109"/>
      <c r="H113" s="20" t="s">
        <v>2479</v>
      </c>
      <c r="I113" s="20" t="s">
        <v>2479</v>
      </c>
      <c r="J113" s="20" t="s">
        <v>2479</v>
      </c>
      <c r="K113" s="20" t="s">
        <v>2479</v>
      </c>
      <c r="L113" s="20" t="s">
        <v>2479</v>
      </c>
    </row>
    <row r="114" spans="1:12" x14ac:dyDescent="0.25">
      <c r="A114" s="100" t="s">
        <v>2455</v>
      </c>
      <c r="B114" s="102"/>
      <c r="C114" s="102"/>
      <c r="D114" s="21">
        <v>304.2</v>
      </c>
      <c r="E114" s="109" t="s">
        <v>2479</v>
      </c>
      <c r="F114" s="109"/>
      <c r="G114" s="109"/>
      <c r="H114" s="20" t="s">
        <v>2479</v>
      </c>
      <c r="I114" s="20" t="s">
        <v>2479</v>
      </c>
      <c r="J114" s="20" t="s">
        <v>2479</v>
      </c>
      <c r="K114" s="20" t="s">
        <v>2479</v>
      </c>
      <c r="L114" s="20" t="s">
        <v>2479</v>
      </c>
    </row>
    <row r="115" spans="1:12" x14ac:dyDescent="0.25">
      <c r="A115" s="100" t="s">
        <v>2442</v>
      </c>
      <c r="B115" s="102"/>
      <c r="C115" s="102"/>
      <c r="D115" s="21">
        <v>31.700000000000003</v>
      </c>
      <c r="E115" s="109" t="s">
        <v>2479</v>
      </c>
      <c r="F115" s="109"/>
      <c r="G115" s="109"/>
      <c r="H115" s="20" t="s">
        <v>2479</v>
      </c>
      <c r="I115" s="20" t="s">
        <v>2479</v>
      </c>
      <c r="J115" s="20" t="s">
        <v>2479</v>
      </c>
      <c r="K115" s="20" t="s">
        <v>2479</v>
      </c>
      <c r="L115" s="20" t="s">
        <v>2479</v>
      </c>
    </row>
    <row r="116" spans="1:12" ht="15.75" thickBot="1" x14ac:dyDescent="0.3">
      <c r="A116" s="118" t="s">
        <v>2454</v>
      </c>
      <c r="B116" s="108"/>
      <c r="C116" s="108"/>
      <c r="D116" s="22">
        <v>528.09999999999991</v>
      </c>
      <c r="E116" s="109" t="s">
        <v>2479</v>
      </c>
      <c r="F116" s="109"/>
      <c r="G116" s="109"/>
      <c r="H116" s="20" t="s">
        <v>2479</v>
      </c>
      <c r="I116" s="20" t="s">
        <v>2479</v>
      </c>
      <c r="J116" s="20" t="s">
        <v>2479</v>
      </c>
      <c r="K116" s="20" t="s">
        <v>2479</v>
      </c>
      <c r="L116" s="20" t="s">
        <v>2479</v>
      </c>
    </row>
  </sheetData>
  <mergeCells count="157">
    <mergeCell ref="A1:A2"/>
    <mergeCell ref="B1:B2"/>
    <mergeCell ref="C1:K1"/>
    <mergeCell ref="L1:L2"/>
    <mergeCell ref="B7:B14"/>
    <mergeCell ref="A15:A21"/>
    <mergeCell ref="L15:L21"/>
    <mergeCell ref="A22:A29"/>
    <mergeCell ref="L22:L29"/>
    <mergeCell ref="I22:I29"/>
    <mergeCell ref="F20:F21"/>
    <mergeCell ref="A30:A43"/>
    <mergeCell ref="L30:L43"/>
    <mergeCell ref="A44:A54"/>
    <mergeCell ref="C34:C43"/>
    <mergeCell ref="E53:E54"/>
    <mergeCell ref="C15:C21"/>
    <mergeCell ref="C22:C29"/>
    <mergeCell ref="E20:E21"/>
    <mergeCell ref="D7:D14"/>
    <mergeCell ref="E13:E14"/>
    <mergeCell ref="F13:F14"/>
    <mergeCell ref="A3:A14"/>
    <mergeCell ref="L3:L14"/>
    <mergeCell ref="C7:C14"/>
    <mergeCell ref="G4:G14"/>
    <mergeCell ref="H4:H14"/>
    <mergeCell ref="D34:D43"/>
    <mergeCell ref="D45:D54"/>
    <mergeCell ref="H16:H21"/>
    <mergeCell ref="H23:H29"/>
    <mergeCell ref="H31:H43"/>
    <mergeCell ref="H45:H54"/>
    <mergeCell ref="K22:K29"/>
    <mergeCell ref="K30:K43"/>
    <mergeCell ref="A80:A84"/>
    <mergeCell ref="L80:L84"/>
    <mergeCell ref="B15:B21"/>
    <mergeCell ref="B22:B29"/>
    <mergeCell ref="B34:B43"/>
    <mergeCell ref="B45:B54"/>
    <mergeCell ref="B58:B65"/>
    <mergeCell ref="B67:B73"/>
    <mergeCell ref="B74:B79"/>
    <mergeCell ref="B80:B84"/>
    <mergeCell ref="L44:L54"/>
    <mergeCell ref="A55:A65"/>
    <mergeCell ref="L55:L65"/>
    <mergeCell ref="A66:A73"/>
    <mergeCell ref="L66:L73"/>
    <mergeCell ref="A74:A79"/>
    <mergeCell ref="L74:L79"/>
    <mergeCell ref="C45:C54"/>
    <mergeCell ref="C58:C65"/>
    <mergeCell ref="C67:C73"/>
    <mergeCell ref="C74:C79"/>
    <mergeCell ref="C80:C84"/>
    <mergeCell ref="D15:D21"/>
    <mergeCell ref="D22:D29"/>
    <mergeCell ref="F53:F54"/>
    <mergeCell ref="F83:F84"/>
    <mergeCell ref="G16:G21"/>
    <mergeCell ref="G23:G29"/>
    <mergeCell ref="G31:G43"/>
    <mergeCell ref="G45:G54"/>
    <mergeCell ref="G56:G65"/>
    <mergeCell ref="G67:G73"/>
    <mergeCell ref="G75:G79"/>
    <mergeCell ref="G81:G84"/>
    <mergeCell ref="K55:K65"/>
    <mergeCell ref="K66:K73"/>
    <mergeCell ref="K74:K79"/>
    <mergeCell ref="K80:K84"/>
    <mergeCell ref="J22:J29"/>
    <mergeCell ref="J30:J43"/>
    <mergeCell ref="J55:J65"/>
    <mergeCell ref="J66:J73"/>
    <mergeCell ref="J74:J79"/>
    <mergeCell ref="J80:J84"/>
    <mergeCell ref="I30:I43"/>
    <mergeCell ref="I55:I65"/>
    <mergeCell ref="I66:I73"/>
    <mergeCell ref="I74:I79"/>
    <mergeCell ref="I80:I84"/>
    <mergeCell ref="A91:C91"/>
    <mergeCell ref="E91:G91"/>
    <mergeCell ref="A92:C92"/>
    <mergeCell ref="E92:G92"/>
    <mergeCell ref="H56:H65"/>
    <mergeCell ref="H67:H73"/>
    <mergeCell ref="H75:H79"/>
    <mergeCell ref="H81:H84"/>
    <mergeCell ref="A85:D85"/>
    <mergeCell ref="E85:H85"/>
    <mergeCell ref="A86:C86"/>
    <mergeCell ref="E86:G86"/>
    <mergeCell ref="A87:C87"/>
    <mergeCell ref="E87:G87"/>
    <mergeCell ref="D58:D65"/>
    <mergeCell ref="D67:D73"/>
    <mergeCell ref="D74:D79"/>
    <mergeCell ref="D80:D84"/>
    <mergeCell ref="E83:E84"/>
    <mergeCell ref="A93:C93"/>
    <mergeCell ref="E93:G93"/>
    <mergeCell ref="A88:C88"/>
    <mergeCell ref="E88:G88"/>
    <mergeCell ref="A89:C89"/>
    <mergeCell ref="E89:G89"/>
    <mergeCell ref="A90:C90"/>
    <mergeCell ref="E90:G90"/>
    <mergeCell ref="A97:C97"/>
    <mergeCell ref="E97:G97"/>
    <mergeCell ref="A98:C98"/>
    <mergeCell ref="E98:G98"/>
    <mergeCell ref="A99:C99"/>
    <mergeCell ref="E99:G99"/>
    <mergeCell ref="A94:C94"/>
    <mergeCell ref="E94:G94"/>
    <mergeCell ref="A95:C95"/>
    <mergeCell ref="E95:G95"/>
    <mergeCell ref="A96:C96"/>
    <mergeCell ref="E96:G96"/>
    <mergeCell ref="A103:C103"/>
    <mergeCell ref="E103:G103"/>
    <mergeCell ref="A104:C104"/>
    <mergeCell ref="E104:G104"/>
    <mergeCell ref="A105:C105"/>
    <mergeCell ref="E105:G105"/>
    <mergeCell ref="A100:C100"/>
    <mergeCell ref="E100:G100"/>
    <mergeCell ref="A101:C101"/>
    <mergeCell ref="E101:G101"/>
    <mergeCell ref="A102:C102"/>
    <mergeCell ref="E102:G102"/>
    <mergeCell ref="A109:C109"/>
    <mergeCell ref="E109:G109"/>
    <mergeCell ref="A110:C110"/>
    <mergeCell ref="E110:G110"/>
    <mergeCell ref="A111:C111"/>
    <mergeCell ref="E111:G111"/>
    <mergeCell ref="A106:C106"/>
    <mergeCell ref="E106:G106"/>
    <mergeCell ref="A107:C107"/>
    <mergeCell ref="E107:G107"/>
    <mergeCell ref="A108:C108"/>
    <mergeCell ref="E108:G108"/>
    <mergeCell ref="A115:C115"/>
    <mergeCell ref="E115:G115"/>
    <mergeCell ref="A116:C116"/>
    <mergeCell ref="E116:G116"/>
    <mergeCell ref="A112:C112"/>
    <mergeCell ref="E112:G112"/>
    <mergeCell ref="A113:C113"/>
    <mergeCell ref="E113:G113"/>
    <mergeCell ref="A114:C114"/>
    <mergeCell ref="E114:G114"/>
  </mergeCells>
  <conditionalFormatting sqref="A1:L116">
    <cfRule type="containsText" dxfId="74" priority="1" stopIfTrue="1" operator="containsText" text="НЕТ ОТДЕЛКИ">
      <formula>NOT(ISERROR(SEARCH("НЕТ ОТДЕЛКИ",A1)))</formula>
    </cfRule>
  </conditionalFormatting>
  <pageMargins left="0.19685039370078741" right="0.19685039370078741" top="0.19685039370078741" bottom="0.19685039370078741" header="0.19685039370078741" footer="0.19685039370078741"/>
  <pageSetup paperSize="270" orientation="portrait" r:id="rId1"/>
  <rowBreaks count="2" manualBreakCount="2">
    <brk id="29" max="11" man="1"/>
    <brk id="79" max="11" man="1"/>
  </rowBreaks>
  <colBreaks count="1" manualBreakCount="1">
    <brk id="11" max="11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>
    <tabColor theme="7" tint="0.39997558519241921"/>
  </sheetPr>
  <dimension ref="A1:L70"/>
  <sheetViews>
    <sheetView workbookViewId="0">
      <selection sqref="A1:A2"/>
    </sheetView>
  </sheetViews>
  <sheetFormatPr defaultRowHeight="15" x14ac:dyDescent="0.25"/>
  <cols>
    <col min="1" max="1" width="5.42578125" style="16" customWidth="1"/>
    <col min="2" max="2" width="16.28515625" style="16" customWidth="1"/>
    <col min="3" max="3" width="21.7109375" style="16" customWidth="1"/>
    <col min="4" max="4" width="8.140625" style="16" customWidth="1"/>
    <col min="5" max="5" width="21.7109375" style="16" customWidth="1"/>
    <col min="6" max="6" width="8.140625" style="16" customWidth="1"/>
    <col min="7" max="7" width="21.7109375" style="16" customWidth="1"/>
    <col min="8" max="8" width="8.140625" style="16" customWidth="1"/>
    <col min="9" max="9" width="21.7109375" style="16" customWidth="1"/>
    <col min="10" max="11" width="8.140625" style="16" customWidth="1"/>
    <col min="12" max="12" width="16.28515625" style="16" customWidth="1"/>
    <col min="13" max="16384" width="9.140625" style="16"/>
  </cols>
  <sheetData>
    <row r="1" spans="1:12" ht="16.5" x14ac:dyDescent="0.25">
      <c r="A1" s="110" t="s">
        <v>2369</v>
      </c>
      <c r="B1" s="112" t="s">
        <v>2476</v>
      </c>
      <c r="C1" s="112" t="s">
        <v>2477</v>
      </c>
      <c r="D1" s="112"/>
      <c r="E1" s="112"/>
      <c r="F1" s="112"/>
      <c r="G1" s="112"/>
      <c r="H1" s="112"/>
      <c r="I1" s="112"/>
      <c r="J1" s="112"/>
      <c r="K1" s="112"/>
      <c r="L1" s="98" t="s">
        <v>2478</v>
      </c>
    </row>
    <row r="2" spans="1:12" ht="40.5" x14ac:dyDescent="0.25">
      <c r="A2" s="111"/>
      <c r="B2" s="113"/>
      <c r="C2" s="23" t="s">
        <v>2480</v>
      </c>
      <c r="D2" s="24" t="s">
        <v>2481</v>
      </c>
      <c r="E2" s="23" t="s">
        <v>2482</v>
      </c>
      <c r="F2" s="24" t="s">
        <v>2481</v>
      </c>
      <c r="G2" s="23" t="s">
        <v>2483</v>
      </c>
      <c r="H2" s="24" t="s">
        <v>2481</v>
      </c>
      <c r="I2" s="23" t="s">
        <v>2484</v>
      </c>
      <c r="J2" s="24" t="s">
        <v>2481</v>
      </c>
      <c r="K2" s="24" t="s">
        <v>2485</v>
      </c>
      <c r="L2" s="99"/>
    </row>
    <row r="3" spans="1:12" ht="40.5" x14ac:dyDescent="0.25">
      <c r="A3" s="100" t="s">
        <v>2497</v>
      </c>
      <c r="B3" s="102" t="s">
        <v>2555</v>
      </c>
      <c r="C3" s="18" t="s">
        <v>2499</v>
      </c>
      <c r="D3" s="26">
        <v>23.5</v>
      </c>
      <c r="E3" s="18" t="s">
        <v>2495</v>
      </c>
      <c r="F3" s="26">
        <v>77</v>
      </c>
      <c r="G3" s="18" t="s">
        <v>2495</v>
      </c>
      <c r="H3" s="26">
        <v>0.2</v>
      </c>
      <c r="I3" s="18" t="s">
        <v>2434</v>
      </c>
      <c r="J3" s="26">
        <v>151.1</v>
      </c>
      <c r="K3" s="26" t="s">
        <v>2490</v>
      </c>
      <c r="L3" s="104" t="s">
        <v>2479</v>
      </c>
    </row>
    <row r="4" spans="1:12" ht="22.7" customHeight="1" x14ac:dyDescent="0.25">
      <c r="A4" s="100"/>
      <c r="B4" s="102"/>
      <c r="C4" s="102" t="s">
        <v>2500</v>
      </c>
      <c r="D4" s="106">
        <v>24.4</v>
      </c>
      <c r="E4" s="18" t="s">
        <v>2447</v>
      </c>
      <c r="F4" s="26">
        <v>6.8999999999999995</v>
      </c>
      <c r="G4" s="102" t="s">
        <v>2445</v>
      </c>
      <c r="H4" s="106">
        <v>0.2</v>
      </c>
      <c r="I4" s="18" t="s">
        <v>2447</v>
      </c>
      <c r="J4" s="26">
        <v>10.199999999999999</v>
      </c>
      <c r="K4" s="26" t="s">
        <v>2490</v>
      </c>
      <c r="L4" s="104"/>
    </row>
    <row r="5" spans="1:12" ht="22.7" customHeight="1" x14ac:dyDescent="0.25">
      <c r="A5" s="100"/>
      <c r="B5" s="102"/>
      <c r="C5" s="102"/>
      <c r="D5" s="106"/>
      <c r="E5" s="18" t="s">
        <v>2444</v>
      </c>
      <c r="F5" s="26">
        <v>16.400000000000002</v>
      </c>
      <c r="G5" s="102"/>
      <c r="H5" s="106"/>
      <c r="I5" s="18" t="s">
        <v>2445</v>
      </c>
      <c r="J5" s="26">
        <v>0.5</v>
      </c>
      <c r="K5" s="26" t="s">
        <v>2490</v>
      </c>
      <c r="L5" s="104"/>
    </row>
    <row r="6" spans="1:12" ht="22.7" customHeight="1" x14ac:dyDescent="0.25">
      <c r="A6" s="100"/>
      <c r="B6" s="102"/>
      <c r="C6" s="102"/>
      <c r="D6" s="106"/>
      <c r="E6" s="18" t="s">
        <v>2443</v>
      </c>
      <c r="F6" s="26">
        <v>0.9</v>
      </c>
      <c r="G6" s="102"/>
      <c r="H6" s="106"/>
      <c r="I6" s="18" t="s">
        <v>2444</v>
      </c>
      <c r="J6" s="26">
        <v>39</v>
      </c>
      <c r="K6" s="26" t="s">
        <v>2490</v>
      </c>
      <c r="L6" s="104"/>
    </row>
    <row r="7" spans="1:12" ht="22.7" customHeight="1" x14ac:dyDescent="0.25">
      <c r="A7" s="100"/>
      <c r="B7" s="102"/>
      <c r="C7" s="102"/>
      <c r="D7" s="106"/>
      <c r="E7" s="18" t="s">
        <v>2451</v>
      </c>
      <c r="F7" s="26">
        <v>1.8</v>
      </c>
      <c r="G7" s="102"/>
      <c r="H7" s="106"/>
      <c r="I7" s="18" t="s">
        <v>2443</v>
      </c>
      <c r="J7" s="26">
        <v>7.9</v>
      </c>
      <c r="K7" s="26" t="s">
        <v>2490</v>
      </c>
      <c r="L7" s="104"/>
    </row>
    <row r="8" spans="1:12" ht="22.7" customHeight="1" x14ac:dyDescent="0.25">
      <c r="A8" s="100"/>
      <c r="B8" s="102"/>
      <c r="C8" s="102"/>
      <c r="D8" s="106"/>
      <c r="E8" s="18" t="s">
        <v>2448</v>
      </c>
      <c r="F8" s="26">
        <v>2.7</v>
      </c>
      <c r="G8" s="102"/>
      <c r="H8" s="106"/>
      <c r="I8" s="18" t="s">
        <v>2451</v>
      </c>
      <c r="J8" s="26">
        <v>4.5</v>
      </c>
      <c r="K8" s="26" t="s">
        <v>2490</v>
      </c>
      <c r="L8" s="104"/>
    </row>
    <row r="9" spans="1:12" ht="22.7" customHeight="1" x14ac:dyDescent="0.25">
      <c r="A9" s="100"/>
      <c r="B9" s="102"/>
      <c r="C9" s="102"/>
      <c r="D9" s="106"/>
      <c r="E9" s="18" t="s">
        <v>2450</v>
      </c>
      <c r="F9" s="26">
        <v>3.9</v>
      </c>
      <c r="G9" s="102"/>
      <c r="H9" s="106"/>
      <c r="I9" s="18" t="s">
        <v>2448</v>
      </c>
      <c r="J9" s="26">
        <v>6.8999999999999995</v>
      </c>
      <c r="K9" s="26" t="s">
        <v>2490</v>
      </c>
      <c r="L9" s="104"/>
    </row>
    <row r="10" spans="1:12" ht="22.7" customHeight="1" x14ac:dyDescent="0.25">
      <c r="A10" s="100"/>
      <c r="B10" s="102"/>
      <c r="C10" s="102"/>
      <c r="D10" s="106"/>
      <c r="E10" s="102" t="s">
        <v>2449</v>
      </c>
      <c r="F10" s="106">
        <v>44.7</v>
      </c>
      <c r="G10" s="102"/>
      <c r="H10" s="106"/>
      <c r="I10" s="18" t="s">
        <v>2450</v>
      </c>
      <c r="J10" s="26">
        <v>6.1</v>
      </c>
      <c r="K10" s="26" t="s">
        <v>2490</v>
      </c>
      <c r="L10" s="104"/>
    </row>
    <row r="11" spans="1:12" ht="22.7" customHeight="1" x14ac:dyDescent="0.25">
      <c r="A11" s="100"/>
      <c r="B11" s="102"/>
      <c r="C11" s="102"/>
      <c r="D11" s="106"/>
      <c r="E11" s="102"/>
      <c r="F11" s="106"/>
      <c r="G11" s="102"/>
      <c r="H11" s="106"/>
      <c r="I11" s="18" t="s">
        <v>2449</v>
      </c>
      <c r="J11" s="26">
        <v>76.400000000000006</v>
      </c>
      <c r="K11" s="26" t="s">
        <v>2490</v>
      </c>
      <c r="L11" s="104"/>
    </row>
    <row r="12" spans="1:12" ht="27" x14ac:dyDescent="0.25">
      <c r="A12" s="100" t="s">
        <v>2493</v>
      </c>
      <c r="B12" s="102" t="s">
        <v>2556</v>
      </c>
      <c r="C12" s="18" t="s">
        <v>2495</v>
      </c>
      <c r="D12" s="26">
        <v>99.3</v>
      </c>
      <c r="E12" s="18" t="s">
        <v>2495</v>
      </c>
      <c r="F12" s="26">
        <v>1307.0999999999999</v>
      </c>
      <c r="G12" s="18" t="s">
        <v>2495</v>
      </c>
      <c r="H12" s="26">
        <v>257.39999999999998</v>
      </c>
      <c r="I12" s="102" t="s">
        <v>4</v>
      </c>
      <c r="J12" s="106" t="s">
        <v>4</v>
      </c>
      <c r="K12" s="106" t="s">
        <v>4</v>
      </c>
      <c r="L12" s="104" t="s">
        <v>2479</v>
      </c>
    </row>
    <row r="13" spans="1:12" ht="22.7" customHeight="1" x14ac:dyDescent="0.25">
      <c r="A13" s="100"/>
      <c r="B13" s="102"/>
      <c r="C13" s="18" t="s">
        <v>2499</v>
      </c>
      <c r="D13" s="26">
        <v>216.5</v>
      </c>
      <c r="E13" s="18" t="s">
        <v>2446</v>
      </c>
      <c r="F13" s="26">
        <v>4.8</v>
      </c>
      <c r="G13" s="102" t="s">
        <v>2445</v>
      </c>
      <c r="H13" s="106">
        <v>257.39999999999998</v>
      </c>
      <c r="I13" s="102"/>
      <c r="J13" s="106"/>
      <c r="K13" s="106"/>
      <c r="L13" s="104"/>
    </row>
    <row r="14" spans="1:12" ht="22.7" customHeight="1" x14ac:dyDescent="0.25">
      <c r="A14" s="100"/>
      <c r="B14" s="102"/>
      <c r="C14" s="18" t="s">
        <v>2500</v>
      </c>
      <c r="D14" s="26">
        <v>7.8</v>
      </c>
      <c r="E14" s="18" t="s">
        <v>2447</v>
      </c>
      <c r="F14" s="26">
        <v>138.30000000000001</v>
      </c>
      <c r="G14" s="102"/>
      <c r="H14" s="106"/>
      <c r="I14" s="102"/>
      <c r="J14" s="106"/>
      <c r="K14" s="106"/>
      <c r="L14" s="104"/>
    </row>
    <row r="15" spans="1:12" ht="22.7" customHeight="1" x14ac:dyDescent="0.25">
      <c r="A15" s="100"/>
      <c r="B15" s="102"/>
      <c r="C15" s="102" t="s">
        <v>2501</v>
      </c>
      <c r="D15" s="106">
        <v>163.29999999999998</v>
      </c>
      <c r="E15" s="18" t="s">
        <v>2444</v>
      </c>
      <c r="F15" s="26">
        <v>161.69999999999999</v>
      </c>
      <c r="G15" s="102"/>
      <c r="H15" s="106"/>
      <c r="I15" s="102"/>
      <c r="J15" s="106"/>
      <c r="K15" s="106"/>
      <c r="L15" s="104"/>
    </row>
    <row r="16" spans="1:12" ht="22.7" customHeight="1" x14ac:dyDescent="0.25">
      <c r="A16" s="100"/>
      <c r="B16" s="102"/>
      <c r="C16" s="102"/>
      <c r="D16" s="106"/>
      <c r="E16" s="18" t="s">
        <v>2453</v>
      </c>
      <c r="F16" s="26">
        <v>8.8000000000000007</v>
      </c>
      <c r="G16" s="102"/>
      <c r="H16" s="106"/>
      <c r="I16" s="102"/>
      <c r="J16" s="106"/>
      <c r="K16" s="106"/>
      <c r="L16" s="104"/>
    </row>
    <row r="17" spans="1:12" ht="22.7" customHeight="1" x14ac:dyDescent="0.25">
      <c r="A17" s="100"/>
      <c r="B17" s="102"/>
      <c r="C17" s="102"/>
      <c r="D17" s="106"/>
      <c r="E17" s="18" t="s">
        <v>2443</v>
      </c>
      <c r="F17" s="26">
        <v>124.5</v>
      </c>
      <c r="G17" s="102"/>
      <c r="H17" s="106"/>
      <c r="I17" s="102"/>
      <c r="J17" s="106"/>
      <c r="K17" s="106"/>
      <c r="L17" s="104"/>
    </row>
    <row r="18" spans="1:12" ht="22.7" customHeight="1" x14ac:dyDescent="0.25">
      <c r="A18" s="100"/>
      <c r="B18" s="102"/>
      <c r="C18" s="102"/>
      <c r="D18" s="106"/>
      <c r="E18" s="18" t="s">
        <v>2454</v>
      </c>
      <c r="F18" s="26">
        <v>42.300000000000004</v>
      </c>
      <c r="G18" s="102"/>
      <c r="H18" s="106"/>
      <c r="I18" s="102"/>
      <c r="J18" s="106"/>
      <c r="K18" s="106"/>
      <c r="L18" s="104"/>
    </row>
    <row r="19" spans="1:12" ht="22.7" customHeight="1" x14ac:dyDescent="0.25">
      <c r="A19" s="100"/>
      <c r="B19" s="102"/>
      <c r="C19" s="102"/>
      <c r="D19" s="106"/>
      <c r="E19" s="18" t="s">
        <v>2451</v>
      </c>
      <c r="F19" s="26">
        <v>19</v>
      </c>
      <c r="G19" s="102"/>
      <c r="H19" s="106"/>
      <c r="I19" s="102"/>
      <c r="J19" s="106"/>
      <c r="K19" s="106"/>
      <c r="L19" s="104"/>
    </row>
    <row r="20" spans="1:12" ht="22.7" customHeight="1" x14ac:dyDescent="0.25">
      <c r="A20" s="100"/>
      <c r="B20" s="102"/>
      <c r="C20" s="102"/>
      <c r="D20" s="106"/>
      <c r="E20" s="18" t="s">
        <v>2448</v>
      </c>
      <c r="F20" s="26">
        <v>7.7</v>
      </c>
      <c r="G20" s="102"/>
      <c r="H20" s="106"/>
      <c r="I20" s="102"/>
      <c r="J20" s="106"/>
      <c r="K20" s="106"/>
      <c r="L20" s="104"/>
    </row>
    <row r="21" spans="1:12" ht="22.7" customHeight="1" x14ac:dyDescent="0.25">
      <c r="A21" s="100"/>
      <c r="B21" s="102"/>
      <c r="C21" s="102"/>
      <c r="D21" s="106"/>
      <c r="E21" s="18" t="s">
        <v>2450</v>
      </c>
      <c r="F21" s="26">
        <v>580.79999999999995</v>
      </c>
      <c r="G21" s="102"/>
      <c r="H21" s="106"/>
      <c r="I21" s="102"/>
      <c r="J21" s="106"/>
      <c r="K21" s="106"/>
      <c r="L21" s="104"/>
    </row>
    <row r="22" spans="1:12" ht="22.7" customHeight="1" x14ac:dyDescent="0.25">
      <c r="A22" s="100"/>
      <c r="B22" s="102"/>
      <c r="C22" s="102"/>
      <c r="D22" s="106"/>
      <c r="E22" s="18" t="s">
        <v>2449</v>
      </c>
      <c r="F22" s="26">
        <v>219.5</v>
      </c>
      <c r="G22" s="102"/>
      <c r="H22" s="106"/>
      <c r="I22" s="102"/>
      <c r="J22" s="106"/>
      <c r="K22" s="106"/>
      <c r="L22" s="104"/>
    </row>
    <row r="23" spans="1:12" ht="40.5" x14ac:dyDescent="0.25">
      <c r="A23" s="100" t="s">
        <v>2505</v>
      </c>
      <c r="B23" s="102" t="s">
        <v>2557</v>
      </c>
      <c r="C23" s="102" t="s">
        <v>2499</v>
      </c>
      <c r="D23" s="106">
        <v>257.7</v>
      </c>
      <c r="E23" s="18" t="s">
        <v>2495</v>
      </c>
      <c r="F23" s="26">
        <v>657</v>
      </c>
      <c r="G23" s="18" t="s">
        <v>2495</v>
      </c>
      <c r="H23" s="26">
        <v>68.699999999999989</v>
      </c>
      <c r="I23" s="18" t="s">
        <v>2506</v>
      </c>
      <c r="J23" s="26">
        <v>63</v>
      </c>
      <c r="K23" s="26" t="s">
        <v>2507</v>
      </c>
      <c r="L23" s="104" t="s">
        <v>2479</v>
      </c>
    </row>
    <row r="24" spans="1:12" ht="22.7" customHeight="1" x14ac:dyDescent="0.25">
      <c r="A24" s="100"/>
      <c r="B24" s="102"/>
      <c r="C24" s="102"/>
      <c r="D24" s="106"/>
      <c r="E24" s="18" t="s">
        <v>2446</v>
      </c>
      <c r="F24" s="26">
        <v>1.9000000000000001</v>
      </c>
      <c r="G24" s="102" t="s">
        <v>2445</v>
      </c>
      <c r="H24" s="106">
        <v>68.699999999999989</v>
      </c>
      <c r="I24" s="18" t="s">
        <v>2446</v>
      </c>
      <c r="J24" s="26">
        <v>0.2</v>
      </c>
      <c r="K24" s="26" t="s">
        <v>2507</v>
      </c>
      <c r="L24" s="104"/>
    </row>
    <row r="25" spans="1:12" ht="22.7" customHeight="1" x14ac:dyDescent="0.25">
      <c r="A25" s="100"/>
      <c r="B25" s="102"/>
      <c r="C25" s="102"/>
      <c r="D25" s="106"/>
      <c r="E25" s="18" t="s">
        <v>2447</v>
      </c>
      <c r="F25" s="26">
        <v>45.9</v>
      </c>
      <c r="G25" s="102"/>
      <c r="H25" s="106"/>
      <c r="I25" s="18" t="s">
        <v>2447</v>
      </c>
      <c r="J25" s="26">
        <v>3.7</v>
      </c>
      <c r="K25" s="26" t="s">
        <v>2507</v>
      </c>
      <c r="L25" s="104"/>
    </row>
    <row r="26" spans="1:12" ht="22.7" customHeight="1" x14ac:dyDescent="0.25">
      <c r="A26" s="100"/>
      <c r="B26" s="102"/>
      <c r="C26" s="102"/>
      <c r="D26" s="106"/>
      <c r="E26" s="18" t="s">
        <v>2444</v>
      </c>
      <c r="F26" s="26">
        <v>166.2</v>
      </c>
      <c r="G26" s="102"/>
      <c r="H26" s="106"/>
      <c r="I26" s="18" t="s">
        <v>2445</v>
      </c>
      <c r="J26" s="26">
        <v>5.8</v>
      </c>
      <c r="K26" s="26" t="s">
        <v>2507</v>
      </c>
      <c r="L26" s="104"/>
    </row>
    <row r="27" spans="1:12" ht="22.7" customHeight="1" x14ac:dyDescent="0.25">
      <c r="A27" s="100"/>
      <c r="B27" s="102"/>
      <c r="C27" s="102"/>
      <c r="D27" s="106"/>
      <c r="E27" s="18" t="s">
        <v>2443</v>
      </c>
      <c r="F27" s="26">
        <v>13.3</v>
      </c>
      <c r="G27" s="102"/>
      <c r="H27" s="106"/>
      <c r="I27" s="18" t="s">
        <v>2444</v>
      </c>
      <c r="J27" s="26">
        <v>12.7</v>
      </c>
      <c r="K27" s="26" t="s">
        <v>2507</v>
      </c>
      <c r="L27" s="104"/>
    </row>
    <row r="28" spans="1:12" ht="22.7" customHeight="1" x14ac:dyDescent="0.25">
      <c r="A28" s="100"/>
      <c r="B28" s="102"/>
      <c r="C28" s="102"/>
      <c r="D28" s="106"/>
      <c r="E28" s="18" t="s">
        <v>2454</v>
      </c>
      <c r="F28" s="26">
        <v>12.7</v>
      </c>
      <c r="G28" s="102"/>
      <c r="H28" s="106"/>
      <c r="I28" s="18" t="s">
        <v>2443</v>
      </c>
      <c r="J28" s="26">
        <v>3.7</v>
      </c>
      <c r="K28" s="26" t="s">
        <v>2507</v>
      </c>
      <c r="L28" s="104"/>
    </row>
    <row r="29" spans="1:12" ht="22.7" customHeight="1" x14ac:dyDescent="0.25">
      <c r="A29" s="100"/>
      <c r="B29" s="102"/>
      <c r="C29" s="102"/>
      <c r="D29" s="106"/>
      <c r="E29" s="18" t="s">
        <v>2451</v>
      </c>
      <c r="F29" s="26">
        <v>28.6</v>
      </c>
      <c r="G29" s="102"/>
      <c r="H29" s="106"/>
      <c r="I29" s="18" t="s">
        <v>2454</v>
      </c>
      <c r="J29" s="26">
        <v>1.9000000000000001</v>
      </c>
      <c r="K29" s="26" t="s">
        <v>2507</v>
      </c>
      <c r="L29" s="104"/>
    </row>
    <row r="30" spans="1:12" ht="22.7" customHeight="1" x14ac:dyDescent="0.25">
      <c r="A30" s="100"/>
      <c r="B30" s="102"/>
      <c r="C30" s="102"/>
      <c r="D30" s="106"/>
      <c r="E30" s="18" t="s">
        <v>2448</v>
      </c>
      <c r="F30" s="26">
        <v>16.2</v>
      </c>
      <c r="G30" s="102"/>
      <c r="H30" s="106"/>
      <c r="I30" s="18" t="s">
        <v>2451</v>
      </c>
      <c r="J30" s="26">
        <v>3.1</v>
      </c>
      <c r="K30" s="26" t="s">
        <v>2507</v>
      </c>
      <c r="L30" s="104"/>
    </row>
    <row r="31" spans="1:12" ht="22.7" customHeight="1" x14ac:dyDescent="0.25">
      <c r="A31" s="100"/>
      <c r="B31" s="102"/>
      <c r="C31" s="102"/>
      <c r="D31" s="106"/>
      <c r="E31" s="18" t="s">
        <v>2450</v>
      </c>
      <c r="F31" s="26">
        <v>220</v>
      </c>
      <c r="G31" s="102"/>
      <c r="H31" s="106"/>
      <c r="I31" s="18" t="s">
        <v>2448</v>
      </c>
      <c r="J31" s="26">
        <v>1.3</v>
      </c>
      <c r="K31" s="26" t="s">
        <v>2507</v>
      </c>
      <c r="L31" s="104"/>
    </row>
    <row r="32" spans="1:12" ht="22.7" customHeight="1" x14ac:dyDescent="0.25">
      <c r="A32" s="100"/>
      <c r="B32" s="102"/>
      <c r="C32" s="102"/>
      <c r="D32" s="106"/>
      <c r="E32" s="102" t="s">
        <v>2449</v>
      </c>
      <c r="F32" s="106">
        <v>152.5</v>
      </c>
      <c r="G32" s="102"/>
      <c r="H32" s="106"/>
      <c r="I32" s="18" t="s">
        <v>2450</v>
      </c>
      <c r="J32" s="26">
        <v>18.5</v>
      </c>
      <c r="K32" s="26" t="s">
        <v>2507</v>
      </c>
      <c r="L32" s="104"/>
    </row>
    <row r="33" spans="1:12" ht="22.7" customHeight="1" x14ac:dyDescent="0.25">
      <c r="A33" s="100"/>
      <c r="B33" s="102"/>
      <c r="C33" s="102"/>
      <c r="D33" s="106"/>
      <c r="E33" s="102"/>
      <c r="F33" s="106"/>
      <c r="G33" s="102"/>
      <c r="H33" s="106"/>
      <c r="I33" s="18" t="s">
        <v>2449</v>
      </c>
      <c r="J33" s="26">
        <v>12.4</v>
      </c>
      <c r="K33" s="26" t="s">
        <v>2507</v>
      </c>
      <c r="L33" s="104"/>
    </row>
    <row r="34" spans="1:12" ht="40.5" x14ac:dyDescent="0.25">
      <c r="A34" s="100" t="s">
        <v>2512</v>
      </c>
      <c r="B34" s="102" t="s">
        <v>2558</v>
      </c>
      <c r="C34" s="18" t="s">
        <v>2499</v>
      </c>
      <c r="D34" s="26">
        <v>192.6</v>
      </c>
      <c r="E34" s="18" t="s">
        <v>2434</v>
      </c>
      <c r="F34" s="26">
        <v>1723.6999999999998</v>
      </c>
      <c r="G34" s="18" t="s">
        <v>2434</v>
      </c>
      <c r="H34" s="26">
        <v>107.89999999999999</v>
      </c>
      <c r="I34" s="102" t="s">
        <v>4</v>
      </c>
      <c r="J34" s="106" t="s">
        <v>4</v>
      </c>
      <c r="K34" s="106" t="s">
        <v>4</v>
      </c>
      <c r="L34" s="104" t="s">
        <v>2479</v>
      </c>
    </row>
    <row r="35" spans="1:12" ht="22.7" customHeight="1" x14ac:dyDescent="0.25">
      <c r="A35" s="100"/>
      <c r="B35" s="102"/>
      <c r="C35" s="18" t="s">
        <v>2500</v>
      </c>
      <c r="D35" s="26">
        <v>109.69999999999999</v>
      </c>
      <c r="E35" s="18" t="s">
        <v>2446</v>
      </c>
      <c r="F35" s="26">
        <v>8.3000000000000007</v>
      </c>
      <c r="G35" s="102" t="s">
        <v>2445</v>
      </c>
      <c r="H35" s="106">
        <v>107.89999999999999</v>
      </c>
      <c r="I35" s="102"/>
      <c r="J35" s="106"/>
      <c r="K35" s="106"/>
      <c r="L35" s="104"/>
    </row>
    <row r="36" spans="1:12" ht="22.7" customHeight="1" x14ac:dyDescent="0.25">
      <c r="A36" s="100"/>
      <c r="B36" s="102"/>
      <c r="C36" s="18" t="s">
        <v>2501</v>
      </c>
      <c r="D36" s="26">
        <v>224</v>
      </c>
      <c r="E36" s="18" t="s">
        <v>2447</v>
      </c>
      <c r="F36" s="26">
        <v>111.9</v>
      </c>
      <c r="G36" s="102"/>
      <c r="H36" s="106"/>
      <c r="I36" s="102"/>
      <c r="J36" s="106"/>
      <c r="K36" s="106"/>
      <c r="L36" s="104"/>
    </row>
    <row r="37" spans="1:12" ht="22.7" customHeight="1" x14ac:dyDescent="0.25">
      <c r="A37" s="100"/>
      <c r="B37" s="102"/>
      <c r="C37" s="102" t="s">
        <v>2494</v>
      </c>
      <c r="D37" s="106">
        <v>16.8</v>
      </c>
      <c r="E37" s="18" t="s">
        <v>2444</v>
      </c>
      <c r="F37" s="26">
        <v>164.9</v>
      </c>
      <c r="G37" s="102"/>
      <c r="H37" s="106"/>
      <c r="I37" s="102"/>
      <c r="J37" s="106"/>
      <c r="K37" s="106"/>
      <c r="L37" s="104"/>
    </row>
    <row r="38" spans="1:12" ht="22.7" customHeight="1" x14ac:dyDescent="0.25">
      <c r="A38" s="100"/>
      <c r="B38" s="102"/>
      <c r="C38" s="102"/>
      <c r="D38" s="106"/>
      <c r="E38" s="18" t="s">
        <v>2453</v>
      </c>
      <c r="F38" s="26">
        <v>2.5</v>
      </c>
      <c r="G38" s="102"/>
      <c r="H38" s="106"/>
      <c r="I38" s="102"/>
      <c r="J38" s="106"/>
      <c r="K38" s="106"/>
      <c r="L38" s="104"/>
    </row>
    <row r="39" spans="1:12" ht="22.7" customHeight="1" x14ac:dyDescent="0.25">
      <c r="A39" s="100"/>
      <c r="B39" s="102"/>
      <c r="C39" s="102"/>
      <c r="D39" s="106"/>
      <c r="E39" s="18" t="s">
        <v>2443</v>
      </c>
      <c r="F39" s="26">
        <v>166.6</v>
      </c>
      <c r="G39" s="102"/>
      <c r="H39" s="106"/>
      <c r="I39" s="102"/>
      <c r="J39" s="106"/>
      <c r="K39" s="106"/>
      <c r="L39" s="104"/>
    </row>
    <row r="40" spans="1:12" ht="22.7" customHeight="1" x14ac:dyDescent="0.25">
      <c r="A40" s="100"/>
      <c r="B40" s="102"/>
      <c r="C40" s="102"/>
      <c r="D40" s="106"/>
      <c r="E40" s="18" t="s">
        <v>2451</v>
      </c>
      <c r="F40" s="26">
        <v>39.9</v>
      </c>
      <c r="G40" s="102"/>
      <c r="H40" s="106"/>
      <c r="I40" s="102"/>
      <c r="J40" s="106"/>
      <c r="K40" s="106"/>
      <c r="L40" s="104"/>
    </row>
    <row r="41" spans="1:12" ht="22.7" customHeight="1" x14ac:dyDescent="0.25">
      <c r="A41" s="100"/>
      <c r="B41" s="102"/>
      <c r="C41" s="102"/>
      <c r="D41" s="106"/>
      <c r="E41" s="18" t="s">
        <v>2448</v>
      </c>
      <c r="F41" s="26">
        <v>16.400000000000002</v>
      </c>
      <c r="G41" s="102"/>
      <c r="H41" s="106"/>
      <c r="I41" s="102"/>
      <c r="J41" s="106"/>
      <c r="K41" s="106"/>
      <c r="L41" s="104"/>
    </row>
    <row r="42" spans="1:12" ht="22.7" customHeight="1" x14ac:dyDescent="0.25">
      <c r="A42" s="100"/>
      <c r="B42" s="102"/>
      <c r="C42" s="102"/>
      <c r="D42" s="106"/>
      <c r="E42" s="18" t="s">
        <v>2450</v>
      </c>
      <c r="F42" s="26">
        <v>254.5</v>
      </c>
      <c r="G42" s="102"/>
      <c r="H42" s="106"/>
      <c r="I42" s="102"/>
      <c r="J42" s="106"/>
      <c r="K42" s="106"/>
      <c r="L42" s="104"/>
    </row>
    <row r="43" spans="1:12" ht="22.7" customHeight="1" x14ac:dyDescent="0.25">
      <c r="A43" s="100"/>
      <c r="B43" s="102"/>
      <c r="C43" s="102"/>
      <c r="D43" s="106"/>
      <c r="E43" s="18" t="s">
        <v>2449</v>
      </c>
      <c r="F43" s="26">
        <v>958.9</v>
      </c>
      <c r="G43" s="102"/>
      <c r="H43" s="106"/>
      <c r="I43" s="102"/>
      <c r="J43" s="106"/>
      <c r="K43" s="106"/>
      <c r="L43" s="104"/>
    </row>
    <row r="44" spans="1:12" ht="40.5" x14ac:dyDescent="0.25">
      <c r="A44" s="100" t="s">
        <v>2518</v>
      </c>
      <c r="B44" s="102" t="s">
        <v>2559</v>
      </c>
      <c r="C44" s="102" t="s">
        <v>2501</v>
      </c>
      <c r="D44" s="106">
        <v>117</v>
      </c>
      <c r="E44" s="18" t="s">
        <v>2520</v>
      </c>
      <c r="F44" s="26">
        <v>175.2</v>
      </c>
      <c r="G44" s="18" t="s">
        <v>2520</v>
      </c>
      <c r="H44" s="26">
        <v>17.900000000000002</v>
      </c>
      <c r="I44" s="102" t="s">
        <v>4</v>
      </c>
      <c r="J44" s="106" t="s">
        <v>4</v>
      </c>
      <c r="K44" s="106" t="s">
        <v>4</v>
      </c>
      <c r="L44" s="104" t="s">
        <v>2479</v>
      </c>
    </row>
    <row r="45" spans="1:12" ht="22.7" customHeight="1" x14ac:dyDescent="0.25">
      <c r="A45" s="100"/>
      <c r="B45" s="102"/>
      <c r="C45" s="102"/>
      <c r="D45" s="106"/>
      <c r="E45" s="18" t="s">
        <v>2447</v>
      </c>
      <c r="F45" s="26">
        <v>30</v>
      </c>
      <c r="G45" s="102" t="s">
        <v>2445</v>
      </c>
      <c r="H45" s="106">
        <v>17.900000000000002</v>
      </c>
      <c r="I45" s="102"/>
      <c r="J45" s="106"/>
      <c r="K45" s="106"/>
      <c r="L45" s="104"/>
    </row>
    <row r="46" spans="1:12" ht="22.7" customHeight="1" x14ac:dyDescent="0.25">
      <c r="A46" s="100"/>
      <c r="B46" s="102"/>
      <c r="C46" s="102"/>
      <c r="D46" s="106"/>
      <c r="E46" s="18" t="s">
        <v>2443</v>
      </c>
      <c r="F46" s="26">
        <v>32.6</v>
      </c>
      <c r="G46" s="102"/>
      <c r="H46" s="106"/>
      <c r="I46" s="102"/>
      <c r="J46" s="106"/>
      <c r="K46" s="106"/>
      <c r="L46" s="104"/>
    </row>
    <row r="47" spans="1:12" ht="22.7" customHeight="1" x14ac:dyDescent="0.25">
      <c r="A47" s="100"/>
      <c r="B47" s="102"/>
      <c r="C47" s="102"/>
      <c r="D47" s="106"/>
      <c r="E47" s="18" t="s">
        <v>2450</v>
      </c>
      <c r="F47" s="26">
        <v>104.7</v>
      </c>
      <c r="G47" s="102"/>
      <c r="H47" s="106"/>
      <c r="I47" s="102"/>
      <c r="J47" s="106"/>
      <c r="K47" s="106"/>
      <c r="L47" s="104"/>
    </row>
    <row r="48" spans="1:12" ht="22.7" customHeight="1" x14ac:dyDescent="0.25">
      <c r="A48" s="100"/>
      <c r="B48" s="102"/>
      <c r="C48" s="102"/>
      <c r="D48" s="106"/>
      <c r="E48" s="102" t="s">
        <v>2449</v>
      </c>
      <c r="F48" s="106">
        <v>7.9</v>
      </c>
      <c r="G48" s="102"/>
      <c r="H48" s="106"/>
      <c r="I48" s="102"/>
      <c r="J48" s="106"/>
      <c r="K48" s="106"/>
      <c r="L48" s="104"/>
    </row>
    <row r="49" spans="1:12" ht="22.7" customHeight="1" thickBot="1" x14ac:dyDescent="0.3">
      <c r="A49" s="101"/>
      <c r="B49" s="103"/>
      <c r="C49" s="103"/>
      <c r="D49" s="107"/>
      <c r="E49" s="108"/>
      <c r="F49" s="114"/>
      <c r="G49" s="108"/>
      <c r="H49" s="114"/>
      <c r="I49" s="108"/>
      <c r="J49" s="114"/>
      <c r="K49" s="114"/>
      <c r="L49" s="105"/>
    </row>
    <row r="50" spans="1:12" ht="15" customHeight="1" x14ac:dyDescent="0.25">
      <c r="A50" s="115" t="s">
        <v>2491</v>
      </c>
      <c r="B50" s="116"/>
      <c r="C50" s="116"/>
      <c r="D50" s="117"/>
      <c r="E50" s="109" t="s">
        <v>2479</v>
      </c>
      <c r="F50" s="109"/>
      <c r="G50" s="109"/>
      <c r="H50" s="109"/>
      <c r="I50" s="20" t="s">
        <v>2479</v>
      </c>
      <c r="J50" s="20" t="s">
        <v>2479</v>
      </c>
      <c r="K50" s="20" t="s">
        <v>2479</v>
      </c>
      <c r="L50" s="20" t="s">
        <v>2479</v>
      </c>
    </row>
    <row r="51" spans="1:12" ht="15" customHeight="1" x14ac:dyDescent="0.25">
      <c r="A51" s="100" t="s">
        <v>2498</v>
      </c>
      <c r="B51" s="102"/>
      <c r="C51" s="102"/>
      <c r="D51" s="21">
        <v>99.3</v>
      </c>
      <c r="E51" s="109" t="s">
        <v>2479</v>
      </c>
      <c r="F51" s="109"/>
      <c r="G51" s="109"/>
      <c r="H51" s="20" t="s">
        <v>2479</v>
      </c>
      <c r="I51" s="20" t="s">
        <v>2479</v>
      </c>
      <c r="J51" s="20" t="s">
        <v>2479</v>
      </c>
      <c r="K51" s="20" t="s">
        <v>2479</v>
      </c>
      <c r="L51" s="20" t="s">
        <v>2479</v>
      </c>
    </row>
    <row r="52" spans="1:12" ht="15" customHeight="1" x14ac:dyDescent="0.25">
      <c r="A52" s="100" t="s">
        <v>2502</v>
      </c>
      <c r="B52" s="102"/>
      <c r="C52" s="102"/>
      <c r="D52" s="21">
        <v>690.3</v>
      </c>
      <c r="E52" s="109" t="s">
        <v>2479</v>
      </c>
      <c r="F52" s="109"/>
      <c r="G52" s="109"/>
      <c r="H52" s="20" t="s">
        <v>2479</v>
      </c>
      <c r="I52" s="20" t="s">
        <v>2479</v>
      </c>
      <c r="J52" s="20" t="s">
        <v>2479</v>
      </c>
      <c r="K52" s="20" t="s">
        <v>2479</v>
      </c>
      <c r="L52" s="20" t="s">
        <v>2479</v>
      </c>
    </row>
    <row r="53" spans="1:12" ht="15" customHeight="1" x14ac:dyDescent="0.25">
      <c r="A53" s="100" t="s">
        <v>2503</v>
      </c>
      <c r="B53" s="102"/>
      <c r="C53" s="102"/>
      <c r="D53" s="21">
        <v>141.89999999999998</v>
      </c>
      <c r="E53" s="109" t="s">
        <v>2479</v>
      </c>
      <c r="F53" s="109"/>
      <c r="G53" s="109"/>
      <c r="H53" s="20" t="s">
        <v>2479</v>
      </c>
      <c r="I53" s="20" t="s">
        <v>2479</v>
      </c>
      <c r="J53" s="20" t="s">
        <v>2479</v>
      </c>
      <c r="K53" s="20" t="s">
        <v>2479</v>
      </c>
      <c r="L53" s="20" t="s">
        <v>2479</v>
      </c>
    </row>
    <row r="54" spans="1:12" ht="15" customHeight="1" x14ac:dyDescent="0.25">
      <c r="A54" s="100" t="s">
        <v>2504</v>
      </c>
      <c r="B54" s="102"/>
      <c r="C54" s="102"/>
      <c r="D54" s="21">
        <v>504.29999999999995</v>
      </c>
      <c r="E54" s="109" t="s">
        <v>2479</v>
      </c>
      <c r="F54" s="109"/>
      <c r="G54" s="109"/>
      <c r="H54" s="20" t="s">
        <v>2479</v>
      </c>
      <c r="I54" s="20" t="s">
        <v>2479</v>
      </c>
      <c r="J54" s="20" t="s">
        <v>2479</v>
      </c>
      <c r="K54" s="20" t="s">
        <v>2479</v>
      </c>
      <c r="L54" s="20" t="s">
        <v>2479</v>
      </c>
    </row>
    <row r="55" spans="1:12" ht="15" customHeight="1" x14ac:dyDescent="0.25">
      <c r="A55" s="100" t="s">
        <v>2496</v>
      </c>
      <c r="B55" s="102"/>
      <c r="C55" s="102"/>
      <c r="D55" s="21">
        <v>16.8</v>
      </c>
      <c r="E55" s="109" t="s">
        <v>2479</v>
      </c>
      <c r="F55" s="109"/>
      <c r="G55" s="109"/>
      <c r="H55" s="20" t="s">
        <v>2479</v>
      </c>
      <c r="I55" s="20" t="s">
        <v>2479</v>
      </c>
      <c r="J55" s="20" t="s">
        <v>2479</v>
      </c>
      <c r="K55" s="20" t="s">
        <v>2479</v>
      </c>
      <c r="L55" s="20" t="s">
        <v>2479</v>
      </c>
    </row>
    <row r="56" spans="1:12" ht="15" customHeight="1" x14ac:dyDescent="0.25">
      <c r="A56" s="100" t="s">
        <v>2495</v>
      </c>
      <c r="B56" s="102"/>
      <c r="C56" s="102"/>
      <c r="D56" s="21">
        <v>2367.3999999999996</v>
      </c>
      <c r="E56" s="109" t="s">
        <v>2479</v>
      </c>
      <c r="F56" s="109"/>
      <c r="G56" s="109"/>
      <c r="H56" s="20" t="s">
        <v>2479</v>
      </c>
      <c r="I56" s="20" t="s">
        <v>2479</v>
      </c>
      <c r="J56" s="20" t="s">
        <v>2479</v>
      </c>
      <c r="K56" s="20" t="s">
        <v>2479</v>
      </c>
      <c r="L56" s="20" t="s">
        <v>2479</v>
      </c>
    </row>
    <row r="57" spans="1:12" ht="15" customHeight="1" x14ac:dyDescent="0.25">
      <c r="A57" s="100" t="s">
        <v>2434</v>
      </c>
      <c r="B57" s="102"/>
      <c r="C57" s="102"/>
      <c r="D57" s="21">
        <v>1982.6999999999998</v>
      </c>
      <c r="E57" s="109" t="s">
        <v>2479</v>
      </c>
      <c r="F57" s="109"/>
      <c r="G57" s="109"/>
      <c r="H57" s="20" t="s">
        <v>2479</v>
      </c>
      <c r="I57" s="20" t="s">
        <v>2479</v>
      </c>
      <c r="J57" s="20" t="s">
        <v>2479</v>
      </c>
      <c r="K57" s="20" t="s">
        <v>2479</v>
      </c>
      <c r="L57" s="20" t="s">
        <v>2479</v>
      </c>
    </row>
    <row r="58" spans="1:12" ht="15" customHeight="1" x14ac:dyDescent="0.25">
      <c r="A58" s="100" t="s">
        <v>2506</v>
      </c>
      <c r="B58" s="102"/>
      <c r="C58" s="102"/>
      <c r="D58" s="21">
        <v>63</v>
      </c>
      <c r="E58" s="109" t="s">
        <v>2479</v>
      </c>
      <c r="F58" s="109"/>
      <c r="G58" s="109"/>
      <c r="H58" s="20" t="s">
        <v>2479</v>
      </c>
      <c r="I58" s="20" t="s">
        <v>2479</v>
      </c>
      <c r="J58" s="20" t="s">
        <v>2479</v>
      </c>
      <c r="K58" s="20" t="s">
        <v>2479</v>
      </c>
      <c r="L58" s="20" t="s">
        <v>2479</v>
      </c>
    </row>
    <row r="59" spans="1:12" ht="15" customHeight="1" x14ac:dyDescent="0.25">
      <c r="A59" s="100" t="s">
        <v>2520</v>
      </c>
      <c r="B59" s="102"/>
      <c r="C59" s="102"/>
      <c r="D59" s="21">
        <v>193.1</v>
      </c>
      <c r="E59" s="109" t="s">
        <v>2479</v>
      </c>
      <c r="F59" s="109"/>
      <c r="G59" s="109"/>
      <c r="H59" s="20" t="s">
        <v>2479</v>
      </c>
      <c r="I59" s="20" t="s">
        <v>2479</v>
      </c>
      <c r="J59" s="20" t="s">
        <v>2479</v>
      </c>
      <c r="K59" s="20" t="s">
        <v>2479</v>
      </c>
      <c r="L59" s="20" t="s">
        <v>2479</v>
      </c>
    </row>
    <row r="60" spans="1:12" ht="15" customHeight="1" x14ac:dyDescent="0.25">
      <c r="A60" s="100" t="s">
        <v>2447</v>
      </c>
      <c r="B60" s="102"/>
      <c r="C60" s="102"/>
      <c r="D60" s="21">
        <v>346.9</v>
      </c>
      <c r="E60" s="109" t="s">
        <v>2479</v>
      </c>
      <c r="F60" s="109"/>
      <c r="G60" s="109"/>
      <c r="H60" s="20" t="s">
        <v>2479</v>
      </c>
      <c r="I60" s="20" t="s">
        <v>2479</v>
      </c>
      <c r="J60" s="20" t="s">
        <v>2479</v>
      </c>
      <c r="K60" s="20" t="s">
        <v>2479</v>
      </c>
      <c r="L60" s="20" t="s">
        <v>2479</v>
      </c>
    </row>
    <row r="61" spans="1:12" ht="15" customHeight="1" x14ac:dyDescent="0.25">
      <c r="A61" s="100" t="s">
        <v>2444</v>
      </c>
      <c r="B61" s="102"/>
      <c r="C61" s="102"/>
      <c r="D61" s="21">
        <v>560.9</v>
      </c>
      <c r="E61" s="109" t="s">
        <v>2479</v>
      </c>
      <c r="F61" s="109"/>
      <c r="G61" s="109"/>
      <c r="H61" s="20" t="s">
        <v>2479</v>
      </c>
      <c r="I61" s="20" t="s">
        <v>2479</v>
      </c>
      <c r="J61" s="20" t="s">
        <v>2479</v>
      </c>
      <c r="K61" s="20" t="s">
        <v>2479</v>
      </c>
      <c r="L61" s="20" t="s">
        <v>2479</v>
      </c>
    </row>
    <row r="62" spans="1:12" ht="15" customHeight="1" x14ac:dyDescent="0.25">
      <c r="A62" s="100" t="s">
        <v>2443</v>
      </c>
      <c r="B62" s="102"/>
      <c r="C62" s="102"/>
      <c r="D62" s="21">
        <v>349.5</v>
      </c>
      <c r="E62" s="109" t="s">
        <v>2479</v>
      </c>
      <c r="F62" s="109"/>
      <c r="G62" s="109"/>
      <c r="H62" s="20" t="s">
        <v>2479</v>
      </c>
      <c r="I62" s="20" t="s">
        <v>2479</v>
      </c>
      <c r="J62" s="20" t="s">
        <v>2479</v>
      </c>
      <c r="K62" s="20" t="s">
        <v>2479</v>
      </c>
      <c r="L62" s="20" t="s">
        <v>2479</v>
      </c>
    </row>
    <row r="63" spans="1:12" ht="15" customHeight="1" x14ac:dyDescent="0.25">
      <c r="A63" s="100" t="s">
        <v>2451</v>
      </c>
      <c r="B63" s="102"/>
      <c r="C63" s="102"/>
      <c r="D63" s="21">
        <v>96.9</v>
      </c>
      <c r="E63" s="109" t="s">
        <v>2479</v>
      </c>
      <c r="F63" s="109"/>
      <c r="G63" s="109"/>
      <c r="H63" s="20" t="s">
        <v>2479</v>
      </c>
      <c r="I63" s="20" t="s">
        <v>2479</v>
      </c>
      <c r="J63" s="20" t="s">
        <v>2479</v>
      </c>
      <c r="K63" s="20" t="s">
        <v>2479</v>
      </c>
      <c r="L63" s="20" t="s">
        <v>2479</v>
      </c>
    </row>
    <row r="64" spans="1:12" ht="15" customHeight="1" x14ac:dyDescent="0.25">
      <c r="A64" s="100" t="s">
        <v>2448</v>
      </c>
      <c r="B64" s="102"/>
      <c r="C64" s="102"/>
      <c r="D64" s="21">
        <v>51.2</v>
      </c>
      <c r="E64" s="109" t="s">
        <v>2479</v>
      </c>
      <c r="F64" s="109"/>
      <c r="G64" s="109"/>
      <c r="H64" s="20" t="s">
        <v>2479</v>
      </c>
      <c r="I64" s="20" t="s">
        <v>2479</v>
      </c>
      <c r="J64" s="20" t="s">
        <v>2479</v>
      </c>
      <c r="K64" s="20" t="s">
        <v>2479</v>
      </c>
      <c r="L64" s="20" t="s">
        <v>2479</v>
      </c>
    </row>
    <row r="65" spans="1:12" ht="15" customHeight="1" x14ac:dyDescent="0.25">
      <c r="A65" s="100" t="s">
        <v>2450</v>
      </c>
      <c r="B65" s="102"/>
      <c r="C65" s="102"/>
      <c r="D65" s="21">
        <v>1188.5</v>
      </c>
      <c r="E65" s="109" t="s">
        <v>2479</v>
      </c>
      <c r="F65" s="109"/>
      <c r="G65" s="109"/>
      <c r="H65" s="20" t="s">
        <v>2479</v>
      </c>
      <c r="I65" s="20" t="s">
        <v>2479</v>
      </c>
      <c r="J65" s="20" t="s">
        <v>2479</v>
      </c>
      <c r="K65" s="20" t="s">
        <v>2479</v>
      </c>
      <c r="L65" s="20" t="s">
        <v>2479</v>
      </c>
    </row>
    <row r="66" spans="1:12" ht="15" customHeight="1" x14ac:dyDescent="0.25">
      <c r="A66" s="100" t="s">
        <v>2449</v>
      </c>
      <c r="B66" s="102"/>
      <c r="C66" s="102"/>
      <c r="D66" s="21">
        <v>1472.3000000000002</v>
      </c>
      <c r="E66" s="109" t="s">
        <v>2479</v>
      </c>
      <c r="F66" s="109"/>
      <c r="G66" s="109"/>
      <c r="H66" s="20" t="s">
        <v>2479</v>
      </c>
      <c r="I66" s="20" t="s">
        <v>2479</v>
      </c>
      <c r="J66" s="20" t="s">
        <v>2479</v>
      </c>
      <c r="K66" s="20" t="s">
        <v>2479</v>
      </c>
      <c r="L66" s="20" t="s">
        <v>2479</v>
      </c>
    </row>
    <row r="67" spans="1:12" ht="15" customHeight="1" x14ac:dyDescent="0.25">
      <c r="A67" s="100" t="s">
        <v>2445</v>
      </c>
      <c r="B67" s="102"/>
      <c r="C67" s="102"/>
      <c r="D67" s="21">
        <v>458.39999999999992</v>
      </c>
      <c r="E67" s="109" t="s">
        <v>2479</v>
      </c>
      <c r="F67" s="109"/>
      <c r="G67" s="109"/>
      <c r="H67" s="20" t="s">
        <v>2479</v>
      </c>
      <c r="I67" s="20" t="s">
        <v>2479</v>
      </c>
      <c r="J67" s="20" t="s">
        <v>2479</v>
      </c>
      <c r="K67" s="20" t="s">
        <v>2479</v>
      </c>
      <c r="L67" s="20" t="s">
        <v>2479</v>
      </c>
    </row>
    <row r="68" spans="1:12" ht="15" customHeight="1" x14ac:dyDescent="0.25">
      <c r="A68" s="100" t="s">
        <v>2446</v>
      </c>
      <c r="B68" s="102"/>
      <c r="C68" s="102"/>
      <c r="D68" s="21">
        <v>15.200000000000001</v>
      </c>
      <c r="E68" s="109" t="s">
        <v>2479</v>
      </c>
      <c r="F68" s="109"/>
      <c r="G68" s="109"/>
      <c r="H68" s="20" t="s">
        <v>2479</v>
      </c>
      <c r="I68" s="20" t="s">
        <v>2479</v>
      </c>
      <c r="J68" s="20" t="s">
        <v>2479</v>
      </c>
      <c r="K68" s="20" t="s">
        <v>2479</v>
      </c>
      <c r="L68" s="20" t="s">
        <v>2479</v>
      </c>
    </row>
    <row r="69" spans="1:12" ht="15" customHeight="1" x14ac:dyDescent="0.25">
      <c r="A69" s="100" t="s">
        <v>2453</v>
      </c>
      <c r="B69" s="102"/>
      <c r="C69" s="102"/>
      <c r="D69" s="21">
        <v>11.3</v>
      </c>
      <c r="E69" s="109" t="s">
        <v>2479</v>
      </c>
      <c r="F69" s="109"/>
      <c r="G69" s="109"/>
      <c r="H69" s="20" t="s">
        <v>2479</v>
      </c>
      <c r="I69" s="20" t="s">
        <v>2479</v>
      </c>
      <c r="J69" s="20" t="s">
        <v>2479</v>
      </c>
      <c r="K69" s="20" t="s">
        <v>2479</v>
      </c>
      <c r="L69" s="20" t="s">
        <v>2479</v>
      </c>
    </row>
    <row r="70" spans="1:12" ht="15" customHeight="1" thickBot="1" x14ac:dyDescent="0.3">
      <c r="A70" s="118" t="s">
        <v>2454</v>
      </c>
      <c r="B70" s="108"/>
      <c r="C70" s="108"/>
      <c r="D70" s="22">
        <v>56.9</v>
      </c>
      <c r="E70" s="109" t="s">
        <v>2479</v>
      </c>
      <c r="F70" s="109"/>
      <c r="G70" s="109"/>
      <c r="H70" s="20" t="s">
        <v>2479</v>
      </c>
      <c r="I70" s="20" t="s">
        <v>2479</v>
      </c>
      <c r="J70" s="20" t="s">
        <v>2479</v>
      </c>
      <c r="K70" s="20" t="s">
        <v>2479</v>
      </c>
      <c r="L70" s="20" t="s">
        <v>2479</v>
      </c>
    </row>
  </sheetData>
  <mergeCells count="96">
    <mergeCell ref="A69:C69"/>
    <mergeCell ref="E69:G69"/>
    <mergeCell ref="A70:C70"/>
    <mergeCell ref="E70:G70"/>
    <mergeCell ref="A66:C66"/>
    <mergeCell ref="E66:G66"/>
    <mergeCell ref="A67:C67"/>
    <mergeCell ref="E67:G67"/>
    <mergeCell ref="A68:C68"/>
    <mergeCell ref="E68:G68"/>
    <mergeCell ref="A63:C63"/>
    <mergeCell ref="E63:G63"/>
    <mergeCell ref="A64:C64"/>
    <mergeCell ref="E64:G64"/>
    <mergeCell ref="A65:C65"/>
    <mergeCell ref="E65:G65"/>
    <mergeCell ref="A60:C60"/>
    <mergeCell ref="E60:G60"/>
    <mergeCell ref="A61:C61"/>
    <mergeCell ref="E61:G61"/>
    <mergeCell ref="A62:C62"/>
    <mergeCell ref="E62:G62"/>
    <mergeCell ref="A57:C57"/>
    <mergeCell ref="E57:G57"/>
    <mergeCell ref="A58:C58"/>
    <mergeCell ref="E58:G58"/>
    <mergeCell ref="A59:C59"/>
    <mergeCell ref="E59:G59"/>
    <mergeCell ref="A54:C54"/>
    <mergeCell ref="E54:G54"/>
    <mergeCell ref="A55:C55"/>
    <mergeCell ref="E55:G55"/>
    <mergeCell ref="A56:C56"/>
    <mergeCell ref="E56:G56"/>
    <mergeCell ref="A51:C51"/>
    <mergeCell ref="E51:G51"/>
    <mergeCell ref="A52:C52"/>
    <mergeCell ref="E52:G52"/>
    <mergeCell ref="A53:C53"/>
    <mergeCell ref="E53:G53"/>
    <mergeCell ref="J34:J43"/>
    <mergeCell ref="J44:J49"/>
    <mergeCell ref="A34:A43"/>
    <mergeCell ref="B34:B43"/>
    <mergeCell ref="A12:A22"/>
    <mergeCell ref="B12:B22"/>
    <mergeCell ref="A50:D50"/>
    <mergeCell ref="E50:H50"/>
    <mergeCell ref="H24:H33"/>
    <mergeCell ref="H35:H43"/>
    <mergeCell ref="H45:H49"/>
    <mergeCell ref="L34:L43"/>
    <mergeCell ref="A44:A49"/>
    <mergeCell ref="B44:B49"/>
    <mergeCell ref="L44:L49"/>
    <mergeCell ref="C37:C43"/>
    <mergeCell ref="C44:C49"/>
    <mergeCell ref="D37:D43"/>
    <mergeCell ref="D44:D49"/>
    <mergeCell ref="F48:F49"/>
    <mergeCell ref="G35:G43"/>
    <mergeCell ref="G45:G49"/>
    <mergeCell ref="I34:I43"/>
    <mergeCell ref="I44:I49"/>
    <mergeCell ref="E48:E49"/>
    <mergeCell ref="K34:K43"/>
    <mergeCell ref="K44:K49"/>
    <mergeCell ref="L12:L22"/>
    <mergeCell ref="A23:A33"/>
    <mergeCell ref="B23:B33"/>
    <mergeCell ref="L23:L33"/>
    <mergeCell ref="C15:C22"/>
    <mergeCell ref="C23:C33"/>
    <mergeCell ref="D15:D22"/>
    <mergeCell ref="D23:D33"/>
    <mergeCell ref="F32:F33"/>
    <mergeCell ref="G13:G22"/>
    <mergeCell ref="G24:G33"/>
    <mergeCell ref="I12:I22"/>
    <mergeCell ref="E32:E33"/>
    <mergeCell ref="H13:H22"/>
    <mergeCell ref="K12:K22"/>
    <mergeCell ref="J12:J22"/>
    <mergeCell ref="A1:A2"/>
    <mergeCell ref="B1:B2"/>
    <mergeCell ref="C1:K1"/>
    <mergeCell ref="L1:L2"/>
    <mergeCell ref="A3:A11"/>
    <mergeCell ref="B3:B11"/>
    <mergeCell ref="L3:L11"/>
    <mergeCell ref="C4:C11"/>
    <mergeCell ref="D4:D11"/>
    <mergeCell ref="E10:E11"/>
    <mergeCell ref="F10:F11"/>
    <mergeCell ref="G4:G11"/>
    <mergeCell ref="H4:H11"/>
  </mergeCells>
  <conditionalFormatting sqref="A1:L70">
    <cfRule type="containsText" dxfId="73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>
    <tabColor theme="7" tint="0.39997558519241921"/>
  </sheetPr>
  <dimension ref="A1:L64"/>
  <sheetViews>
    <sheetView workbookViewId="0">
      <selection sqref="A1:A2"/>
    </sheetView>
  </sheetViews>
  <sheetFormatPr defaultRowHeight="15" x14ac:dyDescent="0.25"/>
  <cols>
    <col min="1" max="1" width="5.42578125" style="16" customWidth="1"/>
    <col min="2" max="2" width="16.28515625" style="16" customWidth="1"/>
    <col min="3" max="3" width="21.7109375" style="16" customWidth="1"/>
    <col min="4" max="4" width="8.140625" style="16" customWidth="1"/>
    <col min="5" max="5" width="21.7109375" style="16" customWidth="1"/>
    <col min="6" max="6" width="8.140625" style="16" customWidth="1"/>
    <col min="7" max="7" width="21.7109375" style="16" customWidth="1"/>
    <col min="8" max="8" width="8.140625" style="16" customWidth="1"/>
    <col min="9" max="9" width="21.7109375" style="16" customWidth="1"/>
    <col min="10" max="11" width="8.140625" style="16" customWidth="1"/>
    <col min="12" max="12" width="16.28515625" style="16" customWidth="1"/>
    <col min="13" max="16384" width="9.140625" style="16"/>
  </cols>
  <sheetData>
    <row r="1" spans="1:12" ht="16.5" x14ac:dyDescent="0.25">
      <c r="A1" s="110" t="s">
        <v>2369</v>
      </c>
      <c r="B1" s="112" t="s">
        <v>2476</v>
      </c>
      <c r="C1" s="112" t="s">
        <v>2477</v>
      </c>
      <c r="D1" s="112"/>
      <c r="E1" s="112"/>
      <c r="F1" s="112"/>
      <c r="G1" s="112"/>
      <c r="H1" s="112"/>
      <c r="I1" s="112"/>
      <c r="J1" s="112"/>
      <c r="K1" s="112"/>
      <c r="L1" s="98" t="s">
        <v>2478</v>
      </c>
    </row>
    <row r="2" spans="1:12" ht="40.5" x14ac:dyDescent="0.25">
      <c r="A2" s="111"/>
      <c r="B2" s="113"/>
      <c r="C2" s="23" t="s">
        <v>2480</v>
      </c>
      <c r="D2" s="24" t="s">
        <v>2481</v>
      </c>
      <c r="E2" s="23" t="s">
        <v>2482</v>
      </c>
      <c r="F2" s="24" t="s">
        <v>2481</v>
      </c>
      <c r="G2" s="23" t="s">
        <v>2483</v>
      </c>
      <c r="H2" s="24" t="s">
        <v>2481</v>
      </c>
      <c r="I2" s="23" t="s">
        <v>2484</v>
      </c>
      <c r="J2" s="24" t="s">
        <v>2481</v>
      </c>
      <c r="K2" s="24" t="s">
        <v>2485</v>
      </c>
      <c r="L2" s="99"/>
    </row>
    <row r="3" spans="1:12" ht="40.5" x14ac:dyDescent="0.25">
      <c r="A3" s="100" t="s">
        <v>2497</v>
      </c>
      <c r="B3" s="102" t="s">
        <v>2550</v>
      </c>
      <c r="C3" s="102" t="s">
        <v>2500</v>
      </c>
      <c r="D3" s="106">
        <v>37.6</v>
      </c>
      <c r="E3" s="18" t="s">
        <v>2495</v>
      </c>
      <c r="F3" s="26">
        <v>64.7</v>
      </c>
      <c r="G3" s="18" t="s">
        <v>2495</v>
      </c>
      <c r="H3" s="26">
        <v>1.5</v>
      </c>
      <c r="I3" s="18" t="s">
        <v>2434</v>
      </c>
      <c r="J3" s="26">
        <v>153.1</v>
      </c>
      <c r="K3" s="26" t="s">
        <v>2490</v>
      </c>
      <c r="L3" s="104" t="s">
        <v>2479</v>
      </c>
    </row>
    <row r="4" spans="1:12" ht="22.7" customHeight="1" x14ac:dyDescent="0.25">
      <c r="A4" s="100"/>
      <c r="B4" s="102"/>
      <c r="C4" s="102"/>
      <c r="D4" s="106"/>
      <c r="E4" s="18" t="s">
        <v>2446</v>
      </c>
      <c r="F4" s="26">
        <v>0.6</v>
      </c>
      <c r="G4" s="102" t="s">
        <v>2445</v>
      </c>
      <c r="H4" s="106">
        <v>1.5</v>
      </c>
      <c r="I4" s="18" t="s">
        <v>2446</v>
      </c>
      <c r="J4" s="26">
        <v>1.5</v>
      </c>
      <c r="K4" s="26" t="s">
        <v>2490</v>
      </c>
      <c r="L4" s="104"/>
    </row>
    <row r="5" spans="1:12" ht="22.7" customHeight="1" x14ac:dyDescent="0.25">
      <c r="A5" s="100"/>
      <c r="B5" s="102"/>
      <c r="C5" s="102"/>
      <c r="D5" s="106"/>
      <c r="E5" s="18" t="s">
        <v>2447</v>
      </c>
      <c r="F5" s="26">
        <v>0.6</v>
      </c>
      <c r="G5" s="102"/>
      <c r="H5" s="106"/>
      <c r="I5" s="18" t="s">
        <v>2447</v>
      </c>
      <c r="J5" s="26">
        <v>1.5</v>
      </c>
      <c r="K5" s="26" t="s">
        <v>2490</v>
      </c>
      <c r="L5" s="104"/>
    </row>
    <row r="6" spans="1:12" ht="22.7" customHeight="1" x14ac:dyDescent="0.25">
      <c r="A6" s="100"/>
      <c r="B6" s="102"/>
      <c r="C6" s="102"/>
      <c r="D6" s="106"/>
      <c r="E6" s="18" t="s">
        <v>2444</v>
      </c>
      <c r="F6" s="26">
        <v>5.0999999999999996</v>
      </c>
      <c r="G6" s="102"/>
      <c r="H6" s="106"/>
      <c r="I6" s="18" t="s">
        <v>2445</v>
      </c>
      <c r="J6" s="26">
        <v>3.6</v>
      </c>
      <c r="K6" s="26" t="s">
        <v>2490</v>
      </c>
      <c r="L6" s="104"/>
    </row>
    <row r="7" spans="1:12" ht="22.7" customHeight="1" x14ac:dyDescent="0.25">
      <c r="A7" s="100"/>
      <c r="B7" s="102"/>
      <c r="C7" s="102"/>
      <c r="D7" s="106"/>
      <c r="E7" s="18" t="s">
        <v>2443</v>
      </c>
      <c r="F7" s="26">
        <v>0.1</v>
      </c>
      <c r="G7" s="102"/>
      <c r="H7" s="106"/>
      <c r="I7" s="18" t="s">
        <v>2444</v>
      </c>
      <c r="J7" s="26">
        <v>11.9</v>
      </c>
      <c r="K7" s="26" t="s">
        <v>2490</v>
      </c>
      <c r="L7" s="104"/>
    </row>
    <row r="8" spans="1:12" ht="22.7" customHeight="1" x14ac:dyDescent="0.25">
      <c r="A8" s="100"/>
      <c r="B8" s="102"/>
      <c r="C8" s="102"/>
      <c r="D8" s="106"/>
      <c r="E8" s="18" t="s">
        <v>2451</v>
      </c>
      <c r="F8" s="26">
        <v>7.3</v>
      </c>
      <c r="G8" s="102"/>
      <c r="H8" s="106"/>
      <c r="I8" s="18" t="s">
        <v>2443</v>
      </c>
      <c r="J8" s="26">
        <v>0.2</v>
      </c>
      <c r="K8" s="26" t="s">
        <v>2490</v>
      </c>
      <c r="L8" s="104"/>
    </row>
    <row r="9" spans="1:12" ht="22.7" customHeight="1" x14ac:dyDescent="0.25">
      <c r="A9" s="100"/>
      <c r="B9" s="102"/>
      <c r="C9" s="102"/>
      <c r="D9" s="106"/>
      <c r="E9" s="18" t="s">
        <v>2450</v>
      </c>
      <c r="F9" s="26">
        <v>3.8</v>
      </c>
      <c r="G9" s="102"/>
      <c r="H9" s="106"/>
      <c r="I9" s="18" t="s">
        <v>2451</v>
      </c>
      <c r="J9" s="26">
        <v>19.600000000000001</v>
      </c>
      <c r="K9" s="26" t="s">
        <v>2490</v>
      </c>
      <c r="L9" s="104"/>
    </row>
    <row r="10" spans="1:12" ht="22.7" customHeight="1" x14ac:dyDescent="0.25">
      <c r="A10" s="100"/>
      <c r="B10" s="102"/>
      <c r="C10" s="102"/>
      <c r="D10" s="106"/>
      <c r="E10" s="102" t="s">
        <v>2449</v>
      </c>
      <c r="F10" s="106">
        <v>47.5</v>
      </c>
      <c r="G10" s="102"/>
      <c r="H10" s="106"/>
      <c r="I10" s="18" t="s">
        <v>2450</v>
      </c>
      <c r="J10" s="26">
        <v>8.6</v>
      </c>
      <c r="K10" s="26" t="s">
        <v>2490</v>
      </c>
      <c r="L10" s="104"/>
    </row>
    <row r="11" spans="1:12" ht="22.7" customHeight="1" x14ac:dyDescent="0.25">
      <c r="A11" s="100"/>
      <c r="B11" s="102"/>
      <c r="C11" s="102"/>
      <c r="D11" s="106"/>
      <c r="E11" s="102"/>
      <c r="F11" s="106"/>
      <c r="G11" s="102"/>
      <c r="H11" s="106"/>
      <c r="I11" s="18" t="s">
        <v>2449</v>
      </c>
      <c r="J11" s="26">
        <v>106.4</v>
      </c>
      <c r="K11" s="26" t="s">
        <v>2490</v>
      </c>
      <c r="L11" s="104"/>
    </row>
    <row r="12" spans="1:12" ht="22.7" customHeight="1" x14ac:dyDescent="0.25">
      <c r="A12" s="100" t="s">
        <v>2509</v>
      </c>
      <c r="B12" s="102" t="s">
        <v>2551</v>
      </c>
      <c r="C12" s="102" t="s">
        <v>2510</v>
      </c>
      <c r="D12" s="106">
        <v>2.4</v>
      </c>
      <c r="E12" s="18" t="s">
        <v>2510</v>
      </c>
      <c r="F12" s="26">
        <v>28.9</v>
      </c>
      <c r="G12" s="102"/>
      <c r="H12" s="106"/>
      <c r="I12" s="102" t="s">
        <v>4</v>
      </c>
      <c r="J12" s="106" t="s">
        <v>4</v>
      </c>
      <c r="K12" s="106" t="s">
        <v>4</v>
      </c>
      <c r="L12" s="104" t="s">
        <v>2479</v>
      </c>
    </row>
    <row r="13" spans="1:12" ht="22.7" customHeight="1" x14ac:dyDescent="0.25">
      <c r="A13" s="100"/>
      <c r="B13" s="102"/>
      <c r="C13" s="102"/>
      <c r="D13" s="106"/>
      <c r="E13" s="18" t="s">
        <v>2444</v>
      </c>
      <c r="F13" s="26">
        <v>16.200000000000003</v>
      </c>
      <c r="G13" s="102"/>
      <c r="H13" s="106"/>
      <c r="I13" s="102"/>
      <c r="J13" s="106"/>
      <c r="K13" s="106"/>
      <c r="L13" s="104"/>
    </row>
    <row r="14" spans="1:12" ht="22.7" customHeight="1" x14ac:dyDescent="0.25">
      <c r="A14" s="100"/>
      <c r="B14" s="102"/>
      <c r="C14" s="102"/>
      <c r="D14" s="106"/>
      <c r="E14" s="18" t="s">
        <v>2449</v>
      </c>
      <c r="F14" s="26">
        <v>12.8</v>
      </c>
      <c r="G14" s="102"/>
      <c r="H14" s="106"/>
      <c r="I14" s="102"/>
      <c r="J14" s="106"/>
      <c r="K14" s="106"/>
      <c r="L14" s="104"/>
    </row>
    <row r="15" spans="1:12" ht="27" x14ac:dyDescent="0.25">
      <c r="A15" s="100" t="s">
        <v>2493</v>
      </c>
      <c r="B15" s="102" t="s">
        <v>2552</v>
      </c>
      <c r="C15" s="18" t="s">
        <v>2495</v>
      </c>
      <c r="D15" s="26">
        <v>103.69999999999999</v>
      </c>
      <c r="E15" s="18" t="s">
        <v>2495</v>
      </c>
      <c r="F15" s="26">
        <v>2499.4</v>
      </c>
      <c r="G15" s="18" t="s">
        <v>2495</v>
      </c>
      <c r="H15" s="26">
        <v>365.20000000000005</v>
      </c>
      <c r="I15" s="102" t="s">
        <v>4</v>
      </c>
      <c r="J15" s="106" t="s">
        <v>4</v>
      </c>
      <c r="K15" s="106" t="s">
        <v>4</v>
      </c>
      <c r="L15" s="104" t="s">
        <v>2479</v>
      </c>
    </row>
    <row r="16" spans="1:12" ht="22.7" customHeight="1" x14ac:dyDescent="0.25">
      <c r="A16" s="100"/>
      <c r="B16" s="102"/>
      <c r="C16" s="18" t="s">
        <v>2500</v>
      </c>
      <c r="D16" s="26">
        <v>6.3</v>
      </c>
      <c r="E16" s="18" t="s">
        <v>2446</v>
      </c>
      <c r="F16" s="26">
        <v>6.8</v>
      </c>
      <c r="G16" s="102" t="s">
        <v>2445</v>
      </c>
      <c r="H16" s="106">
        <v>365.20000000000005</v>
      </c>
      <c r="I16" s="102"/>
      <c r="J16" s="106"/>
      <c r="K16" s="106"/>
      <c r="L16" s="104"/>
    </row>
    <row r="17" spans="1:12" ht="22.7" customHeight="1" x14ac:dyDescent="0.25">
      <c r="A17" s="100"/>
      <c r="B17" s="102"/>
      <c r="C17" s="102" t="s">
        <v>2494</v>
      </c>
      <c r="D17" s="106">
        <v>803.30000000000007</v>
      </c>
      <c r="E17" s="18" t="s">
        <v>2447</v>
      </c>
      <c r="F17" s="26">
        <v>293.20000000000005</v>
      </c>
      <c r="G17" s="102"/>
      <c r="H17" s="106"/>
      <c r="I17" s="102"/>
      <c r="J17" s="106"/>
      <c r="K17" s="106"/>
      <c r="L17" s="104"/>
    </row>
    <row r="18" spans="1:12" ht="22.7" customHeight="1" x14ac:dyDescent="0.25">
      <c r="A18" s="100"/>
      <c r="B18" s="102"/>
      <c r="C18" s="102"/>
      <c r="D18" s="106"/>
      <c r="E18" s="18" t="s">
        <v>2444</v>
      </c>
      <c r="F18" s="26">
        <v>340.7</v>
      </c>
      <c r="G18" s="102"/>
      <c r="H18" s="106"/>
      <c r="I18" s="102"/>
      <c r="J18" s="106"/>
      <c r="K18" s="106"/>
      <c r="L18" s="104"/>
    </row>
    <row r="19" spans="1:12" ht="22.7" customHeight="1" x14ac:dyDescent="0.25">
      <c r="A19" s="100"/>
      <c r="B19" s="102"/>
      <c r="C19" s="102"/>
      <c r="D19" s="106"/>
      <c r="E19" s="18" t="s">
        <v>2453</v>
      </c>
      <c r="F19" s="26">
        <v>9.1</v>
      </c>
      <c r="G19" s="102"/>
      <c r="H19" s="106"/>
      <c r="I19" s="102"/>
      <c r="J19" s="106"/>
      <c r="K19" s="106"/>
      <c r="L19" s="104"/>
    </row>
    <row r="20" spans="1:12" ht="22.7" customHeight="1" x14ac:dyDescent="0.25">
      <c r="A20" s="100"/>
      <c r="B20" s="102"/>
      <c r="C20" s="102"/>
      <c r="D20" s="106"/>
      <c r="E20" s="18" t="s">
        <v>2443</v>
      </c>
      <c r="F20" s="26">
        <v>268.90000000000003</v>
      </c>
      <c r="G20" s="102"/>
      <c r="H20" s="106"/>
      <c r="I20" s="102"/>
      <c r="J20" s="106"/>
      <c r="K20" s="106"/>
      <c r="L20" s="104"/>
    </row>
    <row r="21" spans="1:12" ht="22.7" customHeight="1" x14ac:dyDescent="0.25">
      <c r="A21" s="100"/>
      <c r="B21" s="102"/>
      <c r="C21" s="102"/>
      <c r="D21" s="106"/>
      <c r="E21" s="18" t="s">
        <v>2454</v>
      </c>
      <c r="F21" s="26">
        <v>44.2</v>
      </c>
      <c r="G21" s="102"/>
      <c r="H21" s="106"/>
      <c r="I21" s="102"/>
      <c r="J21" s="106"/>
      <c r="K21" s="106"/>
      <c r="L21" s="104"/>
    </row>
    <row r="22" spans="1:12" ht="22.7" customHeight="1" x14ac:dyDescent="0.25">
      <c r="A22" s="100"/>
      <c r="B22" s="102"/>
      <c r="C22" s="102"/>
      <c r="D22" s="106"/>
      <c r="E22" s="18" t="s">
        <v>2451</v>
      </c>
      <c r="F22" s="26">
        <v>48.6</v>
      </c>
      <c r="G22" s="102"/>
      <c r="H22" s="106"/>
      <c r="I22" s="102"/>
      <c r="J22" s="106"/>
      <c r="K22" s="106"/>
      <c r="L22" s="104"/>
    </row>
    <row r="23" spans="1:12" ht="22.7" customHeight="1" x14ac:dyDescent="0.25">
      <c r="A23" s="100"/>
      <c r="B23" s="102"/>
      <c r="C23" s="102"/>
      <c r="D23" s="106"/>
      <c r="E23" s="18" t="s">
        <v>2450</v>
      </c>
      <c r="F23" s="26">
        <v>1163.5999999999999</v>
      </c>
      <c r="G23" s="102"/>
      <c r="H23" s="106"/>
      <c r="I23" s="102"/>
      <c r="J23" s="106"/>
      <c r="K23" s="106"/>
      <c r="L23" s="104"/>
    </row>
    <row r="24" spans="1:12" ht="22.7" customHeight="1" x14ac:dyDescent="0.25">
      <c r="A24" s="100"/>
      <c r="B24" s="102"/>
      <c r="C24" s="102"/>
      <c r="D24" s="106"/>
      <c r="E24" s="18" t="s">
        <v>2449</v>
      </c>
      <c r="F24" s="26">
        <v>324.60000000000002</v>
      </c>
      <c r="G24" s="102"/>
      <c r="H24" s="106"/>
      <c r="I24" s="102"/>
      <c r="J24" s="106"/>
      <c r="K24" s="106"/>
      <c r="L24" s="104"/>
    </row>
    <row r="25" spans="1:12" ht="40.5" x14ac:dyDescent="0.25">
      <c r="A25" s="100" t="s">
        <v>2505</v>
      </c>
      <c r="B25" s="102" t="s">
        <v>2553</v>
      </c>
      <c r="C25" s="102" t="s">
        <v>2494</v>
      </c>
      <c r="D25" s="106">
        <v>554.6</v>
      </c>
      <c r="E25" s="18" t="s">
        <v>2495</v>
      </c>
      <c r="F25" s="26">
        <v>622.79999999999995</v>
      </c>
      <c r="G25" s="18" t="s">
        <v>2495</v>
      </c>
      <c r="H25" s="26">
        <v>51.4</v>
      </c>
      <c r="I25" s="18" t="s">
        <v>2506</v>
      </c>
      <c r="J25" s="26">
        <v>62.4</v>
      </c>
      <c r="K25" s="26" t="s">
        <v>2507</v>
      </c>
      <c r="L25" s="104" t="s">
        <v>2479</v>
      </c>
    </row>
    <row r="26" spans="1:12" ht="22.7" customHeight="1" x14ac:dyDescent="0.25">
      <c r="A26" s="100"/>
      <c r="B26" s="102"/>
      <c r="C26" s="102"/>
      <c r="D26" s="106"/>
      <c r="E26" s="18" t="s">
        <v>2447</v>
      </c>
      <c r="F26" s="26">
        <v>42.1</v>
      </c>
      <c r="G26" s="102" t="s">
        <v>2445</v>
      </c>
      <c r="H26" s="106">
        <v>51.4</v>
      </c>
      <c r="I26" s="18" t="s">
        <v>2447</v>
      </c>
      <c r="J26" s="26">
        <v>3.5</v>
      </c>
      <c r="K26" s="26" t="s">
        <v>2507</v>
      </c>
      <c r="L26" s="104"/>
    </row>
    <row r="27" spans="1:12" ht="22.7" customHeight="1" x14ac:dyDescent="0.25">
      <c r="A27" s="100"/>
      <c r="B27" s="102"/>
      <c r="C27" s="102"/>
      <c r="D27" s="106"/>
      <c r="E27" s="18" t="s">
        <v>2444</v>
      </c>
      <c r="F27" s="26">
        <v>127.4</v>
      </c>
      <c r="G27" s="102"/>
      <c r="H27" s="106"/>
      <c r="I27" s="18" t="s">
        <v>2445</v>
      </c>
      <c r="J27" s="26">
        <v>4.4000000000000004</v>
      </c>
      <c r="K27" s="26" t="s">
        <v>2507</v>
      </c>
      <c r="L27" s="104"/>
    </row>
    <row r="28" spans="1:12" ht="22.7" customHeight="1" x14ac:dyDescent="0.25">
      <c r="A28" s="100"/>
      <c r="B28" s="102"/>
      <c r="C28" s="102"/>
      <c r="D28" s="106"/>
      <c r="E28" s="18" t="s">
        <v>2443</v>
      </c>
      <c r="F28" s="26">
        <v>10.199999999999999</v>
      </c>
      <c r="G28" s="102"/>
      <c r="H28" s="106"/>
      <c r="I28" s="18" t="s">
        <v>2444</v>
      </c>
      <c r="J28" s="26">
        <v>9.1999999999999993</v>
      </c>
      <c r="K28" s="26" t="s">
        <v>2507</v>
      </c>
      <c r="L28" s="104"/>
    </row>
    <row r="29" spans="1:12" ht="22.7" customHeight="1" x14ac:dyDescent="0.25">
      <c r="A29" s="100"/>
      <c r="B29" s="102"/>
      <c r="C29" s="102"/>
      <c r="D29" s="106"/>
      <c r="E29" s="18" t="s">
        <v>2454</v>
      </c>
      <c r="F29" s="26">
        <v>12.1</v>
      </c>
      <c r="G29" s="102"/>
      <c r="H29" s="106"/>
      <c r="I29" s="18" t="s">
        <v>2443</v>
      </c>
      <c r="J29" s="26">
        <v>6.6999999999999993</v>
      </c>
      <c r="K29" s="26" t="s">
        <v>2507</v>
      </c>
      <c r="L29" s="104"/>
    </row>
    <row r="30" spans="1:12" ht="22.7" customHeight="1" x14ac:dyDescent="0.25">
      <c r="A30" s="100"/>
      <c r="B30" s="102"/>
      <c r="C30" s="102"/>
      <c r="D30" s="106"/>
      <c r="E30" s="18" t="s">
        <v>2451</v>
      </c>
      <c r="F30" s="26">
        <v>72.3</v>
      </c>
      <c r="G30" s="102"/>
      <c r="H30" s="106"/>
      <c r="I30" s="18" t="s">
        <v>2454</v>
      </c>
      <c r="J30" s="26">
        <v>1.9000000000000001</v>
      </c>
      <c r="K30" s="26" t="s">
        <v>2507</v>
      </c>
      <c r="L30" s="104"/>
    </row>
    <row r="31" spans="1:12" ht="22.7" customHeight="1" x14ac:dyDescent="0.25">
      <c r="A31" s="100"/>
      <c r="B31" s="102"/>
      <c r="C31" s="102"/>
      <c r="D31" s="106"/>
      <c r="E31" s="18" t="s">
        <v>2448</v>
      </c>
      <c r="F31" s="26">
        <v>7.4</v>
      </c>
      <c r="G31" s="102"/>
      <c r="H31" s="106"/>
      <c r="I31" s="18" t="s">
        <v>2451</v>
      </c>
      <c r="J31" s="26">
        <v>7</v>
      </c>
      <c r="K31" s="26" t="s">
        <v>2507</v>
      </c>
      <c r="L31" s="104"/>
    </row>
    <row r="32" spans="1:12" ht="22.7" customHeight="1" x14ac:dyDescent="0.25">
      <c r="A32" s="100"/>
      <c r="B32" s="102"/>
      <c r="C32" s="102"/>
      <c r="D32" s="106"/>
      <c r="E32" s="18" t="s">
        <v>2450</v>
      </c>
      <c r="F32" s="26">
        <v>230.4</v>
      </c>
      <c r="G32" s="102"/>
      <c r="H32" s="106"/>
      <c r="I32" s="18" t="s">
        <v>2448</v>
      </c>
      <c r="J32" s="26">
        <v>0.6</v>
      </c>
      <c r="K32" s="26" t="s">
        <v>2507</v>
      </c>
      <c r="L32" s="104"/>
    </row>
    <row r="33" spans="1:12" ht="22.7" customHeight="1" x14ac:dyDescent="0.25">
      <c r="A33" s="100"/>
      <c r="B33" s="102"/>
      <c r="C33" s="102"/>
      <c r="D33" s="106"/>
      <c r="E33" s="102" t="s">
        <v>2449</v>
      </c>
      <c r="F33" s="106">
        <v>121.3</v>
      </c>
      <c r="G33" s="102"/>
      <c r="H33" s="106"/>
      <c r="I33" s="18" t="s">
        <v>2450</v>
      </c>
      <c r="J33" s="26">
        <v>19.100000000000001</v>
      </c>
      <c r="K33" s="26" t="s">
        <v>2507</v>
      </c>
      <c r="L33" s="104"/>
    </row>
    <row r="34" spans="1:12" ht="22.7" customHeight="1" x14ac:dyDescent="0.25">
      <c r="A34" s="100"/>
      <c r="B34" s="102"/>
      <c r="C34" s="102"/>
      <c r="D34" s="106"/>
      <c r="E34" s="102"/>
      <c r="F34" s="106"/>
      <c r="G34" s="102"/>
      <c r="H34" s="106"/>
      <c r="I34" s="18" t="s">
        <v>2449</v>
      </c>
      <c r="J34" s="26">
        <v>10.4</v>
      </c>
      <c r="K34" s="26" t="s">
        <v>2507</v>
      </c>
      <c r="L34" s="104"/>
    </row>
    <row r="35" spans="1:12" ht="40.5" x14ac:dyDescent="0.25">
      <c r="A35" s="100" t="s">
        <v>2512</v>
      </c>
      <c r="B35" s="102" t="s">
        <v>2554</v>
      </c>
      <c r="C35" s="18" t="s">
        <v>2500</v>
      </c>
      <c r="D35" s="26">
        <v>63.4</v>
      </c>
      <c r="E35" s="18" t="s">
        <v>2434</v>
      </c>
      <c r="F35" s="26">
        <v>638.5</v>
      </c>
      <c r="G35" s="18" t="s">
        <v>2434</v>
      </c>
      <c r="H35" s="26">
        <v>37.799999999999997</v>
      </c>
      <c r="I35" s="102" t="s">
        <v>4</v>
      </c>
      <c r="J35" s="106" t="s">
        <v>4</v>
      </c>
      <c r="K35" s="106" t="s">
        <v>4</v>
      </c>
      <c r="L35" s="104" t="s">
        <v>2479</v>
      </c>
    </row>
    <row r="36" spans="1:12" ht="22.7" customHeight="1" x14ac:dyDescent="0.25">
      <c r="A36" s="100"/>
      <c r="B36" s="102"/>
      <c r="C36" s="102" t="s">
        <v>2494</v>
      </c>
      <c r="D36" s="106">
        <v>114.6</v>
      </c>
      <c r="E36" s="18" t="s">
        <v>2446</v>
      </c>
      <c r="F36" s="26">
        <v>4.5999999999999996</v>
      </c>
      <c r="G36" s="102" t="s">
        <v>2445</v>
      </c>
      <c r="H36" s="106">
        <v>37.799999999999997</v>
      </c>
      <c r="I36" s="102"/>
      <c r="J36" s="106"/>
      <c r="K36" s="106"/>
      <c r="L36" s="104"/>
    </row>
    <row r="37" spans="1:12" ht="22.7" customHeight="1" x14ac:dyDescent="0.25">
      <c r="A37" s="100"/>
      <c r="B37" s="102"/>
      <c r="C37" s="102"/>
      <c r="D37" s="106"/>
      <c r="E37" s="18" t="s">
        <v>2447</v>
      </c>
      <c r="F37" s="26">
        <v>68.599999999999994</v>
      </c>
      <c r="G37" s="102"/>
      <c r="H37" s="106"/>
      <c r="I37" s="102"/>
      <c r="J37" s="106"/>
      <c r="K37" s="106"/>
      <c r="L37" s="104"/>
    </row>
    <row r="38" spans="1:12" ht="22.7" customHeight="1" x14ac:dyDescent="0.25">
      <c r="A38" s="100"/>
      <c r="B38" s="102"/>
      <c r="C38" s="102"/>
      <c r="D38" s="106"/>
      <c r="E38" s="18" t="s">
        <v>2444</v>
      </c>
      <c r="F38" s="26">
        <v>60.2</v>
      </c>
      <c r="G38" s="102"/>
      <c r="H38" s="106"/>
      <c r="I38" s="102"/>
      <c r="J38" s="106"/>
      <c r="K38" s="106"/>
      <c r="L38" s="104"/>
    </row>
    <row r="39" spans="1:12" ht="22.7" customHeight="1" x14ac:dyDescent="0.25">
      <c r="A39" s="100"/>
      <c r="B39" s="102"/>
      <c r="C39" s="102"/>
      <c r="D39" s="106"/>
      <c r="E39" s="18" t="s">
        <v>2453</v>
      </c>
      <c r="F39" s="26">
        <v>3.3000000000000003</v>
      </c>
      <c r="G39" s="102"/>
      <c r="H39" s="106"/>
      <c r="I39" s="102"/>
      <c r="J39" s="106"/>
      <c r="K39" s="106"/>
      <c r="L39" s="104"/>
    </row>
    <row r="40" spans="1:12" ht="22.7" customHeight="1" x14ac:dyDescent="0.25">
      <c r="A40" s="100"/>
      <c r="B40" s="102"/>
      <c r="C40" s="102"/>
      <c r="D40" s="106"/>
      <c r="E40" s="18" t="s">
        <v>2443</v>
      </c>
      <c r="F40" s="26">
        <v>43.2</v>
      </c>
      <c r="G40" s="102"/>
      <c r="H40" s="106"/>
      <c r="I40" s="102"/>
      <c r="J40" s="106"/>
      <c r="K40" s="106"/>
      <c r="L40" s="104"/>
    </row>
    <row r="41" spans="1:12" ht="22.7" customHeight="1" x14ac:dyDescent="0.25">
      <c r="A41" s="100"/>
      <c r="B41" s="102"/>
      <c r="C41" s="102"/>
      <c r="D41" s="106"/>
      <c r="E41" s="18" t="s">
        <v>2451</v>
      </c>
      <c r="F41" s="26">
        <v>43.5</v>
      </c>
      <c r="G41" s="102"/>
      <c r="H41" s="106"/>
      <c r="I41" s="102"/>
      <c r="J41" s="106"/>
      <c r="K41" s="106"/>
      <c r="L41" s="104"/>
    </row>
    <row r="42" spans="1:12" ht="22.7" customHeight="1" x14ac:dyDescent="0.25">
      <c r="A42" s="100"/>
      <c r="B42" s="102"/>
      <c r="C42" s="102"/>
      <c r="D42" s="106"/>
      <c r="E42" s="18" t="s">
        <v>2450</v>
      </c>
      <c r="F42" s="26">
        <v>177.5</v>
      </c>
      <c r="G42" s="102"/>
      <c r="H42" s="106"/>
      <c r="I42" s="102"/>
      <c r="J42" s="106"/>
      <c r="K42" s="106"/>
      <c r="L42" s="104"/>
    </row>
    <row r="43" spans="1:12" ht="22.7" customHeight="1" x14ac:dyDescent="0.25">
      <c r="A43" s="100"/>
      <c r="B43" s="102"/>
      <c r="C43" s="102"/>
      <c r="D43" s="106"/>
      <c r="E43" s="102" t="s">
        <v>2449</v>
      </c>
      <c r="F43" s="106">
        <v>237.9</v>
      </c>
      <c r="G43" s="102"/>
      <c r="H43" s="106"/>
      <c r="I43" s="102"/>
      <c r="J43" s="106"/>
      <c r="K43" s="106"/>
      <c r="L43" s="104"/>
    </row>
    <row r="44" spans="1:12" ht="22.7" customHeight="1" thickBot="1" x14ac:dyDescent="0.3">
      <c r="A44" s="101"/>
      <c r="B44" s="103"/>
      <c r="C44" s="103"/>
      <c r="D44" s="107"/>
      <c r="E44" s="108"/>
      <c r="F44" s="114"/>
      <c r="G44" s="108"/>
      <c r="H44" s="114"/>
      <c r="I44" s="108"/>
      <c r="J44" s="114"/>
      <c r="K44" s="114"/>
      <c r="L44" s="105"/>
    </row>
    <row r="45" spans="1:12" ht="15" customHeight="1" x14ac:dyDescent="0.25">
      <c r="A45" s="115" t="s">
        <v>2491</v>
      </c>
      <c r="B45" s="116"/>
      <c r="C45" s="116"/>
      <c r="D45" s="117"/>
      <c r="E45" s="109" t="s">
        <v>2479</v>
      </c>
      <c r="F45" s="109"/>
      <c r="G45" s="109"/>
      <c r="H45" s="109"/>
      <c r="I45" s="20" t="s">
        <v>2479</v>
      </c>
      <c r="J45" s="20" t="s">
        <v>2479</v>
      </c>
      <c r="K45" s="20" t="s">
        <v>2479</v>
      </c>
      <c r="L45" s="20" t="s">
        <v>2479</v>
      </c>
    </row>
    <row r="46" spans="1:12" ht="15" customHeight="1" x14ac:dyDescent="0.25">
      <c r="A46" s="100" t="s">
        <v>2511</v>
      </c>
      <c r="B46" s="102"/>
      <c r="C46" s="102"/>
      <c r="D46" s="21">
        <v>2.4</v>
      </c>
      <c r="E46" s="109" t="s">
        <v>2479</v>
      </c>
      <c r="F46" s="109"/>
      <c r="G46" s="109"/>
      <c r="H46" s="20" t="s">
        <v>2479</v>
      </c>
      <c r="I46" s="20" t="s">
        <v>2479</v>
      </c>
      <c r="J46" s="20" t="s">
        <v>2479</v>
      </c>
      <c r="K46" s="20" t="s">
        <v>2479</v>
      </c>
      <c r="L46" s="20" t="s">
        <v>2479</v>
      </c>
    </row>
    <row r="47" spans="1:12" ht="15" customHeight="1" x14ac:dyDescent="0.25">
      <c r="A47" s="100" t="s">
        <v>2498</v>
      </c>
      <c r="B47" s="102"/>
      <c r="C47" s="102"/>
      <c r="D47" s="21">
        <v>103.69999999999999</v>
      </c>
      <c r="E47" s="109" t="s">
        <v>2479</v>
      </c>
      <c r="F47" s="109"/>
      <c r="G47" s="109"/>
      <c r="H47" s="20" t="s">
        <v>2479</v>
      </c>
      <c r="I47" s="20" t="s">
        <v>2479</v>
      </c>
      <c r="J47" s="20" t="s">
        <v>2479</v>
      </c>
      <c r="K47" s="20" t="s">
        <v>2479</v>
      </c>
      <c r="L47" s="20" t="s">
        <v>2479</v>
      </c>
    </row>
    <row r="48" spans="1:12" ht="15" customHeight="1" x14ac:dyDescent="0.25">
      <c r="A48" s="100" t="s">
        <v>2503</v>
      </c>
      <c r="B48" s="102"/>
      <c r="C48" s="102"/>
      <c r="D48" s="21">
        <v>107.3</v>
      </c>
      <c r="E48" s="109" t="s">
        <v>2479</v>
      </c>
      <c r="F48" s="109"/>
      <c r="G48" s="109"/>
      <c r="H48" s="20" t="s">
        <v>2479</v>
      </c>
      <c r="I48" s="20" t="s">
        <v>2479</v>
      </c>
      <c r="J48" s="20" t="s">
        <v>2479</v>
      </c>
      <c r="K48" s="20" t="s">
        <v>2479</v>
      </c>
      <c r="L48" s="20" t="s">
        <v>2479</v>
      </c>
    </row>
    <row r="49" spans="1:12" ht="15" customHeight="1" x14ac:dyDescent="0.25">
      <c r="A49" s="100" t="s">
        <v>2496</v>
      </c>
      <c r="B49" s="102"/>
      <c r="C49" s="102"/>
      <c r="D49" s="21">
        <v>1472.5</v>
      </c>
      <c r="E49" s="109" t="s">
        <v>2479</v>
      </c>
      <c r="F49" s="109"/>
      <c r="G49" s="109"/>
      <c r="H49" s="20" t="s">
        <v>2479</v>
      </c>
      <c r="I49" s="20" t="s">
        <v>2479</v>
      </c>
      <c r="J49" s="20" t="s">
        <v>2479</v>
      </c>
      <c r="K49" s="20" t="s">
        <v>2479</v>
      </c>
      <c r="L49" s="20" t="s">
        <v>2479</v>
      </c>
    </row>
    <row r="50" spans="1:12" ht="15" customHeight="1" x14ac:dyDescent="0.25">
      <c r="A50" s="100" t="s">
        <v>2495</v>
      </c>
      <c r="B50" s="102"/>
      <c r="C50" s="102"/>
      <c r="D50" s="21">
        <v>3605.0000000000005</v>
      </c>
      <c r="E50" s="109" t="s">
        <v>2479</v>
      </c>
      <c r="F50" s="109"/>
      <c r="G50" s="109"/>
      <c r="H50" s="20" t="s">
        <v>2479</v>
      </c>
      <c r="I50" s="20" t="s">
        <v>2479</v>
      </c>
      <c r="J50" s="20" t="s">
        <v>2479</v>
      </c>
      <c r="K50" s="20" t="s">
        <v>2479</v>
      </c>
      <c r="L50" s="20" t="s">
        <v>2479</v>
      </c>
    </row>
    <row r="51" spans="1:12" ht="15" customHeight="1" x14ac:dyDescent="0.25">
      <c r="A51" s="100" t="s">
        <v>2434</v>
      </c>
      <c r="B51" s="102"/>
      <c r="C51" s="102"/>
      <c r="D51" s="21">
        <v>829.4</v>
      </c>
      <c r="E51" s="109" t="s">
        <v>2479</v>
      </c>
      <c r="F51" s="109"/>
      <c r="G51" s="109"/>
      <c r="H51" s="20" t="s">
        <v>2479</v>
      </c>
      <c r="I51" s="20" t="s">
        <v>2479</v>
      </c>
      <c r="J51" s="20" t="s">
        <v>2479</v>
      </c>
      <c r="K51" s="20" t="s">
        <v>2479</v>
      </c>
      <c r="L51" s="20" t="s">
        <v>2479</v>
      </c>
    </row>
    <row r="52" spans="1:12" ht="15" customHeight="1" x14ac:dyDescent="0.25">
      <c r="A52" s="100" t="s">
        <v>2510</v>
      </c>
      <c r="B52" s="102"/>
      <c r="C52" s="102"/>
      <c r="D52" s="21">
        <v>28.9</v>
      </c>
      <c r="E52" s="109" t="s">
        <v>2479</v>
      </c>
      <c r="F52" s="109"/>
      <c r="G52" s="109"/>
      <c r="H52" s="20" t="s">
        <v>2479</v>
      </c>
      <c r="I52" s="20" t="s">
        <v>2479</v>
      </c>
      <c r="J52" s="20" t="s">
        <v>2479</v>
      </c>
      <c r="K52" s="20" t="s">
        <v>2479</v>
      </c>
      <c r="L52" s="20" t="s">
        <v>2479</v>
      </c>
    </row>
    <row r="53" spans="1:12" ht="15" customHeight="1" x14ac:dyDescent="0.25">
      <c r="A53" s="100" t="s">
        <v>2506</v>
      </c>
      <c r="B53" s="102"/>
      <c r="C53" s="102"/>
      <c r="D53" s="21">
        <v>62.4</v>
      </c>
      <c r="E53" s="109" t="s">
        <v>2479</v>
      </c>
      <c r="F53" s="109"/>
      <c r="G53" s="109"/>
      <c r="H53" s="20" t="s">
        <v>2479</v>
      </c>
      <c r="I53" s="20" t="s">
        <v>2479</v>
      </c>
      <c r="J53" s="20" t="s">
        <v>2479</v>
      </c>
      <c r="K53" s="20" t="s">
        <v>2479</v>
      </c>
      <c r="L53" s="20" t="s">
        <v>2479</v>
      </c>
    </row>
    <row r="54" spans="1:12" ht="15" customHeight="1" x14ac:dyDescent="0.25">
      <c r="A54" s="100" t="s">
        <v>2446</v>
      </c>
      <c r="B54" s="102"/>
      <c r="C54" s="102"/>
      <c r="D54" s="21">
        <v>13.5</v>
      </c>
      <c r="E54" s="109" t="s">
        <v>2479</v>
      </c>
      <c r="F54" s="109"/>
      <c r="G54" s="109"/>
      <c r="H54" s="20" t="s">
        <v>2479</v>
      </c>
      <c r="I54" s="20" t="s">
        <v>2479</v>
      </c>
      <c r="J54" s="20" t="s">
        <v>2479</v>
      </c>
      <c r="K54" s="20" t="s">
        <v>2479</v>
      </c>
      <c r="L54" s="20" t="s">
        <v>2479</v>
      </c>
    </row>
    <row r="55" spans="1:12" ht="15" customHeight="1" x14ac:dyDescent="0.25">
      <c r="A55" s="100" t="s">
        <v>2447</v>
      </c>
      <c r="B55" s="102"/>
      <c r="C55" s="102"/>
      <c r="D55" s="21">
        <v>409.50000000000011</v>
      </c>
      <c r="E55" s="109" t="s">
        <v>2479</v>
      </c>
      <c r="F55" s="109"/>
      <c r="G55" s="109"/>
      <c r="H55" s="20" t="s">
        <v>2479</v>
      </c>
      <c r="I55" s="20" t="s">
        <v>2479</v>
      </c>
      <c r="J55" s="20" t="s">
        <v>2479</v>
      </c>
      <c r="K55" s="20" t="s">
        <v>2479</v>
      </c>
      <c r="L55" s="20" t="s">
        <v>2479</v>
      </c>
    </row>
    <row r="56" spans="1:12" ht="15" customHeight="1" x14ac:dyDescent="0.25">
      <c r="A56" s="100" t="s">
        <v>2444</v>
      </c>
      <c r="B56" s="102"/>
      <c r="C56" s="102"/>
      <c r="D56" s="21">
        <v>570.69999999999993</v>
      </c>
      <c r="E56" s="109" t="s">
        <v>2479</v>
      </c>
      <c r="F56" s="109"/>
      <c r="G56" s="109"/>
      <c r="H56" s="20" t="s">
        <v>2479</v>
      </c>
      <c r="I56" s="20" t="s">
        <v>2479</v>
      </c>
      <c r="J56" s="20" t="s">
        <v>2479</v>
      </c>
      <c r="K56" s="20" t="s">
        <v>2479</v>
      </c>
      <c r="L56" s="20" t="s">
        <v>2479</v>
      </c>
    </row>
    <row r="57" spans="1:12" ht="15" customHeight="1" x14ac:dyDescent="0.25">
      <c r="A57" s="100" t="s">
        <v>2443</v>
      </c>
      <c r="B57" s="102"/>
      <c r="C57" s="102"/>
      <c r="D57" s="21">
        <v>329.3</v>
      </c>
      <c r="E57" s="109" t="s">
        <v>2479</v>
      </c>
      <c r="F57" s="109"/>
      <c r="G57" s="109"/>
      <c r="H57" s="20" t="s">
        <v>2479</v>
      </c>
      <c r="I57" s="20" t="s">
        <v>2479</v>
      </c>
      <c r="J57" s="20" t="s">
        <v>2479</v>
      </c>
      <c r="K57" s="20" t="s">
        <v>2479</v>
      </c>
      <c r="L57" s="20" t="s">
        <v>2479</v>
      </c>
    </row>
    <row r="58" spans="1:12" ht="15" customHeight="1" x14ac:dyDescent="0.25">
      <c r="A58" s="100" t="s">
        <v>2451</v>
      </c>
      <c r="B58" s="102"/>
      <c r="C58" s="102"/>
      <c r="D58" s="21">
        <v>198.3</v>
      </c>
      <c r="E58" s="109" t="s">
        <v>2479</v>
      </c>
      <c r="F58" s="109"/>
      <c r="G58" s="109"/>
      <c r="H58" s="20" t="s">
        <v>2479</v>
      </c>
      <c r="I58" s="20" t="s">
        <v>2479</v>
      </c>
      <c r="J58" s="20" t="s">
        <v>2479</v>
      </c>
      <c r="K58" s="20" t="s">
        <v>2479</v>
      </c>
      <c r="L58" s="20" t="s">
        <v>2479</v>
      </c>
    </row>
    <row r="59" spans="1:12" ht="15" customHeight="1" x14ac:dyDescent="0.25">
      <c r="A59" s="100" t="s">
        <v>2450</v>
      </c>
      <c r="B59" s="102"/>
      <c r="C59" s="102"/>
      <c r="D59" s="21">
        <v>1603</v>
      </c>
      <c r="E59" s="109" t="s">
        <v>2479</v>
      </c>
      <c r="F59" s="109"/>
      <c r="G59" s="109"/>
      <c r="H59" s="20" t="s">
        <v>2479</v>
      </c>
      <c r="I59" s="20" t="s">
        <v>2479</v>
      </c>
      <c r="J59" s="20" t="s">
        <v>2479</v>
      </c>
      <c r="K59" s="20" t="s">
        <v>2479</v>
      </c>
      <c r="L59" s="20" t="s">
        <v>2479</v>
      </c>
    </row>
    <row r="60" spans="1:12" ht="15" customHeight="1" x14ac:dyDescent="0.25">
      <c r="A60" s="100" t="s">
        <v>2449</v>
      </c>
      <c r="B60" s="102"/>
      <c r="C60" s="102"/>
      <c r="D60" s="21">
        <v>860.9</v>
      </c>
      <c r="E60" s="109" t="s">
        <v>2479</v>
      </c>
      <c r="F60" s="109"/>
      <c r="G60" s="109"/>
      <c r="H60" s="20" t="s">
        <v>2479</v>
      </c>
      <c r="I60" s="20" t="s">
        <v>2479</v>
      </c>
      <c r="J60" s="20" t="s">
        <v>2479</v>
      </c>
      <c r="K60" s="20" t="s">
        <v>2479</v>
      </c>
      <c r="L60" s="20" t="s">
        <v>2479</v>
      </c>
    </row>
    <row r="61" spans="1:12" ht="15" customHeight="1" x14ac:dyDescent="0.25">
      <c r="A61" s="100" t="s">
        <v>2445</v>
      </c>
      <c r="B61" s="102"/>
      <c r="C61" s="102"/>
      <c r="D61" s="21">
        <v>463.90000000000003</v>
      </c>
      <c r="E61" s="109" t="s">
        <v>2479</v>
      </c>
      <c r="F61" s="109"/>
      <c r="G61" s="109"/>
      <c r="H61" s="20" t="s">
        <v>2479</v>
      </c>
      <c r="I61" s="20" t="s">
        <v>2479</v>
      </c>
      <c r="J61" s="20" t="s">
        <v>2479</v>
      </c>
      <c r="K61" s="20" t="s">
        <v>2479</v>
      </c>
      <c r="L61" s="20" t="s">
        <v>2479</v>
      </c>
    </row>
    <row r="62" spans="1:12" ht="15" customHeight="1" x14ac:dyDescent="0.25">
      <c r="A62" s="100" t="s">
        <v>2453</v>
      </c>
      <c r="B62" s="102"/>
      <c r="C62" s="102"/>
      <c r="D62" s="21">
        <v>12.4</v>
      </c>
      <c r="E62" s="109" t="s">
        <v>2479</v>
      </c>
      <c r="F62" s="109"/>
      <c r="G62" s="109"/>
      <c r="H62" s="20" t="s">
        <v>2479</v>
      </c>
      <c r="I62" s="20" t="s">
        <v>2479</v>
      </c>
      <c r="J62" s="20" t="s">
        <v>2479</v>
      </c>
      <c r="K62" s="20" t="s">
        <v>2479</v>
      </c>
      <c r="L62" s="20" t="s">
        <v>2479</v>
      </c>
    </row>
    <row r="63" spans="1:12" ht="15" customHeight="1" x14ac:dyDescent="0.25">
      <c r="A63" s="100" t="s">
        <v>2454</v>
      </c>
      <c r="B63" s="102"/>
      <c r="C63" s="102"/>
      <c r="D63" s="21">
        <v>58.2</v>
      </c>
      <c r="E63" s="109" t="s">
        <v>2479</v>
      </c>
      <c r="F63" s="109"/>
      <c r="G63" s="109"/>
      <c r="H63" s="20" t="s">
        <v>2479</v>
      </c>
      <c r="I63" s="20" t="s">
        <v>2479</v>
      </c>
      <c r="J63" s="20" t="s">
        <v>2479</v>
      </c>
      <c r="K63" s="20" t="s">
        <v>2479</v>
      </c>
      <c r="L63" s="20" t="s">
        <v>2479</v>
      </c>
    </row>
    <row r="64" spans="1:12" ht="15" customHeight="1" thickBot="1" x14ac:dyDescent="0.3">
      <c r="A64" s="118" t="s">
        <v>2448</v>
      </c>
      <c r="B64" s="108"/>
      <c r="C64" s="108"/>
      <c r="D64" s="22">
        <v>8</v>
      </c>
      <c r="E64" s="109" t="s">
        <v>2479</v>
      </c>
      <c r="F64" s="109"/>
      <c r="G64" s="109"/>
      <c r="H64" s="20" t="s">
        <v>2479</v>
      </c>
      <c r="I64" s="20" t="s">
        <v>2479</v>
      </c>
      <c r="J64" s="20" t="s">
        <v>2479</v>
      </c>
      <c r="K64" s="20" t="s">
        <v>2479</v>
      </c>
      <c r="L64" s="20" t="s">
        <v>2479</v>
      </c>
    </row>
  </sheetData>
  <mergeCells count="92">
    <mergeCell ref="A63:C63"/>
    <mergeCell ref="E63:G63"/>
    <mergeCell ref="A64:C64"/>
    <mergeCell ref="E64:G64"/>
    <mergeCell ref="A60:C60"/>
    <mergeCell ref="E60:G60"/>
    <mergeCell ref="A61:C61"/>
    <mergeCell ref="E61:G61"/>
    <mergeCell ref="A62:C62"/>
    <mergeCell ref="E62:G62"/>
    <mergeCell ref="A57:C57"/>
    <mergeCell ref="E57:G57"/>
    <mergeCell ref="A58:C58"/>
    <mergeCell ref="E58:G58"/>
    <mergeCell ref="A59:C59"/>
    <mergeCell ref="E59:G59"/>
    <mergeCell ref="A54:C54"/>
    <mergeCell ref="E54:G54"/>
    <mergeCell ref="A55:C55"/>
    <mergeCell ref="E55:G55"/>
    <mergeCell ref="A56:C56"/>
    <mergeCell ref="E56:G56"/>
    <mergeCell ref="A51:C51"/>
    <mergeCell ref="E51:G51"/>
    <mergeCell ref="A52:C52"/>
    <mergeCell ref="E52:G52"/>
    <mergeCell ref="A53:C53"/>
    <mergeCell ref="E53:G53"/>
    <mergeCell ref="A48:C48"/>
    <mergeCell ref="E48:G48"/>
    <mergeCell ref="A49:C49"/>
    <mergeCell ref="E49:G49"/>
    <mergeCell ref="A50:C50"/>
    <mergeCell ref="E50:G50"/>
    <mergeCell ref="A45:D45"/>
    <mergeCell ref="E45:H45"/>
    <mergeCell ref="A46:C46"/>
    <mergeCell ref="E46:G46"/>
    <mergeCell ref="A47:C47"/>
    <mergeCell ref="E47:G47"/>
    <mergeCell ref="J15:J24"/>
    <mergeCell ref="J35:J44"/>
    <mergeCell ref="K12:K14"/>
    <mergeCell ref="K15:K24"/>
    <mergeCell ref="K35:K44"/>
    <mergeCell ref="H26:H34"/>
    <mergeCell ref="H36:H44"/>
    <mergeCell ref="I12:I14"/>
    <mergeCell ref="I15:I24"/>
    <mergeCell ref="I35:I44"/>
    <mergeCell ref="L25:L34"/>
    <mergeCell ref="A35:A44"/>
    <mergeCell ref="B35:B44"/>
    <mergeCell ref="L35:L44"/>
    <mergeCell ref="C25:C34"/>
    <mergeCell ref="C36:C44"/>
    <mergeCell ref="D25:D34"/>
    <mergeCell ref="D36:D44"/>
    <mergeCell ref="G26:G34"/>
    <mergeCell ref="G36:G44"/>
    <mergeCell ref="A25:A34"/>
    <mergeCell ref="B25:B34"/>
    <mergeCell ref="E33:E34"/>
    <mergeCell ref="E43:E44"/>
    <mergeCell ref="F33:F34"/>
    <mergeCell ref="F43:F44"/>
    <mergeCell ref="L12:L14"/>
    <mergeCell ref="A15:A24"/>
    <mergeCell ref="B15:B24"/>
    <mergeCell ref="L15:L24"/>
    <mergeCell ref="C12:C14"/>
    <mergeCell ref="C17:C24"/>
    <mergeCell ref="D12:D14"/>
    <mergeCell ref="D17:D24"/>
    <mergeCell ref="G4:G14"/>
    <mergeCell ref="G16:G24"/>
    <mergeCell ref="A12:A14"/>
    <mergeCell ref="B12:B14"/>
    <mergeCell ref="F10:F11"/>
    <mergeCell ref="H4:H14"/>
    <mergeCell ref="H16:H24"/>
    <mergeCell ref="J12:J14"/>
    <mergeCell ref="A1:A2"/>
    <mergeCell ref="B1:B2"/>
    <mergeCell ref="C1:K1"/>
    <mergeCell ref="L1:L2"/>
    <mergeCell ref="A3:A11"/>
    <mergeCell ref="B3:B11"/>
    <mergeCell ref="L3:L11"/>
    <mergeCell ref="C3:C11"/>
    <mergeCell ref="D3:D11"/>
    <mergeCell ref="E10:E11"/>
  </mergeCells>
  <conditionalFormatting sqref="A1:L64">
    <cfRule type="containsText" dxfId="72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tabColor theme="7" tint="0.39997558519241921"/>
  </sheetPr>
  <dimension ref="A1:L64"/>
  <sheetViews>
    <sheetView topLeftCell="A16" workbookViewId="0">
      <selection activeCell="E5" sqref="E5"/>
    </sheetView>
  </sheetViews>
  <sheetFormatPr defaultRowHeight="15" x14ac:dyDescent="0.25"/>
  <cols>
    <col min="1" max="1" width="5.42578125" style="16" customWidth="1"/>
    <col min="2" max="2" width="16.28515625" style="16" customWidth="1"/>
    <col min="3" max="3" width="21.7109375" style="16" customWidth="1"/>
    <col min="4" max="4" width="8.140625" style="16" customWidth="1"/>
    <col min="5" max="5" width="21.7109375" style="16" customWidth="1"/>
    <col min="6" max="6" width="8.140625" style="16" customWidth="1"/>
    <col min="7" max="7" width="21.7109375" style="16" customWidth="1"/>
    <col min="8" max="8" width="8.140625" style="16" customWidth="1"/>
    <col min="9" max="9" width="21.7109375" style="16" customWidth="1"/>
    <col min="10" max="11" width="8.140625" style="16" customWidth="1"/>
    <col min="12" max="12" width="16.28515625" style="16" customWidth="1"/>
    <col min="13" max="16384" width="9.140625" style="16"/>
  </cols>
  <sheetData>
    <row r="1" spans="1:12" ht="16.5" x14ac:dyDescent="0.25">
      <c r="A1" s="110" t="s">
        <v>2369</v>
      </c>
      <c r="B1" s="112" t="s">
        <v>2476</v>
      </c>
      <c r="C1" s="112" t="s">
        <v>2477</v>
      </c>
      <c r="D1" s="112"/>
      <c r="E1" s="112"/>
      <c r="F1" s="112"/>
      <c r="G1" s="112"/>
      <c r="H1" s="112"/>
      <c r="I1" s="112"/>
      <c r="J1" s="112"/>
      <c r="K1" s="112"/>
      <c r="L1" s="98" t="s">
        <v>2478</v>
      </c>
    </row>
    <row r="2" spans="1:12" ht="40.5" x14ac:dyDescent="0.25">
      <c r="A2" s="111"/>
      <c r="B2" s="113"/>
      <c r="C2" s="23" t="s">
        <v>2480</v>
      </c>
      <c r="D2" s="24" t="s">
        <v>2481</v>
      </c>
      <c r="E2" s="23" t="s">
        <v>2482</v>
      </c>
      <c r="F2" s="24" t="s">
        <v>2481</v>
      </c>
      <c r="G2" s="23" t="s">
        <v>2483</v>
      </c>
      <c r="H2" s="24" t="s">
        <v>2481</v>
      </c>
      <c r="I2" s="23" t="s">
        <v>2484</v>
      </c>
      <c r="J2" s="24" t="s">
        <v>2481</v>
      </c>
      <c r="K2" s="24" t="s">
        <v>2485</v>
      </c>
      <c r="L2" s="99"/>
    </row>
    <row r="3" spans="1:12" ht="40.5" x14ac:dyDescent="0.25">
      <c r="A3" s="100" t="s">
        <v>2497</v>
      </c>
      <c r="B3" s="102" t="s">
        <v>2545</v>
      </c>
      <c r="C3" s="102" t="s">
        <v>2500</v>
      </c>
      <c r="D3" s="106">
        <v>49.2</v>
      </c>
      <c r="E3" s="18" t="s">
        <v>2495</v>
      </c>
      <c r="F3" s="26">
        <v>81.599999999999994</v>
      </c>
      <c r="G3" s="18" t="s">
        <v>2495</v>
      </c>
      <c r="H3" s="26">
        <v>1.9</v>
      </c>
      <c r="I3" s="18" t="s">
        <v>2434</v>
      </c>
      <c r="J3" s="26">
        <v>194.5</v>
      </c>
      <c r="K3" s="26" t="s">
        <v>2490</v>
      </c>
      <c r="L3" s="104" t="s">
        <v>2479</v>
      </c>
    </row>
    <row r="4" spans="1:12" ht="22.7" customHeight="1" x14ac:dyDescent="0.25">
      <c r="A4" s="100"/>
      <c r="B4" s="102"/>
      <c r="C4" s="102"/>
      <c r="D4" s="106"/>
      <c r="E4" s="18" t="s">
        <v>2447</v>
      </c>
      <c r="F4" s="26">
        <v>3.1</v>
      </c>
      <c r="G4" s="102" t="s">
        <v>2445</v>
      </c>
      <c r="H4" s="106">
        <v>1.9</v>
      </c>
      <c r="I4" s="18" t="s">
        <v>2447</v>
      </c>
      <c r="J4" s="26">
        <v>7.8999999999999995</v>
      </c>
      <c r="K4" s="26" t="s">
        <v>2490</v>
      </c>
      <c r="L4" s="104"/>
    </row>
    <row r="5" spans="1:12" ht="22.7" customHeight="1" x14ac:dyDescent="0.25">
      <c r="A5" s="100"/>
      <c r="B5" s="102"/>
      <c r="C5" s="102"/>
      <c r="D5" s="106"/>
      <c r="E5" s="18" t="s">
        <v>2444</v>
      </c>
      <c r="F5" s="26">
        <v>8.5</v>
      </c>
      <c r="G5" s="102"/>
      <c r="H5" s="106"/>
      <c r="I5" s="18" t="s">
        <v>2445</v>
      </c>
      <c r="J5" s="26">
        <v>4.8999999999999995</v>
      </c>
      <c r="K5" s="26" t="s">
        <v>2490</v>
      </c>
      <c r="L5" s="104"/>
    </row>
    <row r="6" spans="1:12" ht="22.7" customHeight="1" x14ac:dyDescent="0.25">
      <c r="A6" s="100"/>
      <c r="B6" s="102"/>
      <c r="C6" s="102"/>
      <c r="D6" s="106"/>
      <c r="E6" s="18" t="s">
        <v>2451</v>
      </c>
      <c r="F6" s="26">
        <v>7.8999999999999995</v>
      </c>
      <c r="G6" s="102"/>
      <c r="H6" s="106"/>
      <c r="I6" s="18" t="s">
        <v>2444</v>
      </c>
      <c r="J6" s="26">
        <v>21.8</v>
      </c>
      <c r="K6" s="26" t="s">
        <v>2490</v>
      </c>
      <c r="L6" s="104"/>
    </row>
    <row r="7" spans="1:12" ht="22.7" customHeight="1" x14ac:dyDescent="0.25">
      <c r="A7" s="100"/>
      <c r="B7" s="102"/>
      <c r="C7" s="102"/>
      <c r="D7" s="106"/>
      <c r="E7" s="18" t="s">
        <v>2448</v>
      </c>
      <c r="F7" s="26">
        <v>0.5</v>
      </c>
      <c r="G7" s="102"/>
      <c r="H7" s="106"/>
      <c r="I7" s="18" t="s">
        <v>2451</v>
      </c>
      <c r="J7" s="26">
        <v>20.100000000000001</v>
      </c>
      <c r="K7" s="26" t="s">
        <v>2490</v>
      </c>
      <c r="L7" s="104"/>
    </row>
    <row r="8" spans="1:12" ht="22.7" customHeight="1" x14ac:dyDescent="0.25">
      <c r="A8" s="100"/>
      <c r="B8" s="102"/>
      <c r="C8" s="102"/>
      <c r="D8" s="106"/>
      <c r="E8" s="18" t="s">
        <v>2450</v>
      </c>
      <c r="F8" s="26">
        <v>0.1</v>
      </c>
      <c r="G8" s="102"/>
      <c r="H8" s="106"/>
      <c r="I8" s="18" t="s">
        <v>2448</v>
      </c>
      <c r="J8" s="26">
        <v>1.1000000000000001</v>
      </c>
      <c r="K8" s="26" t="s">
        <v>2490</v>
      </c>
      <c r="L8" s="104"/>
    </row>
    <row r="9" spans="1:12" ht="22.7" customHeight="1" x14ac:dyDescent="0.25">
      <c r="A9" s="100"/>
      <c r="B9" s="102"/>
      <c r="C9" s="102"/>
      <c r="D9" s="106"/>
      <c r="E9" s="102" t="s">
        <v>2449</v>
      </c>
      <c r="F9" s="106">
        <v>61.9</v>
      </c>
      <c r="G9" s="102"/>
      <c r="H9" s="106"/>
      <c r="I9" s="18" t="s">
        <v>2450</v>
      </c>
      <c r="J9" s="26">
        <v>0.30000000000000004</v>
      </c>
      <c r="K9" s="26" t="s">
        <v>2490</v>
      </c>
      <c r="L9" s="104"/>
    </row>
    <row r="10" spans="1:12" ht="22.7" customHeight="1" x14ac:dyDescent="0.25">
      <c r="A10" s="100"/>
      <c r="B10" s="102"/>
      <c r="C10" s="102"/>
      <c r="D10" s="106"/>
      <c r="E10" s="102"/>
      <c r="F10" s="106"/>
      <c r="G10" s="102"/>
      <c r="H10" s="106"/>
      <c r="I10" s="18" t="s">
        <v>2449</v>
      </c>
      <c r="J10" s="26">
        <v>138.69999999999999</v>
      </c>
      <c r="K10" s="26" t="s">
        <v>2490</v>
      </c>
      <c r="L10" s="104"/>
    </row>
    <row r="11" spans="1:12" ht="22.7" customHeight="1" x14ac:dyDescent="0.25">
      <c r="A11" s="100" t="s">
        <v>2509</v>
      </c>
      <c r="B11" s="102" t="s">
        <v>2546</v>
      </c>
      <c r="C11" s="102" t="s">
        <v>2510</v>
      </c>
      <c r="D11" s="106">
        <v>2.4</v>
      </c>
      <c r="E11" s="18" t="s">
        <v>2510</v>
      </c>
      <c r="F11" s="26">
        <v>28.9</v>
      </c>
      <c r="G11" s="102"/>
      <c r="H11" s="106"/>
      <c r="I11" s="102" t="s">
        <v>4</v>
      </c>
      <c r="J11" s="106" t="s">
        <v>4</v>
      </c>
      <c r="K11" s="106" t="s">
        <v>4</v>
      </c>
      <c r="L11" s="104" t="s">
        <v>2479</v>
      </c>
    </row>
    <row r="12" spans="1:12" ht="22.7" customHeight="1" x14ac:dyDescent="0.25">
      <c r="A12" s="100"/>
      <c r="B12" s="102"/>
      <c r="C12" s="102"/>
      <c r="D12" s="106"/>
      <c r="E12" s="18" t="s">
        <v>2444</v>
      </c>
      <c r="F12" s="26">
        <v>19.8</v>
      </c>
      <c r="G12" s="102"/>
      <c r="H12" s="106"/>
      <c r="I12" s="102"/>
      <c r="J12" s="106"/>
      <c r="K12" s="106"/>
      <c r="L12" s="104"/>
    </row>
    <row r="13" spans="1:12" ht="22.7" customHeight="1" x14ac:dyDescent="0.25">
      <c r="A13" s="100"/>
      <c r="B13" s="102"/>
      <c r="C13" s="102"/>
      <c r="D13" s="106"/>
      <c r="E13" s="18" t="s">
        <v>2449</v>
      </c>
      <c r="F13" s="26">
        <v>9.1999999999999993</v>
      </c>
      <c r="G13" s="102"/>
      <c r="H13" s="106"/>
      <c r="I13" s="102"/>
      <c r="J13" s="106"/>
      <c r="K13" s="106"/>
      <c r="L13" s="104"/>
    </row>
    <row r="14" spans="1:12" ht="27" x14ac:dyDescent="0.25">
      <c r="A14" s="100" t="s">
        <v>2493</v>
      </c>
      <c r="B14" s="102" t="s">
        <v>2547</v>
      </c>
      <c r="C14" s="18" t="s">
        <v>2495</v>
      </c>
      <c r="D14" s="26">
        <v>172.9</v>
      </c>
      <c r="E14" s="18" t="s">
        <v>2495</v>
      </c>
      <c r="F14" s="26">
        <v>3094.4</v>
      </c>
      <c r="G14" s="18" t="s">
        <v>2495</v>
      </c>
      <c r="H14" s="26">
        <v>524.9</v>
      </c>
      <c r="I14" s="102" t="s">
        <v>4</v>
      </c>
      <c r="J14" s="106" t="s">
        <v>4</v>
      </c>
      <c r="K14" s="106" t="s">
        <v>4</v>
      </c>
      <c r="L14" s="104" t="s">
        <v>2479</v>
      </c>
    </row>
    <row r="15" spans="1:12" ht="22.7" customHeight="1" x14ac:dyDescent="0.25">
      <c r="A15" s="100"/>
      <c r="B15" s="102"/>
      <c r="C15" s="18" t="s">
        <v>2499</v>
      </c>
      <c r="D15" s="26">
        <v>16.3</v>
      </c>
      <c r="E15" s="18" t="s">
        <v>2446</v>
      </c>
      <c r="F15" s="26">
        <v>20.100000000000001</v>
      </c>
      <c r="G15" s="102" t="s">
        <v>2445</v>
      </c>
      <c r="H15" s="106">
        <v>524.9</v>
      </c>
      <c r="I15" s="102"/>
      <c r="J15" s="106"/>
      <c r="K15" s="106"/>
      <c r="L15" s="104"/>
    </row>
    <row r="16" spans="1:12" ht="22.7" customHeight="1" x14ac:dyDescent="0.25">
      <c r="A16" s="100"/>
      <c r="B16" s="102"/>
      <c r="C16" s="18" t="s">
        <v>2500</v>
      </c>
      <c r="D16" s="26">
        <v>16</v>
      </c>
      <c r="E16" s="18" t="s">
        <v>2447</v>
      </c>
      <c r="F16" s="26">
        <v>355.1</v>
      </c>
      <c r="G16" s="102"/>
      <c r="H16" s="106"/>
      <c r="I16" s="102"/>
      <c r="J16" s="106"/>
      <c r="K16" s="106"/>
      <c r="L16" s="104"/>
    </row>
    <row r="17" spans="1:12" ht="22.7" customHeight="1" x14ac:dyDescent="0.25">
      <c r="A17" s="100"/>
      <c r="B17" s="102"/>
      <c r="C17" s="102" t="s">
        <v>2494</v>
      </c>
      <c r="D17" s="106">
        <v>1053.1999999999998</v>
      </c>
      <c r="E17" s="18" t="s">
        <v>2444</v>
      </c>
      <c r="F17" s="26">
        <v>401</v>
      </c>
      <c r="G17" s="102"/>
      <c r="H17" s="106"/>
      <c r="I17" s="102"/>
      <c r="J17" s="106"/>
      <c r="K17" s="106"/>
      <c r="L17" s="104"/>
    </row>
    <row r="18" spans="1:12" ht="22.7" customHeight="1" x14ac:dyDescent="0.25">
      <c r="A18" s="100"/>
      <c r="B18" s="102"/>
      <c r="C18" s="102"/>
      <c r="D18" s="106"/>
      <c r="E18" s="18" t="s">
        <v>2453</v>
      </c>
      <c r="F18" s="26">
        <v>16.100000000000001</v>
      </c>
      <c r="G18" s="102"/>
      <c r="H18" s="106"/>
      <c r="I18" s="102"/>
      <c r="J18" s="106"/>
      <c r="K18" s="106"/>
      <c r="L18" s="104"/>
    </row>
    <row r="19" spans="1:12" ht="22.7" customHeight="1" x14ac:dyDescent="0.25">
      <c r="A19" s="100"/>
      <c r="B19" s="102"/>
      <c r="C19" s="102"/>
      <c r="D19" s="106"/>
      <c r="E19" s="18" t="s">
        <v>2443</v>
      </c>
      <c r="F19" s="26">
        <v>386.1</v>
      </c>
      <c r="G19" s="102"/>
      <c r="H19" s="106"/>
      <c r="I19" s="102"/>
      <c r="J19" s="106"/>
      <c r="K19" s="106"/>
      <c r="L19" s="104"/>
    </row>
    <row r="20" spans="1:12" ht="22.7" customHeight="1" x14ac:dyDescent="0.25">
      <c r="A20" s="100"/>
      <c r="B20" s="102"/>
      <c r="C20" s="102"/>
      <c r="D20" s="106"/>
      <c r="E20" s="18" t="s">
        <v>2454</v>
      </c>
      <c r="F20" s="26">
        <v>61</v>
      </c>
      <c r="G20" s="102"/>
      <c r="H20" s="106"/>
      <c r="I20" s="102"/>
      <c r="J20" s="106"/>
      <c r="K20" s="106"/>
      <c r="L20" s="104"/>
    </row>
    <row r="21" spans="1:12" ht="22.7" customHeight="1" x14ac:dyDescent="0.25">
      <c r="A21" s="100"/>
      <c r="B21" s="102"/>
      <c r="C21" s="102"/>
      <c r="D21" s="106"/>
      <c r="E21" s="18" t="s">
        <v>2451</v>
      </c>
      <c r="F21" s="26">
        <v>48.3</v>
      </c>
      <c r="G21" s="102"/>
      <c r="H21" s="106"/>
      <c r="I21" s="102"/>
      <c r="J21" s="106"/>
      <c r="K21" s="106"/>
      <c r="L21" s="104"/>
    </row>
    <row r="22" spans="1:12" ht="22.7" customHeight="1" x14ac:dyDescent="0.25">
      <c r="A22" s="100"/>
      <c r="B22" s="102"/>
      <c r="C22" s="102"/>
      <c r="D22" s="106"/>
      <c r="E22" s="18" t="s">
        <v>2448</v>
      </c>
      <c r="F22" s="26">
        <v>3.4</v>
      </c>
      <c r="G22" s="102"/>
      <c r="H22" s="106"/>
      <c r="I22" s="102"/>
      <c r="J22" s="106"/>
      <c r="K22" s="106"/>
      <c r="L22" s="104"/>
    </row>
    <row r="23" spans="1:12" ht="22.7" customHeight="1" x14ac:dyDescent="0.25">
      <c r="A23" s="100"/>
      <c r="B23" s="102"/>
      <c r="C23" s="102"/>
      <c r="D23" s="106"/>
      <c r="E23" s="18" t="s">
        <v>2450</v>
      </c>
      <c r="F23" s="26">
        <v>1516.1</v>
      </c>
      <c r="G23" s="102"/>
      <c r="H23" s="106"/>
      <c r="I23" s="102"/>
      <c r="J23" s="106"/>
      <c r="K23" s="106"/>
      <c r="L23" s="104"/>
    </row>
    <row r="24" spans="1:12" ht="22.7" customHeight="1" x14ac:dyDescent="0.25">
      <c r="A24" s="100"/>
      <c r="B24" s="102"/>
      <c r="C24" s="102"/>
      <c r="D24" s="106"/>
      <c r="E24" s="18" t="s">
        <v>2449</v>
      </c>
      <c r="F24" s="26">
        <v>287.60000000000002</v>
      </c>
      <c r="G24" s="102"/>
      <c r="H24" s="106"/>
      <c r="I24" s="102"/>
      <c r="J24" s="106"/>
      <c r="K24" s="106"/>
      <c r="L24" s="104"/>
    </row>
    <row r="25" spans="1:12" ht="40.5" x14ac:dyDescent="0.25">
      <c r="A25" s="100" t="s">
        <v>2505</v>
      </c>
      <c r="B25" s="102" t="s">
        <v>2548</v>
      </c>
      <c r="C25" s="102" t="s">
        <v>2494</v>
      </c>
      <c r="D25" s="106">
        <v>495.3</v>
      </c>
      <c r="E25" s="18" t="s">
        <v>2495</v>
      </c>
      <c r="F25" s="26">
        <v>614.9</v>
      </c>
      <c r="G25" s="18" t="s">
        <v>2495</v>
      </c>
      <c r="H25" s="26">
        <v>28.8</v>
      </c>
      <c r="I25" s="18" t="s">
        <v>2506</v>
      </c>
      <c r="J25" s="26">
        <v>56.2</v>
      </c>
      <c r="K25" s="26" t="s">
        <v>2507</v>
      </c>
      <c r="L25" s="104" t="s">
        <v>2479</v>
      </c>
    </row>
    <row r="26" spans="1:12" ht="22.7" customHeight="1" x14ac:dyDescent="0.25">
      <c r="A26" s="100"/>
      <c r="B26" s="102"/>
      <c r="C26" s="102"/>
      <c r="D26" s="106"/>
      <c r="E26" s="18" t="s">
        <v>2446</v>
      </c>
      <c r="F26" s="26">
        <v>0.4</v>
      </c>
      <c r="G26" s="102" t="s">
        <v>2445</v>
      </c>
      <c r="H26" s="106">
        <v>28.8</v>
      </c>
      <c r="I26" s="18" t="s">
        <v>2446</v>
      </c>
      <c r="J26" s="26">
        <v>0.1</v>
      </c>
      <c r="K26" s="26" t="s">
        <v>2507</v>
      </c>
      <c r="L26" s="104"/>
    </row>
    <row r="27" spans="1:12" ht="22.7" customHeight="1" x14ac:dyDescent="0.25">
      <c r="A27" s="100"/>
      <c r="B27" s="102"/>
      <c r="C27" s="102"/>
      <c r="D27" s="106"/>
      <c r="E27" s="18" t="s">
        <v>2447</v>
      </c>
      <c r="F27" s="26">
        <v>42.1</v>
      </c>
      <c r="G27" s="102"/>
      <c r="H27" s="106"/>
      <c r="I27" s="18" t="s">
        <v>2447</v>
      </c>
      <c r="J27" s="26">
        <v>3.5</v>
      </c>
      <c r="K27" s="26" t="s">
        <v>2507</v>
      </c>
      <c r="L27" s="104"/>
    </row>
    <row r="28" spans="1:12" ht="22.7" customHeight="1" x14ac:dyDescent="0.25">
      <c r="A28" s="100"/>
      <c r="B28" s="102"/>
      <c r="C28" s="102"/>
      <c r="D28" s="106"/>
      <c r="E28" s="18" t="s">
        <v>2444</v>
      </c>
      <c r="F28" s="26">
        <v>144.5</v>
      </c>
      <c r="G28" s="102"/>
      <c r="H28" s="106"/>
      <c r="I28" s="18" t="s">
        <v>2445</v>
      </c>
      <c r="J28" s="26">
        <v>2.5</v>
      </c>
      <c r="K28" s="26" t="s">
        <v>2507</v>
      </c>
      <c r="L28" s="104"/>
    </row>
    <row r="29" spans="1:12" ht="22.7" customHeight="1" x14ac:dyDescent="0.25">
      <c r="A29" s="100"/>
      <c r="B29" s="102"/>
      <c r="C29" s="102"/>
      <c r="D29" s="106"/>
      <c r="E29" s="18" t="s">
        <v>2443</v>
      </c>
      <c r="F29" s="26">
        <v>11.1</v>
      </c>
      <c r="G29" s="102"/>
      <c r="H29" s="106"/>
      <c r="I29" s="18" t="s">
        <v>2444</v>
      </c>
      <c r="J29" s="26">
        <v>10.4</v>
      </c>
      <c r="K29" s="26" t="s">
        <v>2507</v>
      </c>
      <c r="L29" s="104"/>
    </row>
    <row r="30" spans="1:12" ht="22.7" customHeight="1" x14ac:dyDescent="0.25">
      <c r="A30" s="100"/>
      <c r="B30" s="102"/>
      <c r="C30" s="102"/>
      <c r="D30" s="106"/>
      <c r="E30" s="18" t="s">
        <v>2454</v>
      </c>
      <c r="F30" s="26">
        <v>12.1</v>
      </c>
      <c r="G30" s="102"/>
      <c r="H30" s="106"/>
      <c r="I30" s="18" t="s">
        <v>2443</v>
      </c>
      <c r="J30" s="26">
        <v>3.4</v>
      </c>
      <c r="K30" s="26" t="s">
        <v>2507</v>
      </c>
      <c r="L30" s="104"/>
    </row>
    <row r="31" spans="1:12" ht="22.7" customHeight="1" x14ac:dyDescent="0.25">
      <c r="A31" s="100"/>
      <c r="B31" s="102"/>
      <c r="C31" s="102"/>
      <c r="D31" s="106"/>
      <c r="E31" s="18" t="s">
        <v>2451</v>
      </c>
      <c r="F31" s="26">
        <v>50.6</v>
      </c>
      <c r="G31" s="102"/>
      <c r="H31" s="106"/>
      <c r="I31" s="18" t="s">
        <v>2454</v>
      </c>
      <c r="J31" s="26">
        <v>1.9000000000000001</v>
      </c>
      <c r="K31" s="26" t="s">
        <v>2507</v>
      </c>
      <c r="L31" s="104"/>
    </row>
    <row r="32" spans="1:12" ht="22.7" customHeight="1" x14ac:dyDescent="0.25">
      <c r="A32" s="100"/>
      <c r="B32" s="102"/>
      <c r="C32" s="102"/>
      <c r="D32" s="106"/>
      <c r="E32" s="18" t="s">
        <v>2448</v>
      </c>
      <c r="F32" s="26">
        <v>10.6</v>
      </c>
      <c r="G32" s="102"/>
      <c r="H32" s="106"/>
      <c r="I32" s="18" t="s">
        <v>2451</v>
      </c>
      <c r="J32" s="26">
        <v>5.1999999999999993</v>
      </c>
      <c r="K32" s="26" t="s">
        <v>2507</v>
      </c>
      <c r="L32" s="104"/>
    </row>
    <row r="33" spans="1:12" ht="22.7" customHeight="1" x14ac:dyDescent="0.25">
      <c r="A33" s="100"/>
      <c r="B33" s="102"/>
      <c r="C33" s="102"/>
      <c r="D33" s="106"/>
      <c r="E33" s="18" t="s">
        <v>2450</v>
      </c>
      <c r="F33" s="26">
        <v>223.8</v>
      </c>
      <c r="G33" s="102"/>
      <c r="H33" s="106"/>
      <c r="I33" s="18" t="s">
        <v>2448</v>
      </c>
      <c r="J33" s="26">
        <v>0.9</v>
      </c>
      <c r="K33" s="26" t="s">
        <v>2507</v>
      </c>
      <c r="L33" s="104"/>
    </row>
    <row r="34" spans="1:12" ht="22.7" customHeight="1" x14ac:dyDescent="0.25">
      <c r="A34" s="100"/>
      <c r="B34" s="102"/>
      <c r="C34" s="102"/>
      <c r="D34" s="106"/>
      <c r="E34" s="102" t="s">
        <v>2449</v>
      </c>
      <c r="F34" s="106">
        <v>120.2</v>
      </c>
      <c r="G34" s="102"/>
      <c r="H34" s="106"/>
      <c r="I34" s="18" t="s">
        <v>2450</v>
      </c>
      <c r="J34" s="26">
        <v>18.8</v>
      </c>
      <c r="K34" s="26" t="s">
        <v>2507</v>
      </c>
      <c r="L34" s="104"/>
    </row>
    <row r="35" spans="1:12" ht="22.7" customHeight="1" x14ac:dyDescent="0.25">
      <c r="A35" s="100"/>
      <c r="B35" s="102"/>
      <c r="C35" s="102"/>
      <c r="D35" s="106"/>
      <c r="E35" s="102"/>
      <c r="F35" s="106"/>
      <c r="G35" s="102"/>
      <c r="H35" s="106"/>
      <c r="I35" s="18" t="s">
        <v>2449</v>
      </c>
      <c r="J35" s="26">
        <v>10</v>
      </c>
      <c r="K35" s="26" t="s">
        <v>2507</v>
      </c>
      <c r="L35" s="104"/>
    </row>
    <row r="36" spans="1:12" ht="40.5" x14ac:dyDescent="0.25">
      <c r="A36" s="100" t="s">
        <v>2512</v>
      </c>
      <c r="B36" s="102" t="s">
        <v>2549</v>
      </c>
      <c r="C36" s="18" t="s">
        <v>2500</v>
      </c>
      <c r="D36" s="26">
        <v>39.9</v>
      </c>
      <c r="E36" s="18" t="s">
        <v>2434</v>
      </c>
      <c r="F36" s="26">
        <v>225.9</v>
      </c>
      <c r="G36" s="18" t="s">
        <v>2434</v>
      </c>
      <c r="H36" s="26">
        <v>3.1</v>
      </c>
      <c r="I36" s="102" t="s">
        <v>4</v>
      </c>
      <c r="J36" s="106" t="s">
        <v>4</v>
      </c>
      <c r="K36" s="106" t="s">
        <v>4</v>
      </c>
      <c r="L36" s="104" t="s">
        <v>2479</v>
      </c>
    </row>
    <row r="37" spans="1:12" ht="22.7" customHeight="1" x14ac:dyDescent="0.25">
      <c r="A37" s="100"/>
      <c r="B37" s="102"/>
      <c r="C37" s="102" t="s">
        <v>2494</v>
      </c>
      <c r="D37" s="106">
        <v>5.4</v>
      </c>
      <c r="E37" s="18" t="s">
        <v>2447</v>
      </c>
      <c r="F37" s="26">
        <v>4</v>
      </c>
      <c r="G37" s="102" t="s">
        <v>2445</v>
      </c>
      <c r="H37" s="106">
        <v>3.1</v>
      </c>
      <c r="I37" s="102"/>
      <c r="J37" s="106"/>
      <c r="K37" s="106"/>
      <c r="L37" s="104"/>
    </row>
    <row r="38" spans="1:12" ht="22.7" customHeight="1" x14ac:dyDescent="0.25">
      <c r="A38" s="100"/>
      <c r="B38" s="102"/>
      <c r="C38" s="102"/>
      <c r="D38" s="106"/>
      <c r="E38" s="18" t="s">
        <v>2444</v>
      </c>
      <c r="F38" s="26">
        <v>29.2</v>
      </c>
      <c r="G38" s="102"/>
      <c r="H38" s="106"/>
      <c r="I38" s="102"/>
      <c r="J38" s="106"/>
      <c r="K38" s="106"/>
      <c r="L38" s="104"/>
    </row>
    <row r="39" spans="1:12" ht="22.7" customHeight="1" x14ac:dyDescent="0.25">
      <c r="A39" s="100"/>
      <c r="B39" s="102"/>
      <c r="C39" s="102"/>
      <c r="D39" s="106"/>
      <c r="E39" s="18" t="s">
        <v>2453</v>
      </c>
      <c r="F39" s="26">
        <v>3.7</v>
      </c>
      <c r="G39" s="102"/>
      <c r="H39" s="106"/>
      <c r="I39" s="102"/>
      <c r="J39" s="106"/>
      <c r="K39" s="106"/>
      <c r="L39" s="104"/>
    </row>
    <row r="40" spans="1:12" ht="22.7" customHeight="1" x14ac:dyDescent="0.25">
      <c r="A40" s="100"/>
      <c r="B40" s="102"/>
      <c r="C40" s="102"/>
      <c r="D40" s="106"/>
      <c r="E40" s="18" t="s">
        <v>2451</v>
      </c>
      <c r="F40" s="26">
        <v>31.9</v>
      </c>
      <c r="G40" s="102"/>
      <c r="H40" s="106"/>
      <c r="I40" s="102"/>
      <c r="J40" s="106"/>
      <c r="K40" s="106"/>
      <c r="L40" s="104"/>
    </row>
    <row r="41" spans="1:12" ht="22.7" customHeight="1" x14ac:dyDescent="0.25">
      <c r="A41" s="100"/>
      <c r="B41" s="102"/>
      <c r="C41" s="102"/>
      <c r="D41" s="106"/>
      <c r="E41" s="18" t="s">
        <v>2450</v>
      </c>
      <c r="F41" s="26">
        <v>8.5</v>
      </c>
      <c r="G41" s="102"/>
      <c r="H41" s="106"/>
      <c r="I41" s="102"/>
      <c r="J41" s="106"/>
      <c r="K41" s="106"/>
      <c r="L41" s="104"/>
    </row>
    <row r="42" spans="1:12" ht="22.7" customHeight="1" x14ac:dyDescent="0.25">
      <c r="A42" s="100"/>
      <c r="B42" s="102"/>
      <c r="C42" s="102"/>
      <c r="D42" s="106"/>
      <c r="E42" s="102" t="s">
        <v>2449</v>
      </c>
      <c r="F42" s="106">
        <v>148.80000000000001</v>
      </c>
      <c r="G42" s="102"/>
      <c r="H42" s="106"/>
      <c r="I42" s="102"/>
      <c r="J42" s="106"/>
      <c r="K42" s="106"/>
      <c r="L42" s="104"/>
    </row>
    <row r="43" spans="1:12" ht="22.7" customHeight="1" thickBot="1" x14ac:dyDescent="0.3">
      <c r="A43" s="101"/>
      <c r="B43" s="103"/>
      <c r="C43" s="103"/>
      <c r="D43" s="107"/>
      <c r="E43" s="108"/>
      <c r="F43" s="114"/>
      <c r="G43" s="108"/>
      <c r="H43" s="114"/>
      <c r="I43" s="108"/>
      <c r="J43" s="114"/>
      <c r="K43" s="114"/>
      <c r="L43" s="105"/>
    </row>
    <row r="44" spans="1:12" ht="15" customHeight="1" x14ac:dyDescent="0.25">
      <c r="A44" s="115" t="s">
        <v>2491</v>
      </c>
      <c r="B44" s="116"/>
      <c r="C44" s="116"/>
      <c r="D44" s="117"/>
      <c r="E44" s="109" t="s">
        <v>2479</v>
      </c>
      <c r="F44" s="109"/>
      <c r="G44" s="109"/>
      <c r="H44" s="109"/>
      <c r="I44" s="20" t="s">
        <v>2479</v>
      </c>
      <c r="J44" s="20" t="s">
        <v>2479</v>
      </c>
      <c r="K44" s="20" t="s">
        <v>2479</v>
      </c>
      <c r="L44" s="20" t="s">
        <v>2479</v>
      </c>
    </row>
    <row r="45" spans="1:12" ht="15" customHeight="1" x14ac:dyDescent="0.25">
      <c r="A45" s="100" t="s">
        <v>2511</v>
      </c>
      <c r="B45" s="102"/>
      <c r="C45" s="102"/>
      <c r="D45" s="21">
        <v>2.4</v>
      </c>
      <c r="E45" s="109" t="s">
        <v>2479</v>
      </c>
      <c r="F45" s="109"/>
      <c r="G45" s="109"/>
      <c r="H45" s="20" t="s">
        <v>2479</v>
      </c>
      <c r="I45" s="20" t="s">
        <v>2479</v>
      </c>
      <c r="J45" s="20" t="s">
        <v>2479</v>
      </c>
      <c r="K45" s="20" t="s">
        <v>2479</v>
      </c>
      <c r="L45" s="20" t="s">
        <v>2479</v>
      </c>
    </row>
    <row r="46" spans="1:12" ht="15" customHeight="1" x14ac:dyDescent="0.25">
      <c r="A46" s="100" t="s">
        <v>2498</v>
      </c>
      <c r="B46" s="102"/>
      <c r="C46" s="102"/>
      <c r="D46" s="21">
        <v>172.9</v>
      </c>
      <c r="E46" s="109" t="s">
        <v>2479</v>
      </c>
      <c r="F46" s="109"/>
      <c r="G46" s="109"/>
      <c r="H46" s="20" t="s">
        <v>2479</v>
      </c>
      <c r="I46" s="20" t="s">
        <v>2479</v>
      </c>
      <c r="J46" s="20" t="s">
        <v>2479</v>
      </c>
      <c r="K46" s="20" t="s">
        <v>2479</v>
      </c>
      <c r="L46" s="20" t="s">
        <v>2479</v>
      </c>
    </row>
    <row r="47" spans="1:12" ht="15" customHeight="1" x14ac:dyDescent="0.25">
      <c r="A47" s="100" t="s">
        <v>2503</v>
      </c>
      <c r="B47" s="102"/>
      <c r="C47" s="102"/>
      <c r="D47" s="21">
        <v>105.1</v>
      </c>
      <c r="E47" s="109" t="s">
        <v>2479</v>
      </c>
      <c r="F47" s="109"/>
      <c r="G47" s="109"/>
      <c r="H47" s="20" t="s">
        <v>2479</v>
      </c>
      <c r="I47" s="20" t="s">
        <v>2479</v>
      </c>
      <c r="J47" s="20" t="s">
        <v>2479</v>
      </c>
      <c r="K47" s="20" t="s">
        <v>2479</v>
      </c>
      <c r="L47" s="20" t="s">
        <v>2479</v>
      </c>
    </row>
    <row r="48" spans="1:12" ht="15" customHeight="1" x14ac:dyDescent="0.25">
      <c r="A48" s="100" t="s">
        <v>2502</v>
      </c>
      <c r="B48" s="102"/>
      <c r="C48" s="102"/>
      <c r="D48" s="21">
        <v>16.3</v>
      </c>
      <c r="E48" s="109" t="s">
        <v>2479</v>
      </c>
      <c r="F48" s="109"/>
      <c r="G48" s="109"/>
      <c r="H48" s="20" t="s">
        <v>2479</v>
      </c>
      <c r="I48" s="20" t="s">
        <v>2479</v>
      </c>
      <c r="J48" s="20" t="s">
        <v>2479</v>
      </c>
      <c r="K48" s="20" t="s">
        <v>2479</v>
      </c>
      <c r="L48" s="20" t="s">
        <v>2479</v>
      </c>
    </row>
    <row r="49" spans="1:12" ht="15" customHeight="1" x14ac:dyDescent="0.25">
      <c r="A49" s="100" t="s">
        <v>2496</v>
      </c>
      <c r="B49" s="102"/>
      <c r="C49" s="102"/>
      <c r="D49" s="21">
        <v>1553.8999999999999</v>
      </c>
      <c r="E49" s="109" t="s">
        <v>2479</v>
      </c>
      <c r="F49" s="109"/>
      <c r="G49" s="109"/>
      <c r="H49" s="20" t="s">
        <v>2479</v>
      </c>
      <c r="I49" s="20" t="s">
        <v>2479</v>
      </c>
      <c r="J49" s="20" t="s">
        <v>2479</v>
      </c>
      <c r="K49" s="20" t="s">
        <v>2479</v>
      </c>
      <c r="L49" s="20" t="s">
        <v>2479</v>
      </c>
    </row>
    <row r="50" spans="1:12" ht="15" customHeight="1" x14ac:dyDescent="0.25">
      <c r="A50" s="100" t="s">
        <v>2495</v>
      </c>
      <c r="B50" s="102"/>
      <c r="C50" s="102"/>
      <c r="D50" s="21">
        <v>4346.5</v>
      </c>
      <c r="E50" s="109" t="s">
        <v>2479</v>
      </c>
      <c r="F50" s="109"/>
      <c r="G50" s="109"/>
      <c r="H50" s="20" t="s">
        <v>2479</v>
      </c>
      <c r="I50" s="20" t="s">
        <v>2479</v>
      </c>
      <c r="J50" s="20" t="s">
        <v>2479</v>
      </c>
      <c r="K50" s="20" t="s">
        <v>2479</v>
      </c>
      <c r="L50" s="20" t="s">
        <v>2479</v>
      </c>
    </row>
    <row r="51" spans="1:12" ht="15" customHeight="1" x14ac:dyDescent="0.25">
      <c r="A51" s="100" t="s">
        <v>2434</v>
      </c>
      <c r="B51" s="102"/>
      <c r="C51" s="102"/>
      <c r="D51" s="21">
        <v>423.5</v>
      </c>
      <c r="E51" s="109" t="s">
        <v>2479</v>
      </c>
      <c r="F51" s="109"/>
      <c r="G51" s="109"/>
      <c r="H51" s="20" t="s">
        <v>2479</v>
      </c>
      <c r="I51" s="20" t="s">
        <v>2479</v>
      </c>
      <c r="J51" s="20" t="s">
        <v>2479</v>
      </c>
      <c r="K51" s="20" t="s">
        <v>2479</v>
      </c>
      <c r="L51" s="20" t="s">
        <v>2479</v>
      </c>
    </row>
    <row r="52" spans="1:12" ht="15" customHeight="1" x14ac:dyDescent="0.25">
      <c r="A52" s="100" t="s">
        <v>2510</v>
      </c>
      <c r="B52" s="102"/>
      <c r="C52" s="102"/>
      <c r="D52" s="21">
        <v>28.9</v>
      </c>
      <c r="E52" s="109" t="s">
        <v>2479</v>
      </c>
      <c r="F52" s="109"/>
      <c r="G52" s="109"/>
      <c r="H52" s="20" t="s">
        <v>2479</v>
      </c>
      <c r="I52" s="20" t="s">
        <v>2479</v>
      </c>
      <c r="J52" s="20" t="s">
        <v>2479</v>
      </c>
      <c r="K52" s="20" t="s">
        <v>2479</v>
      </c>
      <c r="L52" s="20" t="s">
        <v>2479</v>
      </c>
    </row>
    <row r="53" spans="1:12" ht="15" customHeight="1" x14ac:dyDescent="0.25">
      <c r="A53" s="100" t="s">
        <v>2506</v>
      </c>
      <c r="B53" s="102"/>
      <c r="C53" s="102"/>
      <c r="D53" s="21">
        <v>56.2</v>
      </c>
      <c r="E53" s="109" t="s">
        <v>2479</v>
      </c>
      <c r="F53" s="109"/>
      <c r="G53" s="109"/>
      <c r="H53" s="20" t="s">
        <v>2479</v>
      </c>
      <c r="I53" s="20" t="s">
        <v>2479</v>
      </c>
      <c r="J53" s="20" t="s">
        <v>2479</v>
      </c>
      <c r="K53" s="20" t="s">
        <v>2479</v>
      </c>
      <c r="L53" s="20" t="s">
        <v>2479</v>
      </c>
    </row>
    <row r="54" spans="1:12" ht="15" customHeight="1" x14ac:dyDescent="0.25">
      <c r="A54" s="100" t="s">
        <v>2447</v>
      </c>
      <c r="B54" s="102"/>
      <c r="C54" s="102"/>
      <c r="D54" s="21">
        <v>415.70000000000005</v>
      </c>
      <c r="E54" s="109" t="s">
        <v>2479</v>
      </c>
      <c r="F54" s="109"/>
      <c r="G54" s="109"/>
      <c r="H54" s="20" t="s">
        <v>2479</v>
      </c>
      <c r="I54" s="20" t="s">
        <v>2479</v>
      </c>
      <c r="J54" s="20" t="s">
        <v>2479</v>
      </c>
      <c r="K54" s="20" t="s">
        <v>2479</v>
      </c>
      <c r="L54" s="20" t="s">
        <v>2479</v>
      </c>
    </row>
    <row r="55" spans="1:12" ht="15" customHeight="1" x14ac:dyDescent="0.25">
      <c r="A55" s="100" t="s">
        <v>2444</v>
      </c>
      <c r="B55" s="102"/>
      <c r="C55" s="102"/>
      <c r="D55" s="21">
        <v>635.20000000000005</v>
      </c>
      <c r="E55" s="109" t="s">
        <v>2479</v>
      </c>
      <c r="F55" s="109"/>
      <c r="G55" s="109"/>
      <c r="H55" s="20" t="s">
        <v>2479</v>
      </c>
      <c r="I55" s="20" t="s">
        <v>2479</v>
      </c>
      <c r="J55" s="20" t="s">
        <v>2479</v>
      </c>
      <c r="K55" s="20" t="s">
        <v>2479</v>
      </c>
      <c r="L55" s="20" t="s">
        <v>2479</v>
      </c>
    </row>
    <row r="56" spans="1:12" ht="15" customHeight="1" x14ac:dyDescent="0.25">
      <c r="A56" s="100" t="s">
        <v>2451</v>
      </c>
      <c r="B56" s="102"/>
      <c r="C56" s="102"/>
      <c r="D56" s="21">
        <v>164</v>
      </c>
      <c r="E56" s="109" t="s">
        <v>2479</v>
      </c>
      <c r="F56" s="109"/>
      <c r="G56" s="109"/>
      <c r="H56" s="20" t="s">
        <v>2479</v>
      </c>
      <c r="I56" s="20" t="s">
        <v>2479</v>
      </c>
      <c r="J56" s="20" t="s">
        <v>2479</v>
      </c>
      <c r="K56" s="20" t="s">
        <v>2479</v>
      </c>
      <c r="L56" s="20" t="s">
        <v>2479</v>
      </c>
    </row>
    <row r="57" spans="1:12" ht="15" customHeight="1" x14ac:dyDescent="0.25">
      <c r="A57" s="100" t="s">
        <v>2448</v>
      </c>
      <c r="B57" s="102"/>
      <c r="C57" s="102"/>
      <c r="D57" s="21">
        <v>16.5</v>
      </c>
      <c r="E57" s="109" t="s">
        <v>2479</v>
      </c>
      <c r="F57" s="109"/>
      <c r="G57" s="109"/>
      <c r="H57" s="20" t="s">
        <v>2479</v>
      </c>
      <c r="I57" s="20" t="s">
        <v>2479</v>
      </c>
      <c r="J57" s="20" t="s">
        <v>2479</v>
      </c>
      <c r="K57" s="20" t="s">
        <v>2479</v>
      </c>
      <c r="L57" s="20" t="s">
        <v>2479</v>
      </c>
    </row>
    <row r="58" spans="1:12" ht="15" customHeight="1" x14ac:dyDescent="0.25">
      <c r="A58" s="100" t="s">
        <v>2450</v>
      </c>
      <c r="B58" s="102"/>
      <c r="C58" s="102"/>
      <c r="D58" s="21">
        <v>1767.6</v>
      </c>
      <c r="E58" s="109" t="s">
        <v>2479</v>
      </c>
      <c r="F58" s="109"/>
      <c r="G58" s="109"/>
      <c r="H58" s="20" t="s">
        <v>2479</v>
      </c>
      <c r="I58" s="20" t="s">
        <v>2479</v>
      </c>
      <c r="J58" s="20" t="s">
        <v>2479</v>
      </c>
      <c r="K58" s="20" t="s">
        <v>2479</v>
      </c>
      <c r="L58" s="20" t="s">
        <v>2479</v>
      </c>
    </row>
    <row r="59" spans="1:12" ht="15" customHeight="1" x14ac:dyDescent="0.25">
      <c r="A59" s="100" t="s">
        <v>2449</v>
      </c>
      <c r="B59" s="102"/>
      <c r="C59" s="102"/>
      <c r="D59" s="21">
        <v>776.40000000000009</v>
      </c>
      <c r="E59" s="109" t="s">
        <v>2479</v>
      </c>
      <c r="F59" s="109"/>
      <c r="G59" s="109"/>
      <c r="H59" s="20" t="s">
        <v>2479</v>
      </c>
      <c r="I59" s="20" t="s">
        <v>2479</v>
      </c>
      <c r="J59" s="20" t="s">
        <v>2479</v>
      </c>
      <c r="K59" s="20" t="s">
        <v>2479</v>
      </c>
      <c r="L59" s="20" t="s">
        <v>2479</v>
      </c>
    </row>
    <row r="60" spans="1:12" ht="15" customHeight="1" x14ac:dyDescent="0.25">
      <c r="A60" s="100" t="s">
        <v>2445</v>
      </c>
      <c r="B60" s="102"/>
      <c r="C60" s="102"/>
      <c r="D60" s="21">
        <v>566.09999999999991</v>
      </c>
      <c r="E60" s="109" t="s">
        <v>2479</v>
      </c>
      <c r="F60" s="109"/>
      <c r="G60" s="109"/>
      <c r="H60" s="20" t="s">
        <v>2479</v>
      </c>
      <c r="I60" s="20" t="s">
        <v>2479</v>
      </c>
      <c r="J60" s="20" t="s">
        <v>2479</v>
      </c>
      <c r="K60" s="20" t="s">
        <v>2479</v>
      </c>
      <c r="L60" s="20" t="s">
        <v>2479</v>
      </c>
    </row>
    <row r="61" spans="1:12" ht="15" customHeight="1" x14ac:dyDescent="0.25">
      <c r="A61" s="100" t="s">
        <v>2446</v>
      </c>
      <c r="B61" s="102"/>
      <c r="C61" s="102"/>
      <c r="D61" s="21">
        <v>20.6</v>
      </c>
      <c r="E61" s="109" t="s">
        <v>2479</v>
      </c>
      <c r="F61" s="109"/>
      <c r="G61" s="109"/>
      <c r="H61" s="20" t="s">
        <v>2479</v>
      </c>
      <c r="I61" s="20" t="s">
        <v>2479</v>
      </c>
      <c r="J61" s="20" t="s">
        <v>2479</v>
      </c>
      <c r="K61" s="20" t="s">
        <v>2479</v>
      </c>
      <c r="L61" s="20" t="s">
        <v>2479</v>
      </c>
    </row>
    <row r="62" spans="1:12" ht="15" customHeight="1" x14ac:dyDescent="0.25">
      <c r="A62" s="100" t="s">
        <v>2453</v>
      </c>
      <c r="B62" s="102"/>
      <c r="C62" s="102"/>
      <c r="D62" s="21">
        <v>19.8</v>
      </c>
      <c r="E62" s="109" t="s">
        <v>2479</v>
      </c>
      <c r="F62" s="109"/>
      <c r="G62" s="109"/>
      <c r="H62" s="20" t="s">
        <v>2479</v>
      </c>
      <c r="I62" s="20" t="s">
        <v>2479</v>
      </c>
      <c r="J62" s="20" t="s">
        <v>2479</v>
      </c>
      <c r="K62" s="20" t="s">
        <v>2479</v>
      </c>
      <c r="L62" s="20" t="s">
        <v>2479</v>
      </c>
    </row>
    <row r="63" spans="1:12" ht="15" customHeight="1" x14ac:dyDescent="0.25">
      <c r="A63" s="100" t="s">
        <v>2443</v>
      </c>
      <c r="B63" s="102"/>
      <c r="C63" s="102"/>
      <c r="D63" s="21">
        <v>400.6</v>
      </c>
      <c r="E63" s="109" t="s">
        <v>2479</v>
      </c>
      <c r="F63" s="109"/>
      <c r="G63" s="109"/>
      <c r="H63" s="20" t="s">
        <v>2479</v>
      </c>
      <c r="I63" s="20" t="s">
        <v>2479</v>
      </c>
      <c r="J63" s="20" t="s">
        <v>2479</v>
      </c>
      <c r="K63" s="20" t="s">
        <v>2479</v>
      </c>
      <c r="L63" s="20" t="s">
        <v>2479</v>
      </c>
    </row>
    <row r="64" spans="1:12" ht="15" customHeight="1" thickBot="1" x14ac:dyDescent="0.3">
      <c r="A64" s="118" t="s">
        <v>2454</v>
      </c>
      <c r="B64" s="108"/>
      <c r="C64" s="108"/>
      <c r="D64" s="22">
        <v>75</v>
      </c>
      <c r="E64" s="109" t="s">
        <v>2479</v>
      </c>
      <c r="F64" s="109"/>
      <c r="G64" s="109"/>
      <c r="H64" s="20" t="s">
        <v>2479</v>
      </c>
      <c r="I64" s="20" t="s">
        <v>2479</v>
      </c>
      <c r="J64" s="20" t="s">
        <v>2479</v>
      </c>
      <c r="K64" s="20" t="s">
        <v>2479</v>
      </c>
      <c r="L64" s="20" t="s">
        <v>2479</v>
      </c>
    </row>
  </sheetData>
  <mergeCells count="94">
    <mergeCell ref="A62:C62"/>
    <mergeCell ref="E62:G62"/>
    <mergeCell ref="A63:C63"/>
    <mergeCell ref="E63:G63"/>
    <mergeCell ref="A64:C64"/>
    <mergeCell ref="E64:G64"/>
    <mergeCell ref="A59:C59"/>
    <mergeCell ref="E59:G59"/>
    <mergeCell ref="A60:C60"/>
    <mergeCell ref="E60:G60"/>
    <mergeCell ref="A61:C61"/>
    <mergeCell ref="E61:G61"/>
    <mergeCell ref="A56:C56"/>
    <mergeCell ref="E56:G56"/>
    <mergeCell ref="A57:C57"/>
    <mergeCell ref="E57:G57"/>
    <mergeCell ref="A58:C58"/>
    <mergeCell ref="E58:G58"/>
    <mergeCell ref="A53:C53"/>
    <mergeCell ref="E53:G53"/>
    <mergeCell ref="A54:C54"/>
    <mergeCell ref="E54:G54"/>
    <mergeCell ref="A55:C55"/>
    <mergeCell ref="E55:G55"/>
    <mergeCell ref="A50:C50"/>
    <mergeCell ref="E50:G50"/>
    <mergeCell ref="A51:C51"/>
    <mergeCell ref="E51:G51"/>
    <mergeCell ref="A52:C52"/>
    <mergeCell ref="E52:G52"/>
    <mergeCell ref="A47:C47"/>
    <mergeCell ref="E47:G47"/>
    <mergeCell ref="A48:C48"/>
    <mergeCell ref="E48:G48"/>
    <mergeCell ref="A49:C49"/>
    <mergeCell ref="E49:G49"/>
    <mergeCell ref="A44:D44"/>
    <mergeCell ref="E44:H44"/>
    <mergeCell ref="A45:C45"/>
    <mergeCell ref="E45:G45"/>
    <mergeCell ref="A46:C46"/>
    <mergeCell ref="E46:G46"/>
    <mergeCell ref="J14:J24"/>
    <mergeCell ref="J36:J43"/>
    <mergeCell ref="K11:K13"/>
    <mergeCell ref="K14:K24"/>
    <mergeCell ref="K36:K43"/>
    <mergeCell ref="H26:H35"/>
    <mergeCell ref="H37:H43"/>
    <mergeCell ref="I11:I13"/>
    <mergeCell ref="I14:I24"/>
    <mergeCell ref="I36:I43"/>
    <mergeCell ref="L25:L35"/>
    <mergeCell ref="A36:A43"/>
    <mergeCell ref="B36:B43"/>
    <mergeCell ref="L36:L43"/>
    <mergeCell ref="C25:C35"/>
    <mergeCell ref="C37:C43"/>
    <mergeCell ref="D25:D35"/>
    <mergeCell ref="D37:D43"/>
    <mergeCell ref="G26:G35"/>
    <mergeCell ref="G37:G43"/>
    <mergeCell ref="A25:A35"/>
    <mergeCell ref="B25:B35"/>
    <mergeCell ref="E34:E35"/>
    <mergeCell ref="E42:E43"/>
    <mergeCell ref="F34:F35"/>
    <mergeCell ref="F42:F43"/>
    <mergeCell ref="L11:L13"/>
    <mergeCell ref="A14:A24"/>
    <mergeCell ref="B14:B24"/>
    <mergeCell ref="L14:L24"/>
    <mergeCell ref="C11:C13"/>
    <mergeCell ref="C17:C24"/>
    <mergeCell ref="D11:D13"/>
    <mergeCell ref="D17:D24"/>
    <mergeCell ref="G4:G13"/>
    <mergeCell ref="G15:G24"/>
    <mergeCell ref="A11:A13"/>
    <mergeCell ref="B11:B13"/>
    <mergeCell ref="F9:F10"/>
    <mergeCell ref="H4:H13"/>
    <mergeCell ref="H15:H24"/>
    <mergeCell ref="J11:J13"/>
    <mergeCell ref="A1:A2"/>
    <mergeCell ref="B1:B2"/>
    <mergeCell ref="C1:K1"/>
    <mergeCell ref="L1:L2"/>
    <mergeCell ref="A3:A10"/>
    <mergeCell ref="B3:B10"/>
    <mergeCell ref="L3:L10"/>
    <mergeCell ref="C3:C10"/>
    <mergeCell ref="D3:D10"/>
    <mergeCell ref="E9:E10"/>
  </mergeCells>
  <conditionalFormatting sqref="A1:L64">
    <cfRule type="containsText" dxfId="71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>
    <tabColor theme="7" tint="0.39997558519241921"/>
  </sheetPr>
  <dimension ref="A1:L56"/>
  <sheetViews>
    <sheetView topLeftCell="A31" workbookViewId="0">
      <selection activeCell="E10" sqref="E10"/>
    </sheetView>
  </sheetViews>
  <sheetFormatPr defaultRowHeight="15" x14ac:dyDescent="0.25"/>
  <cols>
    <col min="1" max="1" width="5.42578125" style="16" customWidth="1"/>
    <col min="2" max="2" width="16.28515625" style="16" customWidth="1"/>
    <col min="3" max="3" width="21.7109375" style="16" customWidth="1"/>
    <col min="4" max="4" width="8.140625" style="16" customWidth="1"/>
    <col min="5" max="5" width="21.7109375" style="16" customWidth="1"/>
    <col min="6" max="6" width="8.140625" style="16" customWidth="1"/>
    <col min="7" max="7" width="21.7109375" style="16" customWidth="1"/>
    <col min="8" max="8" width="8.140625" style="16" customWidth="1"/>
    <col min="9" max="9" width="21.7109375" style="16" customWidth="1"/>
    <col min="10" max="11" width="8.140625" style="16" customWidth="1"/>
    <col min="12" max="12" width="16.28515625" style="16" customWidth="1"/>
    <col min="13" max="16384" width="9.140625" style="16"/>
  </cols>
  <sheetData>
    <row r="1" spans="1:12" ht="16.5" x14ac:dyDescent="0.25">
      <c r="A1" s="110" t="s">
        <v>2369</v>
      </c>
      <c r="B1" s="112" t="s">
        <v>2476</v>
      </c>
      <c r="C1" s="112" t="s">
        <v>2477</v>
      </c>
      <c r="D1" s="112"/>
      <c r="E1" s="112"/>
      <c r="F1" s="112"/>
      <c r="G1" s="112"/>
      <c r="H1" s="112"/>
      <c r="I1" s="112"/>
      <c r="J1" s="112"/>
      <c r="K1" s="112"/>
      <c r="L1" s="98" t="s">
        <v>2478</v>
      </c>
    </row>
    <row r="2" spans="1:12" ht="40.5" x14ac:dyDescent="0.25">
      <c r="A2" s="111"/>
      <c r="B2" s="113"/>
      <c r="C2" s="23" t="s">
        <v>2480</v>
      </c>
      <c r="D2" s="24" t="s">
        <v>2481</v>
      </c>
      <c r="E2" s="23" t="s">
        <v>2482</v>
      </c>
      <c r="F2" s="24" t="s">
        <v>2481</v>
      </c>
      <c r="G2" s="23" t="s">
        <v>2483</v>
      </c>
      <c r="H2" s="24" t="s">
        <v>2481</v>
      </c>
      <c r="I2" s="23" t="s">
        <v>2484</v>
      </c>
      <c r="J2" s="24" t="s">
        <v>2481</v>
      </c>
      <c r="K2" s="24" t="s">
        <v>2485</v>
      </c>
      <c r="L2" s="99"/>
    </row>
    <row r="3" spans="1:12" ht="40.5" x14ac:dyDescent="0.25">
      <c r="A3" s="100" t="s">
        <v>2497</v>
      </c>
      <c r="B3" s="102" t="s">
        <v>2560</v>
      </c>
      <c r="C3" s="18" t="s">
        <v>2495</v>
      </c>
      <c r="D3" s="26">
        <v>133</v>
      </c>
      <c r="E3" s="18" t="s">
        <v>2495</v>
      </c>
      <c r="F3" s="26">
        <v>770.6</v>
      </c>
      <c r="G3" s="18" t="s">
        <v>2495</v>
      </c>
      <c r="H3" s="26">
        <v>60.5</v>
      </c>
      <c r="I3" s="18" t="s">
        <v>2434</v>
      </c>
      <c r="J3" s="26">
        <v>838.1</v>
      </c>
      <c r="K3" s="26" t="s">
        <v>2490</v>
      </c>
      <c r="L3" s="104" t="s">
        <v>2479</v>
      </c>
    </row>
    <row r="4" spans="1:12" ht="22.7" customHeight="1" x14ac:dyDescent="0.25">
      <c r="A4" s="100"/>
      <c r="B4" s="102"/>
      <c r="C4" s="18" t="s">
        <v>2499</v>
      </c>
      <c r="D4" s="26">
        <v>247.9</v>
      </c>
      <c r="E4" s="18" t="s">
        <v>2447</v>
      </c>
      <c r="F4" s="26">
        <v>42.2</v>
      </c>
      <c r="G4" s="102" t="s">
        <v>2445</v>
      </c>
      <c r="H4" s="106">
        <v>60.5</v>
      </c>
      <c r="I4" s="18" t="s">
        <v>2447</v>
      </c>
      <c r="J4" s="26">
        <v>52.2</v>
      </c>
      <c r="K4" s="26" t="s">
        <v>2490</v>
      </c>
      <c r="L4" s="104"/>
    </row>
    <row r="5" spans="1:12" ht="22.7" customHeight="1" x14ac:dyDescent="0.25">
      <c r="A5" s="100"/>
      <c r="B5" s="102"/>
      <c r="C5" s="102" t="s">
        <v>2500</v>
      </c>
      <c r="D5" s="106">
        <v>95.1</v>
      </c>
      <c r="E5" s="18" t="s">
        <v>2444</v>
      </c>
      <c r="F5" s="26">
        <v>691.30000000000007</v>
      </c>
      <c r="G5" s="102"/>
      <c r="H5" s="106"/>
      <c r="I5" s="18" t="s">
        <v>2445</v>
      </c>
      <c r="J5" s="26">
        <v>73.899999999999991</v>
      </c>
      <c r="K5" s="26" t="s">
        <v>2490</v>
      </c>
      <c r="L5" s="104"/>
    </row>
    <row r="6" spans="1:12" ht="22.7" customHeight="1" x14ac:dyDescent="0.25">
      <c r="A6" s="100"/>
      <c r="B6" s="102"/>
      <c r="C6" s="102"/>
      <c r="D6" s="106"/>
      <c r="E6" s="18" t="s">
        <v>2453</v>
      </c>
      <c r="F6" s="26">
        <v>2</v>
      </c>
      <c r="G6" s="102"/>
      <c r="H6" s="106"/>
      <c r="I6" s="18" t="s">
        <v>2444</v>
      </c>
      <c r="J6" s="26">
        <v>670</v>
      </c>
      <c r="K6" s="26" t="s">
        <v>2490</v>
      </c>
      <c r="L6" s="104"/>
    </row>
    <row r="7" spans="1:12" ht="22.7" customHeight="1" x14ac:dyDescent="0.25">
      <c r="A7" s="100"/>
      <c r="B7" s="102"/>
      <c r="C7" s="102"/>
      <c r="D7" s="106"/>
      <c r="E7" s="18" t="s">
        <v>2448</v>
      </c>
      <c r="F7" s="26">
        <v>0.5</v>
      </c>
      <c r="G7" s="102"/>
      <c r="H7" s="106"/>
      <c r="I7" s="18" t="s">
        <v>2453</v>
      </c>
      <c r="J7" s="26">
        <v>3</v>
      </c>
      <c r="K7" s="26" t="s">
        <v>2490</v>
      </c>
      <c r="L7" s="104"/>
    </row>
    <row r="8" spans="1:12" ht="22.7" customHeight="1" x14ac:dyDescent="0.25">
      <c r="A8" s="100"/>
      <c r="B8" s="102"/>
      <c r="C8" s="102"/>
      <c r="D8" s="106"/>
      <c r="E8" s="102" t="s">
        <v>2452</v>
      </c>
      <c r="F8" s="106">
        <v>34.800000000000004</v>
      </c>
      <c r="G8" s="102"/>
      <c r="H8" s="106"/>
      <c r="I8" s="18" t="s">
        <v>2448</v>
      </c>
      <c r="J8" s="26">
        <v>0.7</v>
      </c>
      <c r="K8" s="26" t="s">
        <v>2490</v>
      </c>
      <c r="L8" s="104"/>
    </row>
    <row r="9" spans="1:12" ht="22.7" customHeight="1" x14ac:dyDescent="0.25">
      <c r="A9" s="100"/>
      <c r="B9" s="102"/>
      <c r="C9" s="102"/>
      <c r="D9" s="106"/>
      <c r="E9" s="102"/>
      <c r="F9" s="106"/>
      <c r="G9" s="102"/>
      <c r="H9" s="106"/>
      <c r="I9" s="18" t="s">
        <v>2452</v>
      </c>
      <c r="J9" s="26">
        <v>38.700000000000003</v>
      </c>
      <c r="K9" s="26" t="s">
        <v>2490</v>
      </c>
      <c r="L9" s="104"/>
    </row>
    <row r="10" spans="1:12" ht="40.5" x14ac:dyDescent="0.25">
      <c r="A10" s="100" t="s">
        <v>2486</v>
      </c>
      <c r="B10" s="102" t="s">
        <v>2487</v>
      </c>
      <c r="C10" s="102" t="s">
        <v>2488</v>
      </c>
      <c r="D10" s="106">
        <v>133.6</v>
      </c>
      <c r="E10" s="18" t="s">
        <v>2488</v>
      </c>
      <c r="F10" s="26">
        <v>294.10000000000002</v>
      </c>
      <c r="G10" s="18" t="s">
        <v>2488</v>
      </c>
      <c r="H10" s="26">
        <v>18.399999999999999</v>
      </c>
      <c r="I10" s="18" t="s">
        <v>2489</v>
      </c>
      <c r="J10" s="26">
        <v>262.5</v>
      </c>
      <c r="K10" s="26" t="s">
        <v>2490</v>
      </c>
      <c r="L10" s="104" t="s">
        <v>2479</v>
      </c>
    </row>
    <row r="11" spans="1:12" ht="22.7" customHeight="1" x14ac:dyDescent="0.25">
      <c r="A11" s="100"/>
      <c r="B11" s="102"/>
      <c r="C11" s="102"/>
      <c r="D11" s="106"/>
      <c r="E11" s="18" t="s">
        <v>2447</v>
      </c>
      <c r="F11" s="26">
        <v>49.7</v>
      </c>
      <c r="G11" s="102" t="s">
        <v>2445</v>
      </c>
      <c r="H11" s="106">
        <v>18.399999999999999</v>
      </c>
      <c r="I11" s="18" t="s">
        <v>2447</v>
      </c>
      <c r="J11" s="26">
        <v>49.9</v>
      </c>
      <c r="K11" s="26" t="s">
        <v>2490</v>
      </c>
      <c r="L11" s="104"/>
    </row>
    <row r="12" spans="1:12" ht="22.7" customHeight="1" x14ac:dyDescent="0.25">
      <c r="A12" s="100"/>
      <c r="B12" s="102"/>
      <c r="C12" s="102"/>
      <c r="D12" s="106"/>
      <c r="E12" s="18" t="s">
        <v>2444</v>
      </c>
      <c r="F12" s="26">
        <v>165.1</v>
      </c>
      <c r="G12" s="102"/>
      <c r="H12" s="106"/>
      <c r="I12" s="18" t="s">
        <v>2445</v>
      </c>
      <c r="J12" s="26">
        <v>15.6</v>
      </c>
      <c r="K12" s="26" t="s">
        <v>2490</v>
      </c>
      <c r="L12" s="104"/>
    </row>
    <row r="13" spans="1:12" ht="22.7" customHeight="1" x14ac:dyDescent="0.25">
      <c r="A13" s="100"/>
      <c r="B13" s="102"/>
      <c r="C13" s="102"/>
      <c r="D13" s="106"/>
      <c r="E13" s="18" t="s">
        <v>2451</v>
      </c>
      <c r="F13" s="26">
        <v>1.4000000000000001</v>
      </c>
      <c r="G13" s="102"/>
      <c r="H13" s="106"/>
      <c r="I13" s="18" t="s">
        <v>2444</v>
      </c>
      <c r="J13" s="26">
        <v>127.8</v>
      </c>
      <c r="K13" s="26" t="s">
        <v>2490</v>
      </c>
      <c r="L13" s="104"/>
    </row>
    <row r="14" spans="1:12" ht="22.7" customHeight="1" x14ac:dyDescent="0.25">
      <c r="A14" s="100"/>
      <c r="B14" s="102"/>
      <c r="C14" s="102"/>
      <c r="D14" s="106"/>
      <c r="E14" s="18" t="s">
        <v>2455</v>
      </c>
      <c r="F14" s="26">
        <v>30.1</v>
      </c>
      <c r="G14" s="102"/>
      <c r="H14" s="106"/>
      <c r="I14" s="18" t="s">
        <v>2451</v>
      </c>
      <c r="J14" s="26">
        <v>1.3</v>
      </c>
      <c r="K14" s="26" t="s">
        <v>2490</v>
      </c>
      <c r="L14" s="104"/>
    </row>
    <row r="15" spans="1:12" ht="22.7" customHeight="1" x14ac:dyDescent="0.25">
      <c r="A15" s="100"/>
      <c r="B15" s="102"/>
      <c r="C15" s="102"/>
      <c r="D15" s="106"/>
      <c r="E15" s="102" t="s">
        <v>2452</v>
      </c>
      <c r="F15" s="106">
        <v>48</v>
      </c>
      <c r="G15" s="102"/>
      <c r="H15" s="106"/>
      <c r="I15" s="18" t="s">
        <v>2455</v>
      </c>
      <c r="J15" s="26">
        <v>27.400000000000002</v>
      </c>
      <c r="K15" s="26" t="s">
        <v>2490</v>
      </c>
      <c r="L15" s="104"/>
    </row>
    <row r="16" spans="1:12" ht="22.7" customHeight="1" x14ac:dyDescent="0.25">
      <c r="A16" s="100"/>
      <c r="B16" s="102"/>
      <c r="C16" s="102"/>
      <c r="D16" s="106"/>
      <c r="E16" s="102"/>
      <c r="F16" s="106"/>
      <c r="G16" s="102"/>
      <c r="H16" s="106"/>
      <c r="I16" s="18" t="s">
        <v>2452</v>
      </c>
      <c r="J16" s="26">
        <v>40.800000000000004</v>
      </c>
      <c r="K16" s="26" t="s">
        <v>2490</v>
      </c>
      <c r="L16" s="104"/>
    </row>
    <row r="17" spans="1:12" ht="22.7" customHeight="1" x14ac:dyDescent="0.25">
      <c r="A17" s="100" t="s">
        <v>2509</v>
      </c>
      <c r="B17" s="102" t="s">
        <v>2561</v>
      </c>
      <c r="C17" s="102" t="s">
        <v>2510</v>
      </c>
      <c r="D17" s="106">
        <v>165.2</v>
      </c>
      <c r="E17" s="18" t="s">
        <v>2510</v>
      </c>
      <c r="F17" s="26">
        <v>592.4</v>
      </c>
      <c r="G17" s="18" t="s">
        <v>2510</v>
      </c>
      <c r="H17" s="26">
        <v>54.9</v>
      </c>
      <c r="I17" s="102" t="s">
        <v>4</v>
      </c>
      <c r="J17" s="106" t="s">
        <v>4</v>
      </c>
      <c r="K17" s="106" t="s">
        <v>4</v>
      </c>
      <c r="L17" s="104" t="s">
        <v>2479</v>
      </c>
    </row>
    <row r="18" spans="1:12" ht="22.7" customHeight="1" x14ac:dyDescent="0.25">
      <c r="A18" s="100"/>
      <c r="B18" s="102"/>
      <c r="C18" s="102"/>
      <c r="D18" s="106"/>
      <c r="E18" s="18" t="s">
        <v>2447</v>
      </c>
      <c r="F18" s="26">
        <v>91</v>
      </c>
      <c r="G18" s="102" t="s">
        <v>2445</v>
      </c>
      <c r="H18" s="106">
        <v>54.9</v>
      </c>
      <c r="I18" s="102"/>
      <c r="J18" s="106"/>
      <c r="K18" s="106"/>
      <c r="L18" s="104"/>
    </row>
    <row r="19" spans="1:12" ht="22.7" customHeight="1" x14ac:dyDescent="0.25">
      <c r="A19" s="100"/>
      <c r="B19" s="102"/>
      <c r="C19" s="102"/>
      <c r="D19" s="106"/>
      <c r="E19" s="18" t="s">
        <v>2444</v>
      </c>
      <c r="F19" s="26">
        <v>407.90000000000003</v>
      </c>
      <c r="G19" s="102"/>
      <c r="H19" s="106"/>
      <c r="I19" s="102"/>
      <c r="J19" s="106"/>
      <c r="K19" s="106"/>
      <c r="L19" s="104"/>
    </row>
    <row r="20" spans="1:12" ht="22.7" customHeight="1" x14ac:dyDescent="0.25">
      <c r="A20" s="100"/>
      <c r="B20" s="102"/>
      <c r="C20" s="102"/>
      <c r="D20" s="106"/>
      <c r="E20" s="18" t="s">
        <v>2453</v>
      </c>
      <c r="F20" s="26">
        <v>9.1</v>
      </c>
      <c r="G20" s="102"/>
      <c r="H20" s="106"/>
      <c r="I20" s="102"/>
      <c r="J20" s="106"/>
      <c r="K20" s="106"/>
      <c r="L20" s="104"/>
    </row>
    <row r="21" spans="1:12" ht="22.7" customHeight="1" x14ac:dyDescent="0.25">
      <c r="A21" s="100"/>
      <c r="B21" s="102"/>
      <c r="C21" s="102"/>
      <c r="D21" s="106"/>
      <c r="E21" s="18" t="s">
        <v>2451</v>
      </c>
      <c r="F21" s="26">
        <v>0.7</v>
      </c>
      <c r="G21" s="102"/>
      <c r="H21" s="106"/>
      <c r="I21" s="102"/>
      <c r="J21" s="106"/>
      <c r="K21" s="106"/>
      <c r="L21" s="104"/>
    </row>
    <row r="22" spans="1:12" ht="22.7" customHeight="1" x14ac:dyDescent="0.25">
      <c r="A22" s="100"/>
      <c r="B22" s="102"/>
      <c r="C22" s="102"/>
      <c r="D22" s="106"/>
      <c r="E22" s="18" t="s">
        <v>2452</v>
      </c>
      <c r="F22" s="26">
        <v>83.8</v>
      </c>
      <c r="G22" s="102"/>
      <c r="H22" s="106"/>
      <c r="I22" s="102"/>
      <c r="J22" s="106"/>
      <c r="K22" s="106"/>
      <c r="L22" s="104"/>
    </row>
    <row r="23" spans="1:12" ht="27" x14ac:dyDescent="0.25">
      <c r="A23" s="100" t="s">
        <v>2493</v>
      </c>
      <c r="B23" s="102" t="s">
        <v>2562</v>
      </c>
      <c r="C23" s="18" t="s">
        <v>2495</v>
      </c>
      <c r="D23" s="26">
        <v>367.5</v>
      </c>
      <c r="E23" s="18" t="s">
        <v>2495</v>
      </c>
      <c r="F23" s="26">
        <v>2861.1</v>
      </c>
      <c r="G23" s="18" t="s">
        <v>2495</v>
      </c>
      <c r="H23" s="26">
        <v>101.8</v>
      </c>
      <c r="I23" s="102" t="s">
        <v>4</v>
      </c>
      <c r="J23" s="106" t="s">
        <v>4</v>
      </c>
      <c r="K23" s="106" t="s">
        <v>4</v>
      </c>
      <c r="L23" s="104" t="s">
        <v>2479</v>
      </c>
    </row>
    <row r="24" spans="1:12" ht="22.7" customHeight="1" x14ac:dyDescent="0.25">
      <c r="A24" s="100"/>
      <c r="B24" s="102"/>
      <c r="C24" s="18" t="s">
        <v>2499</v>
      </c>
      <c r="D24" s="26">
        <v>393.5</v>
      </c>
      <c r="E24" s="18" t="s">
        <v>2447</v>
      </c>
      <c r="F24" s="26">
        <v>232.1</v>
      </c>
      <c r="G24" s="102" t="s">
        <v>2445</v>
      </c>
      <c r="H24" s="106">
        <v>101.8</v>
      </c>
      <c r="I24" s="102"/>
      <c r="J24" s="106"/>
      <c r="K24" s="106"/>
      <c r="L24" s="104"/>
    </row>
    <row r="25" spans="1:12" ht="22.7" customHeight="1" x14ac:dyDescent="0.25">
      <c r="A25" s="100"/>
      <c r="B25" s="102"/>
      <c r="C25" s="18" t="s">
        <v>2500</v>
      </c>
      <c r="D25" s="26">
        <v>32.799999999999997</v>
      </c>
      <c r="E25" s="18" t="s">
        <v>2444</v>
      </c>
      <c r="F25" s="26">
        <v>2143.6999999999998</v>
      </c>
      <c r="G25" s="102"/>
      <c r="H25" s="106"/>
      <c r="I25" s="102"/>
      <c r="J25" s="106"/>
      <c r="K25" s="106"/>
      <c r="L25" s="104"/>
    </row>
    <row r="26" spans="1:12" ht="22.7" customHeight="1" x14ac:dyDescent="0.25">
      <c r="A26" s="100"/>
      <c r="B26" s="102"/>
      <c r="C26" s="102" t="s">
        <v>2494</v>
      </c>
      <c r="D26" s="106">
        <v>404</v>
      </c>
      <c r="E26" s="18" t="s">
        <v>2451</v>
      </c>
      <c r="F26" s="26">
        <v>54.4</v>
      </c>
      <c r="G26" s="102"/>
      <c r="H26" s="106"/>
      <c r="I26" s="102"/>
      <c r="J26" s="106"/>
      <c r="K26" s="106"/>
      <c r="L26" s="104"/>
    </row>
    <row r="27" spans="1:12" ht="22.7" customHeight="1" x14ac:dyDescent="0.25">
      <c r="A27" s="100"/>
      <c r="B27" s="102"/>
      <c r="C27" s="102"/>
      <c r="D27" s="106"/>
      <c r="E27" s="18" t="s">
        <v>2455</v>
      </c>
      <c r="F27" s="26">
        <v>194.4</v>
      </c>
      <c r="G27" s="102"/>
      <c r="H27" s="106"/>
      <c r="I27" s="102"/>
      <c r="J27" s="106"/>
      <c r="K27" s="106"/>
      <c r="L27" s="104"/>
    </row>
    <row r="28" spans="1:12" ht="22.7" customHeight="1" x14ac:dyDescent="0.25">
      <c r="A28" s="100"/>
      <c r="B28" s="102"/>
      <c r="C28" s="102"/>
      <c r="D28" s="106"/>
      <c r="E28" s="18" t="s">
        <v>2448</v>
      </c>
      <c r="F28" s="26">
        <v>6.5</v>
      </c>
      <c r="G28" s="102"/>
      <c r="H28" s="106"/>
      <c r="I28" s="102"/>
      <c r="J28" s="106"/>
      <c r="K28" s="106"/>
      <c r="L28" s="104"/>
    </row>
    <row r="29" spans="1:12" ht="22.7" customHeight="1" x14ac:dyDescent="0.25">
      <c r="A29" s="100"/>
      <c r="B29" s="102"/>
      <c r="C29" s="102"/>
      <c r="D29" s="106"/>
      <c r="E29" s="18" t="s">
        <v>2452</v>
      </c>
      <c r="F29" s="26">
        <v>230.29999999999998</v>
      </c>
      <c r="G29" s="102"/>
      <c r="H29" s="106"/>
      <c r="I29" s="102"/>
      <c r="J29" s="106"/>
      <c r="K29" s="106"/>
      <c r="L29" s="104"/>
    </row>
    <row r="30" spans="1:12" ht="40.5" x14ac:dyDescent="0.25">
      <c r="A30" s="100" t="s">
        <v>2512</v>
      </c>
      <c r="B30" s="102" t="s">
        <v>2563</v>
      </c>
      <c r="C30" s="18" t="s">
        <v>2499</v>
      </c>
      <c r="D30" s="26">
        <v>169.5</v>
      </c>
      <c r="E30" s="18" t="s">
        <v>2434</v>
      </c>
      <c r="F30" s="26">
        <v>973.6</v>
      </c>
      <c r="G30" s="18" t="s">
        <v>2434</v>
      </c>
      <c r="H30" s="26">
        <v>49</v>
      </c>
      <c r="I30" s="102" t="s">
        <v>4</v>
      </c>
      <c r="J30" s="106" t="s">
        <v>4</v>
      </c>
      <c r="K30" s="106" t="s">
        <v>4</v>
      </c>
      <c r="L30" s="104" t="s">
        <v>2479</v>
      </c>
    </row>
    <row r="31" spans="1:12" ht="22.7" customHeight="1" x14ac:dyDescent="0.25">
      <c r="A31" s="100"/>
      <c r="B31" s="102"/>
      <c r="C31" s="102" t="s">
        <v>2500</v>
      </c>
      <c r="D31" s="106">
        <v>95.899999999999991</v>
      </c>
      <c r="E31" s="18" t="s">
        <v>2447</v>
      </c>
      <c r="F31" s="26">
        <v>4.3</v>
      </c>
      <c r="G31" s="102" t="s">
        <v>2445</v>
      </c>
      <c r="H31" s="106">
        <v>49</v>
      </c>
      <c r="I31" s="102"/>
      <c r="J31" s="106"/>
      <c r="K31" s="106"/>
      <c r="L31" s="104"/>
    </row>
    <row r="32" spans="1:12" ht="22.7" customHeight="1" x14ac:dyDescent="0.25">
      <c r="A32" s="100"/>
      <c r="B32" s="102"/>
      <c r="C32" s="102"/>
      <c r="D32" s="106"/>
      <c r="E32" s="18" t="s">
        <v>2444</v>
      </c>
      <c r="F32" s="26">
        <v>918.30000000000007</v>
      </c>
      <c r="G32" s="102"/>
      <c r="H32" s="106"/>
      <c r="I32" s="102"/>
      <c r="J32" s="106"/>
      <c r="K32" s="106"/>
      <c r="L32" s="104"/>
    </row>
    <row r="33" spans="1:12" ht="22.7" customHeight="1" x14ac:dyDescent="0.25">
      <c r="A33" s="100"/>
      <c r="B33" s="102"/>
      <c r="C33" s="102"/>
      <c r="D33" s="106"/>
      <c r="E33" s="18" t="s">
        <v>2453</v>
      </c>
      <c r="F33" s="26">
        <v>10.9</v>
      </c>
      <c r="G33" s="102"/>
      <c r="H33" s="106"/>
      <c r="I33" s="102"/>
      <c r="J33" s="106"/>
      <c r="K33" s="106"/>
      <c r="L33" s="104"/>
    </row>
    <row r="34" spans="1:12" ht="22.7" customHeight="1" x14ac:dyDescent="0.25">
      <c r="A34" s="100"/>
      <c r="B34" s="102"/>
      <c r="C34" s="102"/>
      <c r="D34" s="106"/>
      <c r="E34" s="18" t="s">
        <v>2448</v>
      </c>
      <c r="F34" s="26">
        <v>1.4000000000000001</v>
      </c>
      <c r="G34" s="102"/>
      <c r="H34" s="106"/>
      <c r="I34" s="102"/>
      <c r="J34" s="106"/>
      <c r="K34" s="106"/>
      <c r="L34" s="104"/>
    </row>
    <row r="35" spans="1:12" ht="22.7" customHeight="1" x14ac:dyDescent="0.25">
      <c r="A35" s="100"/>
      <c r="B35" s="102"/>
      <c r="C35" s="102"/>
      <c r="D35" s="106"/>
      <c r="E35" s="102" t="s">
        <v>2452</v>
      </c>
      <c r="F35" s="106">
        <v>39</v>
      </c>
      <c r="G35" s="102"/>
      <c r="H35" s="106"/>
      <c r="I35" s="102"/>
      <c r="J35" s="106"/>
      <c r="K35" s="106"/>
      <c r="L35" s="104"/>
    </row>
    <row r="36" spans="1:12" ht="22.7" customHeight="1" thickBot="1" x14ac:dyDescent="0.3">
      <c r="A36" s="101"/>
      <c r="B36" s="103"/>
      <c r="C36" s="103"/>
      <c r="D36" s="107"/>
      <c r="E36" s="108"/>
      <c r="F36" s="114"/>
      <c r="G36" s="108"/>
      <c r="H36" s="114"/>
      <c r="I36" s="108"/>
      <c r="J36" s="114"/>
      <c r="K36" s="114"/>
      <c r="L36" s="105"/>
    </row>
    <row r="37" spans="1:12" ht="15" customHeight="1" x14ac:dyDescent="0.25">
      <c r="A37" s="115" t="s">
        <v>2491</v>
      </c>
      <c r="B37" s="116"/>
      <c r="C37" s="116"/>
      <c r="D37" s="117"/>
      <c r="E37" s="109" t="s">
        <v>2479</v>
      </c>
      <c r="F37" s="109"/>
      <c r="G37" s="109"/>
      <c r="H37" s="109"/>
      <c r="I37" s="20" t="s">
        <v>2479</v>
      </c>
      <c r="J37" s="20" t="s">
        <v>2479</v>
      </c>
      <c r="K37" s="20" t="s">
        <v>2479</v>
      </c>
      <c r="L37" s="20" t="s">
        <v>2479</v>
      </c>
    </row>
    <row r="38" spans="1:12" ht="15" customHeight="1" x14ac:dyDescent="0.25">
      <c r="A38" s="100" t="s">
        <v>2498</v>
      </c>
      <c r="B38" s="102"/>
      <c r="C38" s="102"/>
      <c r="D38" s="21">
        <v>500.5</v>
      </c>
      <c r="E38" s="109" t="s">
        <v>2479</v>
      </c>
      <c r="F38" s="109"/>
      <c r="G38" s="109"/>
      <c r="H38" s="20" t="s">
        <v>2479</v>
      </c>
      <c r="I38" s="20" t="s">
        <v>2479</v>
      </c>
      <c r="J38" s="20" t="s">
        <v>2479</v>
      </c>
      <c r="K38" s="20" t="s">
        <v>2479</v>
      </c>
      <c r="L38" s="20" t="s">
        <v>2479</v>
      </c>
    </row>
    <row r="39" spans="1:12" ht="15" customHeight="1" x14ac:dyDescent="0.25">
      <c r="A39" s="100" t="s">
        <v>2492</v>
      </c>
      <c r="B39" s="102"/>
      <c r="C39" s="102"/>
      <c r="D39" s="21">
        <v>133.6</v>
      </c>
      <c r="E39" s="109" t="s">
        <v>2479</v>
      </c>
      <c r="F39" s="109"/>
      <c r="G39" s="109"/>
      <c r="H39" s="20" t="s">
        <v>2479</v>
      </c>
      <c r="I39" s="20" t="s">
        <v>2479</v>
      </c>
      <c r="J39" s="20" t="s">
        <v>2479</v>
      </c>
      <c r="K39" s="20" t="s">
        <v>2479</v>
      </c>
      <c r="L39" s="20" t="s">
        <v>2479</v>
      </c>
    </row>
    <row r="40" spans="1:12" ht="15" customHeight="1" x14ac:dyDescent="0.25">
      <c r="A40" s="100" t="s">
        <v>2511</v>
      </c>
      <c r="B40" s="102"/>
      <c r="C40" s="102"/>
      <c r="D40" s="21">
        <v>165.2</v>
      </c>
      <c r="E40" s="109" t="s">
        <v>2479</v>
      </c>
      <c r="F40" s="109"/>
      <c r="G40" s="109"/>
      <c r="H40" s="20" t="s">
        <v>2479</v>
      </c>
      <c r="I40" s="20" t="s">
        <v>2479</v>
      </c>
      <c r="J40" s="20" t="s">
        <v>2479</v>
      </c>
      <c r="K40" s="20" t="s">
        <v>2479</v>
      </c>
      <c r="L40" s="20" t="s">
        <v>2479</v>
      </c>
    </row>
    <row r="41" spans="1:12" ht="15" customHeight="1" x14ac:dyDescent="0.25">
      <c r="A41" s="100" t="s">
        <v>2502</v>
      </c>
      <c r="B41" s="102"/>
      <c r="C41" s="102"/>
      <c r="D41" s="21">
        <v>810.9</v>
      </c>
      <c r="E41" s="109" t="s">
        <v>2479</v>
      </c>
      <c r="F41" s="109"/>
      <c r="G41" s="109"/>
      <c r="H41" s="20" t="s">
        <v>2479</v>
      </c>
      <c r="I41" s="20" t="s">
        <v>2479</v>
      </c>
      <c r="J41" s="20" t="s">
        <v>2479</v>
      </c>
      <c r="K41" s="20" t="s">
        <v>2479</v>
      </c>
      <c r="L41" s="20" t="s">
        <v>2479</v>
      </c>
    </row>
    <row r="42" spans="1:12" ht="15" customHeight="1" x14ac:dyDescent="0.25">
      <c r="A42" s="100" t="s">
        <v>2503</v>
      </c>
      <c r="B42" s="102"/>
      <c r="C42" s="102"/>
      <c r="D42" s="21">
        <v>223.79999999999998</v>
      </c>
      <c r="E42" s="109" t="s">
        <v>2479</v>
      </c>
      <c r="F42" s="109"/>
      <c r="G42" s="109"/>
      <c r="H42" s="20" t="s">
        <v>2479</v>
      </c>
      <c r="I42" s="20" t="s">
        <v>2479</v>
      </c>
      <c r="J42" s="20" t="s">
        <v>2479</v>
      </c>
      <c r="K42" s="20" t="s">
        <v>2479</v>
      </c>
      <c r="L42" s="20" t="s">
        <v>2479</v>
      </c>
    </row>
    <row r="43" spans="1:12" ht="15" customHeight="1" x14ac:dyDescent="0.25">
      <c r="A43" s="100" t="s">
        <v>2496</v>
      </c>
      <c r="B43" s="102"/>
      <c r="C43" s="102"/>
      <c r="D43" s="21">
        <v>404</v>
      </c>
      <c r="E43" s="109" t="s">
        <v>2479</v>
      </c>
      <c r="F43" s="109"/>
      <c r="G43" s="109"/>
      <c r="H43" s="20" t="s">
        <v>2479</v>
      </c>
      <c r="I43" s="20" t="s">
        <v>2479</v>
      </c>
      <c r="J43" s="20" t="s">
        <v>2479</v>
      </c>
      <c r="K43" s="20" t="s">
        <v>2479</v>
      </c>
      <c r="L43" s="20" t="s">
        <v>2479</v>
      </c>
    </row>
    <row r="44" spans="1:12" ht="15" customHeight="1" x14ac:dyDescent="0.25">
      <c r="A44" s="100" t="s">
        <v>2495</v>
      </c>
      <c r="B44" s="102"/>
      <c r="C44" s="102"/>
      <c r="D44" s="21">
        <v>3794</v>
      </c>
      <c r="E44" s="109" t="s">
        <v>2479</v>
      </c>
      <c r="F44" s="109"/>
      <c r="G44" s="109"/>
      <c r="H44" s="20" t="s">
        <v>2479</v>
      </c>
      <c r="I44" s="20" t="s">
        <v>2479</v>
      </c>
      <c r="J44" s="20" t="s">
        <v>2479</v>
      </c>
      <c r="K44" s="20" t="s">
        <v>2479</v>
      </c>
      <c r="L44" s="20" t="s">
        <v>2479</v>
      </c>
    </row>
    <row r="45" spans="1:12" ht="15" customHeight="1" x14ac:dyDescent="0.25">
      <c r="A45" s="100" t="s">
        <v>2434</v>
      </c>
      <c r="B45" s="102"/>
      <c r="C45" s="102"/>
      <c r="D45" s="21">
        <v>1860.7</v>
      </c>
      <c r="E45" s="109" t="s">
        <v>2479</v>
      </c>
      <c r="F45" s="109"/>
      <c r="G45" s="109"/>
      <c r="H45" s="20" t="s">
        <v>2479</v>
      </c>
      <c r="I45" s="20" t="s">
        <v>2479</v>
      </c>
      <c r="J45" s="20" t="s">
        <v>2479</v>
      </c>
      <c r="K45" s="20" t="s">
        <v>2479</v>
      </c>
      <c r="L45" s="20" t="s">
        <v>2479</v>
      </c>
    </row>
    <row r="46" spans="1:12" ht="15" customHeight="1" x14ac:dyDescent="0.25">
      <c r="A46" s="100" t="s">
        <v>2488</v>
      </c>
      <c r="B46" s="102"/>
      <c r="C46" s="102"/>
      <c r="D46" s="21">
        <v>312.5</v>
      </c>
      <c r="E46" s="109" t="s">
        <v>2479</v>
      </c>
      <c r="F46" s="109"/>
      <c r="G46" s="109"/>
      <c r="H46" s="20" t="s">
        <v>2479</v>
      </c>
      <c r="I46" s="20" t="s">
        <v>2479</v>
      </c>
      <c r="J46" s="20" t="s">
        <v>2479</v>
      </c>
      <c r="K46" s="20" t="s">
        <v>2479</v>
      </c>
      <c r="L46" s="20" t="s">
        <v>2479</v>
      </c>
    </row>
    <row r="47" spans="1:12" ht="15" customHeight="1" x14ac:dyDescent="0.25">
      <c r="A47" s="100" t="s">
        <v>2489</v>
      </c>
      <c r="B47" s="102"/>
      <c r="C47" s="102"/>
      <c r="D47" s="21">
        <v>262.5</v>
      </c>
      <c r="E47" s="109" t="s">
        <v>2479</v>
      </c>
      <c r="F47" s="109"/>
      <c r="G47" s="109"/>
      <c r="H47" s="20" t="s">
        <v>2479</v>
      </c>
      <c r="I47" s="20" t="s">
        <v>2479</v>
      </c>
      <c r="J47" s="20" t="s">
        <v>2479</v>
      </c>
      <c r="K47" s="20" t="s">
        <v>2479</v>
      </c>
      <c r="L47" s="20" t="s">
        <v>2479</v>
      </c>
    </row>
    <row r="48" spans="1:12" ht="15" customHeight="1" x14ac:dyDescent="0.25">
      <c r="A48" s="100" t="s">
        <v>2510</v>
      </c>
      <c r="B48" s="102"/>
      <c r="C48" s="102"/>
      <c r="D48" s="21">
        <v>647.29999999999995</v>
      </c>
      <c r="E48" s="109" t="s">
        <v>2479</v>
      </c>
      <c r="F48" s="109"/>
      <c r="G48" s="109"/>
      <c r="H48" s="20" t="s">
        <v>2479</v>
      </c>
      <c r="I48" s="20" t="s">
        <v>2479</v>
      </c>
      <c r="J48" s="20" t="s">
        <v>2479</v>
      </c>
      <c r="K48" s="20" t="s">
        <v>2479</v>
      </c>
      <c r="L48" s="20" t="s">
        <v>2479</v>
      </c>
    </row>
    <row r="49" spans="1:12" ht="15" customHeight="1" x14ac:dyDescent="0.25">
      <c r="A49" s="100" t="s">
        <v>2447</v>
      </c>
      <c r="B49" s="102"/>
      <c r="C49" s="102"/>
      <c r="D49" s="21">
        <v>521.4</v>
      </c>
      <c r="E49" s="109" t="s">
        <v>2479</v>
      </c>
      <c r="F49" s="109"/>
      <c r="G49" s="109"/>
      <c r="H49" s="20" t="s">
        <v>2479</v>
      </c>
      <c r="I49" s="20" t="s">
        <v>2479</v>
      </c>
      <c r="J49" s="20" t="s">
        <v>2479</v>
      </c>
      <c r="K49" s="20" t="s">
        <v>2479</v>
      </c>
      <c r="L49" s="20" t="s">
        <v>2479</v>
      </c>
    </row>
    <row r="50" spans="1:12" ht="15" customHeight="1" x14ac:dyDescent="0.25">
      <c r="A50" s="100" t="s">
        <v>2444</v>
      </c>
      <c r="B50" s="102"/>
      <c r="C50" s="102"/>
      <c r="D50" s="21">
        <v>5124.0999999999995</v>
      </c>
      <c r="E50" s="109" t="s">
        <v>2479</v>
      </c>
      <c r="F50" s="109"/>
      <c r="G50" s="109"/>
      <c r="H50" s="20" t="s">
        <v>2479</v>
      </c>
      <c r="I50" s="20" t="s">
        <v>2479</v>
      </c>
      <c r="J50" s="20" t="s">
        <v>2479</v>
      </c>
      <c r="K50" s="20" t="s">
        <v>2479</v>
      </c>
      <c r="L50" s="20" t="s">
        <v>2479</v>
      </c>
    </row>
    <row r="51" spans="1:12" ht="15" customHeight="1" x14ac:dyDescent="0.25">
      <c r="A51" s="100" t="s">
        <v>2453</v>
      </c>
      <c r="B51" s="102"/>
      <c r="C51" s="102"/>
      <c r="D51" s="21">
        <v>25</v>
      </c>
      <c r="E51" s="109" t="s">
        <v>2479</v>
      </c>
      <c r="F51" s="109"/>
      <c r="G51" s="109"/>
      <c r="H51" s="20" t="s">
        <v>2479</v>
      </c>
      <c r="I51" s="20" t="s">
        <v>2479</v>
      </c>
      <c r="J51" s="20" t="s">
        <v>2479</v>
      </c>
      <c r="K51" s="20" t="s">
        <v>2479</v>
      </c>
      <c r="L51" s="20" t="s">
        <v>2479</v>
      </c>
    </row>
    <row r="52" spans="1:12" ht="15" customHeight="1" x14ac:dyDescent="0.25">
      <c r="A52" s="100" t="s">
        <v>2448</v>
      </c>
      <c r="B52" s="102"/>
      <c r="C52" s="102"/>
      <c r="D52" s="21">
        <v>9.1</v>
      </c>
      <c r="E52" s="109" t="s">
        <v>2479</v>
      </c>
      <c r="F52" s="109"/>
      <c r="G52" s="109"/>
      <c r="H52" s="20" t="s">
        <v>2479</v>
      </c>
      <c r="I52" s="20" t="s">
        <v>2479</v>
      </c>
      <c r="J52" s="20" t="s">
        <v>2479</v>
      </c>
      <c r="K52" s="20" t="s">
        <v>2479</v>
      </c>
      <c r="L52" s="20" t="s">
        <v>2479</v>
      </c>
    </row>
    <row r="53" spans="1:12" ht="15" customHeight="1" x14ac:dyDescent="0.25">
      <c r="A53" s="100" t="s">
        <v>2452</v>
      </c>
      <c r="B53" s="102"/>
      <c r="C53" s="102"/>
      <c r="D53" s="21">
        <v>515.4</v>
      </c>
      <c r="E53" s="109" t="s">
        <v>2479</v>
      </c>
      <c r="F53" s="109"/>
      <c r="G53" s="109"/>
      <c r="H53" s="20" t="s">
        <v>2479</v>
      </c>
      <c r="I53" s="20" t="s">
        <v>2479</v>
      </c>
      <c r="J53" s="20" t="s">
        <v>2479</v>
      </c>
      <c r="K53" s="20" t="s">
        <v>2479</v>
      </c>
      <c r="L53" s="20" t="s">
        <v>2479</v>
      </c>
    </row>
    <row r="54" spans="1:12" ht="15" customHeight="1" x14ac:dyDescent="0.25">
      <c r="A54" s="100" t="s">
        <v>2445</v>
      </c>
      <c r="B54" s="102"/>
      <c r="C54" s="102"/>
      <c r="D54" s="21">
        <v>374.09999999999997</v>
      </c>
      <c r="E54" s="109" t="s">
        <v>2479</v>
      </c>
      <c r="F54" s="109"/>
      <c r="G54" s="109"/>
      <c r="H54" s="20" t="s">
        <v>2479</v>
      </c>
      <c r="I54" s="20" t="s">
        <v>2479</v>
      </c>
      <c r="J54" s="20" t="s">
        <v>2479</v>
      </c>
      <c r="K54" s="20" t="s">
        <v>2479</v>
      </c>
      <c r="L54" s="20" t="s">
        <v>2479</v>
      </c>
    </row>
    <row r="55" spans="1:12" ht="15" customHeight="1" x14ac:dyDescent="0.25">
      <c r="A55" s="100" t="s">
        <v>2451</v>
      </c>
      <c r="B55" s="102"/>
      <c r="C55" s="102"/>
      <c r="D55" s="21">
        <v>57.8</v>
      </c>
      <c r="E55" s="109" t="s">
        <v>2479</v>
      </c>
      <c r="F55" s="109"/>
      <c r="G55" s="109"/>
      <c r="H55" s="20" t="s">
        <v>2479</v>
      </c>
      <c r="I55" s="20" t="s">
        <v>2479</v>
      </c>
      <c r="J55" s="20" t="s">
        <v>2479</v>
      </c>
      <c r="K55" s="20" t="s">
        <v>2479</v>
      </c>
      <c r="L55" s="20" t="s">
        <v>2479</v>
      </c>
    </row>
    <row r="56" spans="1:12" ht="15" customHeight="1" thickBot="1" x14ac:dyDescent="0.3">
      <c r="A56" s="118" t="s">
        <v>2455</v>
      </c>
      <c r="B56" s="108"/>
      <c r="C56" s="108"/>
      <c r="D56" s="22">
        <v>251.9</v>
      </c>
      <c r="E56" s="109" t="s">
        <v>2479</v>
      </c>
      <c r="F56" s="109"/>
      <c r="G56" s="109"/>
      <c r="H56" s="20" t="s">
        <v>2479</v>
      </c>
      <c r="I56" s="20" t="s">
        <v>2479</v>
      </c>
      <c r="J56" s="20" t="s">
        <v>2479</v>
      </c>
      <c r="K56" s="20" t="s">
        <v>2479</v>
      </c>
      <c r="L56" s="20" t="s">
        <v>2479</v>
      </c>
    </row>
  </sheetData>
  <mergeCells count="94">
    <mergeCell ref="A56:C56"/>
    <mergeCell ref="E56:G56"/>
    <mergeCell ref="A52:C52"/>
    <mergeCell ref="E52:G52"/>
    <mergeCell ref="A53:C53"/>
    <mergeCell ref="E53:G53"/>
    <mergeCell ref="A54:C54"/>
    <mergeCell ref="E54:G54"/>
    <mergeCell ref="A50:C50"/>
    <mergeCell ref="E50:G50"/>
    <mergeCell ref="A51:C51"/>
    <mergeCell ref="E51:G51"/>
    <mergeCell ref="A55:C55"/>
    <mergeCell ref="E55:G55"/>
    <mergeCell ref="A47:C47"/>
    <mergeCell ref="E47:G47"/>
    <mergeCell ref="A48:C48"/>
    <mergeCell ref="E48:G48"/>
    <mergeCell ref="A49:C49"/>
    <mergeCell ref="E49:G49"/>
    <mergeCell ref="A44:C44"/>
    <mergeCell ref="E44:G44"/>
    <mergeCell ref="A45:C45"/>
    <mergeCell ref="E45:G45"/>
    <mergeCell ref="A46:C46"/>
    <mergeCell ref="E46:G46"/>
    <mergeCell ref="A41:C41"/>
    <mergeCell ref="E41:G41"/>
    <mergeCell ref="A42:C42"/>
    <mergeCell ref="E42:G42"/>
    <mergeCell ref="A43:C43"/>
    <mergeCell ref="E43:G43"/>
    <mergeCell ref="A38:C38"/>
    <mergeCell ref="E38:G38"/>
    <mergeCell ref="A39:C39"/>
    <mergeCell ref="E39:G39"/>
    <mergeCell ref="A40:C40"/>
    <mergeCell ref="E40:G40"/>
    <mergeCell ref="K17:K22"/>
    <mergeCell ref="K23:K29"/>
    <mergeCell ref="K30:K36"/>
    <mergeCell ref="A37:D37"/>
    <mergeCell ref="E37:H37"/>
    <mergeCell ref="H18:H22"/>
    <mergeCell ref="H24:H29"/>
    <mergeCell ref="H31:H36"/>
    <mergeCell ref="J17:J22"/>
    <mergeCell ref="J23:J29"/>
    <mergeCell ref="J30:J36"/>
    <mergeCell ref="A23:A29"/>
    <mergeCell ref="B23:B29"/>
    <mergeCell ref="L23:L29"/>
    <mergeCell ref="A30:A36"/>
    <mergeCell ref="B30:B36"/>
    <mergeCell ref="L30:L36"/>
    <mergeCell ref="C26:C29"/>
    <mergeCell ref="C31:C36"/>
    <mergeCell ref="D26:D29"/>
    <mergeCell ref="D31:D36"/>
    <mergeCell ref="F35:F36"/>
    <mergeCell ref="G24:G29"/>
    <mergeCell ref="G31:G36"/>
    <mergeCell ref="I23:I29"/>
    <mergeCell ref="I30:I36"/>
    <mergeCell ref="E35:E36"/>
    <mergeCell ref="A10:A16"/>
    <mergeCell ref="B10:B16"/>
    <mergeCell ref="L10:L16"/>
    <mergeCell ref="A17:A22"/>
    <mergeCell ref="B17:B22"/>
    <mergeCell ref="L17:L22"/>
    <mergeCell ref="C10:C16"/>
    <mergeCell ref="C17:C22"/>
    <mergeCell ref="D10:D16"/>
    <mergeCell ref="D17:D22"/>
    <mergeCell ref="F15:F16"/>
    <mergeCell ref="G11:G16"/>
    <mergeCell ref="G18:G22"/>
    <mergeCell ref="I17:I22"/>
    <mergeCell ref="E15:E16"/>
    <mergeCell ref="H11:H16"/>
    <mergeCell ref="A1:A2"/>
    <mergeCell ref="B1:B2"/>
    <mergeCell ref="C1:K1"/>
    <mergeCell ref="L1:L2"/>
    <mergeCell ref="A3:A9"/>
    <mergeCell ref="B3:B9"/>
    <mergeCell ref="L3:L9"/>
    <mergeCell ref="C5:C9"/>
    <mergeCell ref="D5:D9"/>
    <mergeCell ref="E8:E9"/>
    <mergeCell ref="F8:F9"/>
    <mergeCell ref="G4:G9"/>
    <mergeCell ref="H4:H9"/>
  </mergeCells>
  <conditionalFormatting sqref="A1:L56">
    <cfRule type="containsText" dxfId="70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>
    <tabColor theme="7" tint="0.39997558519241921"/>
  </sheetPr>
  <dimension ref="A1:L66"/>
  <sheetViews>
    <sheetView workbookViewId="0">
      <selection activeCell="C4" sqref="C4:C11"/>
    </sheetView>
  </sheetViews>
  <sheetFormatPr defaultRowHeight="15" x14ac:dyDescent="0.25"/>
  <cols>
    <col min="1" max="1" width="5.42578125" style="16" customWidth="1"/>
    <col min="2" max="2" width="16.28515625" style="16" customWidth="1"/>
    <col min="3" max="3" width="21.7109375" style="16" customWidth="1"/>
    <col min="4" max="4" width="8.140625" style="16" customWidth="1"/>
    <col min="5" max="5" width="21.7109375" style="16" customWidth="1"/>
    <col min="6" max="6" width="8.140625" style="16" customWidth="1"/>
    <col min="7" max="7" width="21.7109375" style="16" customWidth="1"/>
    <col min="8" max="8" width="8.140625" style="16" customWidth="1"/>
    <col min="9" max="9" width="21.7109375" style="16" customWidth="1"/>
    <col min="10" max="11" width="8.140625" style="16" customWidth="1"/>
    <col min="12" max="12" width="16.28515625" style="16" customWidth="1"/>
    <col min="13" max="16384" width="9.140625" style="16"/>
  </cols>
  <sheetData>
    <row r="1" spans="1:12" ht="16.5" x14ac:dyDescent="0.25">
      <c r="A1" s="110" t="s">
        <v>2369</v>
      </c>
      <c r="B1" s="112" t="s">
        <v>2476</v>
      </c>
      <c r="C1" s="112" t="s">
        <v>2477</v>
      </c>
      <c r="D1" s="112"/>
      <c r="E1" s="112"/>
      <c r="F1" s="112"/>
      <c r="G1" s="112"/>
      <c r="H1" s="112"/>
      <c r="I1" s="112"/>
      <c r="J1" s="112"/>
      <c r="K1" s="112"/>
      <c r="L1" s="98" t="s">
        <v>2478</v>
      </c>
    </row>
    <row r="2" spans="1:12" ht="40.5" x14ac:dyDescent="0.25">
      <c r="A2" s="111"/>
      <c r="B2" s="113"/>
      <c r="C2" s="23" t="s">
        <v>2480</v>
      </c>
      <c r="D2" s="24" t="s">
        <v>2481</v>
      </c>
      <c r="E2" s="23" t="s">
        <v>2482</v>
      </c>
      <c r="F2" s="24" t="s">
        <v>2481</v>
      </c>
      <c r="G2" s="23" t="s">
        <v>2483</v>
      </c>
      <c r="H2" s="24" t="s">
        <v>2481</v>
      </c>
      <c r="I2" s="23" t="s">
        <v>2484</v>
      </c>
      <c r="J2" s="24" t="s">
        <v>2481</v>
      </c>
      <c r="K2" s="24" t="s">
        <v>2485</v>
      </c>
      <c r="L2" s="99"/>
    </row>
    <row r="3" spans="1:12" ht="40.5" x14ac:dyDescent="0.25">
      <c r="A3" s="100" t="s">
        <v>2497</v>
      </c>
      <c r="B3" s="102" t="s">
        <v>2540</v>
      </c>
      <c r="C3" s="18" t="s">
        <v>2500</v>
      </c>
      <c r="D3" s="26">
        <v>57.4</v>
      </c>
      <c r="E3" s="18" t="s">
        <v>2495</v>
      </c>
      <c r="F3" s="26">
        <v>118.6</v>
      </c>
      <c r="G3" s="18" t="s">
        <v>2495</v>
      </c>
      <c r="H3" s="26">
        <v>1.1000000000000001</v>
      </c>
      <c r="I3" s="18" t="s">
        <v>2434</v>
      </c>
      <c r="J3" s="26">
        <v>260.70000000000005</v>
      </c>
      <c r="K3" s="26" t="s">
        <v>2490</v>
      </c>
      <c r="L3" s="104" t="s">
        <v>2479</v>
      </c>
    </row>
    <row r="4" spans="1:12" ht="22.7" customHeight="1" x14ac:dyDescent="0.25">
      <c r="A4" s="100"/>
      <c r="B4" s="102"/>
      <c r="C4" s="102" t="s">
        <v>2494</v>
      </c>
      <c r="D4" s="106">
        <v>31</v>
      </c>
      <c r="E4" s="18" t="s">
        <v>2446</v>
      </c>
      <c r="F4" s="26">
        <v>1.9000000000000001</v>
      </c>
      <c r="G4" s="102" t="s">
        <v>2445</v>
      </c>
      <c r="H4" s="106">
        <v>1.1000000000000001</v>
      </c>
      <c r="I4" s="18" t="s">
        <v>2446</v>
      </c>
      <c r="J4" s="26">
        <v>4.8</v>
      </c>
      <c r="K4" s="26" t="s">
        <v>2490</v>
      </c>
      <c r="L4" s="104"/>
    </row>
    <row r="5" spans="1:12" ht="22.7" customHeight="1" x14ac:dyDescent="0.25">
      <c r="A5" s="100"/>
      <c r="B5" s="102"/>
      <c r="C5" s="102"/>
      <c r="D5" s="106"/>
      <c r="E5" s="18" t="s">
        <v>2447</v>
      </c>
      <c r="F5" s="26">
        <v>0.6</v>
      </c>
      <c r="G5" s="102"/>
      <c r="H5" s="106"/>
      <c r="I5" s="18" t="s">
        <v>2447</v>
      </c>
      <c r="J5" s="26">
        <v>1.5</v>
      </c>
      <c r="K5" s="26" t="s">
        <v>2490</v>
      </c>
      <c r="L5" s="104"/>
    </row>
    <row r="6" spans="1:12" ht="22.7" customHeight="1" x14ac:dyDescent="0.25">
      <c r="A6" s="100"/>
      <c r="B6" s="102"/>
      <c r="C6" s="102"/>
      <c r="D6" s="106"/>
      <c r="E6" s="18" t="s">
        <v>2444</v>
      </c>
      <c r="F6" s="26">
        <v>12.4</v>
      </c>
      <c r="G6" s="102"/>
      <c r="H6" s="106"/>
      <c r="I6" s="18" t="s">
        <v>2445</v>
      </c>
      <c r="J6" s="26">
        <v>2.7</v>
      </c>
      <c r="K6" s="26" t="s">
        <v>2490</v>
      </c>
      <c r="L6" s="104"/>
    </row>
    <row r="7" spans="1:12" ht="22.7" customHeight="1" x14ac:dyDescent="0.25">
      <c r="A7" s="100"/>
      <c r="B7" s="102"/>
      <c r="C7" s="102"/>
      <c r="D7" s="106"/>
      <c r="E7" s="18" t="s">
        <v>2443</v>
      </c>
      <c r="F7" s="26">
        <v>0.30000000000000004</v>
      </c>
      <c r="G7" s="102"/>
      <c r="H7" s="106"/>
      <c r="I7" s="18" t="s">
        <v>2444</v>
      </c>
      <c r="J7" s="26">
        <v>25.6</v>
      </c>
      <c r="K7" s="26" t="s">
        <v>2490</v>
      </c>
      <c r="L7" s="104"/>
    </row>
    <row r="8" spans="1:12" ht="22.7" customHeight="1" x14ac:dyDescent="0.25">
      <c r="A8" s="100"/>
      <c r="B8" s="102"/>
      <c r="C8" s="102"/>
      <c r="D8" s="106"/>
      <c r="E8" s="18" t="s">
        <v>2451</v>
      </c>
      <c r="F8" s="26">
        <v>10.1</v>
      </c>
      <c r="G8" s="102"/>
      <c r="H8" s="106"/>
      <c r="I8" s="18" t="s">
        <v>2443</v>
      </c>
      <c r="J8" s="26">
        <v>9.6999999999999993</v>
      </c>
      <c r="K8" s="26" t="s">
        <v>2490</v>
      </c>
      <c r="L8" s="104"/>
    </row>
    <row r="9" spans="1:12" ht="22.7" customHeight="1" x14ac:dyDescent="0.25">
      <c r="A9" s="100"/>
      <c r="B9" s="102"/>
      <c r="C9" s="102"/>
      <c r="D9" s="106"/>
      <c r="E9" s="18" t="s">
        <v>2450</v>
      </c>
      <c r="F9" s="26">
        <v>28.6</v>
      </c>
      <c r="G9" s="102"/>
      <c r="H9" s="106"/>
      <c r="I9" s="18" t="s">
        <v>2451</v>
      </c>
      <c r="J9" s="26">
        <v>25.8</v>
      </c>
      <c r="K9" s="26" t="s">
        <v>2490</v>
      </c>
      <c r="L9" s="104"/>
    </row>
    <row r="10" spans="1:12" ht="22.7" customHeight="1" x14ac:dyDescent="0.25">
      <c r="A10" s="100"/>
      <c r="B10" s="102"/>
      <c r="C10" s="102"/>
      <c r="D10" s="106"/>
      <c r="E10" s="102" t="s">
        <v>2449</v>
      </c>
      <c r="F10" s="106">
        <v>65</v>
      </c>
      <c r="G10" s="102"/>
      <c r="H10" s="106"/>
      <c r="I10" s="18" t="s">
        <v>2450</v>
      </c>
      <c r="J10" s="26">
        <v>42.1</v>
      </c>
      <c r="K10" s="26" t="s">
        <v>2490</v>
      </c>
      <c r="L10" s="104"/>
    </row>
    <row r="11" spans="1:12" ht="22.7" customHeight="1" x14ac:dyDescent="0.25">
      <c r="A11" s="100"/>
      <c r="B11" s="102"/>
      <c r="C11" s="102"/>
      <c r="D11" s="106"/>
      <c r="E11" s="102"/>
      <c r="F11" s="106"/>
      <c r="G11" s="102"/>
      <c r="H11" s="106"/>
      <c r="I11" s="18" t="s">
        <v>2449</v>
      </c>
      <c r="J11" s="26">
        <v>148.69999999999999</v>
      </c>
      <c r="K11" s="26" t="s">
        <v>2490</v>
      </c>
      <c r="L11" s="104"/>
    </row>
    <row r="12" spans="1:12" ht="22.7" customHeight="1" x14ac:dyDescent="0.25">
      <c r="A12" s="100" t="s">
        <v>2509</v>
      </c>
      <c r="B12" s="102" t="s">
        <v>2541</v>
      </c>
      <c r="C12" s="102" t="s">
        <v>2510</v>
      </c>
      <c r="D12" s="106">
        <v>2.4</v>
      </c>
      <c r="E12" s="18" t="s">
        <v>2510</v>
      </c>
      <c r="F12" s="26">
        <v>28.9</v>
      </c>
      <c r="G12" s="102"/>
      <c r="H12" s="106"/>
      <c r="I12" s="102" t="s">
        <v>4</v>
      </c>
      <c r="J12" s="106" t="s">
        <v>4</v>
      </c>
      <c r="K12" s="106" t="s">
        <v>4</v>
      </c>
      <c r="L12" s="104" t="s">
        <v>2479</v>
      </c>
    </row>
    <row r="13" spans="1:12" ht="22.7" customHeight="1" x14ac:dyDescent="0.25">
      <c r="A13" s="100"/>
      <c r="B13" s="102"/>
      <c r="C13" s="102"/>
      <c r="D13" s="106"/>
      <c r="E13" s="18" t="s">
        <v>2444</v>
      </c>
      <c r="F13" s="26">
        <v>16.200000000000003</v>
      </c>
      <c r="G13" s="102"/>
      <c r="H13" s="106"/>
      <c r="I13" s="102"/>
      <c r="J13" s="106"/>
      <c r="K13" s="106"/>
      <c r="L13" s="104"/>
    </row>
    <row r="14" spans="1:12" ht="22.7" customHeight="1" x14ac:dyDescent="0.25">
      <c r="A14" s="100"/>
      <c r="B14" s="102"/>
      <c r="C14" s="102"/>
      <c r="D14" s="106"/>
      <c r="E14" s="18" t="s">
        <v>2450</v>
      </c>
      <c r="F14" s="26">
        <v>6.4</v>
      </c>
      <c r="G14" s="102"/>
      <c r="H14" s="106"/>
      <c r="I14" s="102"/>
      <c r="J14" s="106"/>
      <c r="K14" s="106"/>
      <c r="L14" s="104"/>
    </row>
    <row r="15" spans="1:12" ht="22.7" customHeight="1" x14ac:dyDescent="0.25">
      <c r="A15" s="100"/>
      <c r="B15" s="102"/>
      <c r="C15" s="102"/>
      <c r="D15" s="106"/>
      <c r="E15" s="18" t="s">
        <v>2449</v>
      </c>
      <c r="F15" s="26">
        <v>6.4</v>
      </c>
      <c r="G15" s="102"/>
      <c r="H15" s="106"/>
      <c r="I15" s="102"/>
      <c r="J15" s="106"/>
      <c r="K15" s="106"/>
      <c r="L15" s="104"/>
    </row>
    <row r="16" spans="1:12" ht="27" x14ac:dyDescent="0.25">
      <c r="A16" s="100" t="s">
        <v>2493</v>
      </c>
      <c r="B16" s="102" t="s">
        <v>2542</v>
      </c>
      <c r="C16" s="18" t="s">
        <v>2495</v>
      </c>
      <c r="D16" s="26">
        <v>130.5</v>
      </c>
      <c r="E16" s="18" t="s">
        <v>2495</v>
      </c>
      <c r="F16" s="26">
        <v>2886.9</v>
      </c>
      <c r="G16" s="18" t="s">
        <v>2495</v>
      </c>
      <c r="H16" s="26">
        <v>336.3</v>
      </c>
      <c r="I16" s="102" t="s">
        <v>4</v>
      </c>
      <c r="J16" s="106" t="s">
        <v>4</v>
      </c>
      <c r="K16" s="106" t="s">
        <v>4</v>
      </c>
      <c r="L16" s="104" t="s">
        <v>2479</v>
      </c>
    </row>
    <row r="17" spans="1:12" ht="22.7" customHeight="1" x14ac:dyDescent="0.25">
      <c r="A17" s="100"/>
      <c r="B17" s="102"/>
      <c r="C17" s="102" t="s">
        <v>2494</v>
      </c>
      <c r="D17" s="106">
        <v>986.80000000000007</v>
      </c>
      <c r="E17" s="18" t="s">
        <v>2446</v>
      </c>
      <c r="F17" s="26">
        <v>11.299999999999999</v>
      </c>
      <c r="G17" s="102" t="s">
        <v>2445</v>
      </c>
      <c r="H17" s="106">
        <v>336.3</v>
      </c>
      <c r="I17" s="102"/>
      <c r="J17" s="106"/>
      <c r="K17" s="106"/>
      <c r="L17" s="104"/>
    </row>
    <row r="18" spans="1:12" ht="22.7" customHeight="1" x14ac:dyDescent="0.25">
      <c r="A18" s="100"/>
      <c r="B18" s="102"/>
      <c r="C18" s="102"/>
      <c r="D18" s="106"/>
      <c r="E18" s="18" t="s">
        <v>2447</v>
      </c>
      <c r="F18" s="26">
        <v>328.3</v>
      </c>
      <c r="G18" s="102"/>
      <c r="H18" s="106"/>
      <c r="I18" s="102"/>
      <c r="J18" s="106"/>
      <c r="K18" s="106"/>
      <c r="L18" s="104"/>
    </row>
    <row r="19" spans="1:12" ht="22.7" customHeight="1" x14ac:dyDescent="0.25">
      <c r="A19" s="100"/>
      <c r="B19" s="102"/>
      <c r="C19" s="102"/>
      <c r="D19" s="106"/>
      <c r="E19" s="18" t="s">
        <v>2444</v>
      </c>
      <c r="F19" s="26">
        <v>307.5</v>
      </c>
      <c r="G19" s="102"/>
      <c r="H19" s="106"/>
      <c r="I19" s="102"/>
      <c r="J19" s="106"/>
      <c r="K19" s="106"/>
      <c r="L19" s="104"/>
    </row>
    <row r="20" spans="1:12" ht="22.7" customHeight="1" x14ac:dyDescent="0.25">
      <c r="A20" s="100"/>
      <c r="B20" s="102"/>
      <c r="C20" s="102"/>
      <c r="D20" s="106"/>
      <c r="E20" s="18" t="s">
        <v>2453</v>
      </c>
      <c r="F20" s="26">
        <v>16.8</v>
      </c>
      <c r="G20" s="102"/>
      <c r="H20" s="106"/>
      <c r="I20" s="102"/>
      <c r="J20" s="106"/>
      <c r="K20" s="106"/>
      <c r="L20" s="104"/>
    </row>
    <row r="21" spans="1:12" ht="22.7" customHeight="1" x14ac:dyDescent="0.25">
      <c r="A21" s="100"/>
      <c r="B21" s="102"/>
      <c r="C21" s="102"/>
      <c r="D21" s="106"/>
      <c r="E21" s="18" t="s">
        <v>2443</v>
      </c>
      <c r="F21" s="26">
        <v>343.6</v>
      </c>
      <c r="G21" s="102"/>
      <c r="H21" s="106"/>
      <c r="I21" s="102"/>
      <c r="J21" s="106"/>
      <c r="K21" s="106"/>
      <c r="L21" s="104"/>
    </row>
    <row r="22" spans="1:12" ht="22.7" customHeight="1" x14ac:dyDescent="0.25">
      <c r="A22" s="100"/>
      <c r="B22" s="102"/>
      <c r="C22" s="102"/>
      <c r="D22" s="106"/>
      <c r="E22" s="18" t="s">
        <v>2454</v>
      </c>
      <c r="F22" s="26">
        <v>54.2</v>
      </c>
      <c r="G22" s="102"/>
      <c r="H22" s="106"/>
      <c r="I22" s="102"/>
      <c r="J22" s="106"/>
      <c r="K22" s="106"/>
      <c r="L22" s="104"/>
    </row>
    <row r="23" spans="1:12" ht="22.7" customHeight="1" x14ac:dyDescent="0.25">
      <c r="A23" s="100"/>
      <c r="B23" s="102"/>
      <c r="C23" s="102"/>
      <c r="D23" s="106"/>
      <c r="E23" s="18" t="s">
        <v>2451</v>
      </c>
      <c r="F23" s="26">
        <v>39.9</v>
      </c>
      <c r="G23" s="102"/>
      <c r="H23" s="106"/>
      <c r="I23" s="102"/>
      <c r="J23" s="106"/>
      <c r="K23" s="106"/>
      <c r="L23" s="104"/>
    </row>
    <row r="24" spans="1:12" ht="22.7" customHeight="1" x14ac:dyDescent="0.25">
      <c r="A24" s="100"/>
      <c r="B24" s="102"/>
      <c r="C24" s="102"/>
      <c r="D24" s="106"/>
      <c r="E24" s="18" t="s">
        <v>2448</v>
      </c>
      <c r="F24" s="26">
        <v>6.1999999999999993</v>
      </c>
      <c r="G24" s="102"/>
      <c r="H24" s="106"/>
      <c r="I24" s="102"/>
      <c r="J24" s="106"/>
      <c r="K24" s="106"/>
      <c r="L24" s="104"/>
    </row>
    <row r="25" spans="1:12" ht="22.7" customHeight="1" x14ac:dyDescent="0.25">
      <c r="A25" s="100"/>
      <c r="B25" s="102"/>
      <c r="C25" s="102"/>
      <c r="D25" s="106"/>
      <c r="E25" s="18" t="s">
        <v>2450</v>
      </c>
      <c r="F25" s="26">
        <v>1406.3</v>
      </c>
      <c r="G25" s="102"/>
      <c r="H25" s="106"/>
      <c r="I25" s="102"/>
      <c r="J25" s="106"/>
      <c r="K25" s="106"/>
      <c r="L25" s="104"/>
    </row>
    <row r="26" spans="1:12" ht="22.7" customHeight="1" x14ac:dyDescent="0.25">
      <c r="A26" s="100"/>
      <c r="B26" s="102"/>
      <c r="C26" s="102"/>
      <c r="D26" s="106"/>
      <c r="E26" s="18" t="s">
        <v>2449</v>
      </c>
      <c r="F26" s="26">
        <v>373.3</v>
      </c>
      <c r="G26" s="102"/>
      <c r="H26" s="106"/>
      <c r="I26" s="102"/>
      <c r="J26" s="106"/>
      <c r="K26" s="106"/>
      <c r="L26" s="104"/>
    </row>
    <row r="27" spans="1:12" ht="40.5" x14ac:dyDescent="0.25">
      <c r="A27" s="100" t="s">
        <v>2505</v>
      </c>
      <c r="B27" s="102" t="s">
        <v>2543</v>
      </c>
      <c r="C27" s="102" t="s">
        <v>2494</v>
      </c>
      <c r="D27" s="106">
        <v>464.9</v>
      </c>
      <c r="E27" s="18" t="s">
        <v>2495</v>
      </c>
      <c r="F27" s="26">
        <v>688.6</v>
      </c>
      <c r="G27" s="18" t="s">
        <v>2495</v>
      </c>
      <c r="H27" s="26">
        <v>42.6</v>
      </c>
      <c r="I27" s="18" t="s">
        <v>2506</v>
      </c>
      <c r="J27" s="26">
        <v>56.9</v>
      </c>
      <c r="K27" s="26" t="s">
        <v>2507</v>
      </c>
      <c r="L27" s="104" t="s">
        <v>2479</v>
      </c>
    </row>
    <row r="28" spans="1:12" ht="22.7" customHeight="1" x14ac:dyDescent="0.25">
      <c r="A28" s="100"/>
      <c r="B28" s="102"/>
      <c r="C28" s="102"/>
      <c r="D28" s="106"/>
      <c r="E28" s="18" t="s">
        <v>2446</v>
      </c>
      <c r="F28" s="26">
        <v>0.4</v>
      </c>
      <c r="G28" s="102" t="s">
        <v>2445</v>
      </c>
      <c r="H28" s="106">
        <v>42.6</v>
      </c>
      <c r="I28" s="18" t="s">
        <v>2446</v>
      </c>
      <c r="J28" s="26">
        <v>0.1</v>
      </c>
      <c r="K28" s="26" t="s">
        <v>2507</v>
      </c>
      <c r="L28" s="104"/>
    </row>
    <row r="29" spans="1:12" ht="22.7" customHeight="1" x14ac:dyDescent="0.25">
      <c r="A29" s="100"/>
      <c r="B29" s="102"/>
      <c r="C29" s="102"/>
      <c r="D29" s="106"/>
      <c r="E29" s="18" t="s">
        <v>2447</v>
      </c>
      <c r="F29" s="26">
        <v>42.1</v>
      </c>
      <c r="G29" s="102"/>
      <c r="H29" s="106"/>
      <c r="I29" s="18" t="s">
        <v>2447</v>
      </c>
      <c r="J29" s="26">
        <v>3.5</v>
      </c>
      <c r="K29" s="26" t="s">
        <v>2507</v>
      </c>
      <c r="L29" s="104"/>
    </row>
    <row r="30" spans="1:12" ht="22.7" customHeight="1" x14ac:dyDescent="0.25">
      <c r="A30" s="100"/>
      <c r="B30" s="102"/>
      <c r="C30" s="102"/>
      <c r="D30" s="106"/>
      <c r="E30" s="18" t="s">
        <v>2444</v>
      </c>
      <c r="F30" s="26">
        <v>175.1</v>
      </c>
      <c r="G30" s="102"/>
      <c r="H30" s="106"/>
      <c r="I30" s="18" t="s">
        <v>2445</v>
      </c>
      <c r="J30" s="26">
        <v>3.4</v>
      </c>
      <c r="K30" s="26" t="s">
        <v>2507</v>
      </c>
      <c r="L30" s="104"/>
    </row>
    <row r="31" spans="1:12" ht="22.7" customHeight="1" x14ac:dyDescent="0.25">
      <c r="A31" s="100"/>
      <c r="B31" s="102"/>
      <c r="C31" s="102"/>
      <c r="D31" s="106"/>
      <c r="E31" s="18" t="s">
        <v>2443</v>
      </c>
      <c r="F31" s="26">
        <v>18.100000000000001</v>
      </c>
      <c r="G31" s="102"/>
      <c r="H31" s="106"/>
      <c r="I31" s="18" t="s">
        <v>2444</v>
      </c>
      <c r="J31" s="26">
        <v>11.7</v>
      </c>
      <c r="K31" s="26" t="s">
        <v>2507</v>
      </c>
      <c r="L31" s="104"/>
    </row>
    <row r="32" spans="1:12" ht="22.7" customHeight="1" x14ac:dyDescent="0.25">
      <c r="A32" s="100"/>
      <c r="B32" s="102"/>
      <c r="C32" s="102"/>
      <c r="D32" s="106"/>
      <c r="E32" s="18" t="s">
        <v>2454</v>
      </c>
      <c r="F32" s="26">
        <v>12.1</v>
      </c>
      <c r="G32" s="102"/>
      <c r="H32" s="106"/>
      <c r="I32" s="18" t="s">
        <v>2443</v>
      </c>
      <c r="J32" s="26">
        <v>3.3</v>
      </c>
      <c r="K32" s="26" t="s">
        <v>2507</v>
      </c>
      <c r="L32" s="104"/>
    </row>
    <row r="33" spans="1:12" ht="22.7" customHeight="1" x14ac:dyDescent="0.25">
      <c r="A33" s="100"/>
      <c r="B33" s="102"/>
      <c r="C33" s="102"/>
      <c r="D33" s="106"/>
      <c r="E33" s="18" t="s">
        <v>2451</v>
      </c>
      <c r="F33" s="26">
        <v>52.4</v>
      </c>
      <c r="G33" s="102"/>
      <c r="H33" s="106"/>
      <c r="I33" s="18" t="s">
        <v>2454</v>
      </c>
      <c r="J33" s="26">
        <v>1.9000000000000001</v>
      </c>
      <c r="K33" s="26" t="s">
        <v>2507</v>
      </c>
      <c r="L33" s="104"/>
    </row>
    <row r="34" spans="1:12" ht="22.7" customHeight="1" x14ac:dyDescent="0.25">
      <c r="A34" s="100"/>
      <c r="B34" s="102"/>
      <c r="C34" s="102"/>
      <c r="D34" s="106"/>
      <c r="E34" s="18" t="s">
        <v>2448</v>
      </c>
      <c r="F34" s="26">
        <v>7.4</v>
      </c>
      <c r="G34" s="102"/>
      <c r="H34" s="106"/>
      <c r="I34" s="18" t="s">
        <v>2451</v>
      </c>
      <c r="J34" s="26">
        <v>5</v>
      </c>
      <c r="K34" s="26" t="s">
        <v>2507</v>
      </c>
      <c r="L34" s="104"/>
    </row>
    <row r="35" spans="1:12" ht="22.7" customHeight="1" x14ac:dyDescent="0.25">
      <c r="A35" s="100"/>
      <c r="B35" s="102"/>
      <c r="C35" s="102"/>
      <c r="D35" s="106"/>
      <c r="E35" s="18" t="s">
        <v>2450</v>
      </c>
      <c r="F35" s="26">
        <v>233.1</v>
      </c>
      <c r="G35" s="102"/>
      <c r="H35" s="106"/>
      <c r="I35" s="18" t="s">
        <v>2448</v>
      </c>
      <c r="J35" s="26">
        <v>0.6</v>
      </c>
      <c r="K35" s="26" t="s">
        <v>2507</v>
      </c>
      <c r="L35" s="104"/>
    </row>
    <row r="36" spans="1:12" ht="22.7" customHeight="1" x14ac:dyDescent="0.25">
      <c r="A36" s="100"/>
      <c r="B36" s="102"/>
      <c r="C36" s="102"/>
      <c r="D36" s="106"/>
      <c r="E36" s="102" t="s">
        <v>2449</v>
      </c>
      <c r="F36" s="106">
        <v>148.30000000000001</v>
      </c>
      <c r="G36" s="102"/>
      <c r="H36" s="106"/>
      <c r="I36" s="18" t="s">
        <v>2450</v>
      </c>
      <c r="J36" s="26">
        <v>16.900000000000002</v>
      </c>
      <c r="K36" s="26" t="s">
        <v>2507</v>
      </c>
      <c r="L36" s="104"/>
    </row>
    <row r="37" spans="1:12" ht="22.7" customHeight="1" x14ac:dyDescent="0.25">
      <c r="A37" s="100"/>
      <c r="B37" s="102"/>
      <c r="C37" s="102"/>
      <c r="D37" s="106"/>
      <c r="E37" s="102"/>
      <c r="F37" s="106"/>
      <c r="G37" s="102"/>
      <c r="H37" s="106"/>
      <c r="I37" s="18" t="s">
        <v>2449</v>
      </c>
      <c r="J37" s="26">
        <v>11.1</v>
      </c>
      <c r="K37" s="26" t="s">
        <v>2507</v>
      </c>
      <c r="L37" s="104"/>
    </row>
    <row r="38" spans="1:12" ht="40.5" x14ac:dyDescent="0.25">
      <c r="A38" s="100" t="s">
        <v>2512</v>
      </c>
      <c r="B38" s="102" t="s">
        <v>2544</v>
      </c>
      <c r="C38" s="102" t="s">
        <v>2500</v>
      </c>
      <c r="D38" s="106">
        <v>72.5</v>
      </c>
      <c r="E38" s="18" t="s">
        <v>2434</v>
      </c>
      <c r="F38" s="26">
        <v>359.6</v>
      </c>
      <c r="G38" s="18" t="s">
        <v>2434</v>
      </c>
      <c r="H38" s="26">
        <v>8.4</v>
      </c>
      <c r="I38" s="102" t="s">
        <v>4</v>
      </c>
      <c r="J38" s="106" t="s">
        <v>4</v>
      </c>
      <c r="K38" s="106" t="s">
        <v>4</v>
      </c>
      <c r="L38" s="104" t="s">
        <v>2479</v>
      </c>
    </row>
    <row r="39" spans="1:12" ht="22.7" customHeight="1" x14ac:dyDescent="0.25">
      <c r="A39" s="100"/>
      <c r="B39" s="102"/>
      <c r="C39" s="102"/>
      <c r="D39" s="106"/>
      <c r="E39" s="18" t="s">
        <v>2447</v>
      </c>
      <c r="F39" s="26">
        <v>19.900000000000002</v>
      </c>
      <c r="G39" s="102" t="s">
        <v>2445</v>
      </c>
      <c r="H39" s="106">
        <v>8.4</v>
      </c>
      <c r="I39" s="102"/>
      <c r="J39" s="106"/>
      <c r="K39" s="106"/>
      <c r="L39" s="104"/>
    </row>
    <row r="40" spans="1:12" ht="22.7" customHeight="1" x14ac:dyDescent="0.25">
      <c r="A40" s="100"/>
      <c r="B40" s="102"/>
      <c r="C40" s="102"/>
      <c r="D40" s="106"/>
      <c r="E40" s="18" t="s">
        <v>2444</v>
      </c>
      <c r="F40" s="26">
        <v>33.1</v>
      </c>
      <c r="G40" s="102"/>
      <c r="H40" s="106"/>
      <c r="I40" s="102"/>
      <c r="J40" s="106"/>
      <c r="K40" s="106"/>
      <c r="L40" s="104"/>
    </row>
    <row r="41" spans="1:12" ht="22.7" customHeight="1" x14ac:dyDescent="0.25">
      <c r="A41" s="100"/>
      <c r="B41" s="102"/>
      <c r="C41" s="102"/>
      <c r="D41" s="106"/>
      <c r="E41" s="18" t="s">
        <v>2453</v>
      </c>
      <c r="F41" s="26">
        <v>4.3</v>
      </c>
      <c r="G41" s="102"/>
      <c r="H41" s="106"/>
      <c r="I41" s="102"/>
      <c r="J41" s="106"/>
      <c r="K41" s="106"/>
      <c r="L41" s="104"/>
    </row>
    <row r="42" spans="1:12" ht="22.7" customHeight="1" x14ac:dyDescent="0.25">
      <c r="A42" s="100"/>
      <c r="B42" s="102"/>
      <c r="C42" s="102"/>
      <c r="D42" s="106"/>
      <c r="E42" s="18" t="s">
        <v>2451</v>
      </c>
      <c r="F42" s="26">
        <v>45</v>
      </c>
      <c r="G42" s="102"/>
      <c r="H42" s="106"/>
      <c r="I42" s="102"/>
      <c r="J42" s="106"/>
      <c r="K42" s="106"/>
      <c r="L42" s="104"/>
    </row>
    <row r="43" spans="1:12" ht="22.7" customHeight="1" x14ac:dyDescent="0.25">
      <c r="A43" s="100"/>
      <c r="B43" s="102"/>
      <c r="C43" s="102"/>
      <c r="D43" s="106"/>
      <c r="E43" s="18" t="s">
        <v>2448</v>
      </c>
      <c r="F43" s="26">
        <v>2.1</v>
      </c>
      <c r="G43" s="102"/>
      <c r="H43" s="106"/>
      <c r="I43" s="102"/>
      <c r="J43" s="106"/>
      <c r="K43" s="106"/>
      <c r="L43" s="104"/>
    </row>
    <row r="44" spans="1:12" ht="22.7" customHeight="1" x14ac:dyDescent="0.25">
      <c r="A44" s="100"/>
      <c r="B44" s="102"/>
      <c r="C44" s="102"/>
      <c r="D44" s="106"/>
      <c r="E44" s="18" t="s">
        <v>2450</v>
      </c>
      <c r="F44" s="26">
        <v>14.9</v>
      </c>
      <c r="G44" s="102"/>
      <c r="H44" s="106"/>
      <c r="I44" s="102"/>
      <c r="J44" s="106"/>
      <c r="K44" s="106"/>
      <c r="L44" s="104"/>
    </row>
    <row r="45" spans="1:12" ht="22.7" customHeight="1" x14ac:dyDescent="0.25">
      <c r="A45" s="100"/>
      <c r="B45" s="102"/>
      <c r="C45" s="102"/>
      <c r="D45" s="106"/>
      <c r="E45" s="102" t="s">
        <v>2449</v>
      </c>
      <c r="F45" s="106">
        <v>240.6</v>
      </c>
      <c r="G45" s="102"/>
      <c r="H45" s="106"/>
      <c r="I45" s="102"/>
      <c r="J45" s="106"/>
      <c r="K45" s="106"/>
      <c r="L45" s="104"/>
    </row>
    <row r="46" spans="1:12" ht="22.7" customHeight="1" thickBot="1" x14ac:dyDescent="0.3">
      <c r="A46" s="101"/>
      <c r="B46" s="103"/>
      <c r="C46" s="103"/>
      <c r="D46" s="107"/>
      <c r="E46" s="108"/>
      <c r="F46" s="114"/>
      <c r="G46" s="108"/>
      <c r="H46" s="114"/>
      <c r="I46" s="108"/>
      <c r="J46" s="114"/>
      <c r="K46" s="114"/>
      <c r="L46" s="105"/>
    </row>
    <row r="47" spans="1:12" ht="15" customHeight="1" x14ac:dyDescent="0.25">
      <c r="A47" s="115" t="s">
        <v>2491</v>
      </c>
      <c r="B47" s="116"/>
      <c r="C47" s="116"/>
      <c r="D47" s="117"/>
      <c r="E47" s="109" t="s">
        <v>2479</v>
      </c>
      <c r="F47" s="109"/>
      <c r="G47" s="109"/>
      <c r="H47" s="109"/>
      <c r="I47" s="20" t="s">
        <v>2479</v>
      </c>
      <c r="J47" s="20" t="s">
        <v>2479</v>
      </c>
      <c r="K47" s="20" t="s">
        <v>2479</v>
      </c>
      <c r="L47" s="20" t="s">
        <v>2479</v>
      </c>
    </row>
    <row r="48" spans="1:12" ht="15" customHeight="1" x14ac:dyDescent="0.25">
      <c r="A48" s="100" t="s">
        <v>2511</v>
      </c>
      <c r="B48" s="102"/>
      <c r="C48" s="102"/>
      <c r="D48" s="21">
        <v>2.4</v>
      </c>
      <c r="E48" s="109" t="s">
        <v>2479</v>
      </c>
      <c r="F48" s="109"/>
      <c r="G48" s="109"/>
      <c r="H48" s="20" t="s">
        <v>2479</v>
      </c>
      <c r="I48" s="20" t="s">
        <v>2479</v>
      </c>
      <c r="J48" s="20" t="s">
        <v>2479</v>
      </c>
      <c r="K48" s="20" t="s">
        <v>2479</v>
      </c>
      <c r="L48" s="20" t="s">
        <v>2479</v>
      </c>
    </row>
    <row r="49" spans="1:12" ht="15" customHeight="1" x14ac:dyDescent="0.25">
      <c r="A49" s="100" t="s">
        <v>2498</v>
      </c>
      <c r="B49" s="102"/>
      <c r="C49" s="102"/>
      <c r="D49" s="21">
        <v>130.5</v>
      </c>
      <c r="E49" s="109" t="s">
        <v>2479</v>
      </c>
      <c r="F49" s="109"/>
      <c r="G49" s="109"/>
      <c r="H49" s="20" t="s">
        <v>2479</v>
      </c>
      <c r="I49" s="20" t="s">
        <v>2479</v>
      </c>
      <c r="J49" s="20" t="s">
        <v>2479</v>
      </c>
      <c r="K49" s="20" t="s">
        <v>2479</v>
      </c>
      <c r="L49" s="20" t="s">
        <v>2479</v>
      </c>
    </row>
    <row r="50" spans="1:12" ht="15" customHeight="1" x14ac:dyDescent="0.25">
      <c r="A50" s="100" t="s">
        <v>2503</v>
      </c>
      <c r="B50" s="102"/>
      <c r="C50" s="102"/>
      <c r="D50" s="21">
        <v>129.9</v>
      </c>
      <c r="E50" s="109" t="s">
        <v>2479</v>
      </c>
      <c r="F50" s="109"/>
      <c r="G50" s="109"/>
      <c r="H50" s="20" t="s">
        <v>2479</v>
      </c>
      <c r="I50" s="20" t="s">
        <v>2479</v>
      </c>
      <c r="J50" s="20" t="s">
        <v>2479</v>
      </c>
      <c r="K50" s="20" t="s">
        <v>2479</v>
      </c>
      <c r="L50" s="20" t="s">
        <v>2479</v>
      </c>
    </row>
    <row r="51" spans="1:12" ht="15" customHeight="1" x14ac:dyDescent="0.25">
      <c r="A51" s="100" t="s">
        <v>2496</v>
      </c>
      <c r="B51" s="102"/>
      <c r="C51" s="102"/>
      <c r="D51" s="21">
        <v>1482.7</v>
      </c>
      <c r="E51" s="109" t="s">
        <v>2479</v>
      </c>
      <c r="F51" s="109"/>
      <c r="G51" s="109"/>
      <c r="H51" s="20" t="s">
        <v>2479</v>
      </c>
      <c r="I51" s="20" t="s">
        <v>2479</v>
      </c>
      <c r="J51" s="20" t="s">
        <v>2479</v>
      </c>
      <c r="K51" s="20" t="s">
        <v>2479</v>
      </c>
      <c r="L51" s="20" t="s">
        <v>2479</v>
      </c>
    </row>
    <row r="52" spans="1:12" ht="15" customHeight="1" x14ac:dyDescent="0.25">
      <c r="A52" s="100" t="s">
        <v>2495</v>
      </c>
      <c r="B52" s="102"/>
      <c r="C52" s="102"/>
      <c r="D52" s="21">
        <v>4074.1</v>
      </c>
      <c r="E52" s="109" t="s">
        <v>2479</v>
      </c>
      <c r="F52" s="109"/>
      <c r="G52" s="109"/>
      <c r="H52" s="20" t="s">
        <v>2479</v>
      </c>
      <c r="I52" s="20" t="s">
        <v>2479</v>
      </c>
      <c r="J52" s="20" t="s">
        <v>2479</v>
      </c>
      <c r="K52" s="20" t="s">
        <v>2479</v>
      </c>
      <c r="L52" s="20" t="s">
        <v>2479</v>
      </c>
    </row>
    <row r="53" spans="1:12" ht="15" customHeight="1" x14ac:dyDescent="0.25">
      <c r="A53" s="100" t="s">
        <v>2434</v>
      </c>
      <c r="B53" s="102"/>
      <c r="C53" s="102"/>
      <c r="D53" s="21">
        <v>628.70000000000005</v>
      </c>
      <c r="E53" s="109" t="s">
        <v>2479</v>
      </c>
      <c r="F53" s="109"/>
      <c r="G53" s="109"/>
      <c r="H53" s="20" t="s">
        <v>2479</v>
      </c>
      <c r="I53" s="20" t="s">
        <v>2479</v>
      </c>
      <c r="J53" s="20" t="s">
        <v>2479</v>
      </c>
      <c r="K53" s="20" t="s">
        <v>2479</v>
      </c>
      <c r="L53" s="20" t="s">
        <v>2479</v>
      </c>
    </row>
    <row r="54" spans="1:12" ht="15" customHeight="1" x14ac:dyDescent="0.25">
      <c r="A54" s="100" t="s">
        <v>2510</v>
      </c>
      <c r="B54" s="102"/>
      <c r="C54" s="102"/>
      <c r="D54" s="21">
        <v>28.9</v>
      </c>
      <c r="E54" s="109" t="s">
        <v>2479</v>
      </c>
      <c r="F54" s="109"/>
      <c r="G54" s="109"/>
      <c r="H54" s="20" t="s">
        <v>2479</v>
      </c>
      <c r="I54" s="20" t="s">
        <v>2479</v>
      </c>
      <c r="J54" s="20" t="s">
        <v>2479</v>
      </c>
      <c r="K54" s="20" t="s">
        <v>2479</v>
      </c>
      <c r="L54" s="20" t="s">
        <v>2479</v>
      </c>
    </row>
    <row r="55" spans="1:12" ht="15" customHeight="1" x14ac:dyDescent="0.25">
      <c r="A55" s="100" t="s">
        <v>2506</v>
      </c>
      <c r="B55" s="102"/>
      <c r="C55" s="102"/>
      <c r="D55" s="21">
        <v>56.9</v>
      </c>
      <c r="E55" s="109" t="s">
        <v>2479</v>
      </c>
      <c r="F55" s="109"/>
      <c r="G55" s="109"/>
      <c r="H55" s="20" t="s">
        <v>2479</v>
      </c>
      <c r="I55" s="20" t="s">
        <v>2479</v>
      </c>
      <c r="J55" s="20" t="s">
        <v>2479</v>
      </c>
      <c r="K55" s="20" t="s">
        <v>2479</v>
      </c>
      <c r="L55" s="20" t="s">
        <v>2479</v>
      </c>
    </row>
    <row r="56" spans="1:12" ht="15" customHeight="1" x14ac:dyDescent="0.25">
      <c r="A56" s="100" t="s">
        <v>2446</v>
      </c>
      <c r="B56" s="102"/>
      <c r="C56" s="102"/>
      <c r="D56" s="21">
        <v>18.5</v>
      </c>
      <c r="E56" s="109" t="s">
        <v>2479</v>
      </c>
      <c r="F56" s="109"/>
      <c r="G56" s="109"/>
      <c r="H56" s="20" t="s">
        <v>2479</v>
      </c>
      <c r="I56" s="20" t="s">
        <v>2479</v>
      </c>
      <c r="J56" s="20" t="s">
        <v>2479</v>
      </c>
      <c r="K56" s="20" t="s">
        <v>2479</v>
      </c>
      <c r="L56" s="20" t="s">
        <v>2479</v>
      </c>
    </row>
    <row r="57" spans="1:12" ht="15" customHeight="1" x14ac:dyDescent="0.25">
      <c r="A57" s="100" t="s">
        <v>2447</v>
      </c>
      <c r="B57" s="102"/>
      <c r="C57" s="102"/>
      <c r="D57" s="21">
        <v>395.90000000000003</v>
      </c>
      <c r="E57" s="109" t="s">
        <v>2479</v>
      </c>
      <c r="F57" s="109"/>
      <c r="G57" s="109"/>
      <c r="H57" s="20" t="s">
        <v>2479</v>
      </c>
      <c r="I57" s="20" t="s">
        <v>2479</v>
      </c>
      <c r="J57" s="20" t="s">
        <v>2479</v>
      </c>
      <c r="K57" s="20" t="s">
        <v>2479</v>
      </c>
      <c r="L57" s="20" t="s">
        <v>2479</v>
      </c>
    </row>
    <row r="58" spans="1:12" ht="15" customHeight="1" x14ac:dyDescent="0.25">
      <c r="A58" s="100" t="s">
        <v>2444</v>
      </c>
      <c r="B58" s="102"/>
      <c r="C58" s="102"/>
      <c r="D58" s="21">
        <v>581.6</v>
      </c>
      <c r="E58" s="109" t="s">
        <v>2479</v>
      </c>
      <c r="F58" s="109"/>
      <c r="G58" s="109"/>
      <c r="H58" s="20" t="s">
        <v>2479</v>
      </c>
      <c r="I58" s="20" t="s">
        <v>2479</v>
      </c>
      <c r="J58" s="20" t="s">
        <v>2479</v>
      </c>
      <c r="K58" s="20" t="s">
        <v>2479</v>
      </c>
      <c r="L58" s="20" t="s">
        <v>2479</v>
      </c>
    </row>
    <row r="59" spans="1:12" ht="15" customHeight="1" x14ac:dyDescent="0.25">
      <c r="A59" s="100" t="s">
        <v>2443</v>
      </c>
      <c r="B59" s="102"/>
      <c r="C59" s="102"/>
      <c r="D59" s="21">
        <v>375.00000000000006</v>
      </c>
      <c r="E59" s="109" t="s">
        <v>2479</v>
      </c>
      <c r="F59" s="109"/>
      <c r="G59" s="109"/>
      <c r="H59" s="20" t="s">
        <v>2479</v>
      </c>
      <c r="I59" s="20" t="s">
        <v>2479</v>
      </c>
      <c r="J59" s="20" t="s">
        <v>2479</v>
      </c>
      <c r="K59" s="20" t="s">
        <v>2479</v>
      </c>
      <c r="L59" s="20" t="s">
        <v>2479</v>
      </c>
    </row>
    <row r="60" spans="1:12" ht="15" customHeight="1" x14ac:dyDescent="0.25">
      <c r="A60" s="100" t="s">
        <v>2451</v>
      </c>
      <c r="B60" s="102"/>
      <c r="C60" s="102"/>
      <c r="D60" s="21">
        <v>178.2</v>
      </c>
      <c r="E60" s="109" t="s">
        <v>2479</v>
      </c>
      <c r="F60" s="109"/>
      <c r="G60" s="109"/>
      <c r="H60" s="20" t="s">
        <v>2479</v>
      </c>
      <c r="I60" s="20" t="s">
        <v>2479</v>
      </c>
      <c r="J60" s="20" t="s">
        <v>2479</v>
      </c>
      <c r="K60" s="20" t="s">
        <v>2479</v>
      </c>
      <c r="L60" s="20" t="s">
        <v>2479</v>
      </c>
    </row>
    <row r="61" spans="1:12" ht="15" customHeight="1" x14ac:dyDescent="0.25">
      <c r="A61" s="100" t="s">
        <v>2450</v>
      </c>
      <c r="B61" s="102"/>
      <c r="C61" s="102"/>
      <c r="D61" s="21">
        <v>1748.3</v>
      </c>
      <c r="E61" s="109" t="s">
        <v>2479</v>
      </c>
      <c r="F61" s="109"/>
      <c r="G61" s="109"/>
      <c r="H61" s="20" t="s">
        <v>2479</v>
      </c>
      <c r="I61" s="20" t="s">
        <v>2479</v>
      </c>
      <c r="J61" s="20" t="s">
        <v>2479</v>
      </c>
      <c r="K61" s="20" t="s">
        <v>2479</v>
      </c>
      <c r="L61" s="20" t="s">
        <v>2479</v>
      </c>
    </row>
    <row r="62" spans="1:12" ht="15" customHeight="1" x14ac:dyDescent="0.25">
      <c r="A62" s="100" t="s">
        <v>2449</v>
      </c>
      <c r="B62" s="102"/>
      <c r="C62" s="102"/>
      <c r="D62" s="21">
        <v>993.40000000000009</v>
      </c>
      <c r="E62" s="109" t="s">
        <v>2479</v>
      </c>
      <c r="F62" s="109"/>
      <c r="G62" s="109"/>
      <c r="H62" s="20" t="s">
        <v>2479</v>
      </c>
      <c r="I62" s="20" t="s">
        <v>2479</v>
      </c>
      <c r="J62" s="20" t="s">
        <v>2479</v>
      </c>
      <c r="K62" s="20" t="s">
        <v>2479</v>
      </c>
      <c r="L62" s="20" t="s">
        <v>2479</v>
      </c>
    </row>
    <row r="63" spans="1:12" ht="15" customHeight="1" x14ac:dyDescent="0.25">
      <c r="A63" s="100" t="s">
        <v>2445</v>
      </c>
      <c r="B63" s="102"/>
      <c r="C63" s="102"/>
      <c r="D63" s="21">
        <v>394.5</v>
      </c>
      <c r="E63" s="109" t="s">
        <v>2479</v>
      </c>
      <c r="F63" s="109"/>
      <c r="G63" s="109"/>
      <c r="H63" s="20" t="s">
        <v>2479</v>
      </c>
      <c r="I63" s="20" t="s">
        <v>2479</v>
      </c>
      <c r="J63" s="20" t="s">
        <v>2479</v>
      </c>
      <c r="K63" s="20" t="s">
        <v>2479</v>
      </c>
      <c r="L63" s="20" t="s">
        <v>2479</v>
      </c>
    </row>
    <row r="64" spans="1:12" ht="15" customHeight="1" x14ac:dyDescent="0.25">
      <c r="A64" s="100" t="s">
        <v>2453</v>
      </c>
      <c r="B64" s="102"/>
      <c r="C64" s="102"/>
      <c r="D64" s="21">
        <v>21.1</v>
      </c>
      <c r="E64" s="109" t="s">
        <v>2479</v>
      </c>
      <c r="F64" s="109"/>
      <c r="G64" s="109"/>
      <c r="H64" s="20" t="s">
        <v>2479</v>
      </c>
      <c r="I64" s="20" t="s">
        <v>2479</v>
      </c>
      <c r="J64" s="20" t="s">
        <v>2479</v>
      </c>
      <c r="K64" s="20" t="s">
        <v>2479</v>
      </c>
      <c r="L64" s="20" t="s">
        <v>2479</v>
      </c>
    </row>
    <row r="65" spans="1:12" ht="15" customHeight="1" x14ac:dyDescent="0.25">
      <c r="A65" s="100" t="s">
        <v>2454</v>
      </c>
      <c r="B65" s="102"/>
      <c r="C65" s="102"/>
      <c r="D65" s="21">
        <v>68.2</v>
      </c>
      <c r="E65" s="109" t="s">
        <v>2479</v>
      </c>
      <c r="F65" s="109"/>
      <c r="G65" s="109"/>
      <c r="H65" s="20" t="s">
        <v>2479</v>
      </c>
      <c r="I65" s="20" t="s">
        <v>2479</v>
      </c>
      <c r="J65" s="20" t="s">
        <v>2479</v>
      </c>
      <c r="K65" s="20" t="s">
        <v>2479</v>
      </c>
      <c r="L65" s="20" t="s">
        <v>2479</v>
      </c>
    </row>
    <row r="66" spans="1:12" ht="15" customHeight="1" thickBot="1" x14ac:dyDescent="0.3">
      <c r="A66" s="118" t="s">
        <v>2448</v>
      </c>
      <c r="B66" s="108"/>
      <c r="C66" s="108"/>
      <c r="D66" s="22">
        <v>16.3</v>
      </c>
      <c r="E66" s="109" t="s">
        <v>2479</v>
      </c>
      <c r="F66" s="109"/>
      <c r="G66" s="109"/>
      <c r="H66" s="20" t="s">
        <v>2479</v>
      </c>
      <c r="I66" s="20" t="s">
        <v>2479</v>
      </c>
      <c r="J66" s="20" t="s">
        <v>2479</v>
      </c>
      <c r="K66" s="20" t="s">
        <v>2479</v>
      </c>
      <c r="L66" s="20" t="s">
        <v>2479</v>
      </c>
    </row>
  </sheetData>
  <mergeCells count="92">
    <mergeCell ref="A65:C65"/>
    <mergeCell ref="E65:G65"/>
    <mergeCell ref="A66:C66"/>
    <mergeCell ref="E66:G66"/>
    <mergeCell ref="A62:C62"/>
    <mergeCell ref="E62:G62"/>
    <mergeCell ref="A63:C63"/>
    <mergeCell ref="E63:G63"/>
    <mergeCell ref="A64:C64"/>
    <mergeCell ref="E64:G64"/>
    <mergeCell ref="A59:C59"/>
    <mergeCell ref="E59:G59"/>
    <mergeCell ref="A60:C60"/>
    <mergeCell ref="E60:G60"/>
    <mergeCell ref="A61:C61"/>
    <mergeCell ref="E61:G61"/>
    <mergeCell ref="A56:C56"/>
    <mergeCell ref="E56:G56"/>
    <mergeCell ref="A57:C57"/>
    <mergeCell ref="E57:G57"/>
    <mergeCell ref="A58:C58"/>
    <mergeCell ref="E58:G58"/>
    <mergeCell ref="A53:C53"/>
    <mergeCell ref="E53:G53"/>
    <mergeCell ref="A54:C54"/>
    <mergeCell ref="E54:G54"/>
    <mergeCell ref="A55:C55"/>
    <mergeCell ref="E55:G55"/>
    <mergeCell ref="A50:C50"/>
    <mergeCell ref="E50:G50"/>
    <mergeCell ref="A51:C51"/>
    <mergeCell ref="E51:G51"/>
    <mergeCell ref="A52:C52"/>
    <mergeCell ref="E52:G52"/>
    <mergeCell ref="A47:D47"/>
    <mergeCell ref="E47:H47"/>
    <mergeCell ref="A48:C48"/>
    <mergeCell ref="E48:G48"/>
    <mergeCell ref="A49:C49"/>
    <mergeCell ref="E49:G49"/>
    <mergeCell ref="J16:J26"/>
    <mergeCell ref="J38:J46"/>
    <mergeCell ref="K12:K15"/>
    <mergeCell ref="K16:K26"/>
    <mergeCell ref="K38:K46"/>
    <mergeCell ref="H28:H37"/>
    <mergeCell ref="H39:H46"/>
    <mergeCell ref="I12:I15"/>
    <mergeCell ref="I16:I26"/>
    <mergeCell ref="I38:I46"/>
    <mergeCell ref="L27:L37"/>
    <mergeCell ref="A38:A46"/>
    <mergeCell ref="B38:B46"/>
    <mergeCell ref="L38:L46"/>
    <mergeCell ref="C27:C37"/>
    <mergeCell ref="C38:C46"/>
    <mergeCell ref="D27:D37"/>
    <mergeCell ref="D38:D46"/>
    <mergeCell ref="G28:G37"/>
    <mergeCell ref="G39:G46"/>
    <mergeCell ref="A27:A37"/>
    <mergeCell ref="B27:B37"/>
    <mergeCell ref="E36:E37"/>
    <mergeCell ref="E45:E46"/>
    <mergeCell ref="F36:F37"/>
    <mergeCell ref="F45:F46"/>
    <mergeCell ref="L12:L15"/>
    <mergeCell ref="A16:A26"/>
    <mergeCell ref="B16:B26"/>
    <mergeCell ref="L16:L26"/>
    <mergeCell ref="C12:C15"/>
    <mergeCell ref="C17:C26"/>
    <mergeCell ref="D12:D15"/>
    <mergeCell ref="D17:D26"/>
    <mergeCell ref="G4:G15"/>
    <mergeCell ref="G17:G26"/>
    <mergeCell ref="A12:A15"/>
    <mergeCell ref="B12:B15"/>
    <mergeCell ref="F10:F11"/>
    <mergeCell ref="H4:H15"/>
    <mergeCell ref="H17:H26"/>
    <mergeCell ref="J12:J15"/>
    <mergeCell ref="A1:A2"/>
    <mergeCell ref="B1:B2"/>
    <mergeCell ref="C1:K1"/>
    <mergeCell ref="L1:L2"/>
    <mergeCell ref="A3:A11"/>
    <mergeCell ref="B3:B11"/>
    <mergeCell ref="L3:L11"/>
    <mergeCell ref="C4:C11"/>
    <mergeCell ref="D4:D11"/>
    <mergeCell ref="E10:E11"/>
  </mergeCells>
  <conditionalFormatting sqref="A1:L66">
    <cfRule type="containsText" dxfId="69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theme="7" tint="0.39997558519241921"/>
  </sheetPr>
  <dimension ref="A1:L54"/>
  <sheetViews>
    <sheetView topLeftCell="A16" workbookViewId="0">
      <selection activeCell="I23" sqref="I23:I27"/>
    </sheetView>
  </sheetViews>
  <sheetFormatPr defaultRowHeight="15" x14ac:dyDescent="0.25"/>
  <cols>
    <col min="1" max="1" width="5.42578125" style="16" customWidth="1"/>
    <col min="2" max="2" width="16.28515625" style="16" customWidth="1"/>
    <col min="3" max="3" width="21.7109375" style="16" customWidth="1"/>
    <col min="4" max="4" width="8.140625" style="16" customWidth="1"/>
    <col min="5" max="5" width="21.7109375" style="16" customWidth="1"/>
    <col min="6" max="6" width="8.140625" style="16" customWidth="1"/>
    <col min="7" max="7" width="21.7109375" style="16" customWidth="1"/>
    <col min="8" max="8" width="8.140625" style="16" customWidth="1"/>
    <col min="9" max="9" width="21.7109375" style="16" customWidth="1"/>
    <col min="10" max="11" width="8.140625" style="16" customWidth="1"/>
    <col min="12" max="12" width="16.28515625" style="16" customWidth="1"/>
    <col min="13" max="16384" width="9.140625" style="16"/>
  </cols>
  <sheetData>
    <row r="1" spans="1:12" ht="16.5" x14ac:dyDescent="0.25">
      <c r="A1" s="110" t="s">
        <v>2369</v>
      </c>
      <c r="B1" s="112" t="s">
        <v>2476</v>
      </c>
      <c r="C1" s="112" t="s">
        <v>2477</v>
      </c>
      <c r="D1" s="112"/>
      <c r="E1" s="112"/>
      <c r="F1" s="112"/>
      <c r="G1" s="112"/>
      <c r="H1" s="112"/>
      <c r="I1" s="112"/>
      <c r="J1" s="112"/>
      <c r="K1" s="112"/>
      <c r="L1" s="98" t="s">
        <v>2478</v>
      </c>
    </row>
    <row r="2" spans="1:12" ht="40.5" x14ac:dyDescent="0.25">
      <c r="A2" s="111"/>
      <c r="B2" s="113"/>
      <c r="C2" s="23" t="s">
        <v>2480</v>
      </c>
      <c r="D2" s="24" t="s">
        <v>2481</v>
      </c>
      <c r="E2" s="23" t="s">
        <v>2482</v>
      </c>
      <c r="F2" s="24" t="s">
        <v>2481</v>
      </c>
      <c r="G2" s="23" t="s">
        <v>2483</v>
      </c>
      <c r="H2" s="24" t="s">
        <v>2481</v>
      </c>
      <c r="I2" s="23" t="s">
        <v>2484</v>
      </c>
      <c r="J2" s="24" t="s">
        <v>2481</v>
      </c>
      <c r="K2" s="24" t="s">
        <v>2485</v>
      </c>
      <c r="L2" s="99"/>
    </row>
    <row r="3" spans="1:12" ht="40.5" x14ac:dyDescent="0.25">
      <c r="A3" s="100" t="s">
        <v>2497</v>
      </c>
      <c r="B3" s="102">
        <v>426.2</v>
      </c>
      <c r="C3" s="102" t="s">
        <v>2500</v>
      </c>
      <c r="D3" s="106">
        <v>6.4</v>
      </c>
      <c r="E3" s="18" t="s">
        <v>2495</v>
      </c>
      <c r="F3" s="26">
        <v>11.1</v>
      </c>
      <c r="G3" s="102" t="s">
        <v>2479</v>
      </c>
      <c r="H3" s="106" t="s">
        <v>2479</v>
      </c>
      <c r="I3" s="18" t="s">
        <v>2434</v>
      </c>
      <c r="J3" s="26">
        <v>18.8</v>
      </c>
      <c r="K3" s="26" t="s">
        <v>2490</v>
      </c>
      <c r="L3" s="104" t="s">
        <v>2479</v>
      </c>
    </row>
    <row r="4" spans="1:12" ht="22.7" customHeight="1" x14ac:dyDescent="0.25">
      <c r="A4" s="100"/>
      <c r="B4" s="102"/>
      <c r="C4" s="102"/>
      <c r="D4" s="106"/>
      <c r="E4" s="18" t="s">
        <v>2444</v>
      </c>
      <c r="F4" s="26">
        <v>4.2</v>
      </c>
      <c r="G4" s="102"/>
      <c r="H4" s="106"/>
      <c r="I4" s="18" t="s">
        <v>2444</v>
      </c>
      <c r="J4" s="26">
        <v>6.3</v>
      </c>
      <c r="K4" s="26" t="s">
        <v>2490</v>
      </c>
      <c r="L4" s="104"/>
    </row>
    <row r="5" spans="1:12" ht="22.7" customHeight="1" x14ac:dyDescent="0.25">
      <c r="A5" s="100"/>
      <c r="B5" s="102"/>
      <c r="C5" s="102"/>
      <c r="D5" s="106"/>
      <c r="E5" s="18" t="s">
        <v>2453</v>
      </c>
      <c r="F5" s="26">
        <v>0.3</v>
      </c>
      <c r="G5" s="102"/>
      <c r="H5" s="106"/>
      <c r="I5" s="18" t="s">
        <v>2453</v>
      </c>
      <c r="J5" s="26">
        <v>3</v>
      </c>
      <c r="K5" s="26" t="s">
        <v>2490</v>
      </c>
      <c r="L5" s="104"/>
    </row>
    <row r="6" spans="1:12" ht="22.7" customHeight="1" x14ac:dyDescent="0.25">
      <c r="A6" s="100"/>
      <c r="B6" s="102"/>
      <c r="C6" s="102"/>
      <c r="D6" s="106"/>
      <c r="E6" s="18" t="s">
        <v>2451</v>
      </c>
      <c r="F6" s="26">
        <v>2.1</v>
      </c>
      <c r="G6" s="102"/>
      <c r="H6" s="106"/>
      <c r="I6" s="18" t="s">
        <v>2451</v>
      </c>
      <c r="J6" s="26">
        <v>3.1</v>
      </c>
      <c r="K6" s="26" t="s">
        <v>2490</v>
      </c>
      <c r="L6" s="104"/>
    </row>
    <row r="7" spans="1:12" ht="22.7" customHeight="1" x14ac:dyDescent="0.25">
      <c r="A7" s="100"/>
      <c r="B7" s="102"/>
      <c r="C7" s="102"/>
      <c r="D7" s="106"/>
      <c r="E7" s="18" t="s">
        <v>2450</v>
      </c>
      <c r="F7" s="26">
        <v>2</v>
      </c>
      <c r="G7" s="102"/>
      <c r="H7" s="106"/>
      <c r="I7" s="18" t="s">
        <v>2450</v>
      </c>
      <c r="J7" s="26">
        <v>1.6</v>
      </c>
      <c r="K7" s="26" t="s">
        <v>2490</v>
      </c>
      <c r="L7" s="104"/>
    </row>
    <row r="8" spans="1:12" ht="22.7" customHeight="1" x14ac:dyDescent="0.25">
      <c r="A8" s="100"/>
      <c r="B8" s="102"/>
      <c r="C8" s="102"/>
      <c r="D8" s="106"/>
      <c r="E8" s="18" t="s">
        <v>2449</v>
      </c>
      <c r="F8" s="26">
        <v>2.5</v>
      </c>
      <c r="G8" s="102"/>
      <c r="H8" s="106"/>
      <c r="I8" s="18" t="s">
        <v>2449</v>
      </c>
      <c r="J8" s="26">
        <v>5</v>
      </c>
      <c r="K8" s="26" t="s">
        <v>2490</v>
      </c>
      <c r="L8" s="104"/>
    </row>
    <row r="9" spans="1:12" ht="22.7" customHeight="1" x14ac:dyDescent="0.25">
      <c r="A9" s="100" t="s">
        <v>2509</v>
      </c>
      <c r="B9" s="102" t="s">
        <v>2536</v>
      </c>
      <c r="C9" s="102" t="s">
        <v>2510</v>
      </c>
      <c r="D9" s="106">
        <v>2.4</v>
      </c>
      <c r="E9" s="18" t="s">
        <v>2510</v>
      </c>
      <c r="F9" s="26">
        <v>28.9</v>
      </c>
      <c r="G9" s="102"/>
      <c r="H9" s="106"/>
      <c r="I9" s="102" t="s">
        <v>4</v>
      </c>
      <c r="J9" s="106" t="s">
        <v>4</v>
      </c>
      <c r="K9" s="106" t="s">
        <v>4</v>
      </c>
      <c r="L9" s="104" t="s">
        <v>2479</v>
      </c>
    </row>
    <row r="10" spans="1:12" ht="22.7" customHeight="1" x14ac:dyDescent="0.25">
      <c r="A10" s="100"/>
      <c r="B10" s="102"/>
      <c r="C10" s="102"/>
      <c r="D10" s="106"/>
      <c r="E10" s="18" t="s">
        <v>2444</v>
      </c>
      <c r="F10" s="26">
        <v>19.8</v>
      </c>
      <c r="G10" s="102"/>
      <c r="H10" s="106"/>
      <c r="I10" s="102"/>
      <c r="J10" s="106"/>
      <c r="K10" s="106"/>
      <c r="L10" s="104"/>
    </row>
    <row r="11" spans="1:12" ht="22.7" customHeight="1" x14ac:dyDescent="0.25">
      <c r="A11" s="100"/>
      <c r="B11" s="102"/>
      <c r="C11" s="102"/>
      <c r="D11" s="106"/>
      <c r="E11" s="18" t="s">
        <v>2449</v>
      </c>
      <c r="F11" s="26">
        <v>9.1999999999999993</v>
      </c>
      <c r="G11" s="102"/>
      <c r="H11" s="106"/>
      <c r="I11" s="102"/>
      <c r="J11" s="106"/>
      <c r="K11" s="106"/>
      <c r="L11" s="104"/>
    </row>
    <row r="12" spans="1:12" ht="27" x14ac:dyDescent="0.25">
      <c r="A12" s="100" t="s">
        <v>2493</v>
      </c>
      <c r="B12" s="102" t="s">
        <v>2537</v>
      </c>
      <c r="C12" s="18" t="s">
        <v>2495</v>
      </c>
      <c r="D12" s="26">
        <v>204.2</v>
      </c>
      <c r="E12" s="18" t="s">
        <v>2495</v>
      </c>
      <c r="F12" s="26">
        <v>3907.6</v>
      </c>
      <c r="G12" s="18" t="s">
        <v>2495</v>
      </c>
      <c r="H12" s="26">
        <v>304.89999999999998</v>
      </c>
      <c r="I12" s="102" t="s">
        <v>4</v>
      </c>
      <c r="J12" s="106" t="s">
        <v>4</v>
      </c>
      <c r="K12" s="106" t="s">
        <v>4</v>
      </c>
      <c r="L12" s="104" t="s">
        <v>2479</v>
      </c>
    </row>
    <row r="13" spans="1:12" ht="22.7" customHeight="1" x14ac:dyDescent="0.25">
      <c r="A13" s="100"/>
      <c r="B13" s="102"/>
      <c r="C13" s="18" t="s">
        <v>2499</v>
      </c>
      <c r="D13" s="26">
        <v>865.7</v>
      </c>
      <c r="E13" s="18" t="s">
        <v>2446</v>
      </c>
      <c r="F13" s="26">
        <v>20.200000000000003</v>
      </c>
      <c r="G13" s="102" t="s">
        <v>2445</v>
      </c>
      <c r="H13" s="106">
        <v>304.89999999999998</v>
      </c>
      <c r="I13" s="102"/>
      <c r="J13" s="106"/>
      <c r="K13" s="106"/>
      <c r="L13" s="104"/>
    </row>
    <row r="14" spans="1:12" ht="22.7" customHeight="1" x14ac:dyDescent="0.25">
      <c r="A14" s="100"/>
      <c r="B14" s="102"/>
      <c r="C14" s="102" t="s">
        <v>2494</v>
      </c>
      <c r="D14" s="106">
        <v>723.1</v>
      </c>
      <c r="E14" s="18" t="s">
        <v>2447</v>
      </c>
      <c r="F14" s="26">
        <v>472.70000000000005</v>
      </c>
      <c r="G14" s="102"/>
      <c r="H14" s="106"/>
      <c r="I14" s="102"/>
      <c r="J14" s="106"/>
      <c r="K14" s="106"/>
      <c r="L14" s="104"/>
    </row>
    <row r="15" spans="1:12" ht="22.7" customHeight="1" x14ac:dyDescent="0.25">
      <c r="A15" s="100"/>
      <c r="B15" s="102"/>
      <c r="C15" s="102"/>
      <c r="D15" s="106"/>
      <c r="E15" s="18" t="s">
        <v>2444</v>
      </c>
      <c r="F15" s="26">
        <v>819.9</v>
      </c>
      <c r="G15" s="102"/>
      <c r="H15" s="106"/>
      <c r="I15" s="102"/>
      <c r="J15" s="106"/>
      <c r="K15" s="106"/>
      <c r="L15" s="104"/>
    </row>
    <row r="16" spans="1:12" ht="22.7" customHeight="1" x14ac:dyDescent="0.25">
      <c r="A16" s="100"/>
      <c r="B16" s="102"/>
      <c r="C16" s="102"/>
      <c r="D16" s="106"/>
      <c r="E16" s="18" t="s">
        <v>2453</v>
      </c>
      <c r="F16" s="26">
        <v>16.8</v>
      </c>
      <c r="G16" s="102"/>
      <c r="H16" s="106"/>
      <c r="I16" s="102"/>
      <c r="J16" s="106"/>
      <c r="K16" s="106"/>
      <c r="L16" s="104"/>
    </row>
    <row r="17" spans="1:12" ht="22.7" customHeight="1" x14ac:dyDescent="0.25">
      <c r="A17" s="100"/>
      <c r="B17" s="102"/>
      <c r="C17" s="102"/>
      <c r="D17" s="106"/>
      <c r="E17" s="18" t="s">
        <v>2443</v>
      </c>
      <c r="F17" s="26">
        <v>334.40000000000003</v>
      </c>
      <c r="G17" s="102"/>
      <c r="H17" s="106"/>
      <c r="I17" s="102"/>
      <c r="J17" s="106"/>
      <c r="K17" s="106"/>
      <c r="L17" s="104"/>
    </row>
    <row r="18" spans="1:12" ht="22.7" customHeight="1" x14ac:dyDescent="0.25">
      <c r="A18" s="100"/>
      <c r="B18" s="102"/>
      <c r="C18" s="102"/>
      <c r="D18" s="106"/>
      <c r="E18" s="18" t="s">
        <v>2454</v>
      </c>
      <c r="F18" s="26">
        <v>60.7</v>
      </c>
      <c r="G18" s="102"/>
      <c r="H18" s="106"/>
      <c r="I18" s="102"/>
      <c r="J18" s="106"/>
      <c r="K18" s="106"/>
      <c r="L18" s="104"/>
    </row>
    <row r="19" spans="1:12" ht="22.7" customHeight="1" x14ac:dyDescent="0.25">
      <c r="A19" s="100"/>
      <c r="B19" s="102"/>
      <c r="C19" s="102"/>
      <c r="D19" s="106"/>
      <c r="E19" s="18" t="s">
        <v>2451</v>
      </c>
      <c r="F19" s="26">
        <v>182.9</v>
      </c>
      <c r="G19" s="102"/>
      <c r="H19" s="106"/>
      <c r="I19" s="102"/>
      <c r="J19" s="106"/>
      <c r="K19" s="106"/>
      <c r="L19" s="104"/>
    </row>
    <row r="20" spans="1:12" ht="22.7" customHeight="1" x14ac:dyDescent="0.25">
      <c r="A20" s="100"/>
      <c r="B20" s="102"/>
      <c r="C20" s="102"/>
      <c r="D20" s="106"/>
      <c r="E20" s="18" t="s">
        <v>2448</v>
      </c>
      <c r="F20" s="26">
        <v>8</v>
      </c>
      <c r="G20" s="102"/>
      <c r="H20" s="106"/>
      <c r="I20" s="102"/>
      <c r="J20" s="106"/>
      <c r="K20" s="106"/>
      <c r="L20" s="104"/>
    </row>
    <row r="21" spans="1:12" ht="22.7" customHeight="1" x14ac:dyDescent="0.25">
      <c r="A21" s="100"/>
      <c r="B21" s="102"/>
      <c r="C21" s="102"/>
      <c r="D21" s="106"/>
      <c r="E21" s="18" t="s">
        <v>2450</v>
      </c>
      <c r="F21" s="26">
        <v>1886.8999999999999</v>
      </c>
      <c r="G21" s="102"/>
      <c r="H21" s="106"/>
      <c r="I21" s="102"/>
      <c r="J21" s="106"/>
      <c r="K21" s="106"/>
      <c r="L21" s="104"/>
    </row>
    <row r="22" spans="1:12" ht="22.7" customHeight="1" x14ac:dyDescent="0.25">
      <c r="A22" s="100"/>
      <c r="B22" s="102"/>
      <c r="C22" s="102"/>
      <c r="D22" s="106"/>
      <c r="E22" s="18" t="s">
        <v>2449</v>
      </c>
      <c r="F22" s="26">
        <v>105.8</v>
      </c>
      <c r="G22" s="102"/>
      <c r="H22" s="106"/>
      <c r="I22" s="102"/>
      <c r="J22" s="106"/>
      <c r="K22" s="106"/>
      <c r="L22" s="104"/>
    </row>
    <row r="23" spans="1:12" ht="40.5" x14ac:dyDescent="0.25">
      <c r="A23" s="100" t="s">
        <v>2512</v>
      </c>
      <c r="B23" s="102" t="s">
        <v>2538</v>
      </c>
      <c r="C23" s="102" t="s">
        <v>2500</v>
      </c>
      <c r="D23" s="106">
        <v>44.5</v>
      </c>
      <c r="E23" s="18" t="s">
        <v>2434</v>
      </c>
      <c r="F23" s="26">
        <v>240.6</v>
      </c>
      <c r="G23" s="18" t="s">
        <v>2434</v>
      </c>
      <c r="H23" s="26">
        <v>4.2</v>
      </c>
      <c r="I23" s="102" t="s">
        <v>4</v>
      </c>
      <c r="J23" s="106" t="s">
        <v>4</v>
      </c>
      <c r="K23" s="106" t="s">
        <v>4</v>
      </c>
      <c r="L23" s="104" t="s">
        <v>2479</v>
      </c>
    </row>
    <row r="24" spans="1:12" ht="22.7" customHeight="1" x14ac:dyDescent="0.25">
      <c r="A24" s="100"/>
      <c r="B24" s="102"/>
      <c r="C24" s="102"/>
      <c r="D24" s="106"/>
      <c r="E24" s="18" t="s">
        <v>2447</v>
      </c>
      <c r="F24" s="26">
        <v>22.3</v>
      </c>
      <c r="G24" s="102" t="s">
        <v>2445</v>
      </c>
      <c r="H24" s="106">
        <v>4.2</v>
      </c>
      <c r="I24" s="102"/>
      <c r="J24" s="106"/>
      <c r="K24" s="106"/>
      <c r="L24" s="104"/>
    </row>
    <row r="25" spans="1:12" ht="22.7" customHeight="1" x14ac:dyDescent="0.25">
      <c r="A25" s="100"/>
      <c r="B25" s="102"/>
      <c r="C25" s="102"/>
      <c r="D25" s="106"/>
      <c r="E25" s="18" t="s">
        <v>2444</v>
      </c>
      <c r="F25" s="26">
        <v>86.8</v>
      </c>
      <c r="G25" s="102"/>
      <c r="H25" s="106"/>
      <c r="I25" s="102"/>
      <c r="J25" s="106"/>
      <c r="K25" s="106"/>
      <c r="L25" s="104"/>
    </row>
    <row r="26" spans="1:12" ht="22.7" customHeight="1" x14ac:dyDescent="0.25">
      <c r="A26" s="100"/>
      <c r="B26" s="102"/>
      <c r="C26" s="102"/>
      <c r="D26" s="106"/>
      <c r="E26" s="18" t="s">
        <v>2451</v>
      </c>
      <c r="F26" s="26">
        <v>22.3</v>
      </c>
      <c r="G26" s="102"/>
      <c r="H26" s="106"/>
      <c r="I26" s="102"/>
      <c r="J26" s="106"/>
      <c r="K26" s="106"/>
      <c r="L26" s="104"/>
    </row>
    <row r="27" spans="1:12" ht="22.7" customHeight="1" x14ac:dyDescent="0.25">
      <c r="A27" s="100"/>
      <c r="B27" s="102"/>
      <c r="C27" s="102"/>
      <c r="D27" s="106"/>
      <c r="E27" s="18" t="s">
        <v>2449</v>
      </c>
      <c r="F27" s="26">
        <v>109.3</v>
      </c>
      <c r="G27" s="102"/>
      <c r="H27" s="106"/>
      <c r="I27" s="102"/>
      <c r="J27" s="106"/>
      <c r="K27" s="106"/>
      <c r="L27" s="104"/>
    </row>
    <row r="28" spans="1:12" ht="27" x14ac:dyDescent="0.25">
      <c r="A28" s="100" t="s">
        <v>2531</v>
      </c>
      <c r="B28" s="102" t="s">
        <v>2539</v>
      </c>
      <c r="C28" s="102" t="s">
        <v>2533</v>
      </c>
      <c r="D28" s="106">
        <v>5.6</v>
      </c>
      <c r="E28" s="18" t="s">
        <v>2533</v>
      </c>
      <c r="F28" s="26">
        <v>32.799999999999997</v>
      </c>
      <c r="G28" s="18" t="s">
        <v>2533</v>
      </c>
      <c r="H28" s="26">
        <v>0.1</v>
      </c>
      <c r="I28" s="102" t="s">
        <v>4</v>
      </c>
      <c r="J28" s="106" t="s">
        <v>4</v>
      </c>
      <c r="K28" s="106" t="s">
        <v>4</v>
      </c>
      <c r="L28" s="104" t="s">
        <v>2479</v>
      </c>
    </row>
    <row r="29" spans="1:12" ht="22.7" customHeight="1" x14ac:dyDescent="0.25">
      <c r="A29" s="100"/>
      <c r="B29" s="102"/>
      <c r="C29" s="102"/>
      <c r="D29" s="106"/>
      <c r="E29" s="18" t="s">
        <v>2444</v>
      </c>
      <c r="F29" s="26">
        <v>18.100000000000001</v>
      </c>
      <c r="G29" s="102" t="s">
        <v>2445</v>
      </c>
      <c r="H29" s="106">
        <v>0.1</v>
      </c>
      <c r="I29" s="102"/>
      <c r="J29" s="106"/>
      <c r="K29" s="106"/>
      <c r="L29" s="104"/>
    </row>
    <row r="30" spans="1:12" ht="22.7" customHeight="1" x14ac:dyDescent="0.25">
      <c r="A30" s="100"/>
      <c r="B30" s="102"/>
      <c r="C30" s="102"/>
      <c r="D30" s="106"/>
      <c r="E30" s="18" t="s">
        <v>2450</v>
      </c>
      <c r="F30" s="26">
        <v>5.4</v>
      </c>
      <c r="G30" s="102"/>
      <c r="H30" s="106"/>
      <c r="I30" s="102"/>
      <c r="J30" s="106"/>
      <c r="K30" s="106"/>
      <c r="L30" s="104"/>
    </row>
    <row r="31" spans="1:12" ht="22.7" customHeight="1" x14ac:dyDescent="0.25">
      <c r="A31" s="100"/>
      <c r="B31" s="102"/>
      <c r="C31" s="102"/>
      <c r="D31" s="106"/>
      <c r="E31" s="102" t="s">
        <v>2449</v>
      </c>
      <c r="F31" s="106">
        <v>9.4</v>
      </c>
      <c r="G31" s="102"/>
      <c r="H31" s="106"/>
      <c r="I31" s="102"/>
      <c r="J31" s="106"/>
      <c r="K31" s="106"/>
      <c r="L31" s="104"/>
    </row>
    <row r="32" spans="1:12" ht="22.7" customHeight="1" thickBot="1" x14ac:dyDescent="0.3">
      <c r="A32" s="101"/>
      <c r="B32" s="103"/>
      <c r="C32" s="103"/>
      <c r="D32" s="107"/>
      <c r="E32" s="108"/>
      <c r="F32" s="114"/>
      <c r="G32" s="108"/>
      <c r="H32" s="114"/>
      <c r="I32" s="108"/>
      <c r="J32" s="114"/>
      <c r="K32" s="114"/>
      <c r="L32" s="105"/>
    </row>
    <row r="33" spans="1:12" ht="15" customHeight="1" x14ac:dyDescent="0.25">
      <c r="A33" s="115" t="s">
        <v>2491</v>
      </c>
      <c r="B33" s="116"/>
      <c r="C33" s="116"/>
      <c r="D33" s="117"/>
      <c r="E33" s="109" t="s">
        <v>2479</v>
      </c>
      <c r="F33" s="109"/>
      <c r="G33" s="109"/>
      <c r="H33" s="109"/>
      <c r="I33" s="20" t="s">
        <v>2479</v>
      </c>
      <c r="J33" s="20" t="s">
        <v>2479</v>
      </c>
      <c r="K33" s="20" t="s">
        <v>2479</v>
      </c>
      <c r="L33" s="20" t="s">
        <v>2479</v>
      </c>
    </row>
    <row r="34" spans="1:12" ht="15" customHeight="1" x14ac:dyDescent="0.25">
      <c r="A34" s="100" t="s">
        <v>2511</v>
      </c>
      <c r="B34" s="102"/>
      <c r="C34" s="102"/>
      <c r="D34" s="21">
        <v>2.4</v>
      </c>
      <c r="E34" s="109" t="s">
        <v>2479</v>
      </c>
      <c r="F34" s="109"/>
      <c r="G34" s="109"/>
      <c r="H34" s="20" t="s">
        <v>2479</v>
      </c>
      <c r="I34" s="20" t="s">
        <v>2479</v>
      </c>
      <c r="J34" s="20" t="s">
        <v>2479</v>
      </c>
      <c r="K34" s="20" t="s">
        <v>2479</v>
      </c>
      <c r="L34" s="20" t="s">
        <v>2479</v>
      </c>
    </row>
    <row r="35" spans="1:12" ht="15" customHeight="1" x14ac:dyDescent="0.25">
      <c r="A35" s="100" t="s">
        <v>2498</v>
      </c>
      <c r="B35" s="102"/>
      <c r="C35" s="102"/>
      <c r="D35" s="21">
        <v>204.2</v>
      </c>
      <c r="E35" s="109" t="s">
        <v>2479</v>
      </c>
      <c r="F35" s="109"/>
      <c r="G35" s="109"/>
      <c r="H35" s="20" t="s">
        <v>2479</v>
      </c>
      <c r="I35" s="20" t="s">
        <v>2479</v>
      </c>
      <c r="J35" s="20" t="s">
        <v>2479</v>
      </c>
      <c r="K35" s="20" t="s">
        <v>2479</v>
      </c>
      <c r="L35" s="20" t="s">
        <v>2479</v>
      </c>
    </row>
    <row r="36" spans="1:12" ht="15" customHeight="1" x14ac:dyDescent="0.25">
      <c r="A36" s="100" t="s">
        <v>2534</v>
      </c>
      <c r="B36" s="102"/>
      <c r="C36" s="102"/>
      <c r="D36" s="21">
        <v>5.6</v>
      </c>
      <c r="E36" s="109" t="s">
        <v>2479</v>
      </c>
      <c r="F36" s="109"/>
      <c r="G36" s="109"/>
      <c r="H36" s="20" t="s">
        <v>2479</v>
      </c>
      <c r="I36" s="20" t="s">
        <v>2479</v>
      </c>
      <c r="J36" s="20" t="s">
        <v>2479</v>
      </c>
      <c r="K36" s="20" t="s">
        <v>2479</v>
      </c>
      <c r="L36" s="20" t="s">
        <v>2479</v>
      </c>
    </row>
    <row r="37" spans="1:12" ht="15" customHeight="1" x14ac:dyDescent="0.25">
      <c r="A37" s="100" t="s">
        <v>2503</v>
      </c>
      <c r="B37" s="102"/>
      <c r="C37" s="102"/>
      <c r="D37" s="21">
        <v>50.9</v>
      </c>
      <c r="E37" s="109" t="s">
        <v>2479</v>
      </c>
      <c r="F37" s="109"/>
      <c r="G37" s="109"/>
      <c r="H37" s="20" t="s">
        <v>2479</v>
      </c>
      <c r="I37" s="20" t="s">
        <v>2479</v>
      </c>
      <c r="J37" s="20" t="s">
        <v>2479</v>
      </c>
      <c r="K37" s="20" t="s">
        <v>2479</v>
      </c>
      <c r="L37" s="20" t="s">
        <v>2479</v>
      </c>
    </row>
    <row r="38" spans="1:12" ht="15" customHeight="1" x14ac:dyDescent="0.25">
      <c r="A38" s="100" t="s">
        <v>2502</v>
      </c>
      <c r="B38" s="102"/>
      <c r="C38" s="102"/>
      <c r="D38" s="21">
        <v>865.7</v>
      </c>
      <c r="E38" s="109" t="s">
        <v>2479</v>
      </c>
      <c r="F38" s="109"/>
      <c r="G38" s="109"/>
      <c r="H38" s="20" t="s">
        <v>2479</v>
      </c>
      <c r="I38" s="20" t="s">
        <v>2479</v>
      </c>
      <c r="J38" s="20" t="s">
        <v>2479</v>
      </c>
      <c r="K38" s="20" t="s">
        <v>2479</v>
      </c>
      <c r="L38" s="20" t="s">
        <v>2479</v>
      </c>
    </row>
    <row r="39" spans="1:12" ht="15" customHeight="1" x14ac:dyDescent="0.25">
      <c r="A39" s="100" t="s">
        <v>2496</v>
      </c>
      <c r="B39" s="102"/>
      <c r="C39" s="102"/>
      <c r="D39" s="21">
        <v>723.1</v>
      </c>
      <c r="E39" s="109" t="s">
        <v>2479</v>
      </c>
      <c r="F39" s="109"/>
      <c r="G39" s="109"/>
      <c r="H39" s="20" t="s">
        <v>2479</v>
      </c>
      <c r="I39" s="20" t="s">
        <v>2479</v>
      </c>
      <c r="J39" s="20" t="s">
        <v>2479</v>
      </c>
      <c r="K39" s="20" t="s">
        <v>2479</v>
      </c>
      <c r="L39" s="20" t="s">
        <v>2479</v>
      </c>
    </row>
    <row r="40" spans="1:12" ht="15" customHeight="1" x14ac:dyDescent="0.25">
      <c r="A40" s="100" t="s">
        <v>2495</v>
      </c>
      <c r="B40" s="102"/>
      <c r="C40" s="102"/>
      <c r="D40" s="21">
        <v>4223.5999999999995</v>
      </c>
      <c r="E40" s="109" t="s">
        <v>2479</v>
      </c>
      <c r="F40" s="109"/>
      <c r="G40" s="109"/>
      <c r="H40" s="20" t="s">
        <v>2479</v>
      </c>
      <c r="I40" s="20" t="s">
        <v>2479</v>
      </c>
      <c r="J40" s="20" t="s">
        <v>2479</v>
      </c>
      <c r="K40" s="20" t="s">
        <v>2479</v>
      </c>
      <c r="L40" s="20" t="s">
        <v>2479</v>
      </c>
    </row>
    <row r="41" spans="1:12" ht="15" customHeight="1" x14ac:dyDescent="0.25">
      <c r="A41" s="100" t="s">
        <v>2434</v>
      </c>
      <c r="B41" s="102"/>
      <c r="C41" s="102"/>
      <c r="D41" s="21">
        <v>263.59999999999997</v>
      </c>
      <c r="E41" s="109" t="s">
        <v>2479</v>
      </c>
      <c r="F41" s="109"/>
      <c r="G41" s="109"/>
      <c r="H41" s="20" t="s">
        <v>2479</v>
      </c>
      <c r="I41" s="20" t="s">
        <v>2479</v>
      </c>
      <c r="J41" s="20" t="s">
        <v>2479</v>
      </c>
      <c r="K41" s="20" t="s">
        <v>2479</v>
      </c>
      <c r="L41" s="20" t="s">
        <v>2479</v>
      </c>
    </row>
    <row r="42" spans="1:12" ht="15" customHeight="1" x14ac:dyDescent="0.25">
      <c r="A42" s="100" t="s">
        <v>2510</v>
      </c>
      <c r="B42" s="102"/>
      <c r="C42" s="102"/>
      <c r="D42" s="21">
        <v>28.9</v>
      </c>
      <c r="E42" s="109" t="s">
        <v>2479</v>
      </c>
      <c r="F42" s="109"/>
      <c r="G42" s="109"/>
      <c r="H42" s="20" t="s">
        <v>2479</v>
      </c>
      <c r="I42" s="20" t="s">
        <v>2479</v>
      </c>
      <c r="J42" s="20" t="s">
        <v>2479</v>
      </c>
      <c r="K42" s="20" t="s">
        <v>2479</v>
      </c>
      <c r="L42" s="20" t="s">
        <v>2479</v>
      </c>
    </row>
    <row r="43" spans="1:12" ht="15" customHeight="1" x14ac:dyDescent="0.25">
      <c r="A43" s="100" t="s">
        <v>2533</v>
      </c>
      <c r="B43" s="102"/>
      <c r="C43" s="102"/>
      <c r="D43" s="21">
        <v>32.9</v>
      </c>
      <c r="E43" s="109" t="s">
        <v>2479</v>
      </c>
      <c r="F43" s="109"/>
      <c r="G43" s="109"/>
      <c r="H43" s="20" t="s">
        <v>2479</v>
      </c>
      <c r="I43" s="20" t="s">
        <v>2479</v>
      </c>
      <c r="J43" s="20" t="s">
        <v>2479</v>
      </c>
      <c r="K43" s="20" t="s">
        <v>2479</v>
      </c>
      <c r="L43" s="20" t="s">
        <v>2479</v>
      </c>
    </row>
    <row r="44" spans="1:12" ht="15" customHeight="1" x14ac:dyDescent="0.25">
      <c r="A44" s="100" t="s">
        <v>2444</v>
      </c>
      <c r="B44" s="102"/>
      <c r="C44" s="102"/>
      <c r="D44" s="21">
        <v>955.09999999999991</v>
      </c>
      <c r="E44" s="109" t="s">
        <v>2479</v>
      </c>
      <c r="F44" s="109"/>
      <c r="G44" s="109"/>
      <c r="H44" s="20" t="s">
        <v>2479</v>
      </c>
      <c r="I44" s="20" t="s">
        <v>2479</v>
      </c>
      <c r="J44" s="20" t="s">
        <v>2479</v>
      </c>
      <c r="K44" s="20" t="s">
        <v>2479</v>
      </c>
      <c r="L44" s="20" t="s">
        <v>2479</v>
      </c>
    </row>
    <row r="45" spans="1:12" ht="15" customHeight="1" x14ac:dyDescent="0.25">
      <c r="A45" s="100" t="s">
        <v>2453</v>
      </c>
      <c r="B45" s="102"/>
      <c r="C45" s="102"/>
      <c r="D45" s="21">
        <v>20.100000000000001</v>
      </c>
      <c r="E45" s="109" t="s">
        <v>2479</v>
      </c>
      <c r="F45" s="109"/>
      <c r="G45" s="109"/>
      <c r="H45" s="20" t="s">
        <v>2479</v>
      </c>
      <c r="I45" s="20" t="s">
        <v>2479</v>
      </c>
      <c r="J45" s="20" t="s">
        <v>2479</v>
      </c>
      <c r="K45" s="20" t="s">
        <v>2479</v>
      </c>
      <c r="L45" s="20" t="s">
        <v>2479</v>
      </c>
    </row>
    <row r="46" spans="1:12" ht="15" customHeight="1" x14ac:dyDescent="0.25">
      <c r="A46" s="100" t="s">
        <v>2451</v>
      </c>
      <c r="B46" s="102"/>
      <c r="C46" s="102"/>
      <c r="D46" s="21">
        <v>210.4</v>
      </c>
      <c r="E46" s="109" t="s">
        <v>2479</v>
      </c>
      <c r="F46" s="109"/>
      <c r="G46" s="109"/>
      <c r="H46" s="20" t="s">
        <v>2479</v>
      </c>
      <c r="I46" s="20" t="s">
        <v>2479</v>
      </c>
      <c r="J46" s="20" t="s">
        <v>2479</v>
      </c>
      <c r="K46" s="20" t="s">
        <v>2479</v>
      </c>
      <c r="L46" s="20" t="s">
        <v>2479</v>
      </c>
    </row>
    <row r="47" spans="1:12" ht="15" customHeight="1" x14ac:dyDescent="0.25">
      <c r="A47" s="100" t="s">
        <v>2450</v>
      </c>
      <c r="B47" s="102"/>
      <c r="C47" s="102"/>
      <c r="D47" s="21">
        <v>1895.8999999999999</v>
      </c>
      <c r="E47" s="109" t="s">
        <v>2479</v>
      </c>
      <c r="F47" s="109"/>
      <c r="G47" s="109"/>
      <c r="H47" s="20" t="s">
        <v>2479</v>
      </c>
      <c r="I47" s="20" t="s">
        <v>2479</v>
      </c>
      <c r="J47" s="20" t="s">
        <v>2479</v>
      </c>
      <c r="K47" s="20" t="s">
        <v>2479</v>
      </c>
      <c r="L47" s="20" t="s">
        <v>2479</v>
      </c>
    </row>
    <row r="48" spans="1:12" ht="15" customHeight="1" x14ac:dyDescent="0.25">
      <c r="A48" s="100" t="s">
        <v>2449</v>
      </c>
      <c r="B48" s="102"/>
      <c r="C48" s="102"/>
      <c r="D48" s="21">
        <v>241.20000000000002</v>
      </c>
      <c r="E48" s="109" t="s">
        <v>2479</v>
      </c>
      <c r="F48" s="109"/>
      <c r="G48" s="109"/>
      <c r="H48" s="20" t="s">
        <v>2479</v>
      </c>
      <c r="I48" s="20" t="s">
        <v>2479</v>
      </c>
      <c r="J48" s="20" t="s">
        <v>2479</v>
      </c>
      <c r="K48" s="20" t="s">
        <v>2479</v>
      </c>
      <c r="L48" s="20" t="s">
        <v>2479</v>
      </c>
    </row>
    <row r="49" spans="1:12" ht="15" customHeight="1" x14ac:dyDescent="0.25">
      <c r="A49" s="100" t="s">
        <v>2446</v>
      </c>
      <c r="B49" s="102"/>
      <c r="C49" s="102"/>
      <c r="D49" s="21">
        <v>20.200000000000003</v>
      </c>
      <c r="E49" s="109" t="s">
        <v>2479</v>
      </c>
      <c r="F49" s="109"/>
      <c r="G49" s="109"/>
      <c r="H49" s="20" t="s">
        <v>2479</v>
      </c>
      <c r="I49" s="20" t="s">
        <v>2479</v>
      </c>
      <c r="J49" s="20" t="s">
        <v>2479</v>
      </c>
      <c r="K49" s="20" t="s">
        <v>2479</v>
      </c>
      <c r="L49" s="20" t="s">
        <v>2479</v>
      </c>
    </row>
    <row r="50" spans="1:12" ht="15" customHeight="1" x14ac:dyDescent="0.25">
      <c r="A50" s="100" t="s">
        <v>2447</v>
      </c>
      <c r="B50" s="102"/>
      <c r="C50" s="102"/>
      <c r="D50" s="21">
        <v>495.00000000000006</v>
      </c>
      <c r="E50" s="109" t="s">
        <v>2479</v>
      </c>
      <c r="F50" s="109"/>
      <c r="G50" s="109"/>
      <c r="H50" s="20" t="s">
        <v>2479</v>
      </c>
      <c r="I50" s="20" t="s">
        <v>2479</v>
      </c>
      <c r="J50" s="20" t="s">
        <v>2479</v>
      </c>
      <c r="K50" s="20" t="s">
        <v>2479</v>
      </c>
      <c r="L50" s="20" t="s">
        <v>2479</v>
      </c>
    </row>
    <row r="51" spans="1:12" ht="15" customHeight="1" x14ac:dyDescent="0.25">
      <c r="A51" s="100" t="s">
        <v>2443</v>
      </c>
      <c r="B51" s="102"/>
      <c r="C51" s="102"/>
      <c r="D51" s="21">
        <v>334.40000000000003</v>
      </c>
      <c r="E51" s="109" t="s">
        <v>2479</v>
      </c>
      <c r="F51" s="109"/>
      <c r="G51" s="109"/>
      <c r="H51" s="20" t="s">
        <v>2479</v>
      </c>
      <c r="I51" s="20" t="s">
        <v>2479</v>
      </c>
      <c r="J51" s="20" t="s">
        <v>2479</v>
      </c>
      <c r="K51" s="20" t="s">
        <v>2479</v>
      </c>
      <c r="L51" s="20" t="s">
        <v>2479</v>
      </c>
    </row>
    <row r="52" spans="1:12" ht="15" customHeight="1" x14ac:dyDescent="0.25">
      <c r="A52" s="100" t="s">
        <v>2454</v>
      </c>
      <c r="B52" s="102"/>
      <c r="C52" s="102"/>
      <c r="D52" s="21">
        <v>60.7</v>
      </c>
      <c r="E52" s="109" t="s">
        <v>2479</v>
      </c>
      <c r="F52" s="109"/>
      <c r="G52" s="109"/>
      <c r="H52" s="20" t="s">
        <v>2479</v>
      </c>
      <c r="I52" s="20" t="s">
        <v>2479</v>
      </c>
      <c r="J52" s="20" t="s">
        <v>2479</v>
      </c>
      <c r="K52" s="20" t="s">
        <v>2479</v>
      </c>
      <c r="L52" s="20" t="s">
        <v>2479</v>
      </c>
    </row>
    <row r="53" spans="1:12" ht="15" customHeight="1" x14ac:dyDescent="0.25">
      <c r="A53" s="100" t="s">
        <v>2448</v>
      </c>
      <c r="B53" s="102"/>
      <c r="C53" s="102"/>
      <c r="D53" s="21">
        <v>8</v>
      </c>
      <c r="E53" s="109" t="s">
        <v>2479</v>
      </c>
      <c r="F53" s="109"/>
      <c r="G53" s="109"/>
      <c r="H53" s="20" t="s">
        <v>2479</v>
      </c>
      <c r="I53" s="20" t="s">
        <v>2479</v>
      </c>
      <c r="J53" s="20" t="s">
        <v>2479</v>
      </c>
      <c r="K53" s="20" t="s">
        <v>2479</v>
      </c>
      <c r="L53" s="20" t="s">
        <v>2479</v>
      </c>
    </row>
    <row r="54" spans="1:12" ht="15" customHeight="1" thickBot="1" x14ac:dyDescent="0.3">
      <c r="A54" s="118" t="s">
        <v>2445</v>
      </c>
      <c r="B54" s="108"/>
      <c r="C54" s="108"/>
      <c r="D54" s="22">
        <v>309.2</v>
      </c>
      <c r="E54" s="109" t="s">
        <v>2479</v>
      </c>
      <c r="F54" s="109"/>
      <c r="G54" s="109"/>
      <c r="H54" s="20" t="s">
        <v>2479</v>
      </c>
      <c r="I54" s="20" t="s">
        <v>2479</v>
      </c>
      <c r="J54" s="20" t="s">
        <v>2479</v>
      </c>
      <c r="K54" s="20" t="s">
        <v>2479</v>
      </c>
      <c r="L54" s="20" t="s">
        <v>2479</v>
      </c>
    </row>
  </sheetData>
  <mergeCells count="95">
    <mergeCell ref="A50:C50"/>
    <mergeCell ref="E50:G50"/>
    <mergeCell ref="A54:C54"/>
    <mergeCell ref="E54:G54"/>
    <mergeCell ref="A51:C51"/>
    <mergeCell ref="E51:G51"/>
    <mergeCell ref="A52:C52"/>
    <mergeCell ref="E52:G52"/>
    <mergeCell ref="A53:C53"/>
    <mergeCell ref="E53:G53"/>
    <mergeCell ref="A47:C47"/>
    <mergeCell ref="E47:G47"/>
    <mergeCell ref="A48:C48"/>
    <mergeCell ref="E48:G48"/>
    <mergeCell ref="A49:C49"/>
    <mergeCell ref="E49:G49"/>
    <mergeCell ref="A44:C44"/>
    <mergeCell ref="E44:G44"/>
    <mergeCell ref="A45:C45"/>
    <mergeCell ref="E45:G45"/>
    <mergeCell ref="A46:C46"/>
    <mergeCell ref="E46:G46"/>
    <mergeCell ref="A41:C41"/>
    <mergeCell ref="E41:G41"/>
    <mergeCell ref="A42:C42"/>
    <mergeCell ref="E42:G42"/>
    <mergeCell ref="A43:C43"/>
    <mergeCell ref="E43:G43"/>
    <mergeCell ref="A38:C38"/>
    <mergeCell ref="E38:G38"/>
    <mergeCell ref="A39:C39"/>
    <mergeCell ref="E39:G39"/>
    <mergeCell ref="A40:C40"/>
    <mergeCell ref="E40:G40"/>
    <mergeCell ref="A35:C35"/>
    <mergeCell ref="E35:G35"/>
    <mergeCell ref="A36:C36"/>
    <mergeCell ref="E36:G36"/>
    <mergeCell ref="A37:C37"/>
    <mergeCell ref="E37:G37"/>
    <mergeCell ref="K28:K32"/>
    <mergeCell ref="A33:D33"/>
    <mergeCell ref="E33:H33"/>
    <mergeCell ref="A34:C34"/>
    <mergeCell ref="E34:G34"/>
    <mergeCell ref="I28:I32"/>
    <mergeCell ref="A23:A27"/>
    <mergeCell ref="B23:B27"/>
    <mergeCell ref="A12:A22"/>
    <mergeCell ref="B12:B22"/>
    <mergeCell ref="K23:K27"/>
    <mergeCell ref="I23:I27"/>
    <mergeCell ref="L23:L27"/>
    <mergeCell ref="A28:A32"/>
    <mergeCell ref="B28:B32"/>
    <mergeCell ref="L28:L32"/>
    <mergeCell ref="C23:C27"/>
    <mergeCell ref="C28:C32"/>
    <mergeCell ref="D23:D27"/>
    <mergeCell ref="D28:D32"/>
    <mergeCell ref="E31:E32"/>
    <mergeCell ref="F31:F32"/>
    <mergeCell ref="G24:G27"/>
    <mergeCell ref="G29:G32"/>
    <mergeCell ref="H24:H27"/>
    <mergeCell ref="H29:H32"/>
    <mergeCell ref="J23:J27"/>
    <mergeCell ref="J28:J32"/>
    <mergeCell ref="L12:L22"/>
    <mergeCell ref="C9:C11"/>
    <mergeCell ref="C14:C22"/>
    <mergeCell ref="D9:D11"/>
    <mergeCell ref="D14:D22"/>
    <mergeCell ref="G3:G11"/>
    <mergeCell ref="G13:G22"/>
    <mergeCell ref="H13:H22"/>
    <mergeCell ref="I9:I11"/>
    <mergeCell ref="I12:I22"/>
    <mergeCell ref="K9:K11"/>
    <mergeCell ref="K12:K22"/>
    <mergeCell ref="J9:J11"/>
    <mergeCell ref="J12:J22"/>
    <mergeCell ref="A1:A2"/>
    <mergeCell ref="B1:B2"/>
    <mergeCell ref="C1:K1"/>
    <mergeCell ref="L1:L2"/>
    <mergeCell ref="A3:A8"/>
    <mergeCell ref="B3:B8"/>
    <mergeCell ref="L3:L8"/>
    <mergeCell ref="C3:C8"/>
    <mergeCell ref="D3:D8"/>
    <mergeCell ref="H3:H11"/>
    <mergeCell ref="A9:A11"/>
    <mergeCell ref="B9:B11"/>
    <mergeCell ref="L9:L11"/>
  </mergeCells>
  <conditionalFormatting sqref="A1:L54">
    <cfRule type="containsText" dxfId="68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theme="7" tint="0.39997558519241921"/>
  </sheetPr>
  <dimension ref="A1:L77"/>
  <sheetViews>
    <sheetView workbookViewId="0">
      <selection sqref="A1:A2"/>
    </sheetView>
  </sheetViews>
  <sheetFormatPr defaultRowHeight="15" x14ac:dyDescent="0.25"/>
  <cols>
    <col min="1" max="1" width="5.42578125" style="16" customWidth="1"/>
    <col min="2" max="2" width="16.28515625" style="16" customWidth="1"/>
    <col min="3" max="3" width="21.7109375" style="16" customWidth="1"/>
    <col min="4" max="4" width="8.140625" style="16" customWidth="1"/>
    <col min="5" max="5" width="21.7109375" style="16" customWidth="1"/>
    <col min="6" max="6" width="8.140625" style="16" customWidth="1"/>
    <col min="7" max="7" width="21.7109375" style="16" customWidth="1"/>
    <col min="8" max="8" width="8.140625" style="16" customWidth="1"/>
    <col min="9" max="9" width="21.7109375" style="16" customWidth="1"/>
    <col min="10" max="11" width="8.140625" style="16" customWidth="1"/>
    <col min="12" max="12" width="16.28515625" style="16" customWidth="1"/>
    <col min="13" max="16384" width="9.140625" style="16"/>
  </cols>
  <sheetData>
    <row r="1" spans="1:12" ht="16.5" x14ac:dyDescent="0.25">
      <c r="A1" s="110" t="s">
        <v>2369</v>
      </c>
      <c r="B1" s="112" t="s">
        <v>2476</v>
      </c>
      <c r="C1" s="112" t="s">
        <v>2477</v>
      </c>
      <c r="D1" s="112"/>
      <c r="E1" s="112"/>
      <c r="F1" s="112"/>
      <c r="G1" s="112"/>
      <c r="H1" s="112"/>
      <c r="I1" s="112"/>
      <c r="J1" s="112"/>
      <c r="K1" s="112"/>
      <c r="L1" s="98" t="s">
        <v>2478</v>
      </c>
    </row>
    <row r="2" spans="1:12" ht="40.5" x14ac:dyDescent="0.25">
      <c r="A2" s="111"/>
      <c r="B2" s="113"/>
      <c r="C2" s="23" t="s">
        <v>2480</v>
      </c>
      <c r="D2" s="24" t="s">
        <v>2481</v>
      </c>
      <c r="E2" s="23" t="s">
        <v>2482</v>
      </c>
      <c r="F2" s="24" t="s">
        <v>2481</v>
      </c>
      <c r="G2" s="23" t="s">
        <v>2483</v>
      </c>
      <c r="H2" s="24" t="s">
        <v>2481</v>
      </c>
      <c r="I2" s="23" t="s">
        <v>2484</v>
      </c>
      <c r="J2" s="24" t="s">
        <v>2481</v>
      </c>
      <c r="K2" s="24" t="s">
        <v>2485</v>
      </c>
      <c r="L2" s="99"/>
    </row>
    <row r="3" spans="1:12" ht="40.5" x14ac:dyDescent="0.25">
      <c r="A3" s="100" t="s">
        <v>2497</v>
      </c>
      <c r="B3" s="102" t="s">
        <v>2525</v>
      </c>
      <c r="C3" s="18" t="s">
        <v>2500</v>
      </c>
      <c r="D3" s="26">
        <v>44.300000000000004</v>
      </c>
      <c r="E3" s="18" t="s">
        <v>2495</v>
      </c>
      <c r="F3" s="26">
        <v>102.3</v>
      </c>
      <c r="G3" s="18" t="s">
        <v>2495</v>
      </c>
      <c r="H3" s="26">
        <v>2.9</v>
      </c>
      <c r="I3" s="18" t="s">
        <v>2434</v>
      </c>
      <c r="J3" s="26">
        <v>222.8</v>
      </c>
      <c r="K3" s="26" t="s">
        <v>2490</v>
      </c>
      <c r="L3" s="104" t="s">
        <v>2479</v>
      </c>
    </row>
    <row r="4" spans="1:12" ht="22.7" customHeight="1" x14ac:dyDescent="0.25">
      <c r="A4" s="100"/>
      <c r="B4" s="102"/>
      <c r="C4" s="102" t="s">
        <v>2501</v>
      </c>
      <c r="D4" s="106">
        <v>18</v>
      </c>
      <c r="E4" s="18" t="s">
        <v>2446</v>
      </c>
      <c r="F4" s="26">
        <v>0.5</v>
      </c>
      <c r="G4" s="102" t="s">
        <v>2445</v>
      </c>
      <c r="H4" s="106">
        <v>2.9</v>
      </c>
      <c r="I4" s="18" t="s">
        <v>2446</v>
      </c>
      <c r="J4" s="26">
        <v>0.79999999999999993</v>
      </c>
      <c r="K4" s="26" t="s">
        <v>2490</v>
      </c>
      <c r="L4" s="104"/>
    </row>
    <row r="5" spans="1:12" ht="22.7" customHeight="1" x14ac:dyDescent="0.25">
      <c r="A5" s="100"/>
      <c r="B5" s="102"/>
      <c r="C5" s="102"/>
      <c r="D5" s="106"/>
      <c r="E5" s="18" t="s">
        <v>2447</v>
      </c>
      <c r="F5" s="26">
        <v>2.1</v>
      </c>
      <c r="G5" s="102"/>
      <c r="H5" s="106"/>
      <c r="I5" s="18" t="s">
        <v>2447</v>
      </c>
      <c r="J5" s="26">
        <v>5.3</v>
      </c>
      <c r="K5" s="26" t="s">
        <v>2490</v>
      </c>
      <c r="L5" s="104"/>
    </row>
    <row r="6" spans="1:12" ht="22.7" customHeight="1" x14ac:dyDescent="0.25">
      <c r="A6" s="100"/>
      <c r="B6" s="102"/>
      <c r="C6" s="102"/>
      <c r="D6" s="106"/>
      <c r="E6" s="18" t="s">
        <v>2444</v>
      </c>
      <c r="F6" s="26">
        <v>12</v>
      </c>
      <c r="G6" s="102"/>
      <c r="H6" s="106"/>
      <c r="I6" s="18" t="s">
        <v>2445</v>
      </c>
      <c r="J6" s="26">
        <v>6.1999999999999993</v>
      </c>
      <c r="K6" s="26" t="s">
        <v>2490</v>
      </c>
      <c r="L6" s="104"/>
    </row>
    <row r="7" spans="1:12" ht="22.7" customHeight="1" x14ac:dyDescent="0.25">
      <c r="A7" s="100"/>
      <c r="B7" s="102"/>
      <c r="C7" s="102"/>
      <c r="D7" s="106"/>
      <c r="E7" s="18" t="s">
        <v>2443</v>
      </c>
      <c r="F7" s="26">
        <v>1.7</v>
      </c>
      <c r="G7" s="102"/>
      <c r="H7" s="106"/>
      <c r="I7" s="18" t="s">
        <v>2444</v>
      </c>
      <c r="J7" s="26">
        <v>30.8</v>
      </c>
      <c r="K7" s="26" t="s">
        <v>2490</v>
      </c>
      <c r="L7" s="104"/>
    </row>
    <row r="8" spans="1:12" ht="22.7" customHeight="1" x14ac:dyDescent="0.25">
      <c r="A8" s="100"/>
      <c r="B8" s="102"/>
      <c r="C8" s="102"/>
      <c r="D8" s="106"/>
      <c r="E8" s="18" t="s">
        <v>2451</v>
      </c>
      <c r="F8" s="26">
        <v>8.2999999999999989</v>
      </c>
      <c r="G8" s="102"/>
      <c r="H8" s="106"/>
      <c r="I8" s="18" t="s">
        <v>2443</v>
      </c>
      <c r="J8" s="26">
        <v>11.6</v>
      </c>
      <c r="K8" s="26" t="s">
        <v>2490</v>
      </c>
      <c r="L8" s="104"/>
    </row>
    <row r="9" spans="1:12" ht="22.7" customHeight="1" x14ac:dyDescent="0.25">
      <c r="A9" s="100"/>
      <c r="B9" s="102"/>
      <c r="C9" s="102"/>
      <c r="D9" s="106"/>
      <c r="E9" s="18" t="s">
        <v>2450</v>
      </c>
      <c r="F9" s="26">
        <v>21.1</v>
      </c>
      <c r="G9" s="102"/>
      <c r="H9" s="106"/>
      <c r="I9" s="18" t="s">
        <v>2451</v>
      </c>
      <c r="J9" s="26">
        <v>21.200000000000003</v>
      </c>
      <c r="K9" s="26" t="s">
        <v>2490</v>
      </c>
      <c r="L9" s="104"/>
    </row>
    <row r="10" spans="1:12" ht="22.7" customHeight="1" x14ac:dyDescent="0.25">
      <c r="A10" s="100"/>
      <c r="B10" s="102"/>
      <c r="C10" s="102"/>
      <c r="D10" s="106"/>
      <c r="E10" s="102" t="s">
        <v>2449</v>
      </c>
      <c r="F10" s="106">
        <v>56.9</v>
      </c>
      <c r="G10" s="102"/>
      <c r="H10" s="106"/>
      <c r="I10" s="18" t="s">
        <v>2450</v>
      </c>
      <c r="J10" s="26">
        <v>29.8</v>
      </c>
      <c r="K10" s="26" t="s">
        <v>2490</v>
      </c>
      <c r="L10" s="104"/>
    </row>
    <row r="11" spans="1:12" ht="22.7" customHeight="1" x14ac:dyDescent="0.25">
      <c r="A11" s="100"/>
      <c r="B11" s="102"/>
      <c r="C11" s="102"/>
      <c r="D11" s="106"/>
      <c r="E11" s="102"/>
      <c r="F11" s="106"/>
      <c r="G11" s="102"/>
      <c r="H11" s="106"/>
      <c r="I11" s="18" t="s">
        <v>2449</v>
      </c>
      <c r="J11" s="26">
        <v>117.5</v>
      </c>
      <c r="K11" s="26" t="s">
        <v>2490</v>
      </c>
      <c r="L11" s="104"/>
    </row>
    <row r="12" spans="1:12" ht="27" x14ac:dyDescent="0.25">
      <c r="A12" s="100" t="s">
        <v>2493</v>
      </c>
      <c r="B12" s="102" t="s">
        <v>2526</v>
      </c>
      <c r="C12" s="18" t="s">
        <v>2495</v>
      </c>
      <c r="D12" s="26">
        <v>227.1</v>
      </c>
      <c r="E12" s="18" t="s">
        <v>2495</v>
      </c>
      <c r="F12" s="26">
        <v>3354.7</v>
      </c>
      <c r="G12" s="18" t="s">
        <v>2495</v>
      </c>
      <c r="H12" s="26">
        <v>193.5</v>
      </c>
      <c r="I12" s="102" t="s">
        <v>4</v>
      </c>
      <c r="J12" s="106" t="s">
        <v>4</v>
      </c>
      <c r="K12" s="106" t="s">
        <v>4</v>
      </c>
      <c r="L12" s="104" t="s">
        <v>2479</v>
      </c>
    </row>
    <row r="13" spans="1:12" ht="22.7" customHeight="1" x14ac:dyDescent="0.25">
      <c r="A13" s="100"/>
      <c r="B13" s="102"/>
      <c r="C13" s="18" t="s">
        <v>2500</v>
      </c>
      <c r="D13" s="26">
        <v>115.89999999999999</v>
      </c>
      <c r="E13" s="18" t="s">
        <v>2446</v>
      </c>
      <c r="F13" s="26">
        <v>14.8</v>
      </c>
      <c r="G13" s="102" t="s">
        <v>2445</v>
      </c>
      <c r="H13" s="106">
        <v>193.5</v>
      </c>
      <c r="I13" s="102"/>
      <c r="J13" s="106"/>
      <c r="K13" s="106"/>
      <c r="L13" s="104"/>
    </row>
    <row r="14" spans="1:12" ht="22.7" customHeight="1" x14ac:dyDescent="0.25">
      <c r="A14" s="100"/>
      <c r="B14" s="102"/>
      <c r="C14" s="102" t="s">
        <v>2494</v>
      </c>
      <c r="D14" s="106">
        <v>969.4</v>
      </c>
      <c r="E14" s="18" t="s">
        <v>2447</v>
      </c>
      <c r="F14" s="26">
        <v>362.9</v>
      </c>
      <c r="G14" s="102"/>
      <c r="H14" s="106"/>
      <c r="I14" s="102"/>
      <c r="J14" s="106"/>
      <c r="K14" s="106"/>
      <c r="L14" s="104"/>
    </row>
    <row r="15" spans="1:12" ht="22.7" customHeight="1" x14ac:dyDescent="0.25">
      <c r="A15" s="100"/>
      <c r="B15" s="102"/>
      <c r="C15" s="102"/>
      <c r="D15" s="106"/>
      <c r="E15" s="18" t="s">
        <v>2444</v>
      </c>
      <c r="F15" s="26">
        <v>193.9</v>
      </c>
      <c r="G15" s="102"/>
      <c r="H15" s="106"/>
      <c r="I15" s="102"/>
      <c r="J15" s="106"/>
      <c r="K15" s="106"/>
      <c r="L15" s="104"/>
    </row>
    <row r="16" spans="1:12" ht="22.7" customHeight="1" x14ac:dyDescent="0.25">
      <c r="A16" s="100"/>
      <c r="B16" s="102"/>
      <c r="C16" s="102"/>
      <c r="D16" s="106"/>
      <c r="E16" s="18" t="s">
        <v>2453</v>
      </c>
      <c r="F16" s="26">
        <v>5.0999999999999996</v>
      </c>
      <c r="G16" s="102"/>
      <c r="H16" s="106"/>
      <c r="I16" s="102"/>
      <c r="J16" s="106"/>
      <c r="K16" s="106"/>
      <c r="L16" s="104"/>
    </row>
    <row r="17" spans="1:12" ht="22.7" customHeight="1" x14ac:dyDescent="0.25">
      <c r="A17" s="100"/>
      <c r="B17" s="102"/>
      <c r="C17" s="102"/>
      <c r="D17" s="106"/>
      <c r="E17" s="18" t="s">
        <v>2443</v>
      </c>
      <c r="F17" s="26">
        <v>294.3</v>
      </c>
      <c r="G17" s="102"/>
      <c r="H17" s="106"/>
      <c r="I17" s="102"/>
      <c r="J17" s="106"/>
      <c r="K17" s="106"/>
      <c r="L17" s="104"/>
    </row>
    <row r="18" spans="1:12" ht="22.7" customHeight="1" x14ac:dyDescent="0.25">
      <c r="A18" s="100"/>
      <c r="B18" s="102"/>
      <c r="C18" s="102"/>
      <c r="D18" s="106"/>
      <c r="E18" s="18" t="s">
        <v>2454</v>
      </c>
      <c r="F18" s="26">
        <v>60.6</v>
      </c>
      <c r="G18" s="102"/>
      <c r="H18" s="106"/>
      <c r="I18" s="102"/>
      <c r="J18" s="106"/>
      <c r="K18" s="106"/>
      <c r="L18" s="104"/>
    </row>
    <row r="19" spans="1:12" ht="22.7" customHeight="1" x14ac:dyDescent="0.25">
      <c r="A19" s="100"/>
      <c r="B19" s="102"/>
      <c r="C19" s="102"/>
      <c r="D19" s="106"/>
      <c r="E19" s="18" t="s">
        <v>2451</v>
      </c>
      <c r="F19" s="26">
        <v>88.399999999999991</v>
      </c>
      <c r="G19" s="102"/>
      <c r="H19" s="106"/>
      <c r="I19" s="102"/>
      <c r="J19" s="106"/>
      <c r="K19" s="106"/>
      <c r="L19" s="104"/>
    </row>
    <row r="20" spans="1:12" ht="22.7" customHeight="1" x14ac:dyDescent="0.25">
      <c r="A20" s="100"/>
      <c r="B20" s="102"/>
      <c r="C20" s="102"/>
      <c r="D20" s="106"/>
      <c r="E20" s="18" t="s">
        <v>2450</v>
      </c>
      <c r="F20" s="26">
        <v>2189.4</v>
      </c>
      <c r="G20" s="102"/>
      <c r="H20" s="106"/>
      <c r="I20" s="102"/>
      <c r="J20" s="106"/>
      <c r="K20" s="106"/>
      <c r="L20" s="104"/>
    </row>
    <row r="21" spans="1:12" ht="22.7" customHeight="1" x14ac:dyDescent="0.25">
      <c r="A21" s="100"/>
      <c r="B21" s="102"/>
      <c r="C21" s="102"/>
      <c r="D21" s="106"/>
      <c r="E21" s="18" t="s">
        <v>2449</v>
      </c>
      <c r="F21" s="26">
        <v>145.69999999999999</v>
      </c>
      <c r="G21" s="102"/>
      <c r="H21" s="106"/>
      <c r="I21" s="102"/>
      <c r="J21" s="106"/>
      <c r="K21" s="106"/>
      <c r="L21" s="104"/>
    </row>
    <row r="22" spans="1:12" ht="40.5" x14ac:dyDescent="0.25">
      <c r="A22" s="100" t="s">
        <v>2505</v>
      </c>
      <c r="B22" s="102" t="s">
        <v>2527</v>
      </c>
      <c r="C22" s="18" t="s">
        <v>2499</v>
      </c>
      <c r="D22" s="26">
        <v>22.2</v>
      </c>
      <c r="E22" s="18" t="s">
        <v>2495</v>
      </c>
      <c r="F22" s="26">
        <v>797.2</v>
      </c>
      <c r="G22" s="18" t="s">
        <v>2495</v>
      </c>
      <c r="H22" s="26">
        <v>15.5</v>
      </c>
      <c r="I22" s="18" t="s">
        <v>2506</v>
      </c>
      <c r="J22" s="26">
        <v>55.300000000000004</v>
      </c>
      <c r="K22" s="26" t="s">
        <v>2507</v>
      </c>
      <c r="L22" s="104" t="s">
        <v>2479</v>
      </c>
    </row>
    <row r="23" spans="1:12" ht="22.7" customHeight="1" x14ac:dyDescent="0.25">
      <c r="A23" s="100"/>
      <c r="B23" s="102"/>
      <c r="C23" s="102" t="s">
        <v>2494</v>
      </c>
      <c r="D23" s="106">
        <v>409.6</v>
      </c>
      <c r="E23" s="18" t="s">
        <v>2446</v>
      </c>
      <c r="F23" s="26">
        <v>2.6</v>
      </c>
      <c r="G23" s="102" t="s">
        <v>2445</v>
      </c>
      <c r="H23" s="106">
        <v>15.5</v>
      </c>
      <c r="I23" s="18" t="s">
        <v>2446</v>
      </c>
      <c r="J23" s="26">
        <v>0.2</v>
      </c>
      <c r="K23" s="26" t="s">
        <v>2507</v>
      </c>
      <c r="L23" s="104"/>
    </row>
    <row r="24" spans="1:12" ht="22.7" customHeight="1" x14ac:dyDescent="0.25">
      <c r="A24" s="100"/>
      <c r="B24" s="102"/>
      <c r="C24" s="102"/>
      <c r="D24" s="106"/>
      <c r="E24" s="18" t="s">
        <v>2447</v>
      </c>
      <c r="F24" s="26">
        <v>42.1</v>
      </c>
      <c r="G24" s="102"/>
      <c r="H24" s="106"/>
      <c r="I24" s="18" t="s">
        <v>2447</v>
      </c>
      <c r="J24" s="26">
        <v>3.5</v>
      </c>
      <c r="K24" s="26" t="s">
        <v>2507</v>
      </c>
      <c r="L24" s="104"/>
    </row>
    <row r="25" spans="1:12" ht="22.7" customHeight="1" x14ac:dyDescent="0.25">
      <c r="A25" s="100"/>
      <c r="B25" s="102"/>
      <c r="C25" s="102"/>
      <c r="D25" s="106"/>
      <c r="E25" s="18" t="s">
        <v>2444</v>
      </c>
      <c r="F25" s="26">
        <v>174.29999999999998</v>
      </c>
      <c r="G25" s="102"/>
      <c r="H25" s="106"/>
      <c r="I25" s="18" t="s">
        <v>2445</v>
      </c>
      <c r="J25" s="26">
        <v>1.2000000000000002</v>
      </c>
      <c r="K25" s="26" t="s">
        <v>2507</v>
      </c>
      <c r="L25" s="104"/>
    </row>
    <row r="26" spans="1:12" ht="22.7" customHeight="1" x14ac:dyDescent="0.25">
      <c r="A26" s="100"/>
      <c r="B26" s="102"/>
      <c r="C26" s="102"/>
      <c r="D26" s="106"/>
      <c r="E26" s="18" t="s">
        <v>2443</v>
      </c>
      <c r="F26" s="26">
        <v>2.2000000000000002</v>
      </c>
      <c r="G26" s="102"/>
      <c r="H26" s="106"/>
      <c r="I26" s="18" t="s">
        <v>2444</v>
      </c>
      <c r="J26" s="26">
        <v>10.9</v>
      </c>
      <c r="K26" s="26" t="s">
        <v>2507</v>
      </c>
      <c r="L26" s="104"/>
    </row>
    <row r="27" spans="1:12" ht="22.7" customHeight="1" x14ac:dyDescent="0.25">
      <c r="A27" s="100"/>
      <c r="B27" s="102"/>
      <c r="C27" s="102"/>
      <c r="D27" s="106"/>
      <c r="E27" s="18" t="s">
        <v>2454</v>
      </c>
      <c r="F27" s="26">
        <v>12.6</v>
      </c>
      <c r="G27" s="102"/>
      <c r="H27" s="106"/>
      <c r="I27" s="18" t="s">
        <v>2443</v>
      </c>
      <c r="J27" s="26">
        <v>0.2</v>
      </c>
      <c r="K27" s="26" t="s">
        <v>2507</v>
      </c>
      <c r="L27" s="104"/>
    </row>
    <row r="28" spans="1:12" ht="22.7" customHeight="1" x14ac:dyDescent="0.25">
      <c r="A28" s="100"/>
      <c r="B28" s="102"/>
      <c r="C28" s="102"/>
      <c r="D28" s="106"/>
      <c r="E28" s="18" t="s">
        <v>2451</v>
      </c>
      <c r="F28" s="26">
        <v>72</v>
      </c>
      <c r="G28" s="102"/>
      <c r="H28" s="106"/>
      <c r="I28" s="18" t="s">
        <v>2454</v>
      </c>
      <c r="J28" s="26">
        <v>1.9000000000000001</v>
      </c>
      <c r="K28" s="26" t="s">
        <v>2507</v>
      </c>
      <c r="L28" s="104"/>
    </row>
    <row r="29" spans="1:12" ht="22.7" customHeight="1" x14ac:dyDescent="0.25">
      <c r="A29" s="100"/>
      <c r="B29" s="102"/>
      <c r="C29" s="102"/>
      <c r="D29" s="106"/>
      <c r="E29" s="18" t="s">
        <v>2448</v>
      </c>
      <c r="F29" s="26">
        <v>12</v>
      </c>
      <c r="G29" s="102"/>
      <c r="H29" s="106"/>
      <c r="I29" s="18" t="s">
        <v>2451</v>
      </c>
      <c r="J29" s="26">
        <v>5.8</v>
      </c>
      <c r="K29" s="26" t="s">
        <v>2507</v>
      </c>
      <c r="L29" s="104"/>
    </row>
    <row r="30" spans="1:12" ht="22.7" customHeight="1" x14ac:dyDescent="0.25">
      <c r="A30" s="100"/>
      <c r="B30" s="102"/>
      <c r="C30" s="102"/>
      <c r="D30" s="106"/>
      <c r="E30" s="18" t="s">
        <v>2450</v>
      </c>
      <c r="F30" s="26">
        <v>407.6</v>
      </c>
      <c r="G30" s="102"/>
      <c r="H30" s="106"/>
      <c r="I30" s="18" t="s">
        <v>2448</v>
      </c>
      <c r="J30" s="26">
        <v>0.9</v>
      </c>
      <c r="K30" s="26" t="s">
        <v>2507</v>
      </c>
      <c r="L30" s="104"/>
    </row>
    <row r="31" spans="1:12" ht="22.7" customHeight="1" x14ac:dyDescent="0.25">
      <c r="A31" s="100"/>
      <c r="B31" s="102"/>
      <c r="C31" s="102"/>
      <c r="D31" s="106"/>
      <c r="E31" s="102" t="s">
        <v>2449</v>
      </c>
      <c r="F31" s="106">
        <v>72.2</v>
      </c>
      <c r="G31" s="102"/>
      <c r="H31" s="106"/>
      <c r="I31" s="18" t="s">
        <v>2450</v>
      </c>
      <c r="J31" s="26">
        <v>26.6</v>
      </c>
      <c r="K31" s="26" t="s">
        <v>2507</v>
      </c>
      <c r="L31" s="104"/>
    </row>
    <row r="32" spans="1:12" ht="22.7" customHeight="1" x14ac:dyDescent="0.25">
      <c r="A32" s="100"/>
      <c r="B32" s="102"/>
      <c r="C32" s="102"/>
      <c r="D32" s="106"/>
      <c r="E32" s="102"/>
      <c r="F32" s="106"/>
      <c r="G32" s="102"/>
      <c r="H32" s="106"/>
      <c r="I32" s="18" t="s">
        <v>2449</v>
      </c>
      <c r="J32" s="26">
        <v>4.5</v>
      </c>
      <c r="K32" s="26" t="s">
        <v>2507</v>
      </c>
      <c r="L32" s="104"/>
    </row>
    <row r="33" spans="1:12" ht="40.5" x14ac:dyDescent="0.25">
      <c r="A33" s="100" t="s">
        <v>2512</v>
      </c>
      <c r="B33" s="102" t="s">
        <v>2528</v>
      </c>
      <c r="C33" s="18" t="s">
        <v>2500</v>
      </c>
      <c r="D33" s="26">
        <v>19.5</v>
      </c>
      <c r="E33" s="18" t="s">
        <v>2434</v>
      </c>
      <c r="F33" s="26">
        <v>223.29999999999998</v>
      </c>
      <c r="G33" s="18" t="s">
        <v>2434</v>
      </c>
      <c r="H33" s="26">
        <v>11.5</v>
      </c>
      <c r="I33" s="102" t="s">
        <v>4</v>
      </c>
      <c r="J33" s="106" t="s">
        <v>4</v>
      </c>
      <c r="K33" s="106" t="s">
        <v>4</v>
      </c>
      <c r="L33" s="104" t="s">
        <v>2479</v>
      </c>
    </row>
    <row r="34" spans="1:12" ht="22.7" customHeight="1" x14ac:dyDescent="0.25">
      <c r="A34" s="100"/>
      <c r="B34" s="102"/>
      <c r="C34" s="102" t="s">
        <v>2494</v>
      </c>
      <c r="D34" s="106">
        <v>46.3</v>
      </c>
      <c r="E34" s="18" t="s">
        <v>2447</v>
      </c>
      <c r="F34" s="26">
        <v>13.5</v>
      </c>
      <c r="G34" s="102" t="s">
        <v>2445</v>
      </c>
      <c r="H34" s="106">
        <v>11.5</v>
      </c>
      <c r="I34" s="102"/>
      <c r="J34" s="106"/>
      <c r="K34" s="106"/>
      <c r="L34" s="104"/>
    </row>
    <row r="35" spans="1:12" ht="22.7" customHeight="1" x14ac:dyDescent="0.25">
      <c r="A35" s="100"/>
      <c r="B35" s="102"/>
      <c r="C35" s="102"/>
      <c r="D35" s="106"/>
      <c r="E35" s="18" t="s">
        <v>2444</v>
      </c>
      <c r="F35" s="26">
        <v>51</v>
      </c>
      <c r="G35" s="102"/>
      <c r="H35" s="106"/>
      <c r="I35" s="102"/>
      <c r="J35" s="106"/>
      <c r="K35" s="106"/>
      <c r="L35" s="104"/>
    </row>
    <row r="36" spans="1:12" ht="22.7" customHeight="1" x14ac:dyDescent="0.25">
      <c r="A36" s="100"/>
      <c r="B36" s="102"/>
      <c r="C36" s="102"/>
      <c r="D36" s="106"/>
      <c r="E36" s="18" t="s">
        <v>2453</v>
      </c>
      <c r="F36" s="26">
        <v>9.7999999999999989</v>
      </c>
      <c r="G36" s="102"/>
      <c r="H36" s="106"/>
      <c r="I36" s="102"/>
      <c r="J36" s="106"/>
      <c r="K36" s="106"/>
      <c r="L36" s="104"/>
    </row>
    <row r="37" spans="1:12" ht="22.7" customHeight="1" x14ac:dyDescent="0.25">
      <c r="A37" s="100"/>
      <c r="B37" s="102"/>
      <c r="C37" s="102"/>
      <c r="D37" s="106"/>
      <c r="E37" s="18" t="s">
        <v>2443</v>
      </c>
      <c r="F37" s="26">
        <v>11.1</v>
      </c>
      <c r="G37" s="102"/>
      <c r="H37" s="106"/>
      <c r="I37" s="102"/>
      <c r="J37" s="106"/>
      <c r="K37" s="106"/>
      <c r="L37" s="104"/>
    </row>
    <row r="38" spans="1:12" ht="22.7" customHeight="1" x14ac:dyDescent="0.25">
      <c r="A38" s="100"/>
      <c r="B38" s="102"/>
      <c r="C38" s="102"/>
      <c r="D38" s="106"/>
      <c r="E38" s="18" t="s">
        <v>2451</v>
      </c>
      <c r="F38" s="26">
        <v>7.9</v>
      </c>
      <c r="G38" s="102"/>
      <c r="H38" s="106"/>
      <c r="I38" s="102"/>
      <c r="J38" s="106"/>
      <c r="K38" s="106"/>
      <c r="L38" s="104"/>
    </row>
    <row r="39" spans="1:12" ht="22.7" customHeight="1" x14ac:dyDescent="0.25">
      <c r="A39" s="100"/>
      <c r="B39" s="102"/>
      <c r="C39" s="102"/>
      <c r="D39" s="106"/>
      <c r="E39" s="18" t="s">
        <v>2448</v>
      </c>
      <c r="F39" s="26">
        <v>1.4000000000000001</v>
      </c>
      <c r="G39" s="102"/>
      <c r="H39" s="106"/>
      <c r="I39" s="102"/>
      <c r="J39" s="106"/>
      <c r="K39" s="106"/>
      <c r="L39" s="104"/>
    </row>
    <row r="40" spans="1:12" ht="22.7" customHeight="1" x14ac:dyDescent="0.25">
      <c r="A40" s="100"/>
      <c r="B40" s="102"/>
      <c r="C40" s="102"/>
      <c r="D40" s="106"/>
      <c r="E40" s="18" t="s">
        <v>2450</v>
      </c>
      <c r="F40" s="26">
        <v>98.3</v>
      </c>
      <c r="G40" s="102"/>
      <c r="H40" s="106"/>
      <c r="I40" s="102"/>
      <c r="J40" s="106"/>
      <c r="K40" s="106"/>
      <c r="L40" s="104"/>
    </row>
    <row r="41" spans="1:12" ht="22.7" customHeight="1" x14ac:dyDescent="0.25">
      <c r="A41" s="100"/>
      <c r="B41" s="102"/>
      <c r="C41" s="102"/>
      <c r="D41" s="106"/>
      <c r="E41" s="18" t="s">
        <v>2449</v>
      </c>
      <c r="F41" s="26">
        <v>30.5</v>
      </c>
      <c r="G41" s="102"/>
      <c r="H41" s="106"/>
      <c r="I41" s="102"/>
      <c r="J41" s="106"/>
      <c r="K41" s="106"/>
      <c r="L41" s="104"/>
    </row>
    <row r="42" spans="1:12" ht="40.5" x14ac:dyDescent="0.25">
      <c r="A42" s="100" t="s">
        <v>2518</v>
      </c>
      <c r="B42" s="102" t="s">
        <v>2529</v>
      </c>
      <c r="C42" s="102" t="s">
        <v>2494</v>
      </c>
      <c r="D42" s="106">
        <v>14.7</v>
      </c>
      <c r="E42" s="18" t="s">
        <v>2520</v>
      </c>
      <c r="F42" s="26">
        <v>40</v>
      </c>
      <c r="G42" s="18" t="s">
        <v>2520</v>
      </c>
      <c r="H42" s="26">
        <v>1.3</v>
      </c>
      <c r="I42" s="102" t="s">
        <v>4</v>
      </c>
      <c r="J42" s="106" t="s">
        <v>4</v>
      </c>
      <c r="K42" s="106" t="s">
        <v>4</v>
      </c>
      <c r="L42" s="104" t="s">
        <v>2479</v>
      </c>
    </row>
    <row r="43" spans="1:12" ht="22.7" customHeight="1" x14ac:dyDescent="0.25">
      <c r="A43" s="100"/>
      <c r="B43" s="102"/>
      <c r="C43" s="102"/>
      <c r="D43" s="106"/>
      <c r="E43" s="18" t="s">
        <v>2447</v>
      </c>
      <c r="F43" s="26">
        <v>8.4</v>
      </c>
      <c r="G43" s="102" t="s">
        <v>2445</v>
      </c>
      <c r="H43" s="106">
        <v>1.3</v>
      </c>
      <c r="I43" s="102"/>
      <c r="J43" s="106"/>
      <c r="K43" s="106"/>
      <c r="L43" s="104"/>
    </row>
    <row r="44" spans="1:12" ht="22.7" customHeight="1" x14ac:dyDescent="0.25">
      <c r="A44" s="100"/>
      <c r="B44" s="102"/>
      <c r="C44" s="102"/>
      <c r="D44" s="106"/>
      <c r="E44" s="18" t="s">
        <v>2443</v>
      </c>
      <c r="F44" s="26">
        <v>9.2999999999999989</v>
      </c>
      <c r="G44" s="102"/>
      <c r="H44" s="106"/>
      <c r="I44" s="102"/>
      <c r="J44" s="106"/>
      <c r="K44" s="106"/>
      <c r="L44" s="104"/>
    </row>
    <row r="45" spans="1:12" ht="22.7" customHeight="1" x14ac:dyDescent="0.25">
      <c r="A45" s="100"/>
      <c r="B45" s="102"/>
      <c r="C45" s="102"/>
      <c r="D45" s="106"/>
      <c r="E45" s="18" t="s">
        <v>2451</v>
      </c>
      <c r="F45" s="26">
        <v>0.6</v>
      </c>
      <c r="G45" s="102"/>
      <c r="H45" s="106"/>
      <c r="I45" s="102"/>
      <c r="J45" s="106"/>
      <c r="K45" s="106"/>
      <c r="L45" s="104"/>
    </row>
    <row r="46" spans="1:12" ht="22.7" customHeight="1" x14ac:dyDescent="0.25">
      <c r="A46" s="100"/>
      <c r="B46" s="102"/>
      <c r="C46" s="102"/>
      <c r="D46" s="106"/>
      <c r="E46" s="18" t="s">
        <v>2450</v>
      </c>
      <c r="F46" s="26">
        <v>21.8</v>
      </c>
      <c r="G46" s="102"/>
      <c r="H46" s="106"/>
      <c r="I46" s="102"/>
      <c r="J46" s="106"/>
      <c r="K46" s="106"/>
      <c r="L46" s="104"/>
    </row>
    <row r="47" spans="1:12" ht="27" x14ac:dyDescent="0.25">
      <c r="A47" s="100" t="s">
        <v>2521</v>
      </c>
      <c r="B47" s="102" t="s">
        <v>2530</v>
      </c>
      <c r="C47" s="102" t="s">
        <v>4</v>
      </c>
      <c r="D47" s="106" t="s">
        <v>4</v>
      </c>
      <c r="E47" s="18" t="s">
        <v>2523</v>
      </c>
      <c r="F47" s="26">
        <v>42.3</v>
      </c>
      <c r="G47" s="18" t="s">
        <v>2523</v>
      </c>
      <c r="H47" s="26">
        <v>3.1</v>
      </c>
      <c r="I47" s="102" t="s">
        <v>4</v>
      </c>
      <c r="J47" s="106" t="s">
        <v>4</v>
      </c>
      <c r="K47" s="106" t="s">
        <v>4</v>
      </c>
      <c r="L47" s="104" t="s">
        <v>2479</v>
      </c>
    </row>
    <row r="48" spans="1:12" ht="22.7" customHeight="1" x14ac:dyDescent="0.25">
      <c r="A48" s="100"/>
      <c r="B48" s="102"/>
      <c r="C48" s="102"/>
      <c r="D48" s="106"/>
      <c r="E48" s="18" t="s">
        <v>2444</v>
      </c>
      <c r="F48" s="26">
        <v>26.8</v>
      </c>
      <c r="G48" s="102" t="s">
        <v>2445</v>
      </c>
      <c r="H48" s="106">
        <v>3.1</v>
      </c>
      <c r="I48" s="102"/>
      <c r="J48" s="106"/>
      <c r="K48" s="106"/>
      <c r="L48" s="104"/>
    </row>
    <row r="49" spans="1:12" ht="22.7" customHeight="1" x14ac:dyDescent="0.25">
      <c r="A49" s="100"/>
      <c r="B49" s="102"/>
      <c r="C49" s="102"/>
      <c r="D49" s="106"/>
      <c r="E49" s="18" t="s">
        <v>2443</v>
      </c>
      <c r="F49" s="26">
        <v>5.8</v>
      </c>
      <c r="G49" s="102"/>
      <c r="H49" s="106"/>
      <c r="I49" s="102"/>
      <c r="J49" s="106"/>
      <c r="K49" s="106"/>
      <c r="L49" s="104"/>
    </row>
    <row r="50" spans="1:12" ht="22.7" customHeight="1" x14ac:dyDescent="0.25">
      <c r="A50" s="100"/>
      <c r="B50" s="102"/>
      <c r="C50" s="102"/>
      <c r="D50" s="106"/>
      <c r="E50" s="18" t="s">
        <v>2449</v>
      </c>
      <c r="F50" s="26">
        <v>9.8000000000000007</v>
      </c>
      <c r="G50" s="102"/>
      <c r="H50" s="106"/>
      <c r="I50" s="102"/>
      <c r="J50" s="106"/>
      <c r="K50" s="106"/>
      <c r="L50" s="104"/>
    </row>
    <row r="51" spans="1:12" ht="27" x14ac:dyDescent="0.25">
      <c r="A51" s="100" t="s">
        <v>2531</v>
      </c>
      <c r="B51" s="102" t="s">
        <v>2532</v>
      </c>
      <c r="C51" s="102" t="s">
        <v>2533</v>
      </c>
      <c r="D51" s="106">
        <v>6</v>
      </c>
      <c r="E51" s="18" t="s">
        <v>2533</v>
      </c>
      <c r="F51" s="26">
        <v>27.5</v>
      </c>
      <c r="G51" s="18" t="s">
        <v>2533</v>
      </c>
      <c r="H51" s="26">
        <v>3.8000000000000003</v>
      </c>
      <c r="I51" s="102" t="s">
        <v>4</v>
      </c>
      <c r="J51" s="106" t="s">
        <v>4</v>
      </c>
      <c r="K51" s="106" t="s">
        <v>4</v>
      </c>
      <c r="L51" s="104" t="s">
        <v>2479</v>
      </c>
    </row>
    <row r="52" spans="1:12" ht="22.7" customHeight="1" x14ac:dyDescent="0.25">
      <c r="A52" s="100"/>
      <c r="B52" s="102"/>
      <c r="C52" s="102"/>
      <c r="D52" s="106"/>
      <c r="E52" s="102" t="s">
        <v>2450</v>
      </c>
      <c r="F52" s="106">
        <v>27.5</v>
      </c>
      <c r="G52" s="102" t="s">
        <v>2445</v>
      </c>
      <c r="H52" s="106">
        <v>3.8000000000000003</v>
      </c>
      <c r="I52" s="102"/>
      <c r="J52" s="106"/>
      <c r="K52" s="106"/>
      <c r="L52" s="104"/>
    </row>
    <row r="53" spans="1:12" ht="22.7" customHeight="1" thickBot="1" x14ac:dyDescent="0.3">
      <c r="A53" s="101"/>
      <c r="B53" s="103"/>
      <c r="C53" s="103"/>
      <c r="D53" s="107"/>
      <c r="E53" s="108"/>
      <c r="F53" s="114"/>
      <c r="G53" s="108"/>
      <c r="H53" s="114"/>
      <c r="I53" s="108"/>
      <c r="J53" s="114"/>
      <c r="K53" s="114"/>
      <c r="L53" s="105"/>
    </row>
    <row r="54" spans="1:12" ht="15" customHeight="1" x14ac:dyDescent="0.25">
      <c r="A54" s="115" t="s">
        <v>2491</v>
      </c>
      <c r="B54" s="116"/>
      <c r="C54" s="116"/>
      <c r="D54" s="117"/>
      <c r="E54" s="109" t="s">
        <v>2479</v>
      </c>
      <c r="F54" s="109"/>
      <c r="G54" s="109"/>
      <c r="H54" s="109"/>
      <c r="I54" s="20" t="s">
        <v>2479</v>
      </c>
      <c r="J54" s="20" t="s">
        <v>2479</v>
      </c>
      <c r="K54" s="20" t="s">
        <v>2479</v>
      </c>
      <c r="L54" s="20" t="s">
        <v>2479</v>
      </c>
    </row>
    <row r="55" spans="1:12" ht="15" customHeight="1" x14ac:dyDescent="0.25">
      <c r="A55" s="100" t="s">
        <v>2498</v>
      </c>
      <c r="B55" s="102"/>
      <c r="C55" s="102"/>
      <c r="D55" s="21">
        <v>227.1</v>
      </c>
      <c r="E55" s="109" t="s">
        <v>2479</v>
      </c>
      <c r="F55" s="109"/>
      <c r="G55" s="109"/>
      <c r="H55" s="20" t="s">
        <v>2479</v>
      </c>
      <c r="I55" s="20" t="s">
        <v>2479</v>
      </c>
      <c r="J55" s="20" t="s">
        <v>2479</v>
      </c>
      <c r="K55" s="20" t="s">
        <v>2479</v>
      </c>
      <c r="L55" s="20" t="s">
        <v>2479</v>
      </c>
    </row>
    <row r="56" spans="1:12" ht="15" customHeight="1" x14ac:dyDescent="0.25">
      <c r="A56" s="100" t="s">
        <v>2534</v>
      </c>
      <c r="B56" s="102"/>
      <c r="C56" s="102"/>
      <c r="D56" s="21">
        <v>6</v>
      </c>
      <c r="E56" s="109" t="s">
        <v>2479</v>
      </c>
      <c r="F56" s="109"/>
      <c r="G56" s="109"/>
      <c r="H56" s="20" t="s">
        <v>2479</v>
      </c>
      <c r="I56" s="20" t="s">
        <v>2479</v>
      </c>
      <c r="J56" s="20" t="s">
        <v>2479</v>
      </c>
      <c r="K56" s="20" t="s">
        <v>2479</v>
      </c>
      <c r="L56" s="20" t="s">
        <v>2479</v>
      </c>
    </row>
    <row r="57" spans="1:12" ht="15" customHeight="1" x14ac:dyDescent="0.25">
      <c r="A57" s="100" t="s">
        <v>2503</v>
      </c>
      <c r="B57" s="102"/>
      <c r="C57" s="102"/>
      <c r="D57" s="21">
        <v>179.7</v>
      </c>
      <c r="E57" s="109" t="s">
        <v>2479</v>
      </c>
      <c r="F57" s="109"/>
      <c r="G57" s="109"/>
      <c r="H57" s="20" t="s">
        <v>2479</v>
      </c>
      <c r="I57" s="20" t="s">
        <v>2479</v>
      </c>
      <c r="J57" s="20" t="s">
        <v>2479</v>
      </c>
      <c r="K57" s="20" t="s">
        <v>2479</v>
      </c>
      <c r="L57" s="20" t="s">
        <v>2479</v>
      </c>
    </row>
    <row r="58" spans="1:12" ht="15" customHeight="1" x14ac:dyDescent="0.25">
      <c r="A58" s="100" t="s">
        <v>2504</v>
      </c>
      <c r="B58" s="102"/>
      <c r="C58" s="102"/>
      <c r="D58" s="21">
        <v>18</v>
      </c>
      <c r="E58" s="109" t="s">
        <v>2479</v>
      </c>
      <c r="F58" s="109"/>
      <c r="G58" s="109"/>
      <c r="H58" s="20" t="s">
        <v>2479</v>
      </c>
      <c r="I58" s="20" t="s">
        <v>2479</v>
      </c>
      <c r="J58" s="20" t="s">
        <v>2479</v>
      </c>
      <c r="K58" s="20" t="s">
        <v>2479</v>
      </c>
      <c r="L58" s="20" t="s">
        <v>2479</v>
      </c>
    </row>
    <row r="59" spans="1:12" ht="15" customHeight="1" x14ac:dyDescent="0.25">
      <c r="A59" s="100" t="s">
        <v>2496</v>
      </c>
      <c r="B59" s="102"/>
      <c r="C59" s="102"/>
      <c r="D59" s="21">
        <v>1440</v>
      </c>
      <c r="E59" s="109" t="s">
        <v>2479</v>
      </c>
      <c r="F59" s="109"/>
      <c r="G59" s="109"/>
      <c r="H59" s="20" t="s">
        <v>2479</v>
      </c>
      <c r="I59" s="20" t="s">
        <v>2479</v>
      </c>
      <c r="J59" s="20" t="s">
        <v>2479</v>
      </c>
      <c r="K59" s="20" t="s">
        <v>2479</v>
      </c>
      <c r="L59" s="20" t="s">
        <v>2479</v>
      </c>
    </row>
    <row r="60" spans="1:12" ht="15" customHeight="1" x14ac:dyDescent="0.25">
      <c r="A60" s="100" t="s">
        <v>2502</v>
      </c>
      <c r="B60" s="102"/>
      <c r="C60" s="102"/>
      <c r="D60" s="21">
        <v>22.2</v>
      </c>
      <c r="E60" s="109" t="s">
        <v>2479</v>
      </c>
      <c r="F60" s="109"/>
      <c r="G60" s="109"/>
      <c r="H60" s="20" t="s">
        <v>2479</v>
      </c>
      <c r="I60" s="20" t="s">
        <v>2479</v>
      </c>
      <c r="J60" s="20" t="s">
        <v>2479</v>
      </c>
      <c r="K60" s="20" t="s">
        <v>2479</v>
      </c>
      <c r="L60" s="20" t="s">
        <v>2479</v>
      </c>
    </row>
    <row r="61" spans="1:12" ht="15" customHeight="1" x14ac:dyDescent="0.25">
      <c r="A61" s="100" t="s">
        <v>2495</v>
      </c>
      <c r="B61" s="102"/>
      <c r="C61" s="102"/>
      <c r="D61" s="21">
        <v>4466.0999999999995</v>
      </c>
      <c r="E61" s="109" t="s">
        <v>2479</v>
      </c>
      <c r="F61" s="109"/>
      <c r="G61" s="109"/>
      <c r="H61" s="20" t="s">
        <v>2479</v>
      </c>
      <c r="I61" s="20" t="s">
        <v>2479</v>
      </c>
      <c r="J61" s="20" t="s">
        <v>2479</v>
      </c>
      <c r="K61" s="20" t="s">
        <v>2479</v>
      </c>
      <c r="L61" s="20" t="s">
        <v>2479</v>
      </c>
    </row>
    <row r="62" spans="1:12" ht="15" customHeight="1" x14ac:dyDescent="0.25">
      <c r="A62" s="100" t="s">
        <v>2434</v>
      </c>
      <c r="B62" s="102"/>
      <c r="C62" s="102"/>
      <c r="D62" s="21">
        <v>457.6</v>
      </c>
      <c r="E62" s="109" t="s">
        <v>2479</v>
      </c>
      <c r="F62" s="109"/>
      <c r="G62" s="109"/>
      <c r="H62" s="20" t="s">
        <v>2479</v>
      </c>
      <c r="I62" s="20" t="s">
        <v>2479</v>
      </c>
      <c r="J62" s="20" t="s">
        <v>2479</v>
      </c>
      <c r="K62" s="20" t="s">
        <v>2479</v>
      </c>
      <c r="L62" s="20" t="s">
        <v>2479</v>
      </c>
    </row>
    <row r="63" spans="1:12" ht="15" customHeight="1" x14ac:dyDescent="0.25">
      <c r="A63" s="100" t="s">
        <v>2506</v>
      </c>
      <c r="B63" s="102"/>
      <c r="C63" s="102"/>
      <c r="D63" s="21">
        <v>55.300000000000004</v>
      </c>
      <c r="E63" s="109" t="s">
        <v>2479</v>
      </c>
      <c r="F63" s="109"/>
      <c r="G63" s="109"/>
      <c r="H63" s="20" t="s">
        <v>2479</v>
      </c>
      <c r="I63" s="20" t="s">
        <v>2479</v>
      </c>
      <c r="J63" s="20" t="s">
        <v>2479</v>
      </c>
      <c r="K63" s="20" t="s">
        <v>2479</v>
      </c>
      <c r="L63" s="20" t="s">
        <v>2479</v>
      </c>
    </row>
    <row r="64" spans="1:12" ht="15" customHeight="1" x14ac:dyDescent="0.25">
      <c r="A64" s="100" t="s">
        <v>2520</v>
      </c>
      <c r="B64" s="102"/>
      <c r="C64" s="102"/>
      <c r="D64" s="21">
        <v>41.3</v>
      </c>
      <c r="E64" s="109" t="s">
        <v>2479</v>
      </c>
      <c r="F64" s="109"/>
      <c r="G64" s="109"/>
      <c r="H64" s="20" t="s">
        <v>2479</v>
      </c>
      <c r="I64" s="20" t="s">
        <v>2479</v>
      </c>
      <c r="J64" s="20" t="s">
        <v>2479</v>
      </c>
      <c r="K64" s="20" t="s">
        <v>2479</v>
      </c>
      <c r="L64" s="20" t="s">
        <v>2479</v>
      </c>
    </row>
    <row r="65" spans="1:12" ht="15" customHeight="1" x14ac:dyDescent="0.25">
      <c r="A65" s="100" t="s">
        <v>2523</v>
      </c>
      <c r="B65" s="102"/>
      <c r="C65" s="102"/>
      <c r="D65" s="21">
        <v>45.4</v>
      </c>
      <c r="E65" s="109" t="s">
        <v>2479</v>
      </c>
      <c r="F65" s="109"/>
      <c r="G65" s="109"/>
      <c r="H65" s="20" t="s">
        <v>2479</v>
      </c>
      <c r="I65" s="20" t="s">
        <v>2479</v>
      </c>
      <c r="J65" s="20" t="s">
        <v>2479</v>
      </c>
      <c r="K65" s="20" t="s">
        <v>2479</v>
      </c>
      <c r="L65" s="20" t="s">
        <v>2479</v>
      </c>
    </row>
    <row r="66" spans="1:12" ht="15" customHeight="1" x14ac:dyDescent="0.25">
      <c r="A66" s="100" t="s">
        <v>2533</v>
      </c>
      <c r="B66" s="102"/>
      <c r="C66" s="102"/>
      <c r="D66" s="21">
        <v>31.3</v>
      </c>
      <c r="E66" s="109" t="s">
        <v>2479</v>
      </c>
      <c r="F66" s="109"/>
      <c r="G66" s="109"/>
      <c r="H66" s="20" t="s">
        <v>2479</v>
      </c>
      <c r="I66" s="20" t="s">
        <v>2479</v>
      </c>
      <c r="J66" s="20" t="s">
        <v>2479</v>
      </c>
      <c r="K66" s="20" t="s">
        <v>2479</v>
      </c>
      <c r="L66" s="20" t="s">
        <v>2479</v>
      </c>
    </row>
    <row r="67" spans="1:12" ht="15" customHeight="1" x14ac:dyDescent="0.25">
      <c r="A67" s="100" t="s">
        <v>2446</v>
      </c>
      <c r="B67" s="102"/>
      <c r="C67" s="102"/>
      <c r="D67" s="21">
        <v>18.900000000000002</v>
      </c>
      <c r="E67" s="109" t="s">
        <v>2479</v>
      </c>
      <c r="F67" s="109"/>
      <c r="G67" s="109"/>
      <c r="H67" s="20" t="s">
        <v>2479</v>
      </c>
      <c r="I67" s="20" t="s">
        <v>2479</v>
      </c>
      <c r="J67" s="20" t="s">
        <v>2479</v>
      </c>
      <c r="K67" s="20" t="s">
        <v>2479</v>
      </c>
      <c r="L67" s="20" t="s">
        <v>2479</v>
      </c>
    </row>
    <row r="68" spans="1:12" ht="15" customHeight="1" x14ac:dyDescent="0.25">
      <c r="A68" s="100" t="s">
        <v>2447</v>
      </c>
      <c r="B68" s="102"/>
      <c r="C68" s="102"/>
      <c r="D68" s="21">
        <v>437.79999999999995</v>
      </c>
      <c r="E68" s="109" t="s">
        <v>2479</v>
      </c>
      <c r="F68" s="109"/>
      <c r="G68" s="109"/>
      <c r="H68" s="20" t="s">
        <v>2479</v>
      </c>
      <c r="I68" s="20" t="s">
        <v>2479</v>
      </c>
      <c r="J68" s="20" t="s">
        <v>2479</v>
      </c>
      <c r="K68" s="20" t="s">
        <v>2479</v>
      </c>
      <c r="L68" s="20" t="s">
        <v>2479</v>
      </c>
    </row>
    <row r="69" spans="1:12" ht="15" customHeight="1" x14ac:dyDescent="0.25">
      <c r="A69" s="100" t="s">
        <v>2444</v>
      </c>
      <c r="B69" s="102"/>
      <c r="C69" s="102"/>
      <c r="D69" s="21">
        <v>499.7</v>
      </c>
      <c r="E69" s="109" t="s">
        <v>2479</v>
      </c>
      <c r="F69" s="109"/>
      <c r="G69" s="109"/>
      <c r="H69" s="20" t="s">
        <v>2479</v>
      </c>
      <c r="I69" s="20" t="s">
        <v>2479</v>
      </c>
      <c r="J69" s="20" t="s">
        <v>2479</v>
      </c>
      <c r="K69" s="20" t="s">
        <v>2479</v>
      </c>
      <c r="L69" s="20" t="s">
        <v>2479</v>
      </c>
    </row>
    <row r="70" spans="1:12" ht="15" customHeight="1" x14ac:dyDescent="0.25">
      <c r="A70" s="100" t="s">
        <v>2443</v>
      </c>
      <c r="B70" s="102"/>
      <c r="C70" s="102"/>
      <c r="D70" s="21">
        <v>336.20000000000005</v>
      </c>
      <c r="E70" s="109" t="s">
        <v>2479</v>
      </c>
      <c r="F70" s="109"/>
      <c r="G70" s="109"/>
      <c r="H70" s="20" t="s">
        <v>2479</v>
      </c>
      <c r="I70" s="20" t="s">
        <v>2479</v>
      </c>
      <c r="J70" s="20" t="s">
        <v>2479</v>
      </c>
      <c r="K70" s="20" t="s">
        <v>2479</v>
      </c>
      <c r="L70" s="20" t="s">
        <v>2479</v>
      </c>
    </row>
    <row r="71" spans="1:12" ht="15" customHeight="1" x14ac:dyDescent="0.25">
      <c r="A71" s="100" t="s">
        <v>2451</v>
      </c>
      <c r="B71" s="102"/>
      <c r="C71" s="102"/>
      <c r="D71" s="21">
        <v>204.2</v>
      </c>
      <c r="E71" s="109" t="s">
        <v>2479</v>
      </c>
      <c r="F71" s="109"/>
      <c r="G71" s="109"/>
      <c r="H71" s="20" t="s">
        <v>2479</v>
      </c>
      <c r="I71" s="20" t="s">
        <v>2479</v>
      </c>
      <c r="J71" s="20" t="s">
        <v>2479</v>
      </c>
      <c r="K71" s="20" t="s">
        <v>2479</v>
      </c>
      <c r="L71" s="20" t="s">
        <v>2479</v>
      </c>
    </row>
    <row r="72" spans="1:12" ht="15" customHeight="1" x14ac:dyDescent="0.25">
      <c r="A72" s="100" t="s">
        <v>2450</v>
      </c>
      <c r="B72" s="102"/>
      <c r="C72" s="102"/>
      <c r="D72" s="21">
        <v>2822.1000000000004</v>
      </c>
      <c r="E72" s="109" t="s">
        <v>2479</v>
      </c>
      <c r="F72" s="109"/>
      <c r="G72" s="109"/>
      <c r="H72" s="20" t="s">
        <v>2479</v>
      </c>
      <c r="I72" s="20" t="s">
        <v>2479</v>
      </c>
      <c r="J72" s="20" t="s">
        <v>2479</v>
      </c>
      <c r="K72" s="20" t="s">
        <v>2479</v>
      </c>
      <c r="L72" s="20" t="s">
        <v>2479</v>
      </c>
    </row>
    <row r="73" spans="1:12" ht="15" customHeight="1" x14ac:dyDescent="0.25">
      <c r="A73" s="100" t="s">
        <v>2449</v>
      </c>
      <c r="B73" s="102"/>
      <c r="C73" s="102"/>
      <c r="D73" s="21">
        <v>437.1</v>
      </c>
      <c r="E73" s="109" t="s">
        <v>2479</v>
      </c>
      <c r="F73" s="109"/>
      <c r="G73" s="109"/>
      <c r="H73" s="20" t="s">
        <v>2479</v>
      </c>
      <c r="I73" s="20" t="s">
        <v>2479</v>
      </c>
      <c r="J73" s="20" t="s">
        <v>2479</v>
      </c>
      <c r="K73" s="20" t="s">
        <v>2479</v>
      </c>
      <c r="L73" s="20" t="s">
        <v>2479</v>
      </c>
    </row>
    <row r="74" spans="1:12" ht="15" customHeight="1" x14ac:dyDescent="0.25">
      <c r="A74" s="100" t="s">
        <v>2445</v>
      </c>
      <c r="B74" s="102"/>
      <c r="C74" s="102"/>
      <c r="D74" s="21">
        <v>239</v>
      </c>
      <c r="E74" s="109" t="s">
        <v>2479</v>
      </c>
      <c r="F74" s="109"/>
      <c r="G74" s="109"/>
      <c r="H74" s="20" t="s">
        <v>2479</v>
      </c>
      <c r="I74" s="20" t="s">
        <v>2479</v>
      </c>
      <c r="J74" s="20" t="s">
        <v>2479</v>
      </c>
      <c r="K74" s="20" t="s">
        <v>2479</v>
      </c>
      <c r="L74" s="20" t="s">
        <v>2479</v>
      </c>
    </row>
    <row r="75" spans="1:12" ht="15" customHeight="1" x14ac:dyDescent="0.25">
      <c r="A75" s="100" t="s">
        <v>2453</v>
      </c>
      <c r="B75" s="102"/>
      <c r="C75" s="102"/>
      <c r="D75" s="21">
        <v>14.899999999999999</v>
      </c>
      <c r="E75" s="109" t="s">
        <v>2479</v>
      </c>
      <c r="F75" s="109"/>
      <c r="G75" s="109"/>
      <c r="H75" s="20" t="s">
        <v>2479</v>
      </c>
      <c r="I75" s="20" t="s">
        <v>2479</v>
      </c>
      <c r="J75" s="20" t="s">
        <v>2479</v>
      </c>
      <c r="K75" s="20" t="s">
        <v>2479</v>
      </c>
      <c r="L75" s="20" t="s">
        <v>2479</v>
      </c>
    </row>
    <row r="76" spans="1:12" ht="15" customHeight="1" x14ac:dyDescent="0.25">
      <c r="A76" s="100" t="s">
        <v>2454</v>
      </c>
      <c r="B76" s="102"/>
      <c r="C76" s="102"/>
      <c r="D76" s="21">
        <v>75.100000000000009</v>
      </c>
      <c r="E76" s="109" t="s">
        <v>2479</v>
      </c>
      <c r="F76" s="109"/>
      <c r="G76" s="109"/>
      <c r="H76" s="20" t="s">
        <v>2479</v>
      </c>
      <c r="I76" s="20" t="s">
        <v>2479</v>
      </c>
      <c r="J76" s="20" t="s">
        <v>2479</v>
      </c>
      <c r="K76" s="20" t="s">
        <v>2479</v>
      </c>
      <c r="L76" s="20" t="s">
        <v>2479</v>
      </c>
    </row>
    <row r="77" spans="1:12" ht="15" customHeight="1" thickBot="1" x14ac:dyDescent="0.3">
      <c r="A77" s="118" t="s">
        <v>2448</v>
      </c>
      <c r="B77" s="108"/>
      <c r="C77" s="108"/>
      <c r="D77" s="22">
        <v>14.3</v>
      </c>
      <c r="E77" s="109" t="s">
        <v>2479</v>
      </c>
      <c r="F77" s="109"/>
      <c r="G77" s="109"/>
      <c r="H77" s="20" t="s">
        <v>2479</v>
      </c>
      <c r="I77" s="20" t="s">
        <v>2479</v>
      </c>
      <c r="J77" s="20" t="s">
        <v>2479</v>
      </c>
      <c r="K77" s="20" t="s">
        <v>2479</v>
      </c>
      <c r="L77" s="20" t="s">
        <v>2479</v>
      </c>
    </row>
  </sheetData>
  <mergeCells count="122">
    <mergeCell ref="A76:C76"/>
    <mergeCell ref="E76:G76"/>
    <mergeCell ref="A77:C77"/>
    <mergeCell ref="E77:G77"/>
    <mergeCell ref="A73:C73"/>
    <mergeCell ref="E73:G73"/>
    <mergeCell ref="A74:C74"/>
    <mergeCell ref="E74:G74"/>
    <mergeCell ref="A75:C75"/>
    <mergeCell ref="E75:G75"/>
    <mergeCell ref="A70:C70"/>
    <mergeCell ref="E70:G70"/>
    <mergeCell ref="A71:C71"/>
    <mergeCell ref="E71:G71"/>
    <mergeCell ref="A72:C72"/>
    <mergeCell ref="E72:G72"/>
    <mergeCell ref="A67:C67"/>
    <mergeCell ref="E67:G67"/>
    <mergeCell ref="A68:C68"/>
    <mergeCell ref="E68:G68"/>
    <mergeCell ref="A69:C69"/>
    <mergeCell ref="E69:G69"/>
    <mergeCell ref="A64:C64"/>
    <mergeCell ref="E64:G64"/>
    <mergeCell ref="A65:C65"/>
    <mergeCell ref="E65:G65"/>
    <mergeCell ref="A66:C66"/>
    <mergeCell ref="E66:G66"/>
    <mergeCell ref="A61:C61"/>
    <mergeCell ref="E61:G61"/>
    <mergeCell ref="A62:C62"/>
    <mergeCell ref="E62:G62"/>
    <mergeCell ref="A63:C63"/>
    <mergeCell ref="E63:G63"/>
    <mergeCell ref="A58:C58"/>
    <mergeCell ref="E58:G58"/>
    <mergeCell ref="A59:C59"/>
    <mergeCell ref="E59:G59"/>
    <mergeCell ref="A60:C60"/>
    <mergeCell ref="E60:G60"/>
    <mergeCell ref="A55:C55"/>
    <mergeCell ref="E55:G55"/>
    <mergeCell ref="A56:C56"/>
    <mergeCell ref="E56:G56"/>
    <mergeCell ref="A57:C57"/>
    <mergeCell ref="E57:G57"/>
    <mergeCell ref="K51:K53"/>
    <mergeCell ref="A54:D54"/>
    <mergeCell ref="E54:H54"/>
    <mergeCell ref="I12:I21"/>
    <mergeCell ref="I33:I41"/>
    <mergeCell ref="I42:I46"/>
    <mergeCell ref="I47:I50"/>
    <mergeCell ref="I51:I53"/>
    <mergeCell ref="J12:J21"/>
    <mergeCell ref="J33:J41"/>
    <mergeCell ref="J42:J46"/>
    <mergeCell ref="J47:J50"/>
    <mergeCell ref="J51:J53"/>
    <mergeCell ref="G48:G50"/>
    <mergeCell ref="G52:G53"/>
    <mergeCell ref="A47:A50"/>
    <mergeCell ref="B47:B50"/>
    <mergeCell ref="A12:A21"/>
    <mergeCell ref="B12:B21"/>
    <mergeCell ref="G4:G11"/>
    <mergeCell ref="G13:G21"/>
    <mergeCell ref="G23:G32"/>
    <mergeCell ref="G34:G41"/>
    <mergeCell ref="G43:G46"/>
    <mergeCell ref="K12:K21"/>
    <mergeCell ref="K33:K41"/>
    <mergeCell ref="K42:K46"/>
    <mergeCell ref="K47:K50"/>
    <mergeCell ref="L47:L50"/>
    <mergeCell ref="A51:A53"/>
    <mergeCell ref="B51:B53"/>
    <mergeCell ref="L51:L53"/>
    <mergeCell ref="C47:C50"/>
    <mergeCell ref="C51:C53"/>
    <mergeCell ref="D47:D50"/>
    <mergeCell ref="D51:D53"/>
    <mergeCell ref="A33:A41"/>
    <mergeCell ref="B33:B41"/>
    <mergeCell ref="L33:L41"/>
    <mergeCell ref="A42:A46"/>
    <mergeCell ref="B42:B46"/>
    <mergeCell ref="L42:L46"/>
    <mergeCell ref="C34:C41"/>
    <mergeCell ref="C42:C46"/>
    <mergeCell ref="D34:D41"/>
    <mergeCell ref="D42:D46"/>
    <mergeCell ref="H34:H41"/>
    <mergeCell ref="H43:H46"/>
    <mergeCell ref="H48:H50"/>
    <mergeCell ref="H52:H53"/>
    <mergeCell ref="E52:E53"/>
    <mergeCell ref="F52:F53"/>
    <mergeCell ref="L12:L21"/>
    <mergeCell ref="A22:A32"/>
    <mergeCell ref="B22:B32"/>
    <mergeCell ref="L22:L32"/>
    <mergeCell ref="C14:C21"/>
    <mergeCell ref="C23:C32"/>
    <mergeCell ref="D14:D21"/>
    <mergeCell ref="D23:D32"/>
    <mergeCell ref="A1:A2"/>
    <mergeCell ref="B1:B2"/>
    <mergeCell ref="C1:K1"/>
    <mergeCell ref="L1:L2"/>
    <mergeCell ref="A3:A11"/>
    <mergeCell ref="B3:B11"/>
    <mergeCell ref="L3:L11"/>
    <mergeCell ref="C4:C11"/>
    <mergeCell ref="D4:D11"/>
    <mergeCell ref="E10:E11"/>
    <mergeCell ref="H4:H11"/>
    <mergeCell ref="H13:H21"/>
    <mergeCell ref="H23:H32"/>
    <mergeCell ref="E31:E32"/>
    <mergeCell ref="F10:F11"/>
    <mergeCell ref="F31:F32"/>
  </mergeCells>
  <conditionalFormatting sqref="A1:L77">
    <cfRule type="containsText" dxfId="67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theme="7" tint="0.39997558519241921"/>
  </sheetPr>
  <dimension ref="A1:L81"/>
  <sheetViews>
    <sheetView workbookViewId="0">
      <selection sqref="A1:A2"/>
    </sheetView>
  </sheetViews>
  <sheetFormatPr defaultRowHeight="15" x14ac:dyDescent="0.25"/>
  <cols>
    <col min="1" max="1" width="5.42578125" style="16" customWidth="1"/>
    <col min="2" max="2" width="16.28515625" style="16" customWidth="1"/>
    <col min="3" max="3" width="21.7109375" style="16" customWidth="1"/>
    <col min="4" max="4" width="8.140625" style="16" customWidth="1"/>
    <col min="5" max="5" width="21.7109375" style="16" customWidth="1"/>
    <col min="6" max="6" width="8.140625" style="16" customWidth="1"/>
    <col min="7" max="7" width="21.7109375" style="16" customWidth="1"/>
    <col min="8" max="8" width="8.140625" style="16" customWidth="1"/>
    <col min="9" max="9" width="21.7109375" style="16" customWidth="1"/>
    <col min="10" max="11" width="8.140625" style="16" customWidth="1"/>
    <col min="12" max="12" width="16.28515625" style="16" customWidth="1"/>
    <col min="13" max="16384" width="9.140625" style="16"/>
  </cols>
  <sheetData>
    <row r="1" spans="1:12" ht="16.5" x14ac:dyDescent="0.25">
      <c r="A1" s="110" t="s">
        <v>2369</v>
      </c>
      <c r="B1" s="112" t="s">
        <v>2476</v>
      </c>
      <c r="C1" s="112" t="s">
        <v>2477</v>
      </c>
      <c r="D1" s="112"/>
      <c r="E1" s="112"/>
      <c r="F1" s="112"/>
      <c r="G1" s="112"/>
      <c r="H1" s="112"/>
      <c r="I1" s="112"/>
      <c r="J1" s="112"/>
      <c r="K1" s="112"/>
      <c r="L1" s="98" t="s">
        <v>2478</v>
      </c>
    </row>
    <row r="2" spans="1:12" ht="40.5" x14ac:dyDescent="0.25">
      <c r="A2" s="111"/>
      <c r="B2" s="113"/>
      <c r="C2" s="23" t="s">
        <v>2480</v>
      </c>
      <c r="D2" s="24" t="s">
        <v>2481</v>
      </c>
      <c r="E2" s="23" t="s">
        <v>2482</v>
      </c>
      <c r="F2" s="24" t="s">
        <v>2481</v>
      </c>
      <c r="G2" s="23" t="s">
        <v>2483</v>
      </c>
      <c r="H2" s="24" t="s">
        <v>2481</v>
      </c>
      <c r="I2" s="23" t="s">
        <v>2484</v>
      </c>
      <c r="J2" s="24" t="s">
        <v>2481</v>
      </c>
      <c r="K2" s="24" t="s">
        <v>2485</v>
      </c>
      <c r="L2" s="99"/>
    </row>
    <row r="3" spans="1:12" ht="40.5" x14ac:dyDescent="0.25">
      <c r="A3" s="100" t="s">
        <v>2497</v>
      </c>
      <c r="B3" s="102" t="s">
        <v>2513</v>
      </c>
      <c r="C3" s="18" t="s">
        <v>2495</v>
      </c>
      <c r="D3" s="26">
        <v>12.1</v>
      </c>
      <c r="E3" s="18" t="s">
        <v>2495</v>
      </c>
      <c r="F3" s="26">
        <v>529.30000000000007</v>
      </c>
      <c r="G3" s="18" t="s">
        <v>2495</v>
      </c>
      <c r="H3" s="26">
        <v>19.100000000000001</v>
      </c>
      <c r="I3" s="18" t="s">
        <v>2434</v>
      </c>
      <c r="J3" s="26">
        <v>819.4</v>
      </c>
      <c r="K3" s="26" t="s">
        <v>2490</v>
      </c>
      <c r="L3" s="104" t="s">
        <v>2479</v>
      </c>
    </row>
    <row r="4" spans="1:12" ht="22.7" customHeight="1" x14ac:dyDescent="0.25">
      <c r="A4" s="100"/>
      <c r="B4" s="102"/>
      <c r="C4" s="18" t="s">
        <v>2500</v>
      </c>
      <c r="D4" s="26">
        <v>129.4</v>
      </c>
      <c r="E4" s="18" t="s">
        <v>2446</v>
      </c>
      <c r="F4" s="26">
        <v>1.3</v>
      </c>
      <c r="G4" s="102" t="s">
        <v>2445</v>
      </c>
      <c r="H4" s="106">
        <v>19.100000000000001</v>
      </c>
      <c r="I4" s="18" t="s">
        <v>2446</v>
      </c>
      <c r="J4" s="26">
        <v>1.9</v>
      </c>
      <c r="K4" s="26" t="s">
        <v>2490</v>
      </c>
      <c r="L4" s="104"/>
    </row>
    <row r="5" spans="1:12" ht="22.7" customHeight="1" x14ac:dyDescent="0.25">
      <c r="A5" s="100"/>
      <c r="B5" s="102"/>
      <c r="C5" s="102" t="s">
        <v>2501</v>
      </c>
      <c r="D5" s="106">
        <v>208.9</v>
      </c>
      <c r="E5" s="18" t="s">
        <v>2447</v>
      </c>
      <c r="F5" s="26">
        <v>21.200000000000003</v>
      </c>
      <c r="G5" s="102"/>
      <c r="H5" s="106"/>
      <c r="I5" s="18" t="s">
        <v>2447</v>
      </c>
      <c r="J5" s="26">
        <v>32.9</v>
      </c>
      <c r="K5" s="26" t="s">
        <v>2490</v>
      </c>
      <c r="L5" s="104"/>
    </row>
    <row r="6" spans="1:12" ht="22.7" customHeight="1" x14ac:dyDescent="0.25">
      <c r="A6" s="100"/>
      <c r="B6" s="102"/>
      <c r="C6" s="102"/>
      <c r="D6" s="106"/>
      <c r="E6" s="18" t="s">
        <v>2444</v>
      </c>
      <c r="F6" s="26">
        <v>90.1</v>
      </c>
      <c r="G6" s="102"/>
      <c r="H6" s="106"/>
      <c r="I6" s="18" t="s">
        <v>2445</v>
      </c>
      <c r="J6" s="26">
        <v>29.9</v>
      </c>
      <c r="K6" s="26" t="s">
        <v>2490</v>
      </c>
      <c r="L6" s="104"/>
    </row>
    <row r="7" spans="1:12" ht="22.7" customHeight="1" x14ac:dyDescent="0.25">
      <c r="A7" s="100"/>
      <c r="B7" s="102"/>
      <c r="C7" s="102"/>
      <c r="D7" s="106"/>
      <c r="E7" s="18" t="s">
        <v>2443</v>
      </c>
      <c r="F7" s="26">
        <v>8.5</v>
      </c>
      <c r="G7" s="102"/>
      <c r="H7" s="106"/>
      <c r="I7" s="18" t="s">
        <v>2444</v>
      </c>
      <c r="J7" s="26">
        <v>131.79999999999998</v>
      </c>
      <c r="K7" s="26" t="s">
        <v>2490</v>
      </c>
      <c r="L7" s="104"/>
    </row>
    <row r="8" spans="1:12" ht="22.7" customHeight="1" x14ac:dyDescent="0.25">
      <c r="A8" s="100"/>
      <c r="B8" s="102"/>
      <c r="C8" s="102"/>
      <c r="D8" s="106"/>
      <c r="E8" s="18" t="s">
        <v>2451</v>
      </c>
      <c r="F8" s="26">
        <v>4.5999999999999996</v>
      </c>
      <c r="G8" s="102"/>
      <c r="H8" s="106"/>
      <c r="I8" s="18" t="s">
        <v>2443</v>
      </c>
      <c r="J8" s="26">
        <v>45.4</v>
      </c>
      <c r="K8" s="26" t="s">
        <v>2490</v>
      </c>
      <c r="L8" s="104"/>
    </row>
    <row r="9" spans="1:12" ht="22.7" customHeight="1" x14ac:dyDescent="0.25">
      <c r="A9" s="100"/>
      <c r="B9" s="102"/>
      <c r="C9" s="102"/>
      <c r="D9" s="106"/>
      <c r="E9" s="18" t="s">
        <v>2448</v>
      </c>
      <c r="F9" s="26">
        <v>4.1999999999999993</v>
      </c>
      <c r="G9" s="102"/>
      <c r="H9" s="106"/>
      <c r="I9" s="18" t="s">
        <v>2451</v>
      </c>
      <c r="J9" s="26">
        <v>8.1999999999999993</v>
      </c>
      <c r="K9" s="26" t="s">
        <v>2490</v>
      </c>
      <c r="L9" s="104"/>
    </row>
    <row r="10" spans="1:12" ht="22.7" customHeight="1" x14ac:dyDescent="0.25">
      <c r="A10" s="100"/>
      <c r="B10" s="102"/>
      <c r="C10" s="102"/>
      <c r="D10" s="106"/>
      <c r="E10" s="18" t="s">
        <v>2450</v>
      </c>
      <c r="F10" s="26">
        <v>287.90000000000003</v>
      </c>
      <c r="G10" s="102"/>
      <c r="H10" s="106"/>
      <c r="I10" s="18" t="s">
        <v>2448</v>
      </c>
      <c r="J10" s="26">
        <v>7.3</v>
      </c>
      <c r="K10" s="26" t="s">
        <v>2490</v>
      </c>
      <c r="L10" s="104"/>
    </row>
    <row r="11" spans="1:12" ht="22.7" customHeight="1" x14ac:dyDescent="0.25">
      <c r="A11" s="100"/>
      <c r="B11" s="102"/>
      <c r="C11" s="102"/>
      <c r="D11" s="106"/>
      <c r="E11" s="102" t="s">
        <v>2449</v>
      </c>
      <c r="F11" s="106">
        <v>111.9</v>
      </c>
      <c r="G11" s="102"/>
      <c r="H11" s="106"/>
      <c r="I11" s="18" t="s">
        <v>2450</v>
      </c>
      <c r="J11" s="26">
        <v>392.7</v>
      </c>
      <c r="K11" s="26" t="s">
        <v>2490</v>
      </c>
      <c r="L11" s="104"/>
    </row>
    <row r="12" spans="1:12" ht="22.7" customHeight="1" x14ac:dyDescent="0.25">
      <c r="A12" s="100"/>
      <c r="B12" s="102"/>
      <c r="C12" s="102"/>
      <c r="D12" s="106"/>
      <c r="E12" s="102"/>
      <c r="F12" s="106"/>
      <c r="G12" s="102"/>
      <c r="H12" s="106"/>
      <c r="I12" s="18" t="s">
        <v>2449</v>
      </c>
      <c r="J12" s="26">
        <v>169.7</v>
      </c>
      <c r="K12" s="26" t="s">
        <v>2490</v>
      </c>
      <c r="L12" s="104"/>
    </row>
    <row r="13" spans="1:12" ht="22.7" customHeight="1" x14ac:dyDescent="0.25">
      <c r="A13" s="100" t="s">
        <v>2509</v>
      </c>
      <c r="B13" s="102" t="s">
        <v>2514</v>
      </c>
      <c r="C13" s="102" t="s">
        <v>2510</v>
      </c>
      <c r="D13" s="106">
        <v>19.5</v>
      </c>
      <c r="E13" s="18" t="s">
        <v>2510</v>
      </c>
      <c r="F13" s="26">
        <v>93.1</v>
      </c>
      <c r="G13" s="18" t="s">
        <v>2510</v>
      </c>
      <c r="H13" s="26">
        <v>1.5</v>
      </c>
      <c r="I13" s="102" t="s">
        <v>4</v>
      </c>
      <c r="J13" s="106" t="s">
        <v>4</v>
      </c>
      <c r="K13" s="106" t="s">
        <v>4</v>
      </c>
      <c r="L13" s="104" t="s">
        <v>2479</v>
      </c>
    </row>
    <row r="14" spans="1:12" ht="22.7" customHeight="1" x14ac:dyDescent="0.25">
      <c r="A14" s="100"/>
      <c r="B14" s="102"/>
      <c r="C14" s="102"/>
      <c r="D14" s="106"/>
      <c r="E14" s="18" t="s">
        <v>2444</v>
      </c>
      <c r="F14" s="26">
        <v>93.1</v>
      </c>
      <c r="G14" s="18" t="s">
        <v>2445</v>
      </c>
      <c r="H14" s="26">
        <v>1.5</v>
      </c>
      <c r="I14" s="102"/>
      <c r="J14" s="106"/>
      <c r="K14" s="106"/>
      <c r="L14" s="104"/>
    </row>
    <row r="15" spans="1:12" ht="27" x14ac:dyDescent="0.25">
      <c r="A15" s="100" t="s">
        <v>2493</v>
      </c>
      <c r="B15" s="102" t="s">
        <v>2515</v>
      </c>
      <c r="C15" s="18" t="s">
        <v>2495</v>
      </c>
      <c r="D15" s="26">
        <v>599.9</v>
      </c>
      <c r="E15" s="18" t="s">
        <v>2495</v>
      </c>
      <c r="F15" s="26">
        <v>3222.9</v>
      </c>
      <c r="G15" s="18" t="s">
        <v>2495</v>
      </c>
      <c r="H15" s="26">
        <v>249.5</v>
      </c>
      <c r="I15" s="102" t="s">
        <v>4</v>
      </c>
      <c r="J15" s="106" t="s">
        <v>4</v>
      </c>
      <c r="K15" s="106" t="s">
        <v>4</v>
      </c>
      <c r="L15" s="104" t="s">
        <v>2479</v>
      </c>
    </row>
    <row r="16" spans="1:12" ht="22.7" customHeight="1" x14ac:dyDescent="0.25">
      <c r="A16" s="100"/>
      <c r="B16" s="102"/>
      <c r="C16" s="18" t="s">
        <v>2499</v>
      </c>
      <c r="D16" s="26">
        <v>757.6</v>
      </c>
      <c r="E16" s="18" t="s">
        <v>2442</v>
      </c>
      <c r="F16" s="26">
        <v>31.700000000000003</v>
      </c>
      <c r="G16" s="102" t="s">
        <v>2445</v>
      </c>
      <c r="H16" s="106">
        <v>249.5</v>
      </c>
      <c r="I16" s="102"/>
      <c r="J16" s="106"/>
      <c r="K16" s="106"/>
      <c r="L16" s="104"/>
    </row>
    <row r="17" spans="1:12" ht="22.7" customHeight="1" x14ac:dyDescent="0.25">
      <c r="A17" s="100"/>
      <c r="B17" s="102"/>
      <c r="C17" s="18" t="s">
        <v>2500</v>
      </c>
      <c r="D17" s="26">
        <v>12.8</v>
      </c>
      <c r="E17" s="18" t="s">
        <v>2446</v>
      </c>
      <c r="F17" s="26">
        <v>2.8</v>
      </c>
      <c r="G17" s="102"/>
      <c r="H17" s="106"/>
      <c r="I17" s="102"/>
      <c r="J17" s="106"/>
      <c r="K17" s="106"/>
      <c r="L17" s="104"/>
    </row>
    <row r="18" spans="1:12" ht="22.7" customHeight="1" x14ac:dyDescent="0.25">
      <c r="A18" s="100"/>
      <c r="B18" s="102"/>
      <c r="C18" s="102" t="s">
        <v>2494</v>
      </c>
      <c r="D18" s="106">
        <v>215.5</v>
      </c>
      <c r="E18" s="18" t="s">
        <v>2447</v>
      </c>
      <c r="F18" s="26">
        <v>254.1</v>
      </c>
      <c r="G18" s="102"/>
      <c r="H18" s="106"/>
      <c r="I18" s="102"/>
      <c r="J18" s="106"/>
      <c r="K18" s="106"/>
      <c r="L18" s="104"/>
    </row>
    <row r="19" spans="1:12" ht="22.7" customHeight="1" x14ac:dyDescent="0.25">
      <c r="A19" s="100"/>
      <c r="B19" s="102"/>
      <c r="C19" s="102"/>
      <c r="D19" s="106"/>
      <c r="E19" s="18" t="s">
        <v>2444</v>
      </c>
      <c r="F19" s="26">
        <v>932.8</v>
      </c>
      <c r="G19" s="102"/>
      <c r="H19" s="106"/>
      <c r="I19" s="102"/>
      <c r="J19" s="106"/>
      <c r="K19" s="106"/>
      <c r="L19" s="104"/>
    </row>
    <row r="20" spans="1:12" ht="22.7" customHeight="1" x14ac:dyDescent="0.25">
      <c r="A20" s="100"/>
      <c r="B20" s="102"/>
      <c r="C20" s="102"/>
      <c r="D20" s="106"/>
      <c r="E20" s="18" t="s">
        <v>2453</v>
      </c>
      <c r="F20" s="26">
        <v>14.6</v>
      </c>
      <c r="G20" s="102"/>
      <c r="H20" s="106"/>
      <c r="I20" s="102"/>
      <c r="J20" s="106"/>
      <c r="K20" s="106"/>
      <c r="L20" s="104"/>
    </row>
    <row r="21" spans="1:12" ht="22.7" customHeight="1" x14ac:dyDescent="0.25">
      <c r="A21" s="100"/>
      <c r="B21" s="102"/>
      <c r="C21" s="102"/>
      <c r="D21" s="106"/>
      <c r="E21" s="18" t="s">
        <v>2443</v>
      </c>
      <c r="F21" s="26">
        <v>113.8</v>
      </c>
      <c r="G21" s="102"/>
      <c r="H21" s="106"/>
      <c r="I21" s="102"/>
      <c r="J21" s="106"/>
      <c r="K21" s="106"/>
      <c r="L21" s="104"/>
    </row>
    <row r="22" spans="1:12" ht="22.7" customHeight="1" x14ac:dyDescent="0.25">
      <c r="A22" s="100"/>
      <c r="B22" s="102"/>
      <c r="C22" s="102"/>
      <c r="D22" s="106"/>
      <c r="E22" s="18" t="s">
        <v>2454</v>
      </c>
      <c r="F22" s="26">
        <v>69.899999999999991</v>
      </c>
      <c r="G22" s="102"/>
      <c r="H22" s="106"/>
      <c r="I22" s="102"/>
      <c r="J22" s="106"/>
      <c r="K22" s="106"/>
      <c r="L22" s="104"/>
    </row>
    <row r="23" spans="1:12" ht="22.7" customHeight="1" x14ac:dyDescent="0.25">
      <c r="A23" s="100"/>
      <c r="B23" s="102"/>
      <c r="C23" s="102"/>
      <c r="D23" s="106"/>
      <c r="E23" s="18" t="s">
        <v>2451</v>
      </c>
      <c r="F23" s="26">
        <v>87.8</v>
      </c>
      <c r="G23" s="102"/>
      <c r="H23" s="106"/>
      <c r="I23" s="102"/>
      <c r="J23" s="106"/>
      <c r="K23" s="106"/>
      <c r="L23" s="104"/>
    </row>
    <row r="24" spans="1:12" ht="22.7" customHeight="1" x14ac:dyDescent="0.25">
      <c r="A24" s="100"/>
      <c r="B24" s="102"/>
      <c r="C24" s="102"/>
      <c r="D24" s="106"/>
      <c r="E24" s="18" t="s">
        <v>2455</v>
      </c>
      <c r="F24" s="26">
        <v>52.3</v>
      </c>
      <c r="G24" s="102"/>
      <c r="H24" s="106"/>
      <c r="I24" s="102"/>
      <c r="J24" s="106"/>
      <c r="K24" s="106"/>
      <c r="L24" s="104"/>
    </row>
    <row r="25" spans="1:12" ht="22.7" customHeight="1" x14ac:dyDescent="0.25">
      <c r="A25" s="100"/>
      <c r="B25" s="102"/>
      <c r="C25" s="102"/>
      <c r="D25" s="106"/>
      <c r="E25" s="18" t="s">
        <v>2448</v>
      </c>
      <c r="F25" s="26">
        <v>7.3</v>
      </c>
      <c r="G25" s="102"/>
      <c r="H25" s="106"/>
      <c r="I25" s="102"/>
      <c r="J25" s="106"/>
      <c r="K25" s="106"/>
      <c r="L25" s="104"/>
    </row>
    <row r="26" spans="1:12" ht="22.7" customHeight="1" x14ac:dyDescent="0.25">
      <c r="A26" s="100"/>
      <c r="B26" s="102"/>
      <c r="C26" s="102"/>
      <c r="D26" s="106"/>
      <c r="E26" s="18" t="s">
        <v>2450</v>
      </c>
      <c r="F26" s="26">
        <v>1537.6999999999998</v>
      </c>
      <c r="G26" s="102"/>
      <c r="H26" s="106"/>
      <c r="I26" s="102"/>
      <c r="J26" s="106"/>
      <c r="K26" s="106"/>
      <c r="L26" s="104"/>
    </row>
    <row r="27" spans="1:12" ht="22.7" customHeight="1" x14ac:dyDescent="0.25">
      <c r="A27" s="100"/>
      <c r="B27" s="102"/>
      <c r="C27" s="102"/>
      <c r="D27" s="106"/>
      <c r="E27" s="18" t="s">
        <v>2449</v>
      </c>
      <c r="F27" s="26">
        <v>118.69999999999999</v>
      </c>
      <c r="G27" s="102"/>
      <c r="H27" s="106"/>
      <c r="I27" s="102"/>
      <c r="J27" s="106"/>
      <c r="K27" s="106"/>
      <c r="L27" s="104"/>
    </row>
    <row r="28" spans="1:12" ht="40.5" x14ac:dyDescent="0.25">
      <c r="A28" s="100" t="s">
        <v>2505</v>
      </c>
      <c r="B28" s="102" t="s">
        <v>2516</v>
      </c>
      <c r="C28" s="18" t="s">
        <v>2499</v>
      </c>
      <c r="D28" s="26">
        <v>351.3</v>
      </c>
      <c r="E28" s="18" t="s">
        <v>2495</v>
      </c>
      <c r="F28" s="26">
        <v>963.9</v>
      </c>
      <c r="G28" s="18" t="s">
        <v>2495</v>
      </c>
      <c r="H28" s="26">
        <v>42.2</v>
      </c>
      <c r="I28" s="18" t="s">
        <v>2506</v>
      </c>
      <c r="J28" s="26">
        <v>66.599999999999994</v>
      </c>
      <c r="K28" s="26" t="s">
        <v>2507</v>
      </c>
      <c r="L28" s="104" t="s">
        <v>2479</v>
      </c>
    </row>
    <row r="29" spans="1:12" ht="22.7" customHeight="1" x14ac:dyDescent="0.25">
      <c r="A29" s="100"/>
      <c r="B29" s="102"/>
      <c r="C29" s="102" t="s">
        <v>2494</v>
      </c>
      <c r="D29" s="106">
        <v>56.1</v>
      </c>
      <c r="E29" s="18" t="s">
        <v>2447</v>
      </c>
      <c r="F29" s="26">
        <v>52</v>
      </c>
      <c r="G29" s="102" t="s">
        <v>2445</v>
      </c>
      <c r="H29" s="106">
        <v>42.2</v>
      </c>
      <c r="I29" s="18" t="s">
        <v>2447</v>
      </c>
      <c r="J29" s="26">
        <v>3.9</v>
      </c>
      <c r="K29" s="26" t="s">
        <v>2507</v>
      </c>
      <c r="L29" s="104"/>
    </row>
    <row r="30" spans="1:12" ht="22.7" customHeight="1" x14ac:dyDescent="0.25">
      <c r="A30" s="100"/>
      <c r="B30" s="102"/>
      <c r="C30" s="102"/>
      <c r="D30" s="106"/>
      <c r="E30" s="18" t="s">
        <v>2444</v>
      </c>
      <c r="F30" s="26">
        <v>348</v>
      </c>
      <c r="G30" s="102"/>
      <c r="H30" s="106"/>
      <c r="I30" s="18" t="s">
        <v>2445</v>
      </c>
      <c r="J30" s="26">
        <v>3.1</v>
      </c>
      <c r="K30" s="26" t="s">
        <v>2507</v>
      </c>
      <c r="L30" s="104"/>
    </row>
    <row r="31" spans="1:12" ht="22.7" customHeight="1" x14ac:dyDescent="0.25">
      <c r="A31" s="100"/>
      <c r="B31" s="102"/>
      <c r="C31" s="102"/>
      <c r="D31" s="106"/>
      <c r="E31" s="18" t="s">
        <v>2454</v>
      </c>
      <c r="F31" s="26">
        <v>15.1</v>
      </c>
      <c r="G31" s="102"/>
      <c r="H31" s="106"/>
      <c r="I31" s="18" t="s">
        <v>2444</v>
      </c>
      <c r="J31" s="26">
        <v>22.5</v>
      </c>
      <c r="K31" s="26" t="s">
        <v>2507</v>
      </c>
      <c r="L31" s="104"/>
    </row>
    <row r="32" spans="1:12" ht="22.7" customHeight="1" x14ac:dyDescent="0.25">
      <c r="A32" s="100"/>
      <c r="B32" s="102"/>
      <c r="C32" s="102"/>
      <c r="D32" s="106"/>
      <c r="E32" s="18" t="s">
        <v>2451</v>
      </c>
      <c r="F32" s="26">
        <v>94.5</v>
      </c>
      <c r="G32" s="102"/>
      <c r="H32" s="106"/>
      <c r="I32" s="18" t="s">
        <v>2454</v>
      </c>
      <c r="J32" s="26">
        <v>1.7</v>
      </c>
      <c r="K32" s="26" t="s">
        <v>2507</v>
      </c>
      <c r="L32" s="104"/>
    </row>
    <row r="33" spans="1:12" ht="22.7" customHeight="1" x14ac:dyDescent="0.25">
      <c r="A33" s="100"/>
      <c r="B33" s="102"/>
      <c r="C33" s="102"/>
      <c r="D33" s="106"/>
      <c r="E33" s="18" t="s">
        <v>2448</v>
      </c>
      <c r="F33" s="26">
        <v>10.1</v>
      </c>
      <c r="G33" s="102"/>
      <c r="H33" s="106"/>
      <c r="I33" s="18" t="s">
        <v>2451</v>
      </c>
      <c r="J33" s="26">
        <v>7.3</v>
      </c>
      <c r="K33" s="26" t="s">
        <v>2507</v>
      </c>
      <c r="L33" s="104"/>
    </row>
    <row r="34" spans="1:12" ht="22.7" customHeight="1" x14ac:dyDescent="0.25">
      <c r="A34" s="100"/>
      <c r="B34" s="102"/>
      <c r="C34" s="102"/>
      <c r="D34" s="106"/>
      <c r="E34" s="18" t="s">
        <v>2450</v>
      </c>
      <c r="F34" s="26">
        <v>359</v>
      </c>
      <c r="G34" s="102"/>
      <c r="H34" s="106"/>
      <c r="I34" s="18" t="s">
        <v>2448</v>
      </c>
      <c r="J34" s="26">
        <v>0.79999999999999993</v>
      </c>
      <c r="K34" s="26" t="s">
        <v>2507</v>
      </c>
      <c r="L34" s="104"/>
    </row>
    <row r="35" spans="1:12" ht="22.7" customHeight="1" x14ac:dyDescent="0.25">
      <c r="A35" s="100"/>
      <c r="B35" s="102"/>
      <c r="C35" s="102"/>
      <c r="D35" s="106"/>
      <c r="E35" s="102" t="s">
        <v>2449</v>
      </c>
      <c r="F35" s="106">
        <v>85.399999999999991</v>
      </c>
      <c r="G35" s="102"/>
      <c r="H35" s="106"/>
      <c r="I35" s="18" t="s">
        <v>2450</v>
      </c>
      <c r="J35" s="26">
        <v>22.3</v>
      </c>
      <c r="K35" s="26" t="s">
        <v>2507</v>
      </c>
      <c r="L35" s="104"/>
    </row>
    <row r="36" spans="1:12" ht="22.7" customHeight="1" x14ac:dyDescent="0.25">
      <c r="A36" s="100"/>
      <c r="B36" s="102"/>
      <c r="C36" s="102"/>
      <c r="D36" s="106"/>
      <c r="E36" s="102"/>
      <c r="F36" s="106"/>
      <c r="G36" s="102"/>
      <c r="H36" s="106"/>
      <c r="I36" s="18" t="s">
        <v>2449</v>
      </c>
      <c r="J36" s="26">
        <v>5.3999999999999995</v>
      </c>
      <c r="K36" s="26" t="s">
        <v>2507</v>
      </c>
      <c r="L36" s="104"/>
    </row>
    <row r="37" spans="1:12" ht="40.5" x14ac:dyDescent="0.25">
      <c r="A37" s="100" t="s">
        <v>2512</v>
      </c>
      <c r="B37" s="102" t="s">
        <v>2517</v>
      </c>
      <c r="C37" s="18" t="s">
        <v>2500</v>
      </c>
      <c r="D37" s="26">
        <v>25.6</v>
      </c>
      <c r="E37" s="18" t="s">
        <v>2434</v>
      </c>
      <c r="F37" s="26">
        <v>177.2</v>
      </c>
      <c r="G37" s="18" t="s">
        <v>2434</v>
      </c>
      <c r="H37" s="26">
        <v>9.4</v>
      </c>
      <c r="I37" s="102" t="s">
        <v>4</v>
      </c>
      <c r="J37" s="106" t="s">
        <v>4</v>
      </c>
      <c r="K37" s="106" t="s">
        <v>4</v>
      </c>
      <c r="L37" s="104" t="s">
        <v>2479</v>
      </c>
    </row>
    <row r="38" spans="1:12" ht="22.7" customHeight="1" x14ac:dyDescent="0.25">
      <c r="A38" s="100"/>
      <c r="B38" s="102"/>
      <c r="C38" s="102" t="s">
        <v>2501</v>
      </c>
      <c r="D38" s="106">
        <v>13</v>
      </c>
      <c r="E38" s="18" t="s">
        <v>2447</v>
      </c>
      <c r="F38" s="26">
        <v>4.3</v>
      </c>
      <c r="G38" s="102" t="s">
        <v>2445</v>
      </c>
      <c r="H38" s="106">
        <v>9.4</v>
      </c>
      <c r="I38" s="102"/>
      <c r="J38" s="106"/>
      <c r="K38" s="106"/>
      <c r="L38" s="104"/>
    </row>
    <row r="39" spans="1:12" ht="22.7" customHeight="1" x14ac:dyDescent="0.25">
      <c r="A39" s="100"/>
      <c r="B39" s="102"/>
      <c r="C39" s="102"/>
      <c r="D39" s="106"/>
      <c r="E39" s="18" t="s">
        <v>2444</v>
      </c>
      <c r="F39" s="26">
        <v>39.300000000000004</v>
      </c>
      <c r="G39" s="102"/>
      <c r="H39" s="106"/>
      <c r="I39" s="102"/>
      <c r="J39" s="106"/>
      <c r="K39" s="106"/>
      <c r="L39" s="104"/>
    </row>
    <row r="40" spans="1:12" ht="22.7" customHeight="1" x14ac:dyDescent="0.25">
      <c r="A40" s="100"/>
      <c r="B40" s="102"/>
      <c r="C40" s="102"/>
      <c r="D40" s="106"/>
      <c r="E40" s="18" t="s">
        <v>2451</v>
      </c>
      <c r="F40" s="26">
        <v>11.7</v>
      </c>
      <c r="G40" s="102"/>
      <c r="H40" s="106"/>
      <c r="I40" s="102"/>
      <c r="J40" s="106"/>
      <c r="K40" s="106"/>
      <c r="L40" s="104"/>
    </row>
    <row r="41" spans="1:12" ht="22.7" customHeight="1" x14ac:dyDescent="0.25">
      <c r="A41" s="100"/>
      <c r="B41" s="102"/>
      <c r="C41" s="102"/>
      <c r="D41" s="106"/>
      <c r="E41" s="18" t="s">
        <v>2448</v>
      </c>
      <c r="F41" s="26">
        <v>3.8</v>
      </c>
      <c r="G41" s="102"/>
      <c r="H41" s="106"/>
      <c r="I41" s="102"/>
      <c r="J41" s="106"/>
      <c r="K41" s="106"/>
      <c r="L41" s="104"/>
    </row>
    <row r="42" spans="1:12" ht="22.7" customHeight="1" x14ac:dyDescent="0.25">
      <c r="A42" s="100"/>
      <c r="B42" s="102"/>
      <c r="C42" s="102"/>
      <c r="D42" s="106"/>
      <c r="E42" s="18" t="s">
        <v>2450</v>
      </c>
      <c r="F42" s="26">
        <v>22.3</v>
      </c>
      <c r="G42" s="102"/>
      <c r="H42" s="106"/>
      <c r="I42" s="102"/>
      <c r="J42" s="106"/>
      <c r="K42" s="106"/>
      <c r="L42" s="104"/>
    </row>
    <row r="43" spans="1:12" ht="22.7" customHeight="1" x14ac:dyDescent="0.25">
      <c r="A43" s="100"/>
      <c r="B43" s="102"/>
      <c r="C43" s="102"/>
      <c r="D43" s="106"/>
      <c r="E43" s="18" t="s">
        <v>2449</v>
      </c>
      <c r="F43" s="26">
        <v>96</v>
      </c>
      <c r="G43" s="102"/>
      <c r="H43" s="106"/>
      <c r="I43" s="102"/>
      <c r="J43" s="106"/>
      <c r="K43" s="106"/>
      <c r="L43" s="104"/>
    </row>
    <row r="44" spans="1:12" ht="40.5" x14ac:dyDescent="0.25">
      <c r="A44" s="100" t="s">
        <v>2518</v>
      </c>
      <c r="B44" s="102" t="s">
        <v>2519</v>
      </c>
      <c r="C44" s="102" t="s">
        <v>2501</v>
      </c>
      <c r="D44" s="106">
        <v>47.2</v>
      </c>
      <c r="E44" s="18" t="s">
        <v>2520</v>
      </c>
      <c r="F44" s="26">
        <v>96.9</v>
      </c>
      <c r="G44" s="18" t="s">
        <v>2520</v>
      </c>
      <c r="H44" s="26">
        <v>11</v>
      </c>
      <c r="I44" s="102" t="s">
        <v>4</v>
      </c>
      <c r="J44" s="106" t="s">
        <v>4</v>
      </c>
      <c r="K44" s="106" t="s">
        <v>4</v>
      </c>
      <c r="L44" s="104" t="s">
        <v>2479</v>
      </c>
    </row>
    <row r="45" spans="1:12" ht="22.7" customHeight="1" x14ac:dyDescent="0.25">
      <c r="A45" s="100"/>
      <c r="B45" s="102"/>
      <c r="C45" s="102"/>
      <c r="D45" s="106"/>
      <c r="E45" s="18" t="s">
        <v>2444</v>
      </c>
      <c r="F45" s="26">
        <v>17.600000000000001</v>
      </c>
      <c r="G45" s="102" t="s">
        <v>2445</v>
      </c>
      <c r="H45" s="106">
        <v>11</v>
      </c>
      <c r="I45" s="102"/>
      <c r="J45" s="106"/>
      <c r="K45" s="106"/>
      <c r="L45" s="104"/>
    </row>
    <row r="46" spans="1:12" ht="22.7" customHeight="1" x14ac:dyDescent="0.25">
      <c r="A46" s="100"/>
      <c r="B46" s="102"/>
      <c r="C46" s="102"/>
      <c r="D46" s="106"/>
      <c r="E46" s="18" t="s">
        <v>2453</v>
      </c>
      <c r="F46" s="26">
        <v>14.7</v>
      </c>
      <c r="G46" s="102"/>
      <c r="H46" s="106"/>
      <c r="I46" s="102"/>
      <c r="J46" s="106"/>
      <c r="K46" s="106"/>
      <c r="L46" s="104"/>
    </row>
    <row r="47" spans="1:12" ht="22.7" customHeight="1" x14ac:dyDescent="0.25">
      <c r="A47" s="100"/>
      <c r="B47" s="102"/>
      <c r="C47" s="102"/>
      <c r="D47" s="106"/>
      <c r="E47" s="18" t="s">
        <v>2450</v>
      </c>
      <c r="F47" s="26">
        <v>56.8</v>
      </c>
      <c r="G47" s="102"/>
      <c r="H47" s="106"/>
      <c r="I47" s="102"/>
      <c r="J47" s="106"/>
      <c r="K47" s="106"/>
      <c r="L47" s="104"/>
    </row>
    <row r="48" spans="1:12" ht="22.7" customHeight="1" x14ac:dyDescent="0.25">
      <c r="A48" s="100"/>
      <c r="B48" s="102"/>
      <c r="C48" s="102"/>
      <c r="D48" s="106"/>
      <c r="E48" s="18" t="s">
        <v>2449</v>
      </c>
      <c r="F48" s="26">
        <v>8</v>
      </c>
      <c r="G48" s="102"/>
      <c r="H48" s="106"/>
      <c r="I48" s="102"/>
      <c r="J48" s="106"/>
      <c r="K48" s="106"/>
      <c r="L48" s="104"/>
    </row>
    <row r="49" spans="1:12" ht="27" x14ac:dyDescent="0.25">
      <c r="A49" s="100" t="s">
        <v>2521</v>
      </c>
      <c r="B49" s="102" t="s">
        <v>2522</v>
      </c>
      <c r="C49" s="102" t="s">
        <v>4</v>
      </c>
      <c r="D49" s="106" t="s">
        <v>4</v>
      </c>
      <c r="E49" s="18" t="s">
        <v>2523</v>
      </c>
      <c r="F49" s="26">
        <v>317.10000000000002</v>
      </c>
      <c r="G49" s="18" t="s">
        <v>2523</v>
      </c>
      <c r="H49" s="26">
        <v>31.6</v>
      </c>
      <c r="I49" s="102" t="s">
        <v>4</v>
      </c>
      <c r="J49" s="106" t="s">
        <v>4</v>
      </c>
      <c r="K49" s="106" t="s">
        <v>4</v>
      </c>
      <c r="L49" s="104" t="s">
        <v>2479</v>
      </c>
    </row>
    <row r="50" spans="1:12" ht="22.7" customHeight="1" x14ac:dyDescent="0.25">
      <c r="A50" s="100"/>
      <c r="B50" s="102"/>
      <c r="C50" s="102"/>
      <c r="D50" s="106"/>
      <c r="E50" s="18" t="s">
        <v>2447</v>
      </c>
      <c r="F50" s="26">
        <v>20.700000000000003</v>
      </c>
      <c r="G50" s="102" t="s">
        <v>2445</v>
      </c>
      <c r="H50" s="106">
        <v>31.6</v>
      </c>
      <c r="I50" s="102"/>
      <c r="J50" s="106"/>
      <c r="K50" s="106"/>
      <c r="L50" s="104"/>
    </row>
    <row r="51" spans="1:12" ht="22.7" customHeight="1" x14ac:dyDescent="0.25">
      <c r="A51" s="100"/>
      <c r="B51" s="102"/>
      <c r="C51" s="102"/>
      <c r="D51" s="106"/>
      <c r="E51" s="18" t="s">
        <v>2444</v>
      </c>
      <c r="F51" s="26">
        <v>50.4</v>
      </c>
      <c r="G51" s="102"/>
      <c r="H51" s="106"/>
      <c r="I51" s="102"/>
      <c r="J51" s="106"/>
      <c r="K51" s="106"/>
      <c r="L51" s="104"/>
    </row>
    <row r="52" spans="1:12" ht="22.7" customHeight="1" x14ac:dyDescent="0.25">
      <c r="A52" s="100"/>
      <c r="B52" s="102"/>
      <c r="C52" s="102"/>
      <c r="D52" s="106"/>
      <c r="E52" s="18" t="s">
        <v>2443</v>
      </c>
      <c r="F52" s="26">
        <v>43.7</v>
      </c>
      <c r="G52" s="102"/>
      <c r="H52" s="106"/>
      <c r="I52" s="102"/>
      <c r="J52" s="106"/>
      <c r="K52" s="106"/>
      <c r="L52" s="104"/>
    </row>
    <row r="53" spans="1:12" ht="22.7" customHeight="1" x14ac:dyDescent="0.25">
      <c r="A53" s="100"/>
      <c r="B53" s="102"/>
      <c r="C53" s="102"/>
      <c r="D53" s="106"/>
      <c r="E53" s="18" t="s">
        <v>2450</v>
      </c>
      <c r="F53" s="26">
        <v>192.9</v>
      </c>
      <c r="G53" s="102"/>
      <c r="H53" s="106"/>
      <c r="I53" s="102"/>
      <c r="J53" s="106"/>
      <c r="K53" s="106"/>
      <c r="L53" s="104"/>
    </row>
    <row r="54" spans="1:12" ht="22.7" customHeight="1" x14ac:dyDescent="0.25">
      <c r="A54" s="100"/>
      <c r="B54" s="102"/>
      <c r="C54" s="102"/>
      <c r="D54" s="106"/>
      <c r="E54" s="102" t="s">
        <v>2449</v>
      </c>
      <c r="F54" s="106">
        <v>9.5</v>
      </c>
      <c r="G54" s="102"/>
      <c r="H54" s="106"/>
      <c r="I54" s="102"/>
      <c r="J54" s="106"/>
      <c r="K54" s="106"/>
      <c r="L54" s="104"/>
    </row>
    <row r="55" spans="1:12" ht="22.7" customHeight="1" thickBot="1" x14ac:dyDescent="0.3">
      <c r="A55" s="101"/>
      <c r="B55" s="103"/>
      <c r="C55" s="103"/>
      <c r="D55" s="107"/>
      <c r="E55" s="108"/>
      <c r="F55" s="114"/>
      <c r="G55" s="108"/>
      <c r="H55" s="114"/>
      <c r="I55" s="108"/>
      <c r="J55" s="114"/>
      <c r="K55" s="114"/>
      <c r="L55" s="105"/>
    </row>
    <row r="56" spans="1:12" ht="15" customHeight="1" x14ac:dyDescent="0.25">
      <c r="A56" s="115" t="s">
        <v>2491</v>
      </c>
      <c r="B56" s="116"/>
      <c r="C56" s="116"/>
      <c r="D56" s="117"/>
      <c r="E56" s="109" t="s">
        <v>2479</v>
      </c>
      <c r="F56" s="109"/>
      <c r="G56" s="109"/>
      <c r="H56" s="109"/>
      <c r="I56" s="20" t="s">
        <v>2479</v>
      </c>
      <c r="J56" s="20" t="s">
        <v>2479</v>
      </c>
      <c r="K56" s="20" t="s">
        <v>2479</v>
      </c>
      <c r="L56" s="20" t="s">
        <v>2479</v>
      </c>
    </row>
    <row r="57" spans="1:12" ht="15" customHeight="1" x14ac:dyDescent="0.25">
      <c r="A57" s="100" t="s">
        <v>2498</v>
      </c>
      <c r="B57" s="102"/>
      <c r="C57" s="102"/>
      <c r="D57" s="21">
        <v>612</v>
      </c>
      <c r="E57" s="109" t="s">
        <v>2479</v>
      </c>
      <c r="F57" s="109"/>
      <c r="G57" s="109"/>
      <c r="H57" s="20" t="s">
        <v>2479</v>
      </c>
      <c r="I57" s="20" t="s">
        <v>2479</v>
      </c>
      <c r="J57" s="20" t="s">
        <v>2479</v>
      </c>
      <c r="K57" s="20" t="s">
        <v>2479</v>
      </c>
      <c r="L57" s="20" t="s">
        <v>2479</v>
      </c>
    </row>
    <row r="58" spans="1:12" ht="15" customHeight="1" x14ac:dyDescent="0.25">
      <c r="A58" s="100" t="s">
        <v>2511</v>
      </c>
      <c r="B58" s="102"/>
      <c r="C58" s="102"/>
      <c r="D58" s="21">
        <v>19.5</v>
      </c>
      <c r="E58" s="109" t="s">
        <v>2479</v>
      </c>
      <c r="F58" s="109"/>
      <c r="G58" s="109"/>
      <c r="H58" s="20" t="s">
        <v>2479</v>
      </c>
      <c r="I58" s="20" t="s">
        <v>2479</v>
      </c>
      <c r="J58" s="20" t="s">
        <v>2479</v>
      </c>
      <c r="K58" s="20" t="s">
        <v>2479</v>
      </c>
      <c r="L58" s="20" t="s">
        <v>2479</v>
      </c>
    </row>
    <row r="59" spans="1:12" ht="15" customHeight="1" x14ac:dyDescent="0.25">
      <c r="A59" s="100" t="s">
        <v>2503</v>
      </c>
      <c r="B59" s="102"/>
      <c r="C59" s="102"/>
      <c r="D59" s="21">
        <v>167.8</v>
      </c>
      <c r="E59" s="109" t="s">
        <v>2479</v>
      </c>
      <c r="F59" s="109"/>
      <c r="G59" s="109"/>
      <c r="H59" s="20" t="s">
        <v>2479</v>
      </c>
      <c r="I59" s="20" t="s">
        <v>2479</v>
      </c>
      <c r="J59" s="20" t="s">
        <v>2479</v>
      </c>
      <c r="K59" s="20" t="s">
        <v>2479</v>
      </c>
      <c r="L59" s="20" t="s">
        <v>2479</v>
      </c>
    </row>
    <row r="60" spans="1:12" ht="15" customHeight="1" x14ac:dyDescent="0.25">
      <c r="A60" s="100" t="s">
        <v>2504</v>
      </c>
      <c r="B60" s="102"/>
      <c r="C60" s="102"/>
      <c r="D60" s="21">
        <v>269.10000000000002</v>
      </c>
      <c r="E60" s="109" t="s">
        <v>2479</v>
      </c>
      <c r="F60" s="109"/>
      <c r="G60" s="109"/>
      <c r="H60" s="20" t="s">
        <v>2479</v>
      </c>
      <c r="I60" s="20" t="s">
        <v>2479</v>
      </c>
      <c r="J60" s="20" t="s">
        <v>2479</v>
      </c>
      <c r="K60" s="20" t="s">
        <v>2479</v>
      </c>
      <c r="L60" s="20" t="s">
        <v>2479</v>
      </c>
    </row>
    <row r="61" spans="1:12" ht="15" customHeight="1" x14ac:dyDescent="0.25">
      <c r="A61" s="100" t="s">
        <v>2502</v>
      </c>
      <c r="B61" s="102"/>
      <c r="C61" s="102"/>
      <c r="D61" s="21">
        <v>1108.9000000000001</v>
      </c>
      <c r="E61" s="109" t="s">
        <v>2479</v>
      </c>
      <c r="F61" s="109"/>
      <c r="G61" s="109"/>
      <c r="H61" s="20" t="s">
        <v>2479</v>
      </c>
      <c r="I61" s="20" t="s">
        <v>2479</v>
      </c>
      <c r="J61" s="20" t="s">
        <v>2479</v>
      </c>
      <c r="K61" s="20" t="s">
        <v>2479</v>
      </c>
      <c r="L61" s="20" t="s">
        <v>2479</v>
      </c>
    </row>
    <row r="62" spans="1:12" ht="15" customHeight="1" x14ac:dyDescent="0.25">
      <c r="A62" s="100" t="s">
        <v>2496</v>
      </c>
      <c r="B62" s="102"/>
      <c r="C62" s="102"/>
      <c r="D62" s="21">
        <v>271.60000000000002</v>
      </c>
      <c r="E62" s="109" t="s">
        <v>2479</v>
      </c>
      <c r="F62" s="109"/>
      <c r="G62" s="109"/>
      <c r="H62" s="20" t="s">
        <v>2479</v>
      </c>
      <c r="I62" s="20" t="s">
        <v>2479</v>
      </c>
      <c r="J62" s="20" t="s">
        <v>2479</v>
      </c>
      <c r="K62" s="20" t="s">
        <v>2479</v>
      </c>
      <c r="L62" s="20" t="s">
        <v>2479</v>
      </c>
    </row>
    <row r="63" spans="1:12" ht="15" customHeight="1" x14ac:dyDescent="0.25">
      <c r="A63" s="100" t="s">
        <v>2495</v>
      </c>
      <c r="B63" s="102"/>
      <c r="C63" s="102"/>
      <c r="D63" s="21">
        <v>5026.8999999999996</v>
      </c>
      <c r="E63" s="109" t="s">
        <v>2479</v>
      </c>
      <c r="F63" s="109"/>
      <c r="G63" s="109"/>
      <c r="H63" s="20" t="s">
        <v>2479</v>
      </c>
      <c r="I63" s="20" t="s">
        <v>2479</v>
      </c>
      <c r="J63" s="20" t="s">
        <v>2479</v>
      </c>
      <c r="K63" s="20" t="s">
        <v>2479</v>
      </c>
      <c r="L63" s="20" t="s">
        <v>2479</v>
      </c>
    </row>
    <row r="64" spans="1:12" ht="15" customHeight="1" x14ac:dyDescent="0.25">
      <c r="A64" s="100" t="s">
        <v>2434</v>
      </c>
      <c r="B64" s="102"/>
      <c r="C64" s="102"/>
      <c r="D64" s="21">
        <v>1005.9999999999999</v>
      </c>
      <c r="E64" s="109" t="s">
        <v>2479</v>
      </c>
      <c r="F64" s="109"/>
      <c r="G64" s="109"/>
      <c r="H64" s="20" t="s">
        <v>2479</v>
      </c>
      <c r="I64" s="20" t="s">
        <v>2479</v>
      </c>
      <c r="J64" s="20" t="s">
        <v>2479</v>
      </c>
      <c r="K64" s="20" t="s">
        <v>2479</v>
      </c>
      <c r="L64" s="20" t="s">
        <v>2479</v>
      </c>
    </row>
    <row r="65" spans="1:12" ht="15" customHeight="1" x14ac:dyDescent="0.25">
      <c r="A65" s="100" t="s">
        <v>2510</v>
      </c>
      <c r="B65" s="102"/>
      <c r="C65" s="102"/>
      <c r="D65" s="21">
        <v>94.6</v>
      </c>
      <c r="E65" s="109" t="s">
        <v>2479</v>
      </c>
      <c r="F65" s="109"/>
      <c r="G65" s="109"/>
      <c r="H65" s="20" t="s">
        <v>2479</v>
      </c>
      <c r="I65" s="20" t="s">
        <v>2479</v>
      </c>
      <c r="J65" s="20" t="s">
        <v>2479</v>
      </c>
      <c r="K65" s="20" t="s">
        <v>2479</v>
      </c>
      <c r="L65" s="20" t="s">
        <v>2479</v>
      </c>
    </row>
    <row r="66" spans="1:12" ht="15" customHeight="1" x14ac:dyDescent="0.25">
      <c r="A66" s="100" t="s">
        <v>2506</v>
      </c>
      <c r="B66" s="102"/>
      <c r="C66" s="102"/>
      <c r="D66" s="21">
        <v>66.599999999999994</v>
      </c>
      <c r="E66" s="109" t="s">
        <v>2479</v>
      </c>
      <c r="F66" s="109"/>
      <c r="G66" s="109"/>
      <c r="H66" s="20" t="s">
        <v>2479</v>
      </c>
      <c r="I66" s="20" t="s">
        <v>2479</v>
      </c>
      <c r="J66" s="20" t="s">
        <v>2479</v>
      </c>
      <c r="K66" s="20" t="s">
        <v>2479</v>
      </c>
      <c r="L66" s="20" t="s">
        <v>2479</v>
      </c>
    </row>
    <row r="67" spans="1:12" ht="15" customHeight="1" x14ac:dyDescent="0.25">
      <c r="A67" s="100" t="s">
        <v>2520</v>
      </c>
      <c r="B67" s="102"/>
      <c r="C67" s="102"/>
      <c r="D67" s="21">
        <v>107.9</v>
      </c>
      <c r="E67" s="109" t="s">
        <v>2479</v>
      </c>
      <c r="F67" s="109"/>
      <c r="G67" s="109"/>
      <c r="H67" s="20" t="s">
        <v>2479</v>
      </c>
      <c r="I67" s="20" t="s">
        <v>2479</v>
      </c>
      <c r="J67" s="20" t="s">
        <v>2479</v>
      </c>
      <c r="K67" s="20" t="s">
        <v>2479</v>
      </c>
      <c r="L67" s="20" t="s">
        <v>2479</v>
      </c>
    </row>
    <row r="68" spans="1:12" ht="15" customHeight="1" x14ac:dyDescent="0.25">
      <c r="A68" s="100" t="s">
        <v>2523</v>
      </c>
      <c r="B68" s="102"/>
      <c r="C68" s="102"/>
      <c r="D68" s="21">
        <v>348.70000000000005</v>
      </c>
      <c r="E68" s="109" t="s">
        <v>2479</v>
      </c>
      <c r="F68" s="109"/>
      <c r="G68" s="109"/>
      <c r="H68" s="20" t="s">
        <v>2479</v>
      </c>
      <c r="I68" s="20" t="s">
        <v>2479</v>
      </c>
      <c r="J68" s="20" t="s">
        <v>2479</v>
      </c>
      <c r="K68" s="20" t="s">
        <v>2479</v>
      </c>
      <c r="L68" s="20" t="s">
        <v>2479</v>
      </c>
    </row>
    <row r="69" spans="1:12" ht="15" customHeight="1" x14ac:dyDescent="0.25">
      <c r="A69" s="100" t="s">
        <v>2446</v>
      </c>
      <c r="B69" s="102"/>
      <c r="C69" s="102"/>
      <c r="D69" s="21">
        <v>6</v>
      </c>
      <c r="E69" s="109" t="s">
        <v>2479</v>
      </c>
      <c r="F69" s="109"/>
      <c r="G69" s="109"/>
      <c r="H69" s="20" t="s">
        <v>2479</v>
      </c>
      <c r="I69" s="20" t="s">
        <v>2479</v>
      </c>
      <c r="J69" s="20" t="s">
        <v>2479</v>
      </c>
      <c r="K69" s="20" t="s">
        <v>2479</v>
      </c>
      <c r="L69" s="20" t="s">
        <v>2479</v>
      </c>
    </row>
    <row r="70" spans="1:12" ht="15" customHeight="1" x14ac:dyDescent="0.25">
      <c r="A70" s="100" t="s">
        <v>2447</v>
      </c>
      <c r="B70" s="102"/>
      <c r="C70" s="102"/>
      <c r="D70" s="21">
        <v>389.09999999999997</v>
      </c>
      <c r="E70" s="109" t="s">
        <v>2479</v>
      </c>
      <c r="F70" s="109"/>
      <c r="G70" s="109"/>
      <c r="H70" s="20" t="s">
        <v>2479</v>
      </c>
      <c r="I70" s="20" t="s">
        <v>2479</v>
      </c>
      <c r="J70" s="20" t="s">
        <v>2479</v>
      </c>
      <c r="K70" s="20" t="s">
        <v>2479</v>
      </c>
      <c r="L70" s="20" t="s">
        <v>2479</v>
      </c>
    </row>
    <row r="71" spans="1:12" ht="15" customHeight="1" x14ac:dyDescent="0.25">
      <c r="A71" s="100" t="s">
        <v>2444</v>
      </c>
      <c r="B71" s="102"/>
      <c r="C71" s="102"/>
      <c r="D71" s="21">
        <v>1725.6</v>
      </c>
      <c r="E71" s="109" t="s">
        <v>2479</v>
      </c>
      <c r="F71" s="109"/>
      <c r="G71" s="109"/>
      <c r="H71" s="20" t="s">
        <v>2479</v>
      </c>
      <c r="I71" s="20" t="s">
        <v>2479</v>
      </c>
      <c r="J71" s="20" t="s">
        <v>2479</v>
      </c>
      <c r="K71" s="20" t="s">
        <v>2479</v>
      </c>
      <c r="L71" s="20" t="s">
        <v>2479</v>
      </c>
    </row>
    <row r="72" spans="1:12" ht="15" customHeight="1" x14ac:dyDescent="0.25">
      <c r="A72" s="100" t="s">
        <v>2443</v>
      </c>
      <c r="B72" s="102"/>
      <c r="C72" s="102"/>
      <c r="D72" s="21">
        <v>211.39999999999998</v>
      </c>
      <c r="E72" s="109" t="s">
        <v>2479</v>
      </c>
      <c r="F72" s="109"/>
      <c r="G72" s="109"/>
      <c r="H72" s="20" t="s">
        <v>2479</v>
      </c>
      <c r="I72" s="20" t="s">
        <v>2479</v>
      </c>
      <c r="J72" s="20" t="s">
        <v>2479</v>
      </c>
      <c r="K72" s="20" t="s">
        <v>2479</v>
      </c>
      <c r="L72" s="20" t="s">
        <v>2479</v>
      </c>
    </row>
    <row r="73" spans="1:12" ht="15" customHeight="1" x14ac:dyDescent="0.25">
      <c r="A73" s="100" t="s">
        <v>2451</v>
      </c>
      <c r="B73" s="102"/>
      <c r="C73" s="102"/>
      <c r="D73" s="21">
        <v>214.1</v>
      </c>
      <c r="E73" s="109" t="s">
        <v>2479</v>
      </c>
      <c r="F73" s="109"/>
      <c r="G73" s="109"/>
      <c r="H73" s="20" t="s">
        <v>2479</v>
      </c>
      <c r="I73" s="20" t="s">
        <v>2479</v>
      </c>
      <c r="J73" s="20" t="s">
        <v>2479</v>
      </c>
      <c r="K73" s="20" t="s">
        <v>2479</v>
      </c>
      <c r="L73" s="20" t="s">
        <v>2479</v>
      </c>
    </row>
    <row r="74" spans="1:12" ht="15" customHeight="1" x14ac:dyDescent="0.25">
      <c r="A74" s="100" t="s">
        <v>2448</v>
      </c>
      <c r="B74" s="102"/>
      <c r="C74" s="102"/>
      <c r="D74" s="21">
        <v>33.5</v>
      </c>
      <c r="E74" s="109" t="s">
        <v>2479</v>
      </c>
      <c r="F74" s="109"/>
      <c r="G74" s="109"/>
      <c r="H74" s="20" t="s">
        <v>2479</v>
      </c>
      <c r="I74" s="20" t="s">
        <v>2479</v>
      </c>
      <c r="J74" s="20" t="s">
        <v>2479</v>
      </c>
      <c r="K74" s="20" t="s">
        <v>2479</v>
      </c>
      <c r="L74" s="20" t="s">
        <v>2479</v>
      </c>
    </row>
    <row r="75" spans="1:12" ht="15" customHeight="1" x14ac:dyDescent="0.25">
      <c r="A75" s="100" t="s">
        <v>2450</v>
      </c>
      <c r="B75" s="102"/>
      <c r="C75" s="102"/>
      <c r="D75" s="21">
        <v>2871.6000000000004</v>
      </c>
      <c r="E75" s="109" t="s">
        <v>2479</v>
      </c>
      <c r="F75" s="109"/>
      <c r="G75" s="109"/>
      <c r="H75" s="20" t="s">
        <v>2479</v>
      </c>
      <c r="I75" s="20" t="s">
        <v>2479</v>
      </c>
      <c r="J75" s="20" t="s">
        <v>2479</v>
      </c>
      <c r="K75" s="20" t="s">
        <v>2479</v>
      </c>
      <c r="L75" s="20" t="s">
        <v>2479</v>
      </c>
    </row>
    <row r="76" spans="1:12" ht="15" customHeight="1" x14ac:dyDescent="0.25">
      <c r="A76" s="100" t="s">
        <v>2449</v>
      </c>
      <c r="B76" s="102"/>
      <c r="C76" s="102"/>
      <c r="D76" s="21">
        <v>604.59999999999991</v>
      </c>
      <c r="E76" s="109" t="s">
        <v>2479</v>
      </c>
      <c r="F76" s="109"/>
      <c r="G76" s="109"/>
      <c r="H76" s="20" t="s">
        <v>2479</v>
      </c>
      <c r="I76" s="20" t="s">
        <v>2479</v>
      </c>
      <c r="J76" s="20" t="s">
        <v>2479</v>
      </c>
      <c r="K76" s="20" t="s">
        <v>2479</v>
      </c>
      <c r="L76" s="20" t="s">
        <v>2479</v>
      </c>
    </row>
    <row r="77" spans="1:12" ht="15" customHeight="1" x14ac:dyDescent="0.25">
      <c r="A77" s="100" t="s">
        <v>2445</v>
      </c>
      <c r="B77" s="102"/>
      <c r="C77" s="102"/>
      <c r="D77" s="21">
        <v>397.3</v>
      </c>
      <c r="E77" s="109" t="s">
        <v>2479</v>
      </c>
      <c r="F77" s="109"/>
      <c r="G77" s="109"/>
      <c r="H77" s="20" t="s">
        <v>2479</v>
      </c>
      <c r="I77" s="20" t="s">
        <v>2479</v>
      </c>
      <c r="J77" s="20" t="s">
        <v>2479</v>
      </c>
      <c r="K77" s="20" t="s">
        <v>2479</v>
      </c>
      <c r="L77" s="20" t="s">
        <v>2479</v>
      </c>
    </row>
    <row r="78" spans="1:12" ht="15" customHeight="1" x14ac:dyDescent="0.25">
      <c r="A78" s="100" t="s">
        <v>2442</v>
      </c>
      <c r="B78" s="102"/>
      <c r="C78" s="102"/>
      <c r="D78" s="21">
        <v>31.700000000000003</v>
      </c>
      <c r="E78" s="109" t="s">
        <v>2479</v>
      </c>
      <c r="F78" s="109"/>
      <c r="G78" s="109"/>
      <c r="H78" s="20" t="s">
        <v>2479</v>
      </c>
      <c r="I78" s="20" t="s">
        <v>2479</v>
      </c>
      <c r="J78" s="20" t="s">
        <v>2479</v>
      </c>
      <c r="K78" s="20" t="s">
        <v>2479</v>
      </c>
      <c r="L78" s="20" t="s">
        <v>2479</v>
      </c>
    </row>
    <row r="79" spans="1:12" ht="15" customHeight="1" x14ac:dyDescent="0.25">
      <c r="A79" s="100" t="s">
        <v>2453</v>
      </c>
      <c r="B79" s="102"/>
      <c r="C79" s="102"/>
      <c r="D79" s="21">
        <v>29.299999999999997</v>
      </c>
      <c r="E79" s="109" t="s">
        <v>2479</v>
      </c>
      <c r="F79" s="109"/>
      <c r="G79" s="109"/>
      <c r="H79" s="20" t="s">
        <v>2479</v>
      </c>
      <c r="I79" s="20" t="s">
        <v>2479</v>
      </c>
      <c r="J79" s="20" t="s">
        <v>2479</v>
      </c>
      <c r="K79" s="20" t="s">
        <v>2479</v>
      </c>
      <c r="L79" s="20" t="s">
        <v>2479</v>
      </c>
    </row>
    <row r="80" spans="1:12" ht="15" customHeight="1" x14ac:dyDescent="0.25">
      <c r="A80" s="100" t="s">
        <v>2454</v>
      </c>
      <c r="B80" s="102"/>
      <c r="C80" s="102"/>
      <c r="D80" s="21">
        <v>86.699999999999989</v>
      </c>
      <c r="E80" s="109" t="s">
        <v>2479</v>
      </c>
      <c r="F80" s="109"/>
      <c r="G80" s="109"/>
      <c r="H80" s="20" t="s">
        <v>2479</v>
      </c>
      <c r="I80" s="20" t="s">
        <v>2479</v>
      </c>
      <c r="J80" s="20" t="s">
        <v>2479</v>
      </c>
      <c r="K80" s="20" t="s">
        <v>2479</v>
      </c>
      <c r="L80" s="20" t="s">
        <v>2479</v>
      </c>
    </row>
    <row r="81" spans="1:12" ht="15" customHeight="1" thickBot="1" x14ac:dyDescent="0.3">
      <c r="A81" s="118" t="s">
        <v>2455</v>
      </c>
      <c r="B81" s="108"/>
      <c r="C81" s="108"/>
      <c r="D81" s="22">
        <v>52.3</v>
      </c>
      <c r="E81" s="109" t="s">
        <v>2479</v>
      </c>
      <c r="F81" s="109"/>
      <c r="G81" s="109"/>
      <c r="H81" s="20" t="s">
        <v>2479</v>
      </c>
      <c r="I81" s="20" t="s">
        <v>2479</v>
      </c>
      <c r="J81" s="20" t="s">
        <v>2479</v>
      </c>
      <c r="K81" s="20" t="s">
        <v>2479</v>
      </c>
      <c r="L81" s="20" t="s">
        <v>2479</v>
      </c>
    </row>
  </sheetData>
  <mergeCells count="124">
    <mergeCell ref="A81:C81"/>
    <mergeCell ref="E81:G81"/>
    <mergeCell ref="A78:C78"/>
    <mergeCell ref="E78:G78"/>
    <mergeCell ref="A79:C79"/>
    <mergeCell ref="E79:G79"/>
    <mergeCell ref="A80:C80"/>
    <mergeCell ref="E80:G80"/>
    <mergeCell ref="A75:C75"/>
    <mergeCell ref="E75:G75"/>
    <mergeCell ref="A76:C76"/>
    <mergeCell ref="E76:G76"/>
    <mergeCell ref="A77:C77"/>
    <mergeCell ref="E77:G77"/>
    <mergeCell ref="A72:C72"/>
    <mergeCell ref="E72:G72"/>
    <mergeCell ref="A73:C73"/>
    <mergeCell ref="E73:G73"/>
    <mergeCell ref="A74:C74"/>
    <mergeCell ref="E74:G74"/>
    <mergeCell ref="A69:C69"/>
    <mergeCell ref="E69:G69"/>
    <mergeCell ref="A70:C70"/>
    <mergeCell ref="E70:G70"/>
    <mergeCell ref="A71:C71"/>
    <mergeCell ref="E71:G71"/>
    <mergeCell ref="A66:C66"/>
    <mergeCell ref="E66:G66"/>
    <mergeCell ref="A67:C67"/>
    <mergeCell ref="E67:G67"/>
    <mergeCell ref="A68:C68"/>
    <mergeCell ref="E68:G68"/>
    <mergeCell ref="A63:C63"/>
    <mergeCell ref="E63:G63"/>
    <mergeCell ref="A64:C64"/>
    <mergeCell ref="E64:G64"/>
    <mergeCell ref="A65:C65"/>
    <mergeCell ref="E65:G65"/>
    <mergeCell ref="A60:C60"/>
    <mergeCell ref="E60:G60"/>
    <mergeCell ref="A61:C61"/>
    <mergeCell ref="E61:G61"/>
    <mergeCell ref="A62:C62"/>
    <mergeCell ref="E62:G62"/>
    <mergeCell ref="A57:C57"/>
    <mergeCell ref="E57:G57"/>
    <mergeCell ref="A58:C58"/>
    <mergeCell ref="E58:G58"/>
    <mergeCell ref="A59:C59"/>
    <mergeCell ref="E59:G59"/>
    <mergeCell ref="K15:K27"/>
    <mergeCell ref="K37:K43"/>
    <mergeCell ref="K44:K48"/>
    <mergeCell ref="A56:D56"/>
    <mergeCell ref="E56:H56"/>
    <mergeCell ref="I13:I14"/>
    <mergeCell ref="I15:I27"/>
    <mergeCell ref="I37:I43"/>
    <mergeCell ref="I44:I48"/>
    <mergeCell ref="I49:I55"/>
    <mergeCell ref="J13:J14"/>
    <mergeCell ref="J15:J27"/>
    <mergeCell ref="J37:J43"/>
    <mergeCell ref="J44:J48"/>
    <mergeCell ref="J49:J55"/>
    <mergeCell ref="G50:G55"/>
    <mergeCell ref="A44:A48"/>
    <mergeCell ref="B44:B48"/>
    <mergeCell ref="A13:A14"/>
    <mergeCell ref="B13:B14"/>
    <mergeCell ref="F35:F36"/>
    <mergeCell ref="F54:F55"/>
    <mergeCell ref="A28:A36"/>
    <mergeCell ref="B28:B36"/>
    <mergeCell ref="K49:K55"/>
    <mergeCell ref="L44:L48"/>
    <mergeCell ref="A49:A55"/>
    <mergeCell ref="B49:B55"/>
    <mergeCell ref="L49:L55"/>
    <mergeCell ref="C44:C48"/>
    <mergeCell ref="C49:C55"/>
    <mergeCell ref="D44:D48"/>
    <mergeCell ref="D49:D55"/>
    <mergeCell ref="H45:H48"/>
    <mergeCell ref="H50:H55"/>
    <mergeCell ref="E54:E55"/>
    <mergeCell ref="G45:G48"/>
    <mergeCell ref="L28:L36"/>
    <mergeCell ref="A37:A43"/>
    <mergeCell ref="B37:B43"/>
    <mergeCell ref="L37:L43"/>
    <mergeCell ref="C29:C36"/>
    <mergeCell ref="C38:C43"/>
    <mergeCell ref="D29:D36"/>
    <mergeCell ref="D38:D43"/>
    <mergeCell ref="H29:H36"/>
    <mergeCell ref="H38:H43"/>
    <mergeCell ref="E35:E36"/>
    <mergeCell ref="G29:G36"/>
    <mergeCell ref="G38:G43"/>
    <mergeCell ref="L13:L14"/>
    <mergeCell ref="A15:A27"/>
    <mergeCell ref="B15:B27"/>
    <mergeCell ref="L15:L27"/>
    <mergeCell ref="C13:C14"/>
    <mergeCell ref="C18:C27"/>
    <mergeCell ref="D13:D14"/>
    <mergeCell ref="D18:D27"/>
    <mergeCell ref="A1:A2"/>
    <mergeCell ref="B1:B2"/>
    <mergeCell ref="C1:K1"/>
    <mergeCell ref="L1:L2"/>
    <mergeCell ref="A3:A12"/>
    <mergeCell ref="B3:B12"/>
    <mergeCell ref="L3:L12"/>
    <mergeCell ref="C5:C12"/>
    <mergeCell ref="D5:D12"/>
    <mergeCell ref="E11:E12"/>
    <mergeCell ref="H4:H12"/>
    <mergeCell ref="H16:H27"/>
    <mergeCell ref="F11:F12"/>
    <mergeCell ref="G4:G12"/>
    <mergeCell ref="G16:G27"/>
    <mergeCell ref="K13:K14"/>
  </mergeCells>
  <conditionalFormatting sqref="A1:L81">
    <cfRule type="containsText" dxfId="66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theme="7" tint="0.39997558519241921"/>
  </sheetPr>
  <dimension ref="A1:C33"/>
  <sheetViews>
    <sheetView workbookViewId="0">
      <selection sqref="A1:C1"/>
    </sheetView>
  </sheetViews>
  <sheetFormatPr defaultRowHeight="15" x14ac:dyDescent="0.25"/>
  <cols>
    <col min="1" max="1" width="60.7109375" style="1" customWidth="1"/>
    <col min="2" max="2" width="40.7109375" style="1" customWidth="1"/>
    <col min="3" max="3" width="60.7109375" style="1" customWidth="1"/>
    <col min="4" max="16384" width="9.140625" style="1"/>
  </cols>
  <sheetData>
    <row r="1" spans="1:3" ht="45" customHeight="1" x14ac:dyDescent="0.25">
      <c r="A1" s="27" t="s">
        <v>2473</v>
      </c>
      <c r="B1" s="27" t="s">
        <v>2474</v>
      </c>
      <c r="C1" s="27" t="s">
        <v>2475</v>
      </c>
    </row>
    <row r="2" spans="1:3" ht="30" x14ac:dyDescent="0.25">
      <c r="A2" s="28" t="s">
        <v>2408</v>
      </c>
      <c r="B2" s="28" t="s">
        <v>2434</v>
      </c>
      <c r="C2" s="28" t="s">
        <v>2401</v>
      </c>
    </row>
    <row r="3" spans="1:3" ht="30" x14ac:dyDescent="0.25">
      <c r="A3" s="28" t="s">
        <v>2409</v>
      </c>
      <c r="B3" s="28" t="s">
        <v>2434</v>
      </c>
      <c r="C3" s="28" t="s">
        <v>2410</v>
      </c>
    </row>
    <row r="4" spans="1:3" x14ac:dyDescent="0.25">
      <c r="A4" s="28"/>
      <c r="B4" s="28"/>
      <c r="C4" s="28"/>
    </row>
    <row r="5" spans="1:3" x14ac:dyDescent="0.25">
      <c r="A5" s="28" t="s">
        <v>2373</v>
      </c>
      <c r="B5" s="28" t="s">
        <v>2374</v>
      </c>
      <c r="C5" s="28" t="s">
        <v>2445</v>
      </c>
    </row>
    <row r="6" spans="1:3" x14ac:dyDescent="0.25">
      <c r="A6" s="28" t="s">
        <v>2411</v>
      </c>
      <c r="B6" s="28" t="s">
        <v>2370</v>
      </c>
      <c r="C6" s="28" t="str">
        <f t="shared" ref="C6" si="0">A6</f>
        <v>!!П1</v>
      </c>
    </row>
    <row r="7" spans="1:3" x14ac:dyDescent="0.25">
      <c r="A7" s="28" t="s">
        <v>2412</v>
      </c>
      <c r="B7" s="28" t="s">
        <v>2380</v>
      </c>
      <c r="C7" s="28" t="s">
        <v>2450</v>
      </c>
    </row>
    <row r="8" spans="1:3" x14ac:dyDescent="0.25">
      <c r="A8" s="28" t="s">
        <v>2413</v>
      </c>
      <c r="B8" s="28" t="s">
        <v>2378</v>
      </c>
      <c r="C8" s="28" t="s">
        <v>2444</v>
      </c>
    </row>
    <row r="9" spans="1:3" x14ac:dyDescent="0.25">
      <c r="A9" s="28" t="s">
        <v>2414</v>
      </c>
      <c r="B9" s="28" t="s">
        <v>2380</v>
      </c>
      <c r="C9" s="28" t="s">
        <v>2442</v>
      </c>
    </row>
    <row r="10" spans="1:3" x14ac:dyDescent="0.25">
      <c r="A10" s="28" t="s">
        <v>2415</v>
      </c>
      <c r="B10" s="28" t="s">
        <v>2416</v>
      </c>
      <c r="C10" s="28" t="s">
        <v>2443</v>
      </c>
    </row>
    <row r="11" spans="1:3" x14ac:dyDescent="0.25">
      <c r="A11" s="28" t="s">
        <v>2377</v>
      </c>
      <c r="B11" s="28" t="s">
        <v>2378</v>
      </c>
      <c r="C11" s="28" t="s">
        <v>2444</v>
      </c>
    </row>
    <row r="12" spans="1:3" x14ac:dyDescent="0.25">
      <c r="A12" s="28" t="s">
        <v>2417</v>
      </c>
      <c r="B12" s="28" t="s">
        <v>2380</v>
      </c>
      <c r="C12" s="28" t="s">
        <v>2448</v>
      </c>
    </row>
    <row r="13" spans="1:3" x14ac:dyDescent="0.25">
      <c r="A13" s="28" t="s">
        <v>2382</v>
      </c>
      <c r="B13" s="28" t="s">
        <v>2380</v>
      </c>
      <c r="C13" s="28" t="s">
        <v>2449</v>
      </c>
    </row>
    <row r="14" spans="1:3" x14ac:dyDescent="0.25">
      <c r="A14" s="28" t="s">
        <v>2418</v>
      </c>
      <c r="B14" s="28" t="s">
        <v>2419</v>
      </c>
      <c r="C14" s="28" t="s">
        <v>2447</v>
      </c>
    </row>
    <row r="15" spans="1:3" x14ac:dyDescent="0.25">
      <c r="A15" s="28" t="s">
        <v>2379</v>
      </c>
      <c r="B15" s="28" t="s">
        <v>2380</v>
      </c>
      <c r="C15" s="28" t="s">
        <v>2451</v>
      </c>
    </row>
    <row r="16" spans="1:3" x14ac:dyDescent="0.25">
      <c r="A16" s="28" t="s">
        <v>2420</v>
      </c>
      <c r="B16" s="28" t="s">
        <v>2416</v>
      </c>
      <c r="C16" s="28" t="s">
        <v>2446</v>
      </c>
    </row>
    <row r="17" spans="1:3" x14ac:dyDescent="0.25">
      <c r="A17" s="28" t="s">
        <v>2421</v>
      </c>
      <c r="B17" s="28" t="s">
        <v>2419</v>
      </c>
      <c r="C17" s="28" t="s">
        <v>2452</v>
      </c>
    </row>
    <row r="18" spans="1:3" x14ac:dyDescent="0.25">
      <c r="A18" s="28" t="s">
        <v>2381</v>
      </c>
      <c r="B18" s="28" t="s">
        <v>2378</v>
      </c>
      <c r="C18" s="28" t="s">
        <v>2453</v>
      </c>
    </row>
    <row r="19" spans="1:3" x14ac:dyDescent="0.25">
      <c r="A19" s="28" t="s">
        <v>2422</v>
      </c>
      <c r="B19" s="28" t="s">
        <v>2419</v>
      </c>
      <c r="C19" s="28" t="s">
        <v>2454</v>
      </c>
    </row>
    <row r="20" spans="1:3" x14ac:dyDescent="0.25">
      <c r="A20" s="28" t="s">
        <v>2423</v>
      </c>
      <c r="B20" s="28" t="s">
        <v>2380</v>
      </c>
      <c r="C20" s="28" t="s">
        <v>2455</v>
      </c>
    </row>
    <row r="21" spans="1:3" ht="30" x14ac:dyDescent="0.25">
      <c r="A21" s="28" t="s">
        <v>2424</v>
      </c>
      <c r="B21" s="28" t="s">
        <v>2376</v>
      </c>
      <c r="C21" s="28" t="s">
        <v>2456</v>
      </c>
    </row>
    <row r="22" spans="1:3" x14ac:dyDescent="0.25">
      <c r="A22" s="28" t="s">
        <v>2425</v>
      </c>
      <c r="B22" s="28" t="s">
        <v>2378</v>
      </c>
      <c r="C22" s="28" t="s">
        <v>2453</v>
      </c>
    </row>
    <row r="23" spans="1:3" x14ac:dyDescent="0.25">
      <c r="A23" s="28" t="s">
        <v>2426</v>
      </c>
      <c r="B23" s="28" t="s">
        <v>2376</v>
      </c>
      <c r="C23" s="28" t="s">
        <v>2457</v>
      </c>
    </row>
    <row r="24" spans="1:3" x14ac:dyDescent="0.25">
      <c r="A24" s="28" t="s">
        <v>2379</v>
      </c>
      <c r="B24" s="28" t="s">
        <v>2378</v>
      </c>
      <c r="C24" s="28" t="s">
        <v>2451</v>
      </c>
    </row>
    <row r="25" spans="1:3" x14ac:dyDescent="0.25">
      <c r="A25" s="28" t="s">
        <v>2427</v>
      </c>
      <c r="B25" s="28" t="s">
        <v>2419</v>
      </c>
      <c r="C25" s="28" t="s">
        <v>2454</v>
      </c>
    </row>
    <row r="26" spans="1:3" x14ac:dyDescent="0.25">
      <c r="A26" s="28" t="s">
        <v>2428</v>
      </c>
      <c r="B26" s="28" t="s">
        <v>2416</v>
      </c>
      <c r="C26" s="28" t="s">
        <v>2443</v>
      </c>
    </row>
    <row r="27" spans="1:3" x14ac:dyDescent="0.25">
      <c r="A27" s="28" t="s">
        <v>2429</v>
      </c>
      <c r="B27" s="28" t="s">
        <v>2419</v>
      </c>
      <c r="C27" s="28" t="s">
        <v>2454</v>
      </c>
    </row>
    <row r="28" spans="1:3" x14ac:dyDescent="0.25">
      <c r="A28" s="28" t="s">
        <v>2375</v>
      </c>
      <c r="B28" s="28" t="s">
        <v>2370</v>
      </c>
      <c r="C28" s="28" t="s">
        <v>2436</v>
      </c>
    </row>
    <row r="29" spans="1:3" x14ac:dyDescent="0.25">
      <c r="A29" s="28" t="s">
        <v>2430</v>
      </c>
      <c r="B29" s="28" t="s">
        <v>2370</v>
      </c>
      <c r="C29" s="28" t="s">
        <v>2437</v>
      </c>
    </row>
    <row r="30" spans="1:3" x14ac:dyDescent="0.25">
      <c r="A30" s="28" t="s">
        <v>2431</v>
      </c>
      <c r="B30" s="28" t="s">
        <v>2370</v>
      </c>
      <c r="C30" s="28" t="s">
        <v>2438</v>
      </c>
    </row>
    <row r="31" spans="1:3" x14ac:dyDescent="0.25">
      <c r="A31" s="28" t="s">
        <v>2432</v>
      </c>
      <c r="B31" s="28" t="s">
        <v>2370</v>
      </c>
      <c r="C31" s="28" t="s">
        <v>2439</v>
      </c>
    </row>
    <row r="32" spans="1:3" x14ac:dyDescent="0.25">
      <c r="A32" s="28" t="s">
        <v>2413</v>
      </c>
      <c r="B32" s="28" t="s">
        <v>2440</v>
      </c>
      <c r="C32" s="28" t="s">
        <v>2444</v>
      </c>
    </row>
    <row r="33" spans="1:3" x14ac:dyDescent="0.25">
      <c r="A33" s="28" t="s">
        <v>2441</v>
      </c>
      <c r="B33" s="28" t="s">
        <v>2440</v>
      </c>
      <c r="C33" s="28" t="s">
        <v>2458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000000"/>
  </sheetPr>
  <dimension ref="A1:F356"/>
  <sheetViews>
    <sheetView tabSelected="1" workbookViewId="0">
      <selection activeCell="D17" sqref="D17"/>
    </sheetView>
  </sheetViews>
  <sheetFormatPr defaultRowHeight="15" x14ac:dyDescent="0.25"/>
  <cols>
    <col min="1" max="1" width="8.42578125" style="1" bestFit="1" customWidth="1"/>
    <col min="2" max="2" width="7" style="1" customWidth="1"/>
    <col min="3" max="3" width="45.140625" style="1" customWidth="1"/>
    <col min="4" max="4" width="7" style="1" customWidth="1"/>
    <col min="5" max="6" width="9.5703125" style="1" customWidth="1"/>
    <col min="7" max="16384" width="9.140625" style="1"/>
  </cols>
  <sheetData>
    <row r="1" spans="1:6" ht="49.5" x14ac:dyDescent="0.25">
      <c r="A1" s="52" t="s">
        <v>2914</v>
      </c>
      <c r="B1" s="53" t="s">
        <v>2915</v>
      </c>
      <c r="C1" s="53" t="s">
        <v>2736</v>
      </c>
      <c r="D1" s="53" t="s">
        <v>2916</v>
      </c>
      <c r="E1" s="53" t="s">
        <v>2917</v>
      </c>
      <c r="F1" s="54" t="s">
        <v>2918</v>
      </c>
    </row>
    <row r="2" spans="1:6" ht="16.5" x14ac:dyDescent="0.25">
      <c r="A2" s="131" t="s">
        <v>2919</v>
      </c>
      <c r="B2" s="37">
        <v>1</v>
      </c>
      <c r="C2" s="37" t="s">
        <v>2920</v>
      </c>
      <c r="D2" s="37">
        <v>12</v>
      </c>
      <c r="E2" s="37">
        <v>15.13</v>
      </c>
      <c r="F2" s="132" t="s">
        <v>2921</v>
      </c>
    </row>
    <row r="3" spans="1:6" ht="16.5" x14ac:dyDescent="0.25">
      <c r="A3" s="131"/>
      <c r="B3" s="37">
        <v>2</v>
      </c>
      <c r="C3" s="37" t="s">
        <v>2922</v>
      </c>
      <c r="D3" s="37">
        <v>792</v>
      </c>
      <c r="E3" s="37">
        <v>0.73</v>
      </c>
      <c r="F3" s="132"/>
    </row>
    <row r="4" spans="1:6" ht="16.5" x14ac:dyDescent="0.25">
      <c r="A4" s="131"/>
      <c r="B4" s="37">
        <v>3</v>
      </c>
      <c r="C4" s="37" t="s">
        <v>2923</v>
      </c>
      <c r="D4" s="37">
        <v>12</v>
      </c>
      <c r="E4" s="37">
        <v>11.1</v>
      </c>
      <c r="F4" s="132"/>
    </row>
    <row r="5" spans="1:6" ht="16.5" x14ac:dyDescent="0.25">
      <c r="A5" s="131"/>
      <c r="B5" s="37">
        <v>4</v>
      </c>
      <c r="C5" s="37" t="s">
        <v>2924</v>
      </c>
      <c r="D5" s="37">
        <v>60</v>
      </c>
      <c r="E5" s="37">
        <v>9.99</v>
      </c>
      <c r="F5" s="132"/>
    </row>
    <row r="6" spans="1:6" ht="16.5" x14ac:dyDescent="0.25">
      <c r="A6" s="131"/>
      <c r="B6" s="37">
        <v>5</v>
      </c>
      <c r="C6" s="37" t="s">
        <v>2925</v>
      </c>
      <c r="D6" s="37">
        <v>12</v>
      </c>
      <c r="E6" s="37">
        <v>9.43</v>
      </c>
      <c r="F6" s="132"/>
    </row>
    <row r="7" spans="1:6" ht="16.5" x14ac:dyDescent="0.25">
      <c r="A7" s="131"/>
      <c r="B7" s="37">
        <v>6</v>
      </c>
      <c r="C7" s="37" t="s">
        <v>2926</v>
      </c>
      <c r="D7" s="37">
        <v>12</v>
      </c>
      <c r="E7" s="37">
        <v>3.53</v>
      </c>
      <c r="F7" s="132"/>
    </row>
    <row r="8" spans="1:6" ht="16.5" x14ac:dyDescent="0.25">
      <c r="A8" s="131"/>
      <c r="B8" s="37" t="s">
        <v>2479</v>
      </c>
      <c r="C8" s="37" t="s">
        <v>2927</v>
      </c>
      <c r="D8" s="37">
        <v>12</v>
      </c>
      <c r="E8" s="37">
        <v>1.36</v>
      </c>
      <c r="F8" s="132"/>
    </row>
    <row r="9" spans="1:6" ht="33" x14ac:dyDescent="0.25">
      <c r="A9" s="131"/>
      <c r="B9" s="37" t="s">
        <v>2479</v>
      </c>
      <c r="C9" s="37" t="s">
        <v>2928</v>
      </c>
      <c r="D9" s="37">
        <v>3.6150000000000002</v>
      </c>
      <c r="E9" s="37" t="s">
        <v>4</v>
      </c>
      <c r="F9" s="132"/>
    </row>
    <row r="10" spans="1:6" ht="33" x14ac:dyDescent="0.25">
      <c r="A10" s="131"/>
      <c r="B10" s="37" t="s">
        <v>2479</v>
      </c>
      <c r="C10" s="37" t="s">
        <v>2929</v>
      </c>
      <c r="D10" s="37">
        <v>21.75</v>
      </c>
      <c r="E10" s="37" t="s">
        <v>4</v>
      </c>
      <c r="F10" s="132"/>
    </row>
    <row r="11" spans="1:6" ht="16.5" x14ac:dyDescent="0.25">
      <c r="A11" s="131" t="s">
        <v>2930</v>
      </c>
      <c r="B11" s="37">
        <v>2</v>
      </c>
      <c r="C11" s="37" t="s">
        <v>2922</v>
      </c>
      <c r="D11" s="37">
        <v>268</v>
      </c>
      <c r="E11" s="37">
        <v>0.73</v>
      </c>
      <c r="F11" s="132" t="s">
        <v>2931</v>
      </c>
    </row>
    <row r="12" spans="1:6" ht="16.5" x14ac:dyDescent="0.25">
      <c r="A12" s="131"/>
      <c r="B12" s="37">
        <v>3</v>
      </c>
      <c r="C12" s="37" t="s">
        <v>2923</v>
      </c>
      <c r="D12" s="37">
        <v>8</v>
      </c>
      <c r="E12" s="37">
        <v>11.1</v>
      </c>
      <c r="F12" s="132"/>
    </row>
    <row r="13" spans="1:6" ht="16.5" x14ac:dyDescent="0.25">
      <c r="A13" s="131"/>
      <c r="B13" s="37">
        <v>4</v>
      </c>
      <c r="C13" s="37" t="s">
        <v>2924</v>
      </c>
      <c r="D13" s="37">
        <v>32</v>
      </c>
      <c r="E13" s="37">
        <v>9.99</v>
      </c>
      <c r="F13" s="132"/>
    </row>
    <row r="14" spans="1:6" ht="16.5" x14ac:dyDescent="0.25">
      <c r="A14" s="131"/>
      <c r="B14" s="37">
        <v>5</v>
      </c>
      <c r="C14" s="37" t="s">
        <v>2925</v>
      </c>
      <c r="D14" s="37">
        <v>8</v>
      </c>
      <c r="E14" s="37">
        <v>9.43</v>
      </c>
      <c r="F14" s="132"/>
    </row>
    <row r="15" spans="1:6" ht="16.5" x14ac:dyDescent="0.25">
      <c r="A15" s="131"/>
      <c r="B15" s="37">
        <v>6</v>
      </c>
      <c r="C15" s="37" t="s">
        <v>2926</v>
      </c>
      <c r="D15" s="37">
        <v>8</v>
      </c>
      <c r="E15" s="37">
        <v>3.53</v>
      </c>
      <c r="F15" s="132"/>
    </row>
    <row r="16" spans="1:6" ht="16.5" x14ac:dyDescent="0.25">
      <c r="A16" s="131"/>
      <c r="B16" s="37">
        <v>8</v>
      </c>
      <c r="C16" s="37" t="s">
        <v>2932</v>
      </c>
      <c r="D16" s="37">
        <v>8</v>
      </c>
      <c r="E16" s="37">
        <v>15.16</v>
      </c>
      <c r="F16" s="132"/>
    </row>
    <row r="17" spans="1:6" ht="16.5" x14ac:dyDescent="0.25">
      <c r="A17" s="131"/>
      <c r="B17" s="37">
        <v>9</v>
      </c>
      <c r="C17" s="37" t="s">
        <v>2933</v>
      </c>
      <c r="D17" s="37">
        <v>8</v>
      </c>
      <c r="E17" s="37">
        <v>9.27</v>
      </c>
      <c r="F17" s="132"/>
    </row>
    <row r="18" spans="1:6" ht="16.5" x14ac:dyDescent="0.25">
      <c r="A18" s="131"/>
      <c r="B18" s="37">
        <v>10</v>
      </c>
      <c r="C18" s="37" t="s">
        <v>2934</v>
      </c>
      <c r="D18" s="37">
        <v>74</v>
      </c>
      <c r="E18" s="37">
        <v>1.04</v>
      </c>
      <c r="F18" s="132"/>
    </row>
    <row r="19" spans="1:6" ht="16.5" x14ac:dyDescent="0.25">
      <c r="A19" s="131"/>
      <c r="B19" s="37">
        <v>11</v>
      </c>
      <c r="C19" s="37" t="s">
        <v>2935</v>
      </c>
      <c r="D19" s="37">
        <v>74</v>
      </c>
      <c r="E19" s="37">
        <v>0.78</v>
      </c>
      <c r="F19" s="132"/>
    </row>
    <row r="20" spans="1:6" ht="16.5" x14ac:dyDescent="0.25">
      <c r="A20" s="131"/>
      <c r="B20" s="37">
        <v>12</v>
      </c>
      <c r="C20" s="37" t="s">
        <v>2936</v>
      </c>
      <c r="D20" s="37">
        <v>8</v>
      </c>
      <c r="E20" s="37">
        <v>8.48</v>
      </c>
      <c r="F20" s="132"/>
    </row>
    <row r="21" spans="1:6" ht="16.5" x14ac:dyDescent="0.25">
      <c r="A21" s="131"/>
      <c r="B21" s="37">
        <v>13</v>
      </c>
      <c r="C21" s="37" t="s">
        <v>2937</v>
      </c>
      <c r="D21" s="37">
        <v>180</v>
      </c>
      <c r="E21" s="37">
        <v>0.89</v>
      </c>
      <c r="F21" s="132"/>
    </row>
    <row r="22" spans="1:6" ht="16.5" x14ac:dyDescent="0.25">
      <c r="A22" s="131"/>
      <c r="B22" s="37">
        <v>14</v>
      </c>
      <c r="C22" s="37" t="s">
        <v>2938</v>
      </c>
      <c r="D22" s="37">
        <v>180</v>
      </c>
      <c r="E22" s="37">
        <v>0.65</v>
      </c>
      <c r="F22" s="132"/>
    </row>
    <row r="23" spans="1:6" ht="16.5" x14ac:dyDescent="0.25">
      <c r="A23" s="131"/>
      <c r="B23" s="37">
        <v>15</v>
      </c>
      <c r="C23" s="37" t="s">
        <v>2939</v>
      </c>
      <c r="D23" s="37">
        <v>8</v>
      </c>
      <c r="E23" s="37">
        <v>7.6899999999999995</v>
      </c>
      <c r="F23" s="132"/>
    </row>
    <row r="24" spans="1:6" ht="16.5" x14ac:dyDescent="0.25">
      <c r="A24" s="131"/>
      <c r="B24" s="37">
        <v>16</v>
      </c>
      <c r="C24" s="37" t="s">
        <v>2940</v>
      </c>
      <c r="D24" s="37">
        <v>8</v>
      </c>
      <c r="E24" s="37">
        <v>10.02</v>
      </c>
      <c r="F24" s="132"/>
    </row>
    <row r="25" spans="1:6" ht="16.5" x14ac:dyDescent="0.25">
      <c r="A25" s="131"/>
      <c r="B25" s="37">
        <v>17</v>
      </c>
      <c r="C25" s="37" t="s">
        <v>2941</v>
      </c>
      <c r="D25" s="37">
        <v>8</v>
      </c>
      <c r="E25" s="37">
        <v>6.95</v>
      </c>
      <c r="F25" s="132"/>
    </row>
    <row r="26" spans="1:6" ht="16.5" x14ac:dyDescent="0.25">
      <c r="A26" s="131"/>
      <c r="B26" s="37">
        <v>18</v>
      </c>
      <c r="C26" s="37" t="s">
        <v>2942</v>
      </c>
      <c r="D26" s="37">
        <v>8</v>
      </c>
      <c r="E26" s="37">
        <v>4.16</v>
      </c>
      <c r="F26" s="132"/>
    </row>
    <row r="27" spans="1:6" ht="16.5" x14ac:dyDescent="0.25">
      <c r="A27" s="131"/>
      <c r="B27" s="37" t="s">
        <v>2479</v>
      </c>
      <c r="C27" s="37" t="s">
        <v>2927</v>
      </c>
      <c r="D27" s="37">
        <v>8</v>
      </c>
      <c r="E27" s="37">
        <v>1.36</v>
      </c>
      <c r="F27" s="132"/>
    </row>
    <row r="28" spans="1:6" ht="33" x14ac:dyDescent="0.25">
      <c r="A28" s="131"/>
      <c r="B28" s="37" t="s">
        <v>2479</v>
      </c>
      <c r="C28" s="37" t="s">
        <v>2928</v>
      </c>
      <c r="D28" s="37">
        <v>5.6035999999999992</v>
      </c>
      <c r="E28" s="37" t="s">
        <v>4</v>
      </c>
      <c r="F28" s="132"/>
    </row>
    <row r="29" spans="1:6" ht="33" x14ac:dyDescent="0.25">
      <c r="A29" s="131"/>
      <c r="B29" s="37" t="s">
        <v>2479</v>
      </c>
      <c r="C29" s="37" t="s">
        <v>2929</v>
      </c>
      <c r="D29" s="37">
        <v>92.094999999999999</v>
      </c>
      <c r="E29" s="37" t="s">
        <v>4</v>
      </c>
      <c r="F29" s="132"/>
    </row>
    <row r="30" spans="1:6" ht="16.5" x14ac:dyDescent="0.25">
      <c r="A30" s="131" t="s">
        <v>2943</v>
      </c>
      <c r="B30" s="37">
        <v>2</v>
      </c>
      <c r="C30" s="37" t="s">
        <v>2922</v>
      </c>
      <c r="D30" s="37">
        <v>456</v>
      </c>
      <c r="E30" s="37">
        <v>0.73</v>
      </c>
      <c r="F30" s="132" t="s">
        <v>2944</v>
      </c>
    </row>
    <row r="31" spans="1:6" ht="16.5" x14ac:dyDescent="0.25">
      <c r="A31" s="131"/>
      <c r="B31" s="37">
        <v>4</v>
      </c>
      <c r="C31" s="37" t="s">
        <v>2924</v>
      </c>
      <c r="D31" s="37">
        <v>32</v>
      </c>
      <c r="E31" s="37">
        <v>9.99</v>
      </c>
      <c r="F31" s="132"/>
    </row>
    <row r="32" spans="1:6" ht="16.5" x14ac:dyDescent="0.25">
      <c r="A32" s="131"/>
      <c r="B32" s="37">
        <v>5</v>
      </c>
      <c r="C32" s="37" t="s">
        <v>2925</v>
      </c>
      <c r="D32" s="37">
        <v>8</v>
      </c>
      <c r="E32" s="37">
        <v>9.43</v>
      </c>
      <c r="F32" s="132"/>
    </row>
    <row r="33" spans="1:6" ht="16.5" x14ac:dyDescent="0.25">
      <c r="A33" s="131"/>
      <c r="B33" s="37">
        <v>6</v>
      </c>
      <c r="C33" s="37" t="s">
        <v>2926</v>
      </c>
      <c r="D33" s="37">
        <v>8</v>
      </c>
      <c r="E33" s="37">
        <v>3.53</v>
      </c>
      <c r="F33" s="132"/>
    </row>
    <row r="34" spans="1:6" ht="16.5" x14ac:dyDescent="0.25">
      <c r="A34" s="131"/>
      <c r="B34" s="37">
        <v>7</v>
      </c>
      <c r="C34" s="37" t="s">
        <v>2945</v>
      </c>
      <c r="D34" s="37">
        <v>16</v>
      </c>
      <c r="E34" s="37">
        <v>10.53</v>
      </c>
      <c r="F34" s="132"/>
    </row>
    <row r="35" spans="1:6" ht="16.5" x14ac:dyDescent="0.25">
      <c r="A35" s="131"/>
      <c r="B35" s="37">
        <v>13</v>
      </c>
      <c r="C35" s="37" t="s">
        <v>2937</v>
      </c>
      <c r="D35" s="37">
        <v>76</v>
      </c>
      <c r="E35" s="37">
        <v>0.89</v>
      </c>
      <c r="F35" s="132"/>
    </row>
    <row r="36" spans="1:6" ht="16.5" x14ac:dyDescent="0.25">
      <c r="A36" s="131"/>
      <c r="B36" s="37">
        <v>14</v>
      </c>
      <c r="C36" s="37" t="s">
        <v>2938</v>
      </c>
      <c r="D36" s="37">
        <v>76</v>
      </c>
      <c r="E36" s="37">
        <v>0.65</v>
      </c>
      <c r="F36" s="132"/>
    </row>
    <row r="37" spans="1:6" ht="16.5" x14ac:dyDescent="0.25">
      <c r="A37" s="131"/>
      <c r="B37" s="37">
        <v>19</v>
      </c>
      <c r="C37" s="37" t="s">
        <v>2946</v>
      </c>
      <c r="D37" s="37">
        <v>8</v>
      </c>
      <c r="E37" s="37">
        <v>12.53</v>
      </c>
      <c r="F37" s="132"/>
    </row>
    <row r="38" spans="1:6" ht="16.5" x14ac:dyDescent="0.25">
      <c r="A38" s="131"/>
      <c r="B38" s="37">
        <v>22</v>
      </c>
      <c r="C38" s="37" t="s">
        <v>2933</v>
      </c>
      <c r="D38" s="37">
        <v>8</v>
      </c>
      <c r="E38" s="37">
        <v>9.27</v>
      </c>
      <c r="F38" s="132"/>
    </row>
    <row r="39" spans="1:6" ht="16.5" x14ac:dyDescent="0.25">
      <c r="A39" s="131"/>
      <c r="B39" s="37" t="s">
        <v>2479</v>
      </c>
      <c r="C39" s="37" t="s">
        <v>2927</v>
      </c>
      <c r="D39" s="37">
        <v>8</v>
      </c>
      <c r="E39" s="37">
        <v>0.02</v>
      </c>
      <c r="F39" s="132"/>
    </row>
    <row r="40" spans="1:6" ht="33" x14ac:dyDescent="0.25">
      <c r="A40" s="131"/>
      <c r="B40" s="37" t="s">
        <v>2479</v>
      </c>
      <c r="C40" s="37" t="s">
        <v>2928</v>
      </c>
      <c r="D40" s="37">
        <v>22.184999999999999</v>
      </c>
      <c r="E40" s="37" t="s">
        <v>4</v>
      </c>
      <c r="F40" s="132"/>
    </row>
    <row r="41" spans="1:6" ht="33" x14ac:dyDescent="0.25">
      <c r="A41" s="131"/>
      <c r="B41" s="37" t="s">
        <v>2479</v>
      </c>
      <c r="C41" s="37" t="s">
        <v>2929</v>
      </c>
      <c r="D41" s="37">
        <v>14.625</v>
      </c>
      <c r="E41" s="37" t="s">
        <v>4</v>
      </c>
      <c r="F41" s="132"/>
    </row>
    <row r="42" spans="1:6" ht="16.5" x14ac:dyDescent="0.25">
      <c r="A42" s="131" t="s">
        <v>2947</v>
      </c>
      <c r="B42" s="37">
        <v>2</v>
      </c>
      <c r="C42" s="37" t="s">
        <v>2922</v>
      </c>
      <c r="D42" s="37">
        <v>476</v>
      </c>
      <c r="E42" s="37">
        <v>0.73</v>
      </c>
      <c r="F42" s="132" t="s">
        <v>2948</v>
      </c>
    </row>
    <row r="43" spans="1:6" ht="16.5" x14ac:dyDescent="0.25">
      <c r="A43" s="131"/>
      <c r="B43" s="37">
        <v>20</v>
      </c>
      <c r="C43" s="37" t="s">
        <v>2920</v>
      </c>
      <c r="D43" s="37">
        <v>28</v>
      </c>
      <c r="E43" s="37">
        <v>15.13</v>
      </c>
      <c r="F43" s="132"/>
    </row>
    <row r="44" spans="1:6" ht="16.5" x14ac:dyDescent="0.25">
      <c r="A44" s="131"/>
      <c r="B44" s="37">
        <v>21</v>
      </c>
      <c r="C44" s="37" t="s">
        <v>2949</v>
      </c>
      <c r="D44" s="37">
        <v>28</v>
      </c>
      <c r="E44" s="37">
        <v>8.27</v>
      </c>
      <c r="F44" s="132"/>
    </row>
    <row r="45" spans="1:6" ht="16.5" x14ac:dyDescent="0.25">
      <c r="A45" s="131"/>
      <c r="B45" s="37" t="s">
        <v>2479</v>
      </c>
      <c r="C45" s="37" t="s">
        <v>2927</v>
      </c>
      <c r="D45" s="37">
        <v>28</v>
      </c>
      <c r="E45" s="37">
        <v>1.36</v>
      </c>
      <c r="F45" s="132"/>
    </row>
    <row r="46" spans="1:6" ht="33" x14ac:dyDescent="0.25">
      <c r="A46" s="131"/>
      <c r="B46" s="37" t="s">
        <v>2479</v>
      </c>
      <c r="C46" s="37" t="s">
        <v>2928</v>
      </c>
      <c r="D46" s="37">
        <v>11.935</v>
      </c>
      <c r="E46" s="37" t="s">
        <v>4</v>
      </c>
      <c r="F46" s="132"/>
    </row>
    <row r="47" spans="1:6" ht="33" x14ac:dyDescent="0.25">
      <c r="A47" s="131"/>
      <c r="B47" s="37" t="s">
        <v>2479</v>
      </c>
      <c r="C47" s="37" t="s">
        <v>2929</v>
      </c>
      <c r="D47" s="37">
        <v>6.5975000000000001</v>
      </c>
      <c r="E47" s="37" t="s">
        <v>4</v>
      </c>
      <c r="F47" s="132"/>
    </row>
    <row r="48" spans="1:6" ht="16.5" x14ac:dyDescent="0.25">
      <c r="A48" s="131" t="s">
        <v>2950</v>
      </c>
      <c r="B48" s="37">
        <v>2</v>
      </c>
      <c r="C48" s="37" t="s">
        <v>2922</v>
      </c>
      <c r="D48" s="37">
        <v>621</v>
      </c>
      <c r="E48" s="37">
        <v>0.73</v>
      </c>
      <c r="F48" s="132" t="s">
        <v>2951</v>
      </c>
    </row>
    <row r="49" spans="1:6" ht="16.5" x14ac:dyDescent="0.25">
      <c r="A49" s="131"/>
      <c r="B49" s="37">
        <v>4</v>
      </c>
      <c r="C49" s="37" t="s">
        <v>2924</v>
      </c>
      <c r="D49" s="37">
        <v>72</v>
      </c>
      <c r="E49" s="37">
        <v>9.99</v>
      </c>
      <c r="F49" s="132"/>
    </row>
    <row r="50" spans="1:6" ht="16.5" x14ac:dyDescent="0.25">
      <c r="A50" s="131"/>
      <c r="B50" s="37">
        <v>13</v>
      </c>
      <c r="C50" s="37" t="s">
        <v>2937</v>
      </c>
      <c r="D50" s="37">
        <v>114</v>
      </c>
      <c r="E50" s="37">
        <v>0.89</v>
      </c>
      <c r="F50" s="132"/>
    </row>
    <row r="51" spans="1:6" ht="16.5" x14ac:dyDescent="0.25">
      <c r="A51" s="131"/>
      <c r="B51" s="37">
        <v>14</v>
      </c>
      <c r="C51" s="37" t="s">
        <v>2938</v>
      </c>
      <c r="D51" s="37">
        <v>114</v>
      </c>
      <c r="E51" s="37">
        <v>0.65</v>
      </c>
      <c r="F51" s="132"/>
    </row>
    <row r="52" spans="1:6" ht="16.5" x14ac:dyDescent="0.25">
      <c r="A52" s="131"/>
      <c r="B52" s="37">
        <v>19</v>
      </c>
      <c r="C52" s="37" t="s">
        <v>2946</v>
      </c>
      <c r="D52" s="37">
        <v>12</v>
      </c>
      <c r="E52" s="37">
        <v>12.53</v>
      </c>
      <c r="F52" s="132"/>
    </row>
    <row r="53" spans="1:6" ht="16.5" x14ac:dyDescent="0.25">
      <c r="A53" s="131"/>
      <c r="B53" s="37">
        <v>22</v>
      </c>
      <c r="C53" s="37" t="s">
        <v>2952</v>
      </c>
      <c r="D53" s="37">
        <v>12</v>
      </c>
      <c r="E53" s="37">
        <v>7.93</v>
      </c>
      <c r="F53" s="132"/>
    </row>
    <row r="54" spans="1:6" ht="16.5" x14ac:dyDescent="0.25">
      <c r="A54" s="131"/>
      <c r="B54" s="37">
        <v>23</v>
      </c>
      <c r="C54" s="37" t="s">
        <v>2953</v>
      </c>
      <c r="D54" s="37">
        <v>12</v>
      </c>
      <c r="E54" s="37">
        <v>6.71</v>
      </c>
      <c r="F54" s="132"/>
    </row>
    <row r="55" spans="1:6" ht="16.5" x14ac:dyDescent="0.25">
      <c r="A55" s="131"/>
      <c r="B55" s="37" t="s">
        <v>2479</v>
      </c>
      <c r="C55" s="37" t="s">
        <v>2927</v>
      </c>
      <c r="D55" s="37">
        <v>12</v>
      </c>
      <c r="E55" s="37">
        <v>0.02</v>
      </c>
      <c r="F55" s="132"/>
    </row>
    <row r="56" spans="1:6" ht="33" x14ac:dyDescent="0.25">
      <c r="A56" s="131"/>
      <c r="B56" s="37" t="s">
        <v>2479</v>
      </c>
      <c r="C56" s="37" t="s">
        <v>2928</v>
      </c>
      <c r="D56" s="37">
        <v>6.6231</v>
      </c>
      <c r="E56" s="37" t="s">
        <v>4</v>
      </c>
      <c r="F56" s="132"/>
    </row>
    <row r="57" spans="1:6" ht="33" x14ac:dyDescent="0.25">
      <c r="A57" s="131"/>
      <c r="B57" s="37" t="s">
        <v>2479</v>
      </c>
      <c r="C57" s="37" t="s">
        <v>2929</v>
      </c>
      <c r="D57" s="37">
        <v>19.8675</v>
      </c>
      <c r="E57" s="37" t="s">
        <v>4</v>
      </c>
      <c r="F57" s="132"/>
    </row>
    <row r="58" spans="1:6" ht="16.5" x14ac:dyDescent="0.25">
      <c r="A58" s="131" t="s">
        <v>2954</v>
      </c>
      <c r="B58" s="37">
        <v>2</v>
      </c>
      <c r="C58" s="37" t="s">
        <v>2922</v>
      </c>
      <c r="D58" s="37">
        <v>118</v>
      </c>
      <c r="E58" s="37">
        <v>0.73</v>
      </c>
      <c r="F58" s="132" t="s">
        <v>2955</v>
      </c>
    </row>
    <row r="59" spans="1:6" ht="16.5" x14ac:dyDescent="0.25">
      <c r="A59" s="131"/>
      <c r="B59" s="37">
        <v>4</v>
      </c>
      <c r="C59" s="37" t="s">
        <v>2924</v>
      </c>
      <c r="D59" s="37">
        <v>16</v>
      </c>
      <c r="E59" s="37">
        <v>9.99</v>
      </c>
      <c r="F59" s="132"/>
    </row>
    <row r="60" spans="1:6" ht="16.5" x14ac:dyDescent="0.25">
      <c r="A60" s="131"/>
      <c r="B60" s="37">
        <v>9</v>
      </c>
      <c r="C60" s="37" t="s">
        <v>2933</v>
      </c>
      <c r="D60" s="37">
        <v>4</v>
      </c>
      <c r="E60" s="37">
        <v>9.27</v>
      </c>
      <c r="F60" s="132"/>
    </row>
    <row r="61" spans="1:6" ht="16.5" x14ac:dyDescent="0.25">
      <c r="A61" s="131"/>
      <c r="B61" s="37">
        <v>12</v>
      </c>
      <c r="C61" s="37" t="s">
        <v>2956</v>
      </c>
      <c r="D61" s="37">
        <v>4</v>
      </c>
      <c r="E61" s="37">
        <v>9.43</v>
      </c>
      <c r="F61" s="132"/>
    </row>
    <row r="62" spans="1:6" ht="16.5" x14ac:dyDescent="0.25">
      <c r="A62" s="131"/>
      <c r="B62" s="37">
        <v>13</v>
      </c>
      <c r="C62" s="37" t="s">
        <v>2937</v>
      </c>
      <c r="D62" s="37">
        <v>132</v>
      </c>
      <c r="E62" s="37">
        <v>0.89</v>
      </c>
      <c r="F62" s="132"/>
    </row>
    <row r="63" spans="1:6" ht="16.5" x14ac:dyDescent="0.25">
      <c r="A63" s="131"/>
      <c r="B63" s="37">
        <v>14</v>
      </c>
      <c r="C63" s="37" t="s">
        <v>2938</v>
      </c>
      <c r="D63" s="37">
        <v>132</v>
      </c>
      <c r="E63" s="37">
        <v>0.65</v>
      </c>
      <c r="F63" s="132"/>
    </row>
    <row r="64" spans="1:6" ht="16.5" x14ac:dyDescent="0.25">
      <c r="A64" s="131"/>
      <c r="B64" s="37">
        <v>15</v>
      </c>
      <c r="C64" s="37" t="s">
        <v>2939</v>
      </c>
      <c r="D64" s="37">
        <v>4</v>
      </c>
      <c r="E64" s="37">
        <v>7.6899999999999995</v>
      </c>
      <c r="F64" s="132"/>
    </row>
    <row r="65" spans="1:6" ht="16.5" x14ac:dyDescent="0.25">
      <c r="A65" s="131"/>
      <c r="B65" s="37">
        <v>16</v>
      </c>
      <c r="C65" s="37" t="s">
        <v>2940</v>
      </c>
      <c r="D65" s="37">
        <v>4</v>
      </c>
      <c r="E65" s="37">
        <v>10.02</v>
      </c>
      <c r="F65" s="132"/>
    </row>
    <row r="66" spans="1:6" ht="16.5" x14ac:dyDescent="0.25">
      <c r="A66" s="131"/>
      <c r="B66" s="37">
        <v>17</v>
      </c>
      <c r="C66" s="37" t="s">
        <v>2941</v>
      </c>
      <c r="D66" s="37">
        <v>4</v>
      </c>
      <c r="E66" s="37">
        <v>6.95</v>
      </c>
      <c r="F66" s="132"/>
    </row>
    <row r="67" spans="1:6" ht="16.5" x14ac:dyDescent="0.25">
      <c r="A67" s="131"/>
      <c r="B67" s="37">
        <v>20</v>
      </c>
      <c r="C67" s="37" t="s">
        <v>2957</v>
      </c>
      <c r="D67" s="37">
        <v>4</v>
      </c>
      <c r="E67" s="37">
        <v>12.51</v>
      </c>
      <c r="F67" s="132"/>
    </row>
    <row r="68" spans="1:6" ht="16.5" x14ac:dyDescent="0.25">
      <c r="A68" s="131"/>
      <c r="B68" s="37">
        <v>23</v>
      </c>
      <c r="C68" s="37" t="s">
        <v>2953</v>
      </c>
      <c r="D68" s="37">
        <v>4</v>
      </c>
      <c r="E68" s="37">
        <v>6.71</v>
      </c>
      <c r="F68" s="132"/>
    </row>
    <row r="69" spans="1:6" ht="16.5" x14ac:dyDescent="0.25">
      <c r="A69" s="131"/>
      <c r="B69" s="37" t="s">
        <v>2479</v>
      </c>
      <c r="C69" s="37" t="s">
        <v>2927</v>
      </c>
      <c r="D69" s="37">
        <v>4</v>
      </c>
      <c r="E69" s="37">
        <v>0.02</v>
      </c>
      <c r="F69" s="132"/>
    </row>
    <row r="70" spans="1:6" ht="33" x14ac:dyDescent="0.25">
      <c r="A70" s="131"/>
      <c r="B70" s="37" t="s">
        <v>2479</v>
      </c>
      <c r="C70" s="37" t="s">
        <v>2928</v>
      </c>
      <c r="D70" s="37">
        <v>2.2077</v>
      </c>
      <c r="E70" s="37" t="s">
        <v>4</v>
      </c>
      <c r="F70" s="132"/>
    </row>
    <row r="71" spans="1:6" ht="33" x14ac:dyDescent="0.25">
      <c r="A71" s="131"/>
      <c r="B71" s="37" t="s">
        <v>2479</v>
      </c>
      <c r="C71" s="37" t="s">
        <v>2929</v>
      </c>
      <c r="D71" s="37">
        <v>7.8934999999999995</v>
      </c>
      <c r="E71" s="37" t="s">
        <v>4</v>
      </c>
      <c r="F71" s="132"/>
    </row>
    <row r="72" spans="1:6" ht="16.5" x14ac:dyDescent="0.25">
      <c r="A72" s="131" t="s">
        <v>2958</v>
      </c>
      <c r="B72" s="37">
        <v>1</v>
      </c>
      <c r="C72" s="37" t="s">
        <v>2920</v>
      </c>
      <c r="D72" s="37">
        <v>8</v>
      </c>
      <c r="E72" s="37">
        <v>15.13</v>
      </c>
      <c r="F72" s="132" t="s">
        <v>2959</v>
      </c>
    </row>
    <row r="73" spans="1:6" ht="16.5" x14ac:dyDescent="0.25">
      <c r="A73" s="131"/>
      <c r="B73" s="37">
        <v>2</v>
      </c>
      <c r="C73" s="37" t="s">
        <v>2922</v>
      </c>
      <c r="D73" s="37">
        <v>494</v>
      </c>
      <c r="E73" s="37">
        <v>0.73</v>
      </c>
      <c r="F73" s="132"/>
    </row>
    <row r="74" spans="1:6" ht="16.5" x14ac:dyDescent="0.25">
      <c r="A74" s="131"/>
      <c r="B74" s="37">
        <v>3</v>
      </c>
      <c r="C74" s="37" t="s">
        <v>2923</v>
      </c>
      <c r="D74" s="37">
        <v>8</v>
      </c>
      <c r="E74" s="37">
        <v>11.1</v>
      </c>
      <c r="F74" s="132"/>
    </row>
    <row r="75" spans="1:6" ht="16.5" x14ac:dyDescent="0.25">
      <c r="A75" s="131"/>
      <c r="B75" s="37">
        <v>4</v>
      </c>
      <c r="C75" s="37" t="s">
        <v>2924</v>
      </c>
      <c r="D75" s="37">
        <v>32</v>
      </c>
      <c r="E75" s="37">
        <v>9.99</v>
      </c>
      <c r="F75" s="132"/>
    </row>
    <row r="76" spans="1:6" ht="16.5" x14ac:dyDescent="0.25">
      <c r="A76" s="131"/>
      <c r="B76" s="37">
        <v>25</v>
      </c>
      <c r="C76" s="37" t="s">
        <v>2960</v>
      </c>
      <c r="D76" s="37">
        <v>8</v>
      </c>
      <c r="E76" s="37">
        <v>8.64</v>
      </c>
      <c r="F76" s="132"/>
    </row>
    <row r="77" spans="1:6" ht="16.5" x14ac:dyDescent="0.25">
      <c r="A77" s="131"/>
      <c r="B77" s="37">
        <v>26</v>
      </c>
      <c r="C77" s="37" t="s">
        <v>2961</v>
      </c>
      <c r="D77" s="37">
        <v>8</v>
      </c>
      <c r="E77" s="37">
        <v>8.07</v>
      </c>
      <c r="F77" s="132"/>
    </row>
    <row r="78" spans="1:6" ht="16.5" x14ac:dyDescent="0.25">
      <c r="A78" s="131"/>
      <c r="B78" s="37" t="s">
        <v>2479</v>
      </c>
      <c r="C78" s="37" t="s">
        <v>2927</v>
      </c>
      <c r="D78" s="37">
        <v>8</v>
      </c>
      <c r="E78" s="37">
        <v>0.02</v>
      </c>
      <c r="F78" s="132"/>
    </row>
    <row r="79" spans="1:6" ht="33" x14ac:dyDescent="0.25">
      <c r="A79" s="131"/>
      <c r="B79" s="37" t="s">
        <v>2479</v>
      </c>
      <c r="C79" s="37" t="s">
        <v>2928</v>
      </c>
      <c r="D79" s="37">
        <v>2.41</v>
      </c>
      <c r="E79" s="37" t="s">
        <v>4</v>
      </c>
      <c r="F79" s="132"/>
    </row>
    <row r="80" spans="1:6" ht="33" x14ac:dyDescent="0.25">
      <c r="A80" s="131"/>
      <c r="B80" s="37" t="s">
        <v>2479</v>
      </c>
      <c r="C80" s="37" t="s">
        <v>2929</v>
      </c>
      <c r="D80" s="37">
        <v>13.484999999999999</v>
      </c>
      <c r="E80" s="37" t="s">
        <v>4</v>
      </c>
      <c r="F80" s="132"/>
    </row>
    <row r="81" spans="1:6" ht="16.5" x14ac:dyDescent="0.25">
      <c r="A81" s="131" t="s">
        <v>2962</v>
      </c>
      <c r="B81" s="37">
        <v>1</v>
      </c>
      <c r="C81" s="37" t="s">
        <v>2920</v>
      </c>
      <c r="D81" s="37">
        <v>4</v>
      </c>
      <c r="E81" s="37">
        <v>15.13</v>
      </c>
      <c r="F81" s="132" t="s">
        <v>2963</v>
      </c>
    </row>
    <row r="82" spans="1:6" ht="16.5" x14ac:dyDescent="0.25">
      <c r="A82" s="131"/>
      <c r="B82" s="37">
        <v>2</v>
      </c>
      <c r="C82" s="37" t="s">
        <v>2922</v>
      </c>
      <c r="D82" s="37">
        <v>265</v>
      </c>
      <c r="E82" s="37">
        <v>0.73</v>
      </c>
      <c r="F82" s="132"/>
    </row>
    <row r="83" spans="1:6" ht="16.5" x14ac:dyDescent="0.25">
      <c r="A83" s="131"/>
      <c r="B83" s="37">
        <v>3</v>
      </c>
      <c r="C83" s="37" t="s">
        <v>2923</v>
      </c>
      <c r="D83" s="37">
        <v>4</v>
      </c>
      <c r="E83" s="37">
        <v>11.1</v>
      </c>
      <c r="F83" s="132"/>
    </row>
    <row r="84" spans="1:6" ht="16.5" x14ac:dyDescent="0.25">
      <c r="A84" s="131"/>
      <c r="B84" s="37">
        <v>4</v>
      </c>
      <c r="C84" s="37" t="s">
        <v>2924</v>
      </c>
      <c r="D84" s="37">
        <v>20</v>
      </c>
      <c r="E84" s="37">
        <v>9.99</v>
      </c>
      <c r="F84" s="132"/>
    </row>
    <row r="85" spans="1:6" ht="16.5" x14ac:dyDescent="0.25">
      <c r="A85" s="131"/>
      <c r="B85" s="37">
        <v>5</v>
      </c>
      <c r="C85" s="37" t="s">
        <v>2925</v>
      </c>
      <c r="D85" s="37">
        <v>4</v>
      </c>
      <c r="E85" s="37">
        <v>9.43</v>
      </c>
      <c r="F85" s="132"/>
    </row>
    <row r="86" spans="1:6" ht="16.5" x14ac:dyDescent="0.25">
      <c r="A86" s="131"/>
      <c r="B86" s="37">
        <v>6</v>
      </c>
      <c r="C86" s="37" t="s">
        <v>2926</v>
      </c>
      <c r="D86" s="37">
        <v>4</v>
      </c>
      <c r="E86" s="37">
        <v>3.53</v>
      </c>
      <c r="F86" s="132"/>
    </row>
    <row r="87" spans="1:6" ht="16.5" x14ac:dyDescent="0.25">
      <c r="A87" s="131"/>
      <c r="B87" s="37" t="s">
        <v>2479</v>
      </c>
      <c r="C87" s="37" t="s">
        <v>2927</v>
      </c>
      <c r="D87" s="37">
        <v>4</v>
      </c>
      <c r="E87" s="37">
        <v>0.02</v>
      </c>
      <c r="F87" s="132"/>
    </row>
    <row r="88" spans="1:6" ht="33" x14ac:dyDescent="0.25">
      <c r="A88" s="131"/>
      <c r="B88" s="37" t="s">
        <v>2479</v>
      </c>
      <c r="C88" s="37" t="s">
        <v>2928</v>
      </c>
      <c r="D88" s="37">
        <v>1.2050000000000001</v>
      </c>
      <c r="E88" s="37" t="s">
        <v>4</v>
      </c>
      <c r="F88" s="132"/>
    </row>
    <row r="89" spans="1:6" ht="33" x14ac:dyDescent="0.25">
      <c r="A89" s="131"/>
      <c r="B89" s="37" t="s">
        <v>2479</v>
      </c>
      <c r="C89" s="37" t="s">
        <v>2929</v>
      </c>
      <c r="D89" s="37">
        <v>7.25</v>
      </c>
      <c r="E89" s="37" t="s">
        <v>4</v>
      </c>
      <c r="F89" s="132"/>
    </row>
    <row r="90" spans="1:6" ht="16.5" x14ac:dyDescent="0.25">
      <c r="A90" s="131" t="s">
        <v>2964</v>
      </c>
      <c r="B90" s="37">
        <v>1</v>
      </c>
      <c r="C90" s="37" t="s">
        <v>2920</v>
      </c>
      <c r="D90" s="37">
        <v>4</v>
      </c>
      <c r="E90" s="37">
        <v>15.13</v>
      </c>
      <c r="F90" s="132" t="s">
        <v>2965</v>
      </c>
    </row>
    <row r="91" spans="1:6" ht="16.5" x14ac:dyDescent="0.25">
      <c r="A91" s="131"/>
      <c r="B91" s="37">
        <v>2</v>
      </c>
      <c r="C91" s="37" t="s">
        <v>2922</v>
      </c>
      <c r="D91" s="37">
        <v>263</v>
      </c>
      <c r="E91" s="37">
        <v>0.73</v>
      </c>
      <c r="F91" s="132"/>
    </row>
    <row r="92" spans="1:6" ht="16.5" x14ac:dyDescent="0.25">
      <c r="A92" s="131"/>
      <c r="B92" s="37">
        <v>3</v>
      </c>
      <c r="C92" s="37" t="s">
        <v>2923</v>
      </c>
      <c r="D92" s="37">
        <v>4</v>
      </c>
      <c r="E92" s="37">
        <v>11.1</v>
      </c>
      <c r="F92" s="132"/>
    </row>
    <row r="93" spans="1:6" ht="16.5" x14ac:dyDescent="0.25">
      <c r="A93" s="131"/>
      <c r="B93" s="37">
        <v>4</v>
      </c>
      <c r="C93" s="37" t="s">
        <v>2924</v>
      </c>
      <c r="D93" s="37">
        <v>20</v>
      </c>
      <c r="E93" s="37">
        <v>9.99</v>
      </c>
      <c r="F93" s="132"/>
    </row>
    <row r="94" spans="1:6" ht="16.5" x14ac:dyDescent="0.25">
      <c r="A94" s="131"/>
      <c r="B94" s="37">
        <v>5</v>
      </c>
      <c r="C94" s="37" t="s">
        <v>2925</v>
      </c>
      <c r="D94" s="37">
        <v>4</v>
      </c>
      <c r="E94" s="37">
        <v>9.43</v>
      </c>
      <c r="F94" s="132"/>
    </row>
    <row r="95" spans="1:6" ht="16.5" x14ac:dyDescent="0.25">
      <c r="A95" s="131"/>
      <c r="B95" s="37">
        <v>6</v>
      </c>
      <c r="C95" s="37" t="s">
        <v>2926</v>
      </c>
      <c r="D95" s="37">
        <v>4</v>
      </c>
      <c r="E95" s="37">
        <v>3.53</v>
      </c>
      <c r="F95" s="132"/>
    </row>
    <row r="96" spans="1:6" ht="16.5" x14ac:dyDescent="0.25">
      <c r="A96" s="131"/>
      <c r="B96" s="37" t="s">
        <v>2479</v>
      </c>
      <c r="C96" s="37" t="s">
        <v>2927</v>
      </c>
      <c r="D96" s="37">
        <v>4</v>
      </c>
      <c r="E96" s="37">
        <v>0.02</v>
      </c>
      <c r="F96" s="132"/>
    </row>
    <row r="97" spans="1:6" ht="33" x14ac:dyDescent="0.25">
      <c r="A97" s="131"/>
      <c r="B97" s="37" t="s">
        <v>2479</v>
      </c>
      <c r="C97" s="37" t="s">
        <v>2928</v>
      </c>
      <c r="D97" s="37">
        <v>1.2050000000000001</v>
      </c>
      <c r="E97" s="37" t="s">
        <v>4</v>
      </c>
      <c r="F97" s="132"/>
    </row>
    <row r="98" spans="1:6" ht="33" x14ac:dyDescent="0.25">
      <c r="A98" s="131"/>
      <c r="B98" s="37" t="s">
        <v>2479</v>
      </c>
      <c r="C98" s="37" t="s">
        <v>2929</v>
      </c>
      <c r="D98" s="37">
        <v>7.25</v>
      </c>
      <c r="E98" s="37" t="s">
        <v>4</v>
      </c>
      <c r="F98" s="132"/>
    </row>
    <row r="99" spans="1:6" ht="16.5" x14ac:dyDescent="0.25">
      <c r="A99" s="131" t="s">
        <v>2966</v>
      </c>
      <c r="B99" s="37">
        <v>2</v>
      </c>
      <c r="C99" s="37" t="s">
        <v>2922</v>
      </c>
      <c r="D99" s="37">
        <v>228</v>
      </c>
      <c r="E99" s="37">
        <v>0.73</v>
      </c>
      <c r="F99" s="132" t="s">
        <v>2967</v>
      </c>
    </row>
    <row r="100" spans="1:6" ht="16.5" x14ac:dyDescent="0.25">
      <c r="A100" s="131"/>
      <c r="B100" s="37">
        <v>3</v>
      </c>
      <c r="C100" s="37" t="s">
        <v>2923</v>
      </c>
      <c r="D100" s="37">
        <v>4</v>
      </c>
      <c r="E100" s="37">
        <v>11.1</v>
      </c>
      <c r="F100" s="132"/>
    </row>
    <row r="101" spans="1:6" ht="16.5" x14ac:dyDescent="0.25">
      <c r="A101" s="131"/>
      <c r="B101" s="37">
        <v>4</v>
      </c>
      <c r="C101" s="37" t="s">
        <v>2924</v>
      </c>
      <c r="D101" s="37">
        <v>20</v>
      </c>
      <c r="E101" s="37">
        <v>9.99</v>
      </c>
      <c r="F101" s="132"/>
    </row>
    <row r="102" spans="1:6" ht="16.5" x14ac:dyDescent="0.25">
      <c r="A102" s="131"/>
      <c r="B102" s="37">
        <v>5</v>
      </c>
      <c r="C102" s="37" t="s">
        <v>2925</v>
      </c>
      <c r="D102" s="37">
        <v>4</v>
      </c>
      <c r="E102" s="37">
        <v>9.43</v>
      </c>
      <c r="F102" s="132"/>
    </row>
    <row r="103" spans="1:6" ht="16.5" x14ac:dyDescent="0.25">
      <c r="A103" s="131"/>
      <c r="B103" s="37">
        <v>6</v>
      </c>
      <c r="C103" s="37" t="s">
        <v>2926</v>
      </c>
      <c r="D103" s="37">
        <v>4</v>
      </c>
      <c r="E103" s="37">
        <v>3.53</v>
      </c>
      <c r="F103" s="132"/>
    </row>
    <row r="104" spans="1:6" ht="16.5" x14ac:dyDescent="0.25">
      <c r="A104" s="131"/>
      <c r="B104" s="37">
        <v>9</v>
      </c>
      <c r="C104" s="37" t="s">
        <v>2933</v>
      </c>
      <c r="D104" s="37">
        <v>4</v>
      </c>
      <c r="E104" s="37">
        <v>9.27</v>
      </c>
      <c r="F104" s="132"/>
    </row>
    <row r="105" spans="1:6" ht="16.5" x14ac:dyDescent="0.25">
      <c r="A105" s="131"/>
      <c r="B105" s="37">
        <v>13</v>
      </c>
      <c r="C105" s="37" t="s">
        <v>2937</v>
      </c>
      <c r="D105" s="37">
        <v>38</v>
      </c>
      <c r="E105" s="37">
        <v>0.89</v>
      </c>
      <c r="F105" s="132"/>
    </row>
    <row r="106" spans="1:6" ht="16.5" x14ac:dyDescent="0.25">
      <c r="A106" s="131"/>
      <c r="B106" s="37">
        <v>14</v>
      </c>
      <c r="C106" s="37" t="s">
        <v>2938</v>
      </c>
      <c r="D106" s="37">
        <v>38</v>
      </c>
      <c r="E106" s="37">
        <v>0.65</v>
      </c>
      <c r="F106" s="132"/>
    </row>
    <row r="107" spans="1:6" ht="16.5" x14ac:dyDescent="0.25">
      <c r="A107" s="131"/>
      <c r="B107" s="37">
        <v>19</v>
      </c>
      <c r="C107" s="37" t="s">
        <v>2946</v>
      </c>
      <c r="D107" s="37">
        <v>4</v>
      </c>
      <c r="E107" s="37">
        <v>12.53</v>
      </c>
      <c r="F107" s="132"/>
    </row>
    <row r="108" spans="1:6" ht="16.5" x14ac:dyDescent="0.25">
      <c r="A108" s="131"/>
      <c r="B108" s="37" t="s">
        <v>2479</v>
      </c>
      <c r="C108" s="37" t="s">
        <v>2927</v>
      </c>
      <c r="D108" s="37">
        <v>4</v>
      </c>
      <c r="E108" s="37">
        <v>0.02</v>
      </c>
      <c r="F108" s="132"/>
    </row>
    <row r="109" spans="1:6" ht="33" x14ac:dyDescent="0.25">
      <c r="A109" s="131"/>
      <c r="B109" s="37" t="s">
        <v>2479</v>
      </c>
      <c r="C109" s="37" t="s">
        <v>2928</v>
      </c>
      <c r="D109" s="37">
        <v>2.2077</v>
      </c>
      <c r="E109" s="37" t="s">
        <v>4</v>
      </c>
      <c r="F109" s="132"/>
    </row>
    <row r="110" spans="1:6" ht="33" x14ac:dyDescent="0.25">
      <c r="A110" s="131"/>
      <c r="B110" s="37" t="s">
        <v>2479</v>
      </c>
      <c r="C110" s="37" t="s">
        <v>2929</v>
      </c>
      <c r="D110" s="37">
        <v>7.3125</v>
      </c>
      <c r="E110" s="37" t="s">
        <v>4</v>
      </c>
      <c r="F110" s="132"/>
    </row>
    <row r="111" spans="1:6" ht="16.5" x14ac:dyDescent="0.25">
      <c r="A111" s="131" t="s">
        <v>2968</v>
      </c>
      <c r="B111" s="37">
        <v>2</v>
      </c>
      <c r="C111" s="37" t="s">
        <v>2922</v>
      </c>
      <c r="D111" s="37">
        <v>232</v>
      </c>
      <c r="E111" s="37">
        <v>0.73</v>
      </c>
      <c r="F111" s="132" t="s">
        <v>2969</v>
      </c>
    </row>
    <row r="112" spans="1:6" ht="16.5" x14ac:dyDescent="0.25">
      <c r="A112" s="131"/>
      <c r="B112" s="37">
        <v>3</v>
      </c>
      <c r="C112" s="37" t="s">
        <v>2923</v>
      </c>
      <c r="D112" s="37">
        <v>4</v>
      </c>
      <c r="E112" s="37">
        <v>11.1</v>
      </c>
      <c r="F112" s="132"/>
    </row>
    <row r="113" spans="1:6" ht="16.5" x14ac:dyDescent="0.25">
      <c r="A113" s="131"/>
      <c r="B113" s="37">
        <v>4</v>
      </c>
      <c r="C113" s="37" t="s">
        <v>2924</v>
      </c>
      <c r="D113" s="37">
        <v>20</v>
      </c>
      <c r="E113" s="37">
        <v>9.99</v>
      </c>
      <c r="F113" s="132"/>
    </row>
    <row r="114" spans="1:6" ht="16.5" x14ac:dyDescent="0.25">
      <c r="A114" s="131"/>
      <c r="B114" s="37">
        <v>9</v>
      </c>
      <c r="C114" s="37" t="s">
        <v>2933</v>
      </c>
      <c r="D114" s="37">
        <v>4</v>
      </c>
      <c r="E114" s="37">
        <v>9.27</v>
      </c>
      <c r="F114" s="132"/>
    </row>
    <row r="115" spans="1:6" ht="16.5" x14ac:dyDescent="0.25">
      <c r="A115" s="131"/>
      <c r="B115" s="37">
        <v>13</v>
      </c>
      <c r="C115" s="37" t="s">
        <v>2937</v>
      </c>
      <c r="D115" s="37">
        <v>38</v>
      </c>
      <c r="E115" s="37">
        <v>0.89</v>
      </c>
      <c r="F115" s="132"/>
    </row>
    <row r="116" spans="1:6" ht="16.5" x14ac:dyDescent="0.25">
      <c r="A116" s="131"/>
      <c r="B116" s="37">
        <v>14</v>
      </c>
      <c r="C116" s="37" t="s">
        <v>2938</v>
      </c>
      <c r="D116" s="37">
        <v>38</v>
      </c>
      <c r="E116" s="37">
        <v>0.65</v>
      </c>
      <c r="F116" s="132"/>
    </row>
    <row r="117" spans="1:6" ht="16.5" x14ac:dyDescent="0.25">
      <c r="A117" s="131"/>
      <c r="B117" s="37">
        <v>18</v>
      </c>
      <c r="C117" s="37" t="s">
        <v>2942</v>
      </c>
      <c r="D117" s="37">
        <v>8</v>
      </c>
      <c r="E117" s="37">
        <v>4.16</v>
      </c>
      <c r="F117" s="132"/>
    </row>
    <row r="118" spans="1:6" ht="16.5" x14ac:dyDescent="0.25">
      <c r="A118" s="131"/>
      <c r="B118" s="37">
        <v>19</v>
      </c>
      <c r="C118" s="37" t="s">
        <v>2946</v>
      </c>
      <c r="D118" s="37">
        <v>4</v>
      </c>
      <c r="E118" s="37">
        <v>12.53</v>
      </c>
      <c r="F118" s="132"/>
    </row>
    <row r="119" spans="1:6" ht="16.5" x14ac:dyDescent="0.25">
      <c r="A119" s="131"/>
      <c r="B119" s="37">
        <v>27</v>
      </c>
      <c r="C119" s="37" t="s">
        <v>2970</v>
      </c>
      <c r="D119" s="37">
        <v>4</v>
      </c>
      <c r="E119" s="37">
        <v>11.4</v>
      </c>
      <c r="F119" s="132"/>
    </row>
    <row r="120" spans="1:6" ht="16.5" x14ac:dyDescent="0.25">
      <c r="A120" s="131"/>
      <c r="B120" s="37">
        <v>28</v>
      </c>
      <c r="C120" s="37" t="s">
        <v>2971</v>
      </c>
      <c r="D120" s="37">
        <v>8</v>
      </c>
      <c r="E120" s="37">
        <v>4.2699999999999996</v>
      </c>
      <c r="F120" s="132"/>
    </row>
    <row r="121" spans="1:6" ht="16.5" x14ac:dyDescent="0.25">
      <c r="A121" s="131"/>
      <c r="B121" s="37">
        <v>29</v>
      </c>
      <c r="C121" s="37" t="s">
        <v>2972</v>
      </c>
      <c r="D121" s="37">
        <v>8</v>
      </c>
      <c r="E121" s="37">
        <v>2.8499999999999996</v>
      </c>
      <c r="F121" s="132"/>
    </row>
    <row r="122" spans="1:6" ht="16.5" x14ac:dyDescent="0.25">
      <c r="A122" s="131"/>
      <c r="B122" s="37">
        <v>30</v>
      </c>
      <c r="C122" s="37" t="s">
        <v>2973</v>
      </c>
      <c r="D122" s="37">
        <v>20</v>
      </c>
      <c r="E122" s="37">
        <v>0.55000000000000004</v>
      </c>
      <c r="F122" s="132"/>
    </row>
    <row r="123" spans="1:6" ht="16.5" x14ac:dyDescent="0.25">
      <c r="A123" s="131"/>
      <c r="B123" s="37" t="s">
        <v>2479</v>
      </c>
      <c r="C123" s="37" t="s">
        <v>2927</v>
      </c>
      <c r="D123" s="37">
        <v>8</v>
      </c>
      <c r="E123" s="37">
        <v>0.02</v>
      </c>
      <c r="F123" s="132"/>
    </row>
    <row r="124" spans="1:6" ht="33" x14ac:dyDescent="0.25">
      <c r="A124" s="131"/>
      <c r="B124" s="37" t="s">
        <v>2479</v>
      </c>
      <c r="C124" s="37" t="s">
        <v>2928</v>
      </c>
      <c r="D124" s="37">
        <v>2.2077</v>
      </c>
      <c r="E124" s="37" t="s">
        <v>4</v>
      </c>
      <c r="F124" s="132"/>
    </row>
    <row r="125" spans="1:6" ht="33" x14ac:dyDescent="0.25">
      <c r="A125" s="131"/>
      <c r="B125" s="37" t="s">
        <v>2479</v>
      </c>
      <c r="C125" s="37" t="s">
        <v>2929</v>
      </c>
      <c r="D125" s="37">
        <v>7.25</v>
      </c>
      <c r="E125" s="37" t="s">
        <v>4</v>
      </c>
      <c r="F125" s="132"/>
    </row>
    <row r="126" spans="1:6" ht="16.5" x14ac:dyDescent="0.25">
      <c r="A126" s="131" t="s">
        <v>2974</v>
      </c>
      <c r="B126" s="37">
        <v>2</v>
      </c>
      <c r="C126" s="37" t="s">
        <v>2922</v>
      </c>
      <c r="D126" s="37">
        <v>233</v>
      </c>
      <c r="E126" s="37">
        <v>0.73</v>
      </c>
      <c r="F126" s="132" t="s">
        <v>2975</v>
      </c>
    </row>
    <row r="127" spans="1:6" ht="16.5" x14ac:dyDescent="0.25">
      <c r="A127" s="131"/>
      <c r="B127" s="37">
        <v>3</v>
      </c>
      <c r="C127" s="37" t="s">
        <v>2923</v>
      </c>
      <c r="D127" s="37">
        <v>4</v>
      </c>
      <c r="E127" s="37">
        <v>11.1</v>
      </c>
      <c r="F127" s="132"/>
    </row>
    <row r="128" spans="1:6" ht="16.5" x14ac:dyDescent="0.25">
      <c r="A128" s="131"/>
      <c r="B128" s="37">
        <v>4</v>
      </c>
      <c r="C128" s="37" t="s">
        <v>2924</v>
      </c>
      <c r="D128" s="37">
        <v>20</v>
      </c>
      <c r="E128" s="37">
        <v>9.99</v>
      </c>
      <c r="F128" s="132"/>
    </row>
    <row r="129" spans="1:6" ht="16.5" x14ac:dyDescent="0.25">
      <c r="A129" s="131"/>
      <c r="B129" s="37">
        <v>9</v>
      </c>
      <c r="C129" s="37" t="s">
        <v>2933</v>
      </c>
      <c r="D129" s="37">
        <v>4</v>
      </c>
      <c r="E129" s="37">
        <v>9.27</v>
      </c>
      <c r="F129" s="132"/>
    </row>
    <row r="130" spans="1:6" ht="16.5" x14ac:dyDescent="0.25">
      <c r="A130" s="131"/>
      <c r="B130" s="37">
        <v>13</v>
      </c>
      <c r="C130" s="37" t="s">
        <v>2937</v>
      </c>
      <c r="D130" s="37">
        <v>38</v>
      </c>
      <c r="E130" s="37">
        <v>0.89</v>
      </c>
      <c r="F130" s="132"/>
    </row>
    <row r="131" spans="1:6" ht="16.5" x14ac:dyDescent="0.25">
      <c r="A131" s="131"/>
      <c r="B131" s="37">
        <v>14</v>
      </c>
      <c r="C131" s="37" t="s">
        <v>2938</v>
      </c>
      <c r="D131" s="37">
        <v>38</v>
      </c>
      <c r="E131" s="37">
        <v>0.65</v>
      </c>
      <c r="F131" s="132"/>
    </row>
    <row r="132" spans="1:6" ht="16.5" x14ac:dyDescent="0.25">
      <c r="A132" s="131"/>
      <c r="B132" s="37">
        <v>18</v>
      </c>
      <c r="C132" s="37" t="s">
        <v>2942</v>
      </c>
      <c r="D132" s="37">
        <v>8</v>
      </c>
      <c r="E132" s="37">
        <v>4.16</v>
      </c>
      <c r="F132" s="132"/>
    </row>
    <row r="133" spans="1:6" ht="16.5" x14ac:dyDescent="0.25">
      <c r="A133" s="131"/>
      <c r="B133" s="37">
        <v>19</v>
      </c>
      <c r="C133" s="37" t="s">
        <v>2946</v>
      </c>
      <c r="D133" s="37">
        <v>4</v>
      </c>
      <c r="E133" s="37">
        <v>12.53</v>
      </c>
      <c r="F133" s="132"/>
    </row>
    <row r="134" spans="1:6" ht="16.5" x14ac:dyDescent="0.25">
      <c r="A134" s="131"/>
      <c r="B134" s="37">
        <v>27</v>
      </c>
      <c r="C134" s="37" t="s">
        <v>2970</v>
      </c>
      <c r="D134" s="37">
        <v>4</v>
      </c>
      <c r="E134" s="37">
        <v>11.4</v>
      </c>
      <c r="F134" s="132"/>
    </row>
    <row r="135" spans="1:6" ht="16.5" x14ac:dyDescent="0.25">
      <c r="A135" s="131"/>
      <c r="B135" s="37">
        <v>28</v>
      </c>
      <c r="C135" s="37" t="s">
        <v>2971</v>
      </c>
      <c r="D135" s="37">
        <v>8</v>
      </c>
      <c r="E135" s="37">
        <v>4.2699999999999996</v>
      </c>
      <c r="F135" s="132"/>
    </row>
    <row r="136" spans="1:6" ht="16.5" x14ac:dyDescent="0.25">
      <c r="A136" s="131"/>
      <c r="B136" s="37">
        <v>29</v>
      </c>
      <c r="C136" s="37" t="s">
        <v>2972</v>
      </c>
      <c r="D136" s="37">
        <v>8</v>
      </c>
      <c r="E136" s="37">
        <v>2.8499999999999996</v>
      </c>
      <c r="F136" s="132"/>
    </row>
    <row r="137" spans="1:6" ht="16.5" x14ac:dyDescent="0.25">
      <c r="A137" s="131"/>
      <c r="B137" s="37">
        <v>30</v>
      </c>
      <c r="C137" s="37" t="s">
        <v>2973</v>
      </c>
      <c r="D137" s="37">
        <v>20</v>
      </c>
      <c r="E137" s="37">
        <v>0.55000000000000004</v>
      </c>
      <c r="F137" s="132"/>
    </row>
    <row r="138" spans="1:6" ht="16.5" x14ac:dyDescent="0.25">
      <c r="A138" s="131"/>
      <c r="B138" s="37" t="s">
        <v>2479</v>
      </c>
      <c r="C138" s="37" t="s">
        <v>2927</v>
      </c>
      <c r="D138" s="37">
        <v>8</v>
      </c>
      <c r="E138" s="37">
        <v>0.02</v>
      </c>
      <c r="F138" s="132"/>
    </row>
    <row r="139" spans="1:6" ht="33" x14ac:dyDescent="0.25">
      <c r="A139" s="131"/>
      <c r="B139" s="37" t="s">
        <v>2479</v>
      </c>
      <c r="C139" s="37" t="s">
        <v>2928</v>
      </c>
      <c r="D139" s="37">
        <v>2.2077</v>
      </c>
      <c r="E139" s="37" t="s">
        <v>4</v>
      </c>
      <c r="F139" s="132"/>
    </row>
    <row r="140" spans="1:6" ht="33" x14ac:dyDescent="0.25">
      <c r="A140" s="131"/>
      <c r="B140" s="37" t="s">
        <v>2479</v>
      </c>
      <c r="C140" s="37" t="s">
        <v>2929</v>
      </c>
      <c r="D140" s="37">
        <v>7.25</v>
      </c>
      <c r="E140" s="37" t="s">
        <v>4</v>
      </c>
      <c r="F140" s="132"/>
    </row>
    <row r="141" spans="1:6" ht="16.5" x14ac:dyDescent="0.25">
      <c r="A141" s="131" t="s">
        <v>2976</v>
      </c>
      <c r="B141" s="37">
        <v>1</v>
      </c>
      <c r="C141" s="37" t="s">
        <v>2977</v>
      </c>
      <c r="D141" s="37">
        <v>4</v>
      </c>
      <c r="E141" s="37">
        <v>15.13</v>
      </c>
      <c r="F141" s="132" t="s">
        <v>2978</v>
      </c>
    </row>
    <row r="142" spans="1:6" ht="16.5" x14ac:dyDescent="0.25">
      <c r="A142" s="131"/>
      <c r="B142" s="37">
        <v>2</v>
      </c>
      <c r="C142" s="37" t="s">
        <v>2922</v>
      </c>
      <c r="D142" s="37">
        <v>244</v>
      </c>
      <c r="E142" s="37">
        <v>0.73</v>
      </c>
      <c r="F142" s="132"/>
    </row>
    <row r="143" spans="1:6" ht="16.5" x14ac:dyDescent="0.25">
      <c r="A143" s="131"/>
      <c r="B143" s="37">
        <v>3</v>
      </c>
      <c r="C143" s="37" t="s">
        <v>2923</v>
      </c>
      <c r="D143" s="37">
        <v>4</v>
      </c>
      <c r="E143" s="37">
        <v>11.1</v>
      </c>
      <c r="F143" s="132"/>
    </row>
    <row r="144" spans="1:6" ht="16.5" x14ac:dyDescent="0.25">
      <c r="A144" s="131"/>
      <c r="B144" s="37">
        <v>4</v>
      </c>
      <c r="C144" s="37" t="s">
        <v>2924</v>
      </c>
      <c r="D144" s="37">
        <v>20</v>
      </c>
      <c r="E144" s="37">
        <v>9.99</v>
      </c>
      <c r="F144" s="132"/>
    </row>
    <row r="145" spans="1:6" ht="16.5" x14ac:dyDescent="0.25">
      <c r="A145" s="131"/>
      <c r="B145" s="37">
        <v>9</v>
      </c>
      <c r="C145" s="37" t="s">
        <v>2933</v>
      </c>
      <c r="D145" s="37">
        <v>4</v>
      </c>
      <c r="E145" s="37">
        <v>9.27</v>
      </c>
      <c r="F145" s="132"/>
    </row>
    <row r="146" spans="1:6" ht="16.5" x14ac:dyDescent="0.25">
      <c r="A146" s="131"/>
      <c r="B146" s="37">
        <v>23</v>
      </c>
      <c r="C146" s="37" t="s">
        <v>2953</v>
      </c>
      <c r="D146" s="37">
        <v>4</v>
      </c>
      <c r="E146" s="37">
        <v>6.71</v>
      </c>
      <c r="F146" s="132"/>
    </row>
    <row r="147" spans="1:6" ht="16.5" x14ac:dyDescent="0.25">
      <c r="A147" s="131"/>
      <c r="B147" s="37">
        <v>24</v>
      </c>
      <c r="C147" s="37" t="s">
        <v>2979</v>
      </c>
      <c r="D147" s="37">
        <v>4</v>
      </c>
      <c r="E147" s="37">
        <v>6.82</v>
      </c>
      <c r="F147" s="132"/>
    </row>
    <row r="148" spans="1:6" ht="16.5" x14ac:dyDescent="0.25">
      <c r="A148" s="131"/>
      <c r="B148" s="37" t="s">
        <v>2479</v>
      </c>
      <c r="C148" s="37" t="s">
        <v>2927</v>
      </c>
      <c r="D148" s="37">
        <v>4</v>
      </c>
      <c r="E148" s="37">
        <v>0.02</v>
      </c>
      <c r="F148" s="132"/>
    </row>
    <row r="149" spans="1:6" ht="33" x14ac:dyDescent="0.25">
      <c r="A149" s="131"/>
      <c r="B149" s="37" t="s">
        <v>2479</v>
      </c>
      <c r="C149" s="37" t="s">
        <v>2928</v>
      </c>
      <c r="D149" s="37">
        <v>1.8925000000000001</v>
      </c>
      <c r="E149" s="37" t="s">
        <v>4</v>
      </c>
      <c r="F149" s="132"/>
    </row>
    <row r="150" spans="1:6" ht="33" x14ac:dyDescent="0.25">
      <c r="A150" s="131"/>
      <c r="B150" s="37" t="s">
        <v>2479</v>
      </c>
      <c r="C150" s="37" t="s">
        <v>2929</v>
      </c>
      <c r="D150" s="37">
        <v>6.6174999999999997</v>
      </c>
      <c r="E150" s="37" t="s">
        <v>4</v>
      </c>
      <c r="F150" s="132"/>
    </row>
    <row r="151" spans="1:6" ht="16.5" x14ac:dyDescent="0.25">
      <c r="A151" s="131" t="s">
        <v>2980</v>
      </c>
      <c r="B151" s="37">
        <v>1</v>
      </c>
      <c r="C151" s="37" t="s">
        <v>2920</v>
      </c>
      <c r="D151" s="37">
        <v>4</v>
      </c>
      <c r="E151" s="37">
        <v>15.13</v>
      </c>
      <c r="F151" s="132" t="s">
        <v>2903</v>
      </c>
    </row>
    <row r="152" spans="1:6" ht="16.5" x14ac:dyDescent="0.25">
      <c r="A152" s="131"/>
      <c r="B152" s="37">
        <v>2</v>
      </c>
      <c r="C152" s="37" t="s">
        <v>2922</v>
      </c>
      <c r="D152" s="37">
        <v>247</v>
      </c>
      <c r="E152" s="37">
        <v>0.73</v>
      </c>
      <c r="F152" s="132"/>
    </row>
    <row r="153" spans="1:6" ht="16.5" x14ac:dyDescent="0.25">
      <c r="A153" s="131"/>
      <c r="B153" s="37">
        <v>3</v>
      </c>
      <c r="C153" s="37" t="s">
        <v>2923</v>
      </c>
      <c r="D153" s="37">
        <v>4</v>
      </c>
      <c r="E153" s="37">
        <v>11.1</v>
      </c>
      <c r="F153" s="132"/>
    </row>
    <row r="154" spans="1:6" ht="16.5" x14ac:dyDescent="0.25">
      <c r="A154" s="131"/>
      <c r="B154" s="37">
        <v>4</v>
      </c>
      <c r="C154" s="37" t="s">
        <v>2924</v>
      </c>
      <c r="D154" s="37">
        <v>16</v>
      </c>
      <c r="E154" s="37">
        <v>9.99</v>
      </c>
      <c r="F154" s="132"/>
    </row>
    <row r="155" spans="1:6" ht="16.5" x14ac:dyDescent="0.25">
      <c r="A155" s="131"/>
      <c r="B155" s="37">
        <v>25</v>
      </c>
      <c r="C155" s="37" t="s">
        <v>2960</v>
      </c>
      <c r="D155" s="37">
        <v>4</v>
      </c>
      <c r="E155" s="37">
        <v>8.64</v>
      </c>
      <c r="F155" s="132"/>
    </row>
    <row r="156" spans="1:6" ht="16.5" x14ac:dyDescent="0.25">
      <c r="A156" s="131"/>
      <c r="B156" s="37">
        <v>26</v>
      </c>
      <c r="C156" s="37" t="s">
        <v>2961</v>
      </c>
      <c r="D156" s="37">
        <v>4</v>
      </c>
      <c r="E156" s="37">
        <v>8.07</v>
      </c>
      <c r="F156" s="132"/>
    </row>
    <row r="157" spans="1:6" ht="16.5" x14ac:dyDescent="0.25">
      <c r="A157" s="131"/>
      <c r="B157" s="37" t="s">
        <v>2479</v>
      </c>
      <c r="C157" s="37" t="s">
        <v>2927</v>
      </c>
      <c r="D157" s="37">
        <v>4</v>
      </c>
      <c r="E157" s="37">
        <v>0.02</v>
      </c>
      <c r="F157" s="132"/>
    </row>
    <row r="158" spans="1:6" ht="33" x14ac:dyDescent="0.25">
      <c r="A158" s="131"/>
      <c r="B158" s="37" t="s">
        <v>2479</v>
      </c>
      <c r="C158" s="37" t="s">
        <v>2928</v>
      </c>
      <c r="D158" s="37">
        <v>1.2050000000000001</v>
      </c>
      <c r="E158" s="37" t="s">
        <v>4</v>
      </c>
      <c r="F158" s="132"/>
    </row>
    <row r="159" spans="1:6" ht="33" x14ac:dyDescent="0.25">
      <c r="A159" s="131"/>
      <c r="B159" s="37" t="s">
        <v>2479</v>
      </c>
      <c r="C159" s="37" t="s">
        <v>2929</v>
      </c>
      <c r="D159" s="37">
        <v>6.7424999999999997</v>
      </c>
      <c r="E159" s="37" t="s">
        <v>4</v>
      </c>
      <c r="F159" s="132"/>
    </row>
    <row r="160" spans="1:6" ht="16.5" x14ac:dyDescent="0.25">
      <c r="A160" s="131" t="s">
        <v>2981</v>
      </c>
      <c r="B160" s="37">
        <v>1</v>
      </c>
      <c r="C160" s="37" t="s">
        <v>2920</v>
      </c>
      <c r="D160" s="37">
        <v>4</v>
      </c>
      <c r="E160" s="37">
        <v>15.13</v>
      </c>
      <c r="F160" s="132" t="s">
        <v>2982</v>
      </c>
    </row>
    <row r="161" spans="1:6" ht="16.5" x14ac:dyDescent="0.25">
      <c r="A161" s="131"/>
      <c r="B161" s="37">
        <v>2</v>
      </c>
      <c r="C161" s="37" t="s">
        <v>2922</v>
      </c>
      <c r="D161" s="37">
        <v>261</v>
      </c>
      <c r="E161" s="37">
        <v>0.73</v>
      </c>
      <c r="F161" s="132"/>
    </row>
    <row r="162" spans="1:6" ht="16.5" x14ac:dyDescent="0.25">
      <c r="A162" s="131"/>
      <c r="B162" s="37">
        <v>3</v>
      </c>
      <c r="C162" s="37" t="s">
        <v>2923</v>
      </c>
      <c r="D162" s="37">
        <v>4</v>
      </c>
      <c r="E162" s="37">
        <v>11.1</v>
      </c>
      <c r="F162" s="132"/>
    </row>
    <row r="163" spans="1:6" ht="16.5" x14ac:dyDescent="0.25">
      <c r="A163" s="131"/>
      <c r="B163" s="37">
        <v>4</v>
      </c>
      <c r="C163" s="37" t="s">
        <v>2924</v>
      </c>
      <c r="D163" s="37">
        <v>20</v>
      </c>
      <c r="E163" s="37">
        <v>9.99</v>
      </c>
      <c r="F163" s="132"/>
    </row>
    <row r="164" spans="1:6" ht="16.5" x14ac:dyDescent="0.25">
      <c r="A164" s="131"/>
      <c r="B164" s="37">
        <v>5</v>
      </c>
      <c r="C164" s="37" t="s">
        <v>2925</v>
      </c>
      <c r="D164" s="37">
        <v>4</v>
      </c>
      <c r="E164" s="37">
        <v>9.43</v>
      </c>
      <c r="F164" s="132"/>
    </row>
    <row r="165" spans="1:6" ht="16.5" x14ac:dyDescent="0.25">
      <c r="A165" s="131"/>
      <c r="B165" s="37">
        <v>6</v>
      </c>
      <c r="C165" s="37" t="s">
        <v>2926</v>
      </c>
      <c r="D165" s="37">
        <v>4</v>
      </c>
      <c r="E165" s="37">
        <v>3.53</v>
      </c>
      <c r="F165" s="132"/>
    </row>
    <row r="166" spans="1:6" ht="16.5" x14ac:dyDescent="0.25">
      <c r="A166" s="131"/>
      <c r="B166" s="37">
        <v>7</v>
      </c>
      <c r="C166" s="37" t="s">
        <v>2926</v>
      </c>
      <c r="D166" s="37">
        <v>4</v>
      </c>
      <c r="E166" s="37">
        <v>3.53</v>
      </c>
      <c r="F166" s="132"/>
    </row>
    <row r="167" spans="1:6" ht="16.5" x14ac:dyDescent="0.25">
      <c r="A167" s="131"/>
      <c r="B167" s="37">
        <v>18</v>
      </c>
      <c r="C167" s="37" t="s">
        <v>2983</v>
      </c>
      <c r="D167" s="37">
        <v>4</v>
      </c>
      <c r="E167" s="37">
        <v>4.16</v>
      </c>
      <c r="F167" s="132"/>
    </row>
    <row r="168" spans="1:6" ht="16.5" x14ac:dyDescent="0.25">
      <c r="A168" s="131"/>
      <c r="B168" s="37" t="s">
        <v>2479</v>
      </c>
      <c r="C168" s="37" t="s">
        <v>2927</v>
      </c>
      <c r="D168" s="37">
        <v>4</v>
      </c>
      <c r="E168" s="37">
        <v>0.02</v>
      </c>
      <c r="F168" s="132"/>
    </row>
    <row r="169" spans="1:6" ht="33" x14ac:dyDescent="0.25">
      <c r="A169" s="131"/>
      <c r="B169" s="37" t="s">
        <v>2479</v>
      </c>
      <c r="C169" s="37" t="s">
        <v>2928</v>
      </c>
      <c r="D169" s="37">
        <v>1.7050000000000001</v>
      </c>
      <c r="E169" s="37" t="s">
        <v>4</v>
      </c>
      <c r="F169" s="132"/>
    </row>
    <row r="170" spans="1:6" ht="33" x14ac:dyDescent="0.25">
      <c r="A170" s="131"/>
      <c r="B170" s="37" t="s">
        <v>2479</v>
      </c>
      <c r="C170" s="37" t="s">
        <v>2929</v>
      </c>
      <c r="D170" s="37">
        <v>7.1875</v>
      </c>
      <c r="E170" s="37" t="s">
        <v>4</v>
      </c>
      <c r="F170" s="132"/>
    </row>
    <row r="171" spans="1:6" ht="16.5" x14ac:dyDescent="0.25">
      <c r="A171" s="131" t="s">
        <v>2984</v>
      </c>
      <c r="B171" s="37">
        <v>1</v>
      </c>
      <c r="C171" s="37" t="s">
        <v>2920</v>
      </c>
      <c r="D171" s="37">
        <v>4</v>
      </c>
      <c r="E171" s="37">
        <v>15.13</v>
      </c>
      <c r="F171" s="132" t="s">
        <v>2985</v>
      </c>
    </row>
    <row r="172" spans="1:6" ht="16.5" x14ac:dyDescent="0.25">
      <c r="A172" s="131"/>
      <c r="B172" s="37">
        <v>2</v>
      </c>
      <c r="C172" s="37" t="s">
        <v>2922</v>
      </c>
      <c r="D172" s="37">
        <v>263</v>
      </c>
      <c r="E172" s="37">
        <v>0.73</v>
      </c>
      <c r="F172" s="132"/>
    </row>
    <row r="173" spans="1:6" ht="16.5" x14ac:dyDescent="0.25">
      <c r="A173" s="131"/>
      <c r="B173" s="37">
        <v>4</v>
      </c>
      <c r="C173" s="37" t="s">
        <v>2924</v>
      </c>
      <c r="D173" s="37">
        <v>16</v>
      </c>
      <c r="E173" s="37">
        <v>9.99</v>
      </c>
      <c r="F173" s="132"/>
    </row>
    <row r="174" spans="1:6" ht="16.5" x14ac:dyDescent="0.25">
      <c r="A174" s="131"/>
      <c r="B174" s="37">
        <v>5</v>
      </c>
      <c r="C174" s="37" t="s">
        <v>2986</v>
      </c>
      <c r="D174" s="37">
        <v>4</v>
      </c>
      <c r="E174" s="37">
        <v>9.379999999999999</v>
      </c>
      <c r="F174" s="132"/>
    </row>
    <row r="175" spans="1:6" ht="16.5" x14ac:dyDescent="0.25">
      <c r="A175" s="131"/>
      <c r="B175" s="37">
        <v>18</v>
      </c>
      <c r="C175" s="37" t="s">
        <v>2983</v>
      </c>
      <c r="D175" s="37">
        <v>8</v>
      </c>
      <c r="E175" s="37">
        <v>4.16</v>
      </c>
      <c r="F175" s="132"/>
    </row>
    <row r="176" spans="1:6" ht="16.5" x14ac:dyDescent="0.25">
      <c r="A176" s="131"/>
      <c r="B176" s="37">
        <v>27</v>
      </c>
      <c r="C176" s="37" t="s">
        <v>2970</v>
      </c>
      <c r="D176" s="37">
        <v>4</v>
      </c>
      <c r="E176" s="37">
        <v>11.4</v>
      </c>
      <c r="F176" s="132"/>
    </row>
    <row r="177" spans="1:6" ht="16.5" x14ac:dyDescent="0.25">
      <c r="A177" s="131"/>
      <c r="B177" s="37">
        <v>28</v>
      </c>
      <c r="C177" s="37" t="s">
        <v>2971</v>
      </c>
      <c r="D177" s="37">
        <v>8</v>
      </c>
      <c r="E177" s="37">
        <v>4.2699999999999996</v>
      </c>
      <c r="F177" s="132"/>
    </row>
    <row r="178" spans="1:6" ht="16.5" x14ac:dyDescent="0.25">
      <c r="A178" s="131"/>
      <c r="B178" s="37">
        <v>32</v>
      </c>
      <c r="C178" s="37" t="s">
        <v>2987</v>
      </c>
      <c r="D178" s="37">
        <v>4</v>
      </c>
      <c r="E178" s="37">
        <v>14.98</v>
      </c>
      <c r="F178" s="132"/>
    </row>
    <row r="179" spans="1:6" ht="16.5" x14ac:dyDescent="0.25">
      <c r="A179" s="131"/>
      <c r="B179" s="37">
        <v>33</v>
      </c>
      <c r="C179" s="37" t="s">
        <v>2988</v>
      </c>
      <c r="D179" s="37">
        <v>4</v>
      </c>
      <c r="E179" s="37">
        <v>10.61</v>
      </c>
      <c r="F179" s="132"/>
    </row>
    <row r="180" spans="1:6" ht="16.5" x14ac:dyDescent="0.25">
      <c r="A180" s="131"/>
      <c r="B180" s="37">
        <v>34</v>
      </c>
      <c r="C180" s="37" t="s">
        <v>2989</v>
      </c>
      <c r="D180" s="37">
        <v>4</v>
      </c>
      <c r="E180" s="37">
        <v>13.43</v>
      </c>
      <c r="F180" s="132"/>
    </row>
    <row r="181" spans="1:6" ht="16.5" x14ac:dyDescent="0.25">
      <c r="A181" s="131"/>
      <c r="B181" s="37" t="s">
        <v>2479</v>
      </c>
      <c r="C181" s="37" t="s">
        <v>2927</v>
      </c>
      <c r="D181" s="37">
        <v>8</v>
      </c>
      <c r="E181" s="37">
        <v>0.02</v>
      </c>
      <c r="F181" s="132"/>
    </row>
    <row r="182" spans="1:6" ht="33" x14ac:dyDescent="0.25">
      <c r="A182" s="131"/>
      <c r="B182" s="37" t="s">
        <v>2479</v>
      </c>
      <c r="C182" s="37" t="s">
        <v>2928</v>
      </c>
      <c r="D182" s="37">
        <v>1.7050000000000001</v>
      </c>
      <c r="E182" s="37" t="s">
        <v>4</v>
      </c>
      <c r="F182" s="132"/>
    </row>
    <row r="183" spans="1:6" ht="33" x14ac:dyDescent="0.25">
      <c r="A183" s="131"/>
      <c r="B183" s="37" t="s">
        <v>2479</v>
      </c>
      <c r="C183" s="37" t="s">
        <v>2929</v>
      </c>
      <c r="D183" s="37">
        <v>7.25</v>
      </c>
      <c r="E183" s="37" t="s">
        <v>4</v>
      </c>
      <c r="F183" s="132"/>
    </row>
    <row r="184" spans="1:6" ht="16.5" x14ac:dyDescent="0.25">
      <c r="A184" s="131" t="s">
        <v>2990</v>
      </c>
      <c r="B184" s="37">
        <v>1</v>
      </c>
      <c r="C184" s="37" t="s">
        <v>2920</v>
      </c>
      <c r="D184" s="37">
        <v>8</v>
      </c>
      <c r="E184" s="37">
        <v>15.13</v>
      </c>
      <c r="F184" s="132" t="s">
        <v>2991</v>
      </c>
    </row>
    <row r="185" spans="1:6" ht="16.5" x14ac:dyDescent="0.25">
      <c r="A185" s="131"/>
      <c r="B185" s="37">
        <v>2</v>
      </c>
      <c r="C185" s="37" t="s">
        <v>2922</v>
      </c>
      <c r="D185" s="37">
        <v>528</v>
      </c>
      <c r="E185" s="37">
        <v>0.73</v>
      </c>
      <c r="F185" s="132"/>
    </row>
    <row r="186" spans="1:6" ht="16.5" x14ac:dyDescent="0.25">
      <c r="A186" s="131"/>
      <c r="B186" s="37">
        <v>3</v>
      </c>
      <c r="C186" s="37" t="s">
        <v>2923</v>
      </c>
      <c r="D186" s="37">
        <v>8</v>
      </c>
      <c r="E186" s="37">
        <v>11.1</v>
      </c>
      <c r="F186" s="132"/>
    </row>
    <row r="187" spans="1:6" ht="16.5" x14ac:dyDescent="0.25">
      <c r="A187" s="131"/>
      <c r="B187" s="37">
        <v>4</v>
      </c>
      <c r="C187" s="37" t="s">
        <v>2924</v>
      </c>
      <c r="D187" s="37">
        <v>32</v>
      </c>
      <c r="E187" s="37">
        <v>9.99</v>
      </c>
      <c r="F187" s="132"/>
    </row>
    <row r="188" spans="1:6" ht="16.5" x14ac:dyDescent="0.25">
      <c r="A188" s="131"/>
      <c r="B188" s="37">
        <v>5</v>
      </c>
      <c r="C188" s="37" t="s">
        <v>2925</v>
      </c>
      <c r="D188" s="37">
        <v>8</v>
      </c>
      <c r="E188" s="37">
        <v>9.43</v>
      </c>
      <c r="F188" s="132"/>
    </row>
    <row r="189" spans="1:6" ht="16.5" x14ac:dyDescent="0.25">
      <c r="A189" s="131"/>
      <c r="B189" s="37">
        <v>6</v>
      </c>
      <c r="C189" s="37" t="s">
        <v>2926</v>
      </c>
      <c r="D189" s="37">
        <v>8</v>
      </c>
      <c r="E189" s="37">
        <v>3.53</v>
      </c>
      <c r="F189" s="132"/>
    </row>
    <row r="190" spans="1:6" ht="16.5" x14ac:dyDescent="0.25">
      <c r="A190" s="131"/>
      <c r="B190" s="37">
        <v>18</v>
      </c>
      <c r="C190" s="37" t="s">
        <v>2983</v>
      </c>
      <c r="D190" s="37">
        <v>8</v>
      </c>
      <c r="E190" s="37">
        <v>4.16</v>
      </c>
      <c r="F190" s="132"/>
    </row>
    <row r="191" spans="1:6" ht="16.5" x14ac:dyDescent="0.25">
      <c r="A191" s="131"/>
      <c r="B191" s="37" t="s">
        <v>2479</v>
      </c>
      <c r="C191" s="37" t="s">
        <v>2927</v>
      </c>
      <c r="D191" s="37">
        <v>8</v>
      </c>
      <c r="E191" s="37">
        <v>0.02</v>
      </c>
      <c r="F191" s="132"/>
    </row>
    <row r="192" spans="1:6" ht="33" x14ac:dyDescent="0.25">
      <c r="A192" s="131"/>
      <c r="B192" s="37" t="s">
        <v>2479</v>
      </c>
      <c r="C192" s="37" t="s">
        <v>2928</v>
      </c>
      <c r="D192" s="37">
        <v>3.41</v>
      </c>
      <c r="E192" s="37" t="s">
        <v>4</v>
      </c>
      <c r="F192" s="132"/>
    </row>
    <row r="193" spans="1:6" ht="33" x14ac:dyDescent="0.25">
      <c r="A193" s="131"/>
      <c r="B193" s="37" t="s">
        <v>2479</v>
      </c>
      <c r="C193" s="37" t="s">
        <v>2929</v>
      </c>
      <c r="D193" s="37">
        <v>14.5</v>
      </c>
      <c r="E193" s="37" t="s">
        <v>4</v>
      </c>
      <c r="F193" s="132"/>
    </row>
    <row r="194" spans="1:6" ht="16.5" x14ac:dyDescent="0.25">
      <c r="A194" s="131" t="s">
        <v>2992</v>
      </c>
      <c r="B194" s="37">
        <v>1</v>
      </c>
      <c r="C194" s="37" t="s">
        <v>2920</v>
      </c>
      <c r="D194" s="37">
        <v>12</v>
      </c>
      <c r="E194" s="37">
        <v>15.13</v>
      </c>
      <c r="F194" s="132" t="s">
        <v>2993</v>
      </c>
    </row>
    <row r="195" spans="1:6" ht="16.5" x14ac:dyDescent="0.25">
      <c r="A195" s="131"/>
      <c r="B195" s="37">
        <v>2</v>
      </c>
      <c r="C195" s="37" t="s">
        <v>2922</v>
      </c>
      <c r="D195" s="37">
        <v>789</v>
      </c>
      <c r="E195" s="37">
        <v>0.73</v>
      </c>
      <c r="F195" s="132"/>
    </row>
    <row r="196" spans="1:6" ht="16.5" x14ac:dyDescent="0.25">
      <c r="A196" s="131"/>
      <c r="B196" s="37">
        <v>3</v>
      </c>
      <c r="C196" s="37" t="s">
        <v>2923</v>
      </c>
      <c r="D196" s="37">
        <v>12</v>
      </c>
      <c r="E196" s="37">
        <v>11.1</v>
      </c>
      <c r="F196" s="132"/>
    </row>
    <row r="197" spans="1:6" ht="16.5" x14ac:dyDescent="0.25">
      <c r="A197" s="131"/>
      <c r="B197" s="37">
        <v>4</v>
      </c>
      <c r="C197" s="37" t="s">
        <v>2924</v>
      </c>
      <c r="D197" s="37">
        <v>60</v>
      </c>
      <c r="E197" s="37">
        <v>9.99</v>
      </c>
      <c r="F197" s="132"/>
    </row>
    <row r="198" spans="1:6" ht="16.5" x14ac:dyDescent="0.25">
      <c r="A198" s="131"/>
      <c r="B198" s="37">
        <v>5</v>
      </c>
      <c r="C198" s="37" t="s">
        <v>2925</v>
      </c>
      <c r="D198" s="37">
        <v>12</v>
      </c>
      <c r="E198" s="37">
        <v>9.43</v>
      </c>
      <c r="F198" s="132"/>
    </row>
    <row r="199" spans="1:6" ht="16.5" x14ac:dyDescent="0.25">
      <c r="A199" s="131"/>
      <c r="B199" s="37">
        <v>6</v>
      </c>
      <c r="C199" s="37" t="s">
        <v>2971</v>
      </c>
      <c r="D199" s="37">
        <v>12</v>
      </c>
      <c r="E199" s="37">
        <v>4.2699999999999996</v>
      </c>
      <c r="F199" s="132"/>
    </row>
    <row r="200" spans="1:6" ht="16.5" x14ac:dyDescent="0.25">
      <c r="A200" s="131"/>
      <c r="B200" s="37">
        <v>18</v>
      </c>
      <c r="C200" s="37" t="s">
        <v>2983</v>
      </c>
      <c r="D200" s="37">
        <v>12</v>
      </c>
      <c r="E200" s="37">
        <v>4.16</v>
      </c>
      <c r="F200" s="132"/>
    </row>
    <row r="201" spans="1:6" ht="16.5" x14ac:dyDescent="0.25">
      <c r="A201" s="131"/>
      <c r="B201" s="37" t="s">
        <v>2479</v>
      </c>
      <c r="C201" s="37" t="s">
        <v>2927</v>
      </c>
      <c r="D201" s="37">
        <v>24</v>
      </c>
      <c r="E201" s="37">
        <v>0.02</v>
      </c>
      <c r="F201" s="132"/>
    </row>
    <row r="202" spans="1:6" ht="33" x14ac:dyDescent="0.25">
      <c r="A202" s="131"/>
      <c r="B202" s="37" t="s">
        <v>2479</v>
      </c>
      <c r="C202" s="37" t="s">
        <v>2928</v>
      </c>
      <c r="D202" s="37">
        <v>5.1150000000000002</v>
      </c>
      <c r="E202" s="37" t="s">
        <v>4</v>
      </c>
      <c r="F202" s="132"/>
    </row>
    <row r="203" spans="1:6" ht="33" x14ac:dyDescent="0.25">
      <c r="A203" s="131"/>
      <c r="B203" s="37" t="s">
        <v>2479</v>
      </c>
      <c r="C203" s="37" t="s">
        <v>2929</v>
      </c>
      <c r="D203" s="37">
        <v>21.75</v>
      </c>
      <c r="E203" s="37" t="s">
        <v>4</v>
      </c>
      <c r="F203" s="132"/>
    </row>
    <row r="204" spans="1:6" ht="16.5" x14ac:dyDescent="0.25">
      <c r="A204" s="131" t="s">
        <v>2994</v>
      </c>
      <c r="B204" s="37">
        <v>1</v>
      </c>
      <c r="C204" s="37" t="s">
        <v>2920</v>
      </c>
      <c r="D204" s="37">
        <v>8</v>
      </c>
      <c r="E204" s="37">
        <v>15.13</v>
      </c>
      <c r="F204" s="132" t="s">
        <v>2995</v>
      </c>
    </row>
    <row r="205" spans="1:6" ht="16.5" x14ac:dyDescent="0.25">
      <c r="A205" s="131"/>
      <c r="B205" s="37">
        <v>2</v>
      </c>
      <c r="C205" s="37" t="s">
        <v>2922</v>
      </c>
      <c r="D205" s="37">
        <v>530</v>
      </c>
      <c r="E205" s="37">
        <v>0.73</v>
      </c>
      <c r="F205" s="132"/>
    </row>
    <row r="206" spans="1:6" ht="16.5" x14ac:dyDescent="0.25">
      <c r="A206" s="131"/>
      <c r="B206" s="37">
        <v>3</v>
      </c>
      <c r="C206" s="37" t="s">
        <v>2923</v>
      </c>
      <c r="D206" s="37">
        <v>8</v>
      </c>
      <c r="E206" s="37">
        <v>11.1</v>
      </c>
      <c r="F206" s="132"/>
    </row>
    <row r="207" spans="1:6" ht="16.5" x14ac:dyDescent="0.25">
      <c r="A207" s="131"/>
      <c r="B207" s="37">
        <v>4</v>
      </c>
      <c r="C207" s="37" t="s">
        <v>2924</v>
      </c>
      <c r="D207" s="37">
        <v>40</v>
      </c>
      <c r="E207" s="37">
        <v>9.99</v>
      </c>
      <c r="F207" s="132"/>
    </row>
    <row r="208" spans="1:6" ht="16.5" x14ac:dyDescent="0.25">
      <c r="A208" s="131"/>
      <c r="B208" s="37">
        <v>5</v>
      </c>
      <c r="C208" s="37" t="s">
        <v>2925</v>
      </c>
      <c r="D208" s="37">
        <v>8</v>
      </c>
      <c r="E208" s="37">
        <v>9.43</v>
      </c>
      <c r="F208" s="132"/>
    </row>
    <row r="209" spans="1:6" ht="16.5" x14ac:dyDescent="0.25">
      <c r="A209" s="131"/>
      <c r="B209" s="37">
        <v>6</v>
      </c>
      <c r="C209" s="37" t="s">
        <v>2971</v>
      </c>
      <c r="D209" s="37">
        <v>8</v>
      </c>
      <c r="E209" s="37">
        <v>4.2699999999999996</v>
      </c>
      <c r="F209" s="132"/>
    </row>
    <row r="210" spans="1:6" ht="16.5" x14ac:dyDescent="0.25">
      <c r="A210" s="131"/>
      <c r="B210" s="37">
        <v>18</v>
      </c>
      <c r="C210" s="37" t="s">
        <v>2983</v>
      </c>
      <c r="D210" s="37">
        <v>8</v>
      </c>
      <c r="E210" s="37">
        <v>4.16</v>
      </c>
      <c r="F210" s="132"/>
    </row>
    <row r="211" spans="1:6" ht="16.5" x14ac:dyDescent="0.25">
      <c r="A211" s="131"/>
      <c r="B211" s="37" t="s">
        <v>2479</v>
      </c>
      <c r="C211" s="37" t="s">
        <v>2927</v>
      </c>
      <c r="D211" s="37">
        <v>16</v>
      </c>
      <c r="E211" s="37">
        <v>0.02</v>
      </c>
      <c r="F211" s="132"/>
    </row>
    <row r="212" spans="1:6" ht="33" x14ac:dyDescent="0.25">
      <c r="A212" s="131"/>
      <c r="B212" s="37" t="s">
        <v>2479</v>
      </c>
      <c r="C212" s="37" t="s">
        <v>2928</v>
      </c>
      <c r="D212" s="37">
        <v>3.41</v>
      </c>
      <c r="E212" s="37" t="s">
        <v>4</v>
      </c>
      <c r="F212" s="132"/>
    </row>
    <row r="213" spans="1:6" ht="33" x14ac:dyDescent="0.25">
      <c r="A213" s="131"/>
      <c r="B213" s="37" t="s">
        <v>2479</v>
      </c>
      <c r="C213" s="37" t="s">
        <v>2929</v>
      </c>
      <c r="D213" s="37">
        <v>14.625</v>
      </c>
      <c r="E213" s="37" t="s">
        <v>4</v>
      </c>
      <c r="F213" s="132"/>
    </row>
    <row r="214" spans="1:6" ht="16.5" x14ac:dyDescent="0.25">
      <c r="A214" s="131" t="s">
        <v>2996</v>
      </c>
      <c r="B214" s="37">
        <v>1</v>
      </c>
      <c r="C214" s="37" t="s">
        <v>2920</v>
      </c>
      <c r="D214" s="37">
        <v>4</v>
      </c>
      <c r="E214" s="37">
        <v>15.13</v>
      </c>
      <c r="F214" s="132" t="s">
        <v>2997</v>
      </c>
    </row>
    <row r="215" spans="1:6" ht="16.5" x14ac:dyDescent="0.25">
      <c r="A215" s="131"/>
      <c r="B215" s="37">
        <v>2</v>
      </c>
      <c r="C215" s="37" t="s">
        <v>2922</v>
      </c>
      <c r="D215" s="37">
        <v>258</v>
      </c>
      <c r="E215" s="37">
        <v>0.73</v>
      </c>
      <c r="F215" s="132"/>
    </row>
    <row r="216" spans="1:6" ht="16.5" x14ac:dyDescent="0.25">
      <c r="A216" s="131"/>
      <c r="B216" s="37">
        <v>4</v>
      </c>
      <c r="C216" s="37" t="s">
        <v>2924</v>
      </c>
      <c r="D216" s="37">
        <v>20</v>
      </c>
      <c r="E216" s="37">
        <v>9.99</v>
      </c>
      <c r="F216" s="132"/>
    </row>
    <row r="217" spans="1:6" ht="16.5" x14ac:dyDescent="0.25">
      <c r="A217" s="131"/>
      <c r="B217" s="37">
        <v>18</v>
      </c>
      <c r="C217" s="37" t="s">
        <v>2983</v>
      </c>
      <c r="D217" s="37">
        <v>8</v>
      </c>
      <c r="E217" s="37">
        <v>4.16</v>
      </c>
      <c r="F217" s="132"/>
    </row>
    <row r="218" spans="1:6" ht="16.5" x14ac:dyDescent="0.25">
      <c r="A218" s="131"/>
      <c r="B218" s="37">
        <v>27</v>
      </c>
      <c r="C218" s="37" t="s">
        <v>2970</v>
      </c>
      <c r="D218" s="37">
        <v>4</v>
      </c>
      <c r="E218" s="37">
        <v>11.4</v>
      </c>
      <c r="F218" s="132"/>
    </row>
    <row r="219" spans="1:6" ht="16.5" x14ac:dyDescent="0.25">
      <c r="A219" s="131"/>
      <c r="B219" s="37">
        <v>28</v>
      </c>
      <c r="C219" s="37" t="s">
        <v>2971</v>
      </c>
      <c r="D219" s="37">
        <v>8</v>
      </c>
      <c r="E219" s="37">
        <v>4.2699999999999996</v>
      </c>
      <c r="F219" s="132"/>
    </row>
    <row r="220" spans="1:6" ht="16.5" x14ac:dyDescent="0.25">
      <c r="A220" s="131"/>
      <c r="B220" s="37">
        <v>32</v>
      </c>
      <c r="C220" s="37" t="s">
        <v>2987</v>
      </c>
      <c r="D220" s="37">
        <v>4</v>
      </c>
      <c r="E220" s="37">
        <v>14.98</v>
      </c>
      <c r="F220" s="132"/>
    </row>
    <row r="221" spans="1:6" ht="16.5" x14ac:dyDescent="0.25">
      <c r="A221" s="131"/>
      <c r="B221" s="37">
        <v>34</v>
      </c>
      <c r="C221" s="37" t="s">
        <v>2989</v>
      </c>
      <c r="D221" s="37">
        <v>4</v>
      </c>
      <c r="E221" s="37">
        <v>13.43</v>
      </c>
      <c r="F221" s="132"/>
    </row>
    <row r="222" spans="1:6" ht="16.5" x14ac:dyDescent="0.25">
      <c r="A222" s="131"/>
      <c r="B222" s="37" t="s">
        <v>2479</v>
      </c>
      <c r="C222" s="37" t="s">
        <v>2927</v>
      </c>
      <c r="D222" s="37">
        <v>8</v>
      </c>
      <c r="E222" s="37">
        <v>0.02</v>
      </c>
      <c r="F222" s="132"/>
    </row>
    <row r="223" spans="1:6" ht="33" x14ac:dyDescent="0.25">
      <c r="A223" s="131"/>
      <c r="B223" s="37" t="s">
        <v>2479</v>
      </c>
      <c r="C223" s="37" t="s">
        <v>2928</v>
      </c>
      <c r="D223" s="37">
        <v>1.7050000000000001</v>
      </c>
      <c r="E223" s="37" t="s">
        <v>4</v>
      </c>
      <c r="F223" s="132"/>
    </row>
    <row r="224" spans="1:6" ht="33" x14ac:dyDescent="0.25">
      <c r="A224" s="131"/>
      <c r="B224" s="37" t="s">
        <v>2479</v>
      </c>
      <c r="C224" s="37" t="s">
        <v>2929</v>
      </c>
      <c r="D224" s="37">
        <v>7.125</v>
      </c>
      <c r="E224" s="37" t="s">
        <v>4</v>
      </c>
      <c r="F224" s="132"/>
    </row>
    <row r="225" spans="1:6" ht="16.5" x14ac:dyDescent="0.25">
      <c r="A225" s="131" t="s">
        <v>2998</v>
      </c>
      <c r="B225" s="37">
        <v>1</v>
      </c>
      <c r="C225" s="37" t="s">
        <v>2920</v>
      </c>
      <c r="D225" s="37">
        <v>4</v>
      </c>
      <c r="E225" s="37">
        <v>15.13</v>
      </c>
      <c r="F225" s="132" t="s">
        <v>2999</v>
      </c>
    </row>
    <row r="226" spans="1:6" ht="16.5" x14ac:dyDescent="0.25">
      <c r="A226" s="131"/>
      <c r="B226" s="37">
        <v>2</v>
      </c>
      <c r="C226" s="37" t="s">
        <v>2922</v>
      </c>
      <c r="D226" s="37">
        <v>242</v>
      </c>
      <c r="E226" s="37">
        <v>0.73</v>
      </c>
      <c r="F226" s="132"/>
    </row>
    <row r="227" spans="1:6" ht="16.5" x14ac:dyDescent="0.25">
      <c r="A227" s="131"/>
      <c r="B227" s="37">
        <v>3</v>
      </c>
      <c r="C227" s="37" t="s">
        <v>2923</v>
      </c>
      <c r="D227" s="37">
        <v>4</v>
      </c>
      <c r="E227" s="37">
        <v>11.1</v>
      </c>
      <c r="F227" s="132"/>
    </row>
    <row r="228" spans="1:6" ht="16.5" x14ac:dyDescent="0.25">
      <c r="A228" s="131"/>
      <c r="B228" s="37">
        <v>4</v>
      </c>
      <c r="C228" s="37" t="s">
        <v>2924</v>
      </c>
      <c r="D228" s="37">
        <v>20</v>
      </c>
      <c r="E228" s="37">
        <v>9.99</v>
      </c>
      <c r="F228" s="132"/>
    </row>
    <row r="229" spans="1:6" ht="16.5" x14ac:dyDescent="0.25">
      <c r="A229" s="131"/>
      <c r="B229" s="37">
        <v>23</v>
      </c>
      <c r="C229" s="37" t="s">
        <v>2953</v>
      </c>
      <c r="D229" s="37">
        <v>4</v>
      </c>
      <c r="E229" s="37">
        <v>6.71</v>
      </c>
      <c r="F229" s="132"/>
    </row>
    <row r="230" spans="1:6" ht="16.5" x14ac:dyDescent="0.25">
      <c r="A230" s="131"/>
      <c r="B230" s="37">
        <v>24</v>
      </c>
      <c r="C230" s="37" t="s">
        <v>2979</v>
      </c>
      <c r="D230" s="37">
        <v>4</v>
      </c>
      <c r="E230" s="37">
        <v>6.82</v>
      </c>
      <c r="F230" s="132"/>
    </row>
    <row r="231" spans="1:6" ht="16.5" x14ac:dyDescent="0.25">
      <c r="A231" s="131"/>
      <c r="B231" s="37" t="s">
        <v>2479</v>
      </c>
      <c r="C231" s="37" t="s">
        <v>2927</v>
      </c>
      <c r="D231" s="37">
        <v>4</v>
      </c>
      <c r="E231" s="37">
        <v>0.02</v>
      </c>
      <c r="F231" s="132"/>
    </row>
    <row r="232" spans="1:6" ht="33" x14ac:dyDescent="0.25">
      <c r="A232" s="131"/>
      <c r="B232" s="37" t="s">
        <v>2479</v>
      </c>
      <c r="C232" s="37" t="s">
        <v>2928</v>
      </c>
      <c r="D232" s="37">
        <v>1.8925000000000001</v>
      </c>
      <c r="E232" s="37" t="s">
        <v>4</v>
      </c>
      <c r="F232" s="132"/>
    </row>
    <row r="233" spans="1:6" ht="33" x14ac:dyDescent="0.25">
      <c r="A233" s="131"/>
      <c r="B233" s="37" t="s">
        <v>2479</v>
      </c>
      <c r="C233" s="37" t="s">
        <v>2929</v>
      </c>
      <c r="D233" s="37">
        <v>6.6174999999999997</v>
      </c>
      <c r="E233" s="37" t="s">
        <v>4</v>
      </c>
      <c r="F233" s="132"/>
    </row>
    <row r="234" spans="1:6" ht="16.5" x14ac:dyDescent="0.25">
      <c r="A234" s="131" t="s">
        <v>3000</v>
      </c>
      <c r="B234" s="37">
        <v>1</v>
      </c>
      <c r="C234" s="37" t="s">
        <v>2920</v>
      </c>
      <c r="D234" s="37">
        <v>4</v>
      </c>
      <c r="E234" s="37">
        <v>15.13</v>
      </c>
      <c r="F234" s="132" t="s">
        <v>3001</v>
      </c>
    </row>
    <row r="235" spans="1:6" ht="16.5" x14ac:dyDescent="0.25">
      <c r="A235" s="131"/>
      <c r="B235" s="37">
        <v>2</v>
      </c>
      <c r="C235" s="37" t="s">
        <v>2922</v>
      </c>
      <c r="D235" s="37">
        <v>244</v>
      </c>
      <c r="E235" s="37">
        <v>0.73</v>
      </c>
      <c r="F235" s="132"/>
    </row>
    <row r="236" spans="1:6" ht="16.5" x14ac:dyDescent="0.25">
      <c r="A236" s="131"/>
      <c r="B236" s="37">
        <v>3</v>
      </c>
      <c r="C236" s="37" t="s">
        <v>2923</v>
      </c>
      <c r="D236" s="37">
        <v>4</v>
      </c>
      <c r="E236" s="37">
        <v>11.1</v>
      </c>
      <c r="F236" s="132"/>
    </row>
    <row r="237" spans="1:6" ht="16.5" x14ac:dyDescent="0.25">
      <c r="A237" s="131"/>
      <c r="B237" s="37">
        <v>4</v>
      </c>
      <c r="C237" s="37" t="s">
        <v>2924</v>
      </c>
      <c r="D237" s="37">
        <v>20</v>
      </c>
      <c r="E237" s="37">
        <v>9.99</v>
      </c>
      <c r="F237" s="132"/>
    </row>
    <row r="238" spans="1:6" ht="16.5" x14ac:dyDescent="0.25">
      <c r="A238" s="131"/>
      <c r="B238" s="37">
        <v>23</v>
      </c>
      <c r="C238" s="37" t="s">
        <v>2953</v>
      </c>
      <c r="D238" s="37">
        <v>4</v>
      </c>
      <c r="E238" s="37">
        <v>6.71</v>
      </c>
      <c r="F238" s="132"/>
    </row>
    <row r="239" spans="1:6" ht="16.5" x14ac:dyDescent="0.25">
      <c r="A239" s="131"/>
      <c r="B239" s="37">
        <v>24</v>
      </c>
      <c r="C239" s="37" t="s">
        <v>2979</v>
      </c>
      <c r="D239" s="37">
        <v>4</v>
      </c>
      <c r="E239" s="37">
        <v>6.82</v>
      </c>
      <c r="F239" s="132"/>
    </row>
    <row r="240" spans="1:6" ht="16.5" x14ac:dyDescent="0.25">
      <c r="A240" s="131"/>
      <c r="B240" s="37" t="s">
        <v>2479</v>
      </c>
      <c r="C240" s="37" t="s">
        <v>2927</v>
      </c>
      <c r="D240" s="37">
        <v>4</v>
      </c>
      <c r="E240" s="37">
        <v>0.02</v>
      </c>
      <c r="F240" s="132"/>
    </row>
    <row r="241" spans="1:6" ht="33" x14ac:dyDescent="0.25">
      <c r="A241" s="131"/>
      <c r="B241" s="37" t="s">
        <v>2479</v>
      </c>
      <c r="C241" s="37" t="s">
        <v>2928</v>
      </c>
      <c r="D241" s="37">
        <v>1.7050000000000001</v>
      </c>
      <c r="E241" s="37" t="s">
        <v>4</v>
      </c>
      <c r="F241" s="132"/>
    </row>
    <row r="242" spans="1:6" ht="33" x14ac:dyDescent="0.25">
      <c r="A242" s="131"/>
      <c r="B242" s="37" t="s">
        <v>2479</v>
      </c>
      <c r="C242" s="37" t="s">
        <v>2929</v>
      </c>
      <c r="D242" s="37">
        <v>6.6174999999999997</v>
      </c>
      <c r="E242" s="37" t="s">
        <v>4</v>
      </c>
      <c r="F242" s="132"/>
    </row>
    <row r="243" spans="1:6" ht="16.5" x14ac:dyDescent="0.25">
      <c r="A243" s="131" t="s">
        <v>3002</v>
      </c>
      <c r="B243" s="37">
        <v>1</v>
      </c>
      <c r="C243" s="37" t="s">
        <v>2920</v>
      </c>
      <c r="D243" s="37">
        <v>4</v>
      </c>
      <c r="E243" s="37">
        <v>15.13</v>
      </c>
      <c r="F243" s="132" t="s">
        <v>3003</v>
      </c>
    </row>
    <row r="244" spans="1:6" ht="16.5" x14ac:dyDescent="0.25">
      <c r="A244" s="131"/>
      <c r="B244" s="37">
        <v>2</v>
      </c>
      <c r="C244" s="37" t="s">
        <v>2922</v>
      </c>
      <c r="D244" s="37">
        <v>246</v>
      </c>
      <c r="E244" s="37">
        <v>0.73</v>
      </c>
      <c r="F244" s="132"/>
    </row>
    <row r="245" spans="1:6" ht="16.5" x14ac:dyDescent="0.25">
      <c r="A245" s="131"/>
      <c r="B245" s="37">
        <v>3</v>
      </c>
      <c r="C245" s="37" t="s">
        <v>2923</v>
      </c>
      <c r="D245" s="37">
        <v>4</v>
      </c>
      <c r="E245" s="37">
        <v>11.1</v>
      </c>
      <c r="F245" s="132"/>
    </row>
    <row r="246" spans="1:6" ht="16.5" x14ac:dyDescent="0.25">
      <c r="A246" s="131"/>
      <c r="B246" s="37">
        <v>4</v>
      </c>
      <c r="C246" s="37" t="s">
        <v>2924</v>
      </c>
      <c r="D246" s="37">
        <v>20</v>
      </c>
      <c r="E246" s="37">
        <v>9.99</v>
      </c>
      <c r="F246" s="132"/>
    </row>
    <row r="247" spans="1:6" ht="16.5" x14ac:dyDescent="0.25">
      <c r="A247" s="131"/>
      <c r="B247" s="37">
        <v>23</v>
      </c>
      <c r="C247" s="37" t="s">
        <v>2953</v>
      </c>
      <c r="D247" s="37">
        <v>4</v>
      </c>
      <c r="E247" s="37">
        <v>6.71</v>
      </c>
      <c r="F247" s="132"/>
    </row>
    <row r="248" spans="1:6" ht="16.5" x14ac:dyDescent="0.25">
      <c r="A248" s="131"/>
      <c r="B248" s="37" t="s">
        <v>2479</v>
      </c>
      <c r="C248" s="37" t="s">
        <v>2927</v>
      </c>
      <c r="D248" s="37">
        <v>4</v>
      </c>
      <c r="E248" s="37">
        <v>0.02</v>
      </c>
      <c r="F248" s="132"/>
    </row>
    <row r="249" spans="1:6" ht="33" x14ac:dyDescent="0.25">
      <c r="A249" s="131"/>
      <c r="B249" s="37" t="s">
        <v>2479</v>
      </c>
      <c r="C249" s="37" t="s">
        <v>2928</v>
      </c>
      <c r="D249" s="37">
        <v>1.2050000000000001</v>
      </c>
      <c r="E249" s="37" t="s">
        <v>4</v>
      </c>
      <c r="F249" s="132"/>
    </row>
    <row r="250" spans="1:6" ht="33" x14ac:dyDescent="0.25">
      <c r="A250" s="131"/>
      <c r="B250" s="37" t="s">
        <v>2479</v>
      </c>
      <c r="C250" s="37" t="s">
        <v>2929</v>
      </c>
      <c r="D250" s="37">
        <v>6.68</v>
      </c>
      <c r="E250" s="37" t="s">
        <v>4</v>
      </c>
      <c r="F250" s="132"/>
    </row>
    <row r="251" spans="1:6" ht="16.5" x14ac:dyDescent="0.25">
      <c r="A251" s="131" t="s">
        <v>3004</v>
      </c>
      <c r="B251" s="37">
        <v>1</v>
      </c>
      <c r="C251" s="37" t="s">
        <v>2920</v>
      </c>
      <c r="D251" s="37">
        <v>4</v>
      </c>
      <c r="E251" s="37">
        <v>15.13</v>
      </c>
      <c r="F251" s="132" t="s">
        <v>3005</v>
      </c>
    </row>
    <row r="252" spans="1:6" ht="16.5" x14ac:dyDescent="0.25">
      <c r="A252" s="131"/>
      <c r="B252" s="37">
        <v>2</v>
      </c>
      <c r="C252" s="37" t="s">
        <v>2922</v>
      </c>
      <c r="D252" s="37">
        <v>265</v>
      </c>
      <c r="E252" s="37">
        <v>0.73</v>
      </c>
      <c r="F252" s="132"/>
    </row>
    <row r="253" spans="1:6" ht="16.5" x14ac:dyDescent="0.25">
      <c r="A253" s="131"/>
      <c r="B253" s="37">
        <v>18</v>
      </c>
      <c r="C253" s="37" t="s">
        <v>2942</v>
      </c>
      <c r="D253" s="37">
        <v>8</v>
      </c>
      <c r="E253" s="37">
        <v>4.16</v>
      </c>
      <c r="F253" s="132"/>
    </row>
    <row r="254" spans="1:6" ht="16.5" x14ac:dyDescent="0.25">
      <c r="A254" s="131"/>
      <c r="B254" s="37">
        <v>27</v>
      </c>
      <c r="C254" s="37" t="s">
        <v>2970</v>
      </c>
      <c r="D254" s="37">
        <v>4</v>
      </c>
      <c r="E254" s="37">
        <v>11.4</v>
      </c>
      <c r="F254" s="132"/>
    </row>
    <row r="255" spans="1:6" ht="16.5" x14ac:dyDescent="0.25">
      <c r="A255" s="131"/>
      <c r="B255" s="37">
        <v>28</v>
      </c>
      <c r="C255" s="37" t="s">
        <v>2971</v>
      </c>
      <c r="D255" s="37">
        <v>8</v>
      </c>
      <c r="E255" s="37">
        <v>4.2699999999999996</v>
      </c>
      <c r="F255" s="132"/>
    </row>
    <row r="256" spans="1:6" ht="16.5" x14ac:dyDescent="0.25">
      <c r="A256" s="131"/>
      <c r="B256" s="37">
        <v>31</v>
      </c>
      <c r="C256" s="37" t="s">
        <v>3006</v>
      </c>
      <c r="D256" s="37">
        <v>16</v>
      </c>
      <c r="E256" s="37">
        <v>12.09</v>
      </c>
      <c r="F256" s="132"/>
    </row>
    <row r="257" spans="1:6" ht="16.5" x14ac:dyDescent="0.25">
      <c r="A257" s="131"/>
      <c r="B257" s="37">
        <v>32</v>
      </c>
      <c r="C257" s="37" t="s">
        <v>2987</v>
      </c>
      <c r="D257" s="37">
        <v>4</v>
      </c>
      <c r="E257" s="37">
        <v>14.98</v>
      </c>
      <c r="F257" s="132"/>
    </row>
    <row r="258" spans="1:6" ht="16.5" x14ac:dyDescent="0.25">
      <c r="A258" s="131"/>
      <c r="B258" s="37">
        <v>34</v>
      </c>
      <c r="C258" s="37" t="s">
        <v>2989</v>
      </c>
      <c r="D258" s="37">
        <v>4</v>
      </c>
      <c r="E258" s="37">
        <v>13.43</v>
      </c>
      <c r="F258" s="132"/>
    </row>
    <row r="259" spans="1:6" ht="16.5" x14ac:dyDescent="0.25">
      <c r="A259" s="131"/>
      <c r="B259" s="37">
        <v>35</v>
      </c>
      <c r="C259" s="37" t="s">
        <v>3007</v>
      </c>
      <c r="D259" s="37">
        <v>4</v>
      </c>
      <c r="E259" s="37">
        <v>11.34</v>
      </c>
      <c r="F259" s="132"/>
    </row>
    <row r="260" spans="1:6" ht="16.5" x14ac:dyDescent="0.25">
      <c r="A260" s="131"/>
      <c r="B260" s="37">
        <v>36</v>
      </c>
      <c r="C260" s="37" t="s">
        <v>3008</v>
      </c>
      <c r="D260" s="37">
        <v>4</v>
      </c>
      <c r="E260" s="37">
        <v>7.96</v>
      </c>
      <c r="F260" s="132"/>
    </row>
    <row r="261" spans="1:6" ht="16.5" x14ac:dyDescent="0.25">
      <c r="A261" s="131"/>
      <c r="B261" s="37" t="s">
        <v>2479</v>
      </c>
      <c r="C261" s="37" t="s">
        <v>2927</v>
      </c>
      <c r="D261" s="37">
        <v>8</v>
      </c>
      <c r="E261" s="37">
        <v>0.02</v>
      </c>
      <c r="F261" s="132"/>
    </row>
    <row r="262" spans="1:6" ht="33" x14ac:dyDescent="0.25">
      <c r="A262" s="131"/>
      <c r="B262" s="37" t="s">
        <v>2479</v>
      </c>
      <c r="C262" s="37" t="s">
        <v>2928</v>
      </c>
      <c r="D262" s="37">
        <v>1.7050000000000001</v>
      </c>
      <c r="E262" s="37" t="s">
        <v>4</v>
      </c>
      <c r="F262" s="132"/>
    </row>
    <row r="263" spans="1:6" ht="33" x14ac:dyDescent="0.25">
      <c r="A263" s="131"/>
      <c r="B263" s="37" t="s">
        <v>2479</v>
      </c>
      <c r="C263" s="37" t="s">
        <v>2929</v>
      </c>
      <c r="D263" s="37">
        <v>7.3125</v>
      </c>
      <c r="E263" s="37" t="s">
        <v>4</v>
      </c>
      <c r="F263" s="132"/>
    </row>
    <row r="264" spans="1:6" ht="16.5" x14ac:dyDescent="0.25">
      <c r="A264" s="131" t="s">
        <v>3009</v>
      </c>
      <c r="B264" s="37">
        <v>1</v>
      </c>
      <c r="C264" s="37" t="s">
        <v>2920</v>
      </c>
      <c r="D264" s="37">
        <v>4</v>
      </c>
      <c r="E264" s="37">
        <v>15.13</v>
      </c>
      <c r="F264" s="132" t="s">
        <v>3010</v>
      </c>
    </row>
    <row r="265" spans="1:6" ht="16.5" x14ac:dyDescent="0.25">
      <c r="A265" s="131"/>
      <c r="B265" s="37">
        <v>2</v>
      </c>
      <c r="C265" s="37" t="s">
        <v>2922</v>
      </c>
      <c r="D265" s="37">
        <v>262</v>
      </c>
      <c r="E265" s="37">
        <v>0.73</v>
      </c>
      <c r="F265" s="132"/>
    </row>
    <row r="266" spans="1:6" ht="16.5" x14ac:dyDescent="0.25">
      <c r="A266" s="131"/>
      <c r="B266" s="37">
        <v>18</v>
      </c>
      <c r="C266" s="37" t="s">
        <v>2942</v>
      </c>
      <c r="D266" s="37">
        <v>8</v>
      </c>
      <c r="E266" s="37">
        <v>4.16</v>
      </c>
      <c r="F266" s="132"/>
    </row>
    <row r="267" spans="1:6" ht="16.5" x14ac:dyDescent="0.25">
      <c r="A267" s="131"/>
      <c r="B267" s="37">
        <v>27</v>
      </c>
      <c r="C267" s="37" t="s">
        <v>2970</v>
      </c>
      <c r="D267" s="37">
        <v>4</v>
      </c>
      <c r="E267" s="37">
        <v>11.4</v>
      </c>
      <c r="F267" s="132"/>
    </row>
    <row r="268" spans="1:6" ht="16.5" x14ac:dyDescent="0.25">
      <c r="A268" s="131"/>
      <c r="B268" s="37">
        <v>28</v>
      </c>
      <c r="C268" s="37" t="s">
        <v>2971</v>
      </c>
      <c r="D268" s="37">
        <v>8</v>
      </c>
      <c r="E268" s="37">
        <v>4.2699999999999996</v>
      </c>
      <c r="F268" s="132"/>
    </row>
    <row r="269" spans="1:6" ht="16.5" x14ac:dyDescent="0.25">
      <c r="A269" s="131"/>
      <c r="B269" s="37">
        <v>31</v>
      </c>
      <c r="C269" s="37" t="s">
        <v>3006</v>
      </c>
      <c r="D269" s="37">
        <v>20</v>
      </c>
      <c r="E269" s="37">
        <v>12.09</v>
      </c>
      <c r="F269" s="132"/>
    </row>
    <row r="270" spans="1:6" ht="16.5" x14ac:dyDescent="0.25">
      <c r="A270" s="131"/>
      <c r="B270" s="37">
        <v>32</v>
      </c>
      <c r="C270" s="37" t="s">
        <v>2987</v>
      </c>
      <c r="D270" s="37">
        <v>4</v>
      </c>
      <c r="E270" s="37">
        <v>14.98</v>
      </c>
      <c r="F270" s="132"/>
    </row>
    <row r="271" spans="1:6" ht="16.5" x14ac:dyDescent="0.25">
      <c r="A271" s="131"/>
      <c r="B271" s="37">
        <v>34</v>
      </c>
      <c r="C271" s="37" t="s">
        <v>2989</v>
      </c>
      <c r="D271" s="37">
        <v>4</v>
      </c>
      <c r="E271" s="37">
        <v>13.43</v>
      </c>
      <c r="F271" s="132"/>
    </row>
    <row r="272" spans="1:6" ht="16.5" x14ac:dyDescent="0.25">
      <c r="A272" s="131"/>
      <c r="B272" s="37">
        <v>36</v>
      </c>
      <c r="C272" s="37" t="s">
        <v>3008</v>
      </c>
      <c r="D272" s="37">
        <v>4</v>
      </c>
      <c r="E272" s="37">
        <v>7.96</v>
      </c>
      <c r="F272" s="132"/>
    </row>
    <row r="273" spans="1:6" ht="16.5" x14ac:dyDescent="0.25">
      <c r="A273" s="131"/>
      <c r="B273" s="37" t="s">
        <v>2479</v>
      </c>
      <c r="C273" s="37" t="s">
        <v>2927</v>
      </c>
      <c r="D273" s="37">
        <v>8</v>
      </c>
      <c r="E273" s="37">
        <v>0.02</v>
      </c>
      <c r="F273" s="132"/>
    </row>
    <row r="274" spans="1:6" ht="33" x14ac:dyDescent="0.25">
      <c r="A274" s="131"/>
      <c r="B274" s="37" t="s">
        <v>2479</v>
      </c>
      <c r="C274" s="37" t="s">
        <v>2928</v>
      </c>
      <c r="D274" s="37">
        <v>1.7050000000000001</v>
      </c>
      <c r="E274" s="37" t="s">
        <v>4</v>
      </c>
      <c r="F274" s="132"/>
    </row>
    <row r="275" spans="1:6" ht="33" x14ac:dyDescent="0.25">
      <c r="A275" s="131"/>
      <c r="B275" s="37" t="s">
        <v>2479</v>
      </c>
      <c r="C275" s="37" t="s">
        <v>2929</v>
      </c>
      <c r="D275" s="37">
        <v>7.125</v>
      </c>
      <c r="E275" s="37" t="s">
        <v>4</v>
      </c>
      <c r="F275" s="132"/>
    </row>
    <row r="276" spans="1:6" ht="16.5" x14ac:dyDescent="0.25">
      <c r="A276" s="131" t="s">
        <v>3011</v>
      </c>
      <c r="B276" s="37">
        <v>2</v>
      </c>
      <c r="C276" s="37" t="s">
        <v>2922</v>
      </c>
      <c r="D276" s="37">
        <v>176</v>
      </c>
      <c r="E276" s="37">
        <v>0.73</v>
      </c>
      <c r="F276" s="132" t="s">
        <v>3012</v>
      </c>
    </row>
    <row r="277" spans="1:6" ht="16.5" x14ac:dyDescent="0.25">
      <c r="A277" s="131"/>
      <c r="B277" s="37">
        <v>28</v>
      </c>
      <c r="C277" s="37" t="s">
        <v>2971</v>
      </c>
      <c r="D277" s="37">
        <v>4</v>
      </c>
      <c r="E277" s="37">
        <v>4.2699999999999996</v>
      </c>
      <c r="F277" s="132"/>
    </row>
    <row r="278" spans="1:6" ht="16.5" x14ac:dyDescent="0.25">
      <c r="A278" s="131"/>
      <c r="B278" s="37">
        <v>31</v>
      </c>
      <c r="C278" s="37" t="s">
        <v>3006</v>
      </c>
      <c r="D278" s="37">
        <v>20</v>
      </c>
      <c r="E278" s="37">
        <v>12.09</v>
      </c>
      <c r="F278" s="132"/>
    </row>
    <row r="279" spans="1:6" ht="16.5" x14ac:dyDescent="0.25">
      <c r="A279" s="131"/>
      <c r="B279" s="37">
        <v>32</v>
      </c>
      <c r="C279" s="37" t="s">
        <v>2987</v>
      </c>
      <c r="D279" s="37">
        <v>4</v>
      </c>
      <c r="E279" s="37">
        <v>14.98</v>
      </c>
      <c r="F279" s="132"/>
    </row>
    <row r="280" spans="1:6" ht="16.5" x14ac:dyDescent="0.25">
      <c r="A280" s="131"/>
      <c r="B280" s="37">
        <v>34</v>
      </c>
      <c r="C280" s="37" t="s">
        <v>2989</v>
      </c>
      <c r="D280" s="37">
        <v>4</v>
      </c>
      <c r="E280" s="37">
        <v>13.43</v>
      </c>
      <c r="F280" s="132"/>
    </row>
    <row r="281" spans="1:6" ht="16.5" x14ac:dyDescent="0.25">
      <c r="A281" s="131"/>
      <c r="B281" s="37">
        <v>37</v>
      </c>
      <c r="C281" s="37" t="s">
        <v>3013</v>
      </c>
      <c r="D281" s="37">
        <v>8</v>
      </c>
      <c r="E281" s="37">
        <v>19.540000000000003</v>
      </c>
      <c r="F281" s="132"/>
    </row>
    <row r="282" spans="1:6" ht="16.5" x14ac:dyDescent="0.25">
      <c r="A282" s="131"/>
      <c r="B282" s="37">
        <v>38</v>
      </c>
      <c r="C282" s="37" t="s">
        <v>3014</v>
      </c>
      <c r="D282" s="37">
        <v>88</v>
      </c>
      <c r="E282" s="37">
        <v>0.74</v>
      </c>
      <c r="F282" s="132"/>
    </row>
    <row r="283" spans="1:6" ht="16.5" x14ac:dyDescent="0.25">
      <c r="A283" s="131"/>
      <c r="B283" s="37">
        <v>39</v>
      </c>
      <c r="C283" s="37" t="s">
        <v>3015</v>
      </c>
      <c r="D283" s="37">
        <v>88</v>
      </c>
      <c r="E283" s="37">
        <v>0.57000000000000006</v>
      </c>
      <c r="F283" s="132"/>
    </row>
    <row r="284" spans="1:6" ht="16.5" x14ac:dyDescent="0.25">
      <c r="A284" s="131"/>
      <c r="B284" s="37">
        <v>40</v>
      </c>
      <c r="C284" s="37" t="s">
        <v>3016</v>
      </c>
      <c r="D284" s="37">
        <v>4</v>
      </c>
      <c r="E284" s="37">
        <v>14.72</v>
      </c>
      <c r="F284" s="132"/>
    </row>
    <row r="285" spans="1:6" ht="16.5" x14ac:dyDescent="0.25">
      <c r="A285" s="131"/>
      <c r="B285" s="37">
        <v>41</v>
      </c>
      <c r="C285" s="37" t="s">
        <v>3017</v>
      </c>
      <c r="D285" s="37">
        <v>4</v>
      </c>
      <c r="E285" s="37">
        <v>5.51</v>
      </c>
      <c r="F285" s="132"/>
    </row>
    <row r="286" spans="1:6" ht="16.5" x14ac:dyDescent="0.25">
      <c r="A286" s="131"/>
      <c r="B286" s="37" t="s">
        <v>2479</v>
      </c>
      <c r="C286" s="37" t="s">
        <v>2927</v>
      </c>
      <c r="D286" s="37">
        <v>8</v>
      </c>
      <c r="E286" s="37">
        <v>0.02</v>
      </c>
      <c r="F286" s="132"/>
    </row>
    <row r="287" spans="1:6" ht="33" x14ac:dyDescent="0.25">
      <c r="A287" s="131"/>
      <c r="B287" s="37" t="s">
        <v>2479</v>
      </c>
      <c r="C287" s="37" t="s">
        <v>2928</v>
      </c>
      <c r="D287" s="37">
        <v>1.7050000000000001</v>
      </c>
      <c r="E287" s="37" t="s">
        <v>4</v>
      </c>
      <c r="F287" s="132"/>
    </row>
    <row r="288" spans="1:6" ht="33" x14ac:dyDescent="0.25">
      <c r="A288" s="131"/>
      <c r="B288" s="37" t="s">
        <v>2479</v>
      </c>
      <c r="C288" s="37" t="s">
        <v>2929</v>
      </c>
      <c r="D288" s="37">
        <v>7.25</v>
      </c>
      <c r="E288" s="37" t="s">
        <v>4</v>
      </c>
      <c r="F288" s="132"/>
    </row>
    <row r="289" spans="1:6" ht="16.5" x14ac:dyDescent="0.25">
      <c r="A289" s="131" t="s">
        <v>3018</v>
      </c>
      <c r="B289" s="37">
        <v>2</v>
      </c>
      <c r="C289" s="37" t="s">
        <v>2922</v>
      </c>
      <c r="D289" s="37">
        <v>176</v>
      </c>
      <c r="E289" s="37">
        <v>0.73</v>
      </c>
      <c r="F289" s="132" t="s">
        <v>3019</v>
      </c>
    </row>
    <row r="290" spans="1:6" ht="16.5" x14ac:dyDescent="0.25">
      <c r="A290" s="131"/>
      <c r="B290" s="37">
        <v>20</v>
      </c>
      <c r="C290" s="37" t="s">
        <v>2957</v>
      </c>
      <c r="D290" s="37">
        <v>5</v>
      </c>
      <c r="E290" s="37">
        <v>12.51</v>
      </c>
      <c r="F290" s="132"/>
    </row>
    <row r="291" spans="1:6" ht="16.5" x14ac:dyDescent="0.25">
      <c r="A291" s="131"/>
      <c r="B291" s="37">
        <v>28</v>
      </c>
      <c r="C291" s="37" t="s">
        <v>2971</v>
      </c>
      <c r="D291" s="37">
        <v>4</v>
      </c>
      <c r="E291" s="37">
        <v>4.2699999999999996</v>
      </c>
      <c r="F291" s="132"/>
    </row>
    <row r="292" spans="1:6" ht="16.5" x14ac:dyDescent="0.25">
      <c r="A292" s="131"/>
      <c r="B292" s="37">
        <v>31</v>
      </c>
      <c r="C292" s="37" t="s">
        <v>3006</v>
      </c>
      <c r="D292" s="37">
        <v>20</v>
      </c>
      <c r="E292" s="37">
        <v>12.09</v>
      </c>
      <c r="F292" s="132"/>
    </row>
    <row r="293" spans="1:6" ht="16.5" x14ac:dyDescent="0.25">
      <c r="A293" s="131"/>
      <c r="B293" s="37">
        <v>32</v>
      </c>
      <c r="C293" s="37" t="s">
        <v>2987</v>
      </c>
      <c r="D293" s="37">
        <v>4</v>
      </c>
      <c r="E293" s="37">
        <v>14.98</v>
      </c>
      <c r="F293" s="132"/>
    </row>
    <row r="294" spans="1:6" ht="16.5" x14ac:dyDescent="0.25">
      <c r="A294" s="131"/>
      <c r="B294" s="37">
        <v>34</v>
      </c>
      <c r="C294" s="37" t="s">
        <v>2989</v>
      </c>
      <c r="D294" s="37">
        <v>4</v>
      </c>
      <c r="E294" s="37">
        <v>13.43</v>
      </c>
      <c r="F294" s="132"/>
    </row>
    <row r="295" spans="1:6" ht="16.5" x14ac:dyDescent="0.25">
      <c r="A295" s="131"/>
      <c r="B295" s="37">
        <v>38</v>
      </c>
      <c r="C295" s="37" t="s">
        <v>3014</v>
      </c>
      <c r="D295" s="37">
        <v>88</v>
      </c>
      <c r="E295" s="37">
        <v>0.74</v>
      </c>
      <c r="F295" s="132"/>
    </row>
    <row r="296" spans="1:6" ht="16.5" x14ac:dyDescent="0.25">
      <c r="A296" s="131"/>
      <c r="B296" s="37">
        <v>39</v>
      </c>
      <c r="C296" s="37" t="s">
        <v>3015</v>
      </c>
      <c r="D296" s="37">
        <v>88</v>
      </c>
      <c r="E296" s="37">
        <v>0.57000000000000006</v>
      </c>
      <c r="F296" s="132"/>
    </row>
    <row r="297" spans="1:6" ht="16.5" x14ac:dyDescent="0.25">
      <c r="A297" s="131"/>
      <c r="B297" s="37">
        <v>40</v>
      </c>
      <c r="C297" s="37" t="s">
        <v>3016</v>
      </c>
      <c r="D297" s="37">
        <v>4</v>
      </c>
      <c r="E297" s="37">
        <v>14.72</v>
      </c>
      <c r="F297" s="132"/>
    </row>
    <row r="298" spans="1:6" ht="16.5" x14ac:dyDescent="0.25">
      <c r="A298" s="131"/>
      <c r="B298" s="37">
        <v>41</v>
      </c>
      <c r="C298" s="37" t="s">
        <v>3017</v>
      </c>
      <c r="D298" s="37">
        <v>4</v>
      </c>
      <c r="E298" s="37">
        <v>5.51</v>
      </c>
      <c r="F298" s="132"/>
    </row>
    <row r="299" spans="1:6" ht="16.5" x14ac:dyDescent="0.25">
      <c r="A299" s="131"/>
      <c r="B299" s="37" t="s">
        <v>2479</v>
      </c>
      <c r="C299" s="37" t="s">
        <v>2927</v>
      </c>
      <c r="D299" s="37">
        <v>4</v>
      </c>
      <c r="E299" s="37">
        <v>0.02</v>
      </c>
      <c r="F299" s="132"/>
    </row>
    <row r="300" spans="1:6" ht="33" x14ac:dyDescent="0.25">
      <c r="A300" s="131"/>
      <c r="B300" s="37" t="s">
        <v>2479</v>
      </c>
      <c r="C300" s="37" t="s">
        <v>2928</v>
      </c>
      <c r="D300" s="37">
        <v>1.7050000000000001</v>
      </c>
      <c r="E300" s="37" t="s">
        <v>4</v>
      </c>
      <c r="F300" s="132"/>
    </row>
    <row r="301" spans="1:6" ht="33" x14ac:dyDescent="0.25">
      <c r="A301" s="131"/>
      <c r="B301" s="37" t="s">
        <v>2479</v>
      </c>
      <c r="C301" s="37" t="s">
        <v>2929</v>
      </c>
      <c r="D301" s="37">
        <v>7.25</v>
      </c>
      <c r="E301" s="37" t="s">
        <v>4</v>
      </c>
      <c r="F301" s="132"/>
    </row>
    <row r="302" spans="1:6" ht="16.5" x14ac:dyDescent="0.25">
      <c r="A302" s="131" t="s">
        <v>3020</v>
      </c>
      <c r="B302" s="37">
        <v>1</v>
      </c>
      <c r="C302" s="37" t="s">
        <v>2920</v>
      </c>
      <c r="D302" s="37">
        <v>4</v>
      </c>
      <c r="E302" s="37">
        <v>15.13</v>
      </c>
      <c r="F302" s="132" t="s">
        <v>3021</v>
      </c>
    </row>
    <row r="303" spans="1:6" ht="16.5" x14ac:dyDescent="0.25">
      <c r="A303" s="131"/>
      <c r="B303" s="37">
        <v>2</v>
      </c>
      <c r="C303" s="37" t="s">
        <v>2922</v>
      </c>
      <c r="D303" s="37">
        <v>247</v>
      </c>
      <c r="E303" s="37">
        <v>0.73</v>
      </c>
      <c r="F303" s="132"/>
    </row>
    <row r="304" spans="1:6" ht="16.5" x14ac:dyDescent="0.25">
      <c r="A304" s="131"/>
      <c r="B304" s="37">
        <v>3</v>
      </c>
      <c r="C304" s="37" t="s">
        <v>2923</v>
      </c>
      <c r="D304" s="37">
        <v>4</v>
      </c>
      <c r="E304" s="37">
        <v>11.1</v>
      </c>
      <c r="F304" s="132"/>
    </row>
    <row r="305" spans="1:6" ht="16.5" x14ac:dyDescent="0.25">
      <c r="A305" s="131"/>
      <c r="B305" s="37">
        <v>4</v>
      </c>
      <c r="C305" s="37" t="s">
        <v>2924</v>
      </c>
      <c r="D305" s="37">
        <v>20</v>
      </c>
      <c r="E305" s="37">
        <v>9.99</v>
      </c>
      <c r="F305" s="132"/>
    </row>
    <row r="306" spans="1:6" ht="16.5" x14ac:dyDescent="0.25">
      <c r="A306" s="131"/>
      <c r="B306" s="37">
        <v>23</v>
      </c>
      <c r="C306" s="37" t="s">
        <v>2953</v>
      </c>
      <c r="D306" s="37">
        <v>4</v>
      </c>
      <c r="E306" s="37">
        <v>6.71</v>
      </c>
      <c r="F306" s="132"/>
    </row>
    <row r="307" spans="1:6" ht="16.5" x14ac:dyDescent="0.25">
      <c r="A307" s="131"/>
      <c r="B307" s="37" t="s">
        <v>2479</v>
      </c>
      <c r="C307" s="37" t="s">
        <v>2927</v>
      </c>
      <c r="D307" s="37">
        <v>4</v>
      </c>
      <c r="E307" s="37">
        <v>0.02</v>
      </c>
      <c r="F307" s="132"/>
    </row>
    <row r="308" spans="1:6" ht="33" x14ac:dyDescent="0.25">
      <c r="A308" s="131"/>
      <c r="B308" s="37" t="s">
        <v>2479</v>
      </c>
      <c r="C308" s="37" t="s">
        <v>2928</v>
      </c>
      <c r="D308" s="37">
        <v>1.2050000000000001</v>
      </c>
      <c r="E308" s="37" t="s">
        <v>4</v>
      </c>
      <c r="F308" s="132"/>
    </row>
    <row r="309" spans="1:6" ht="33" x14ac:dyDescent="0.25">
      <c r="A309" s="131"/>
      <c r="B309" s="37" t="s">
        <v>2479</v>
      </c>
      <c r="C309" s="37" t="s">
        <v>2929</v>
      </c>
      <c r="D309" s="37">
        <v>6.68</v>
      </c>
      <c r="E309" s="37" t="s">
        <v>4</v>
      </c>
      <c r="F309" s="132"/>
    </row>
    <row r="310" spans="1:6" ht="16.5" x14ac:dyDescent="0.25">
      <c r="A310" s="131" t="s">
        <v>3022</v>
      </c>
      <c r="B310" s="37">
        <v>2</v>
      </c>
      <c r="C310" s="37" t="s">
        <v>2922</v>
      </c>
      <c r="D310" s="37">
        <v>127</v>
      </c>
      <c r="E310" s="37">
        <v>0.73</v>
      </c>
      <c r="F310" s="132" t="s">
        <v>3023</v>
      </c>
    </row>
    <row r="311" spans="1:6" ht="16.5" x14ac:dyDescent="0.25">
      <c r="A311" s="131"/>
      <c r="B311" s="37">
        <v>9</v>
      </c>
      <c r="C311" s="37" t="s">
        <v>2933</v>
      </c>
      <c r="D311" s="37">
        <v>4</v>
      </c>
      <c r="E311" s="37">
        <v>9.27</v>
      </c>
      <c r="F311" s="132"/>
    </row>
    <row r="312" spans="1:6" ht="16.5" x14ac:dyDescent="0.25">
      <c r="A312" s="131"/>
      <c r="B312" s="37">
        <v>13</v>
      </c>
      <c r="C312" s="37" t="s">
        <v>2938</v>
      </c>
      <c r="D312" s="37">
        <v>258</v>
      </c>
      <c r="E312" s="37">
        <v>0.65</v>
      </c>
      <c r="F312" s="132"/>
    </row>
    <row r="313" spans="1:6" ht="16.5" x14ac:dyDescent="0.25">
      <c r="A313" s="131"/>
      <c r="B313" s="37">
        <v>20</v>
      </c>
      <c r="C313" s="37" t="s">
        <v>2957</v>
      </c>
      <c r="D313" s="37">
        <v>4</v>
      </c>
      <c r="E313" s="37">
        <v>12.51</v>
      </c>
      <c r="F313" s="132"/>
    </row>
    <row r="314" spans="1:6" ht="16.5" x14ac:dyDescent="0.25">
      <c r="A314" s="131"/>
      <c r="B314" s="37">
        <v>23</v>
      </c>
      <c r="C314" s="37" t="s">
        <v>2925</v>
      </c>
      <c r="D314" s="37">
        <v>4</v>
      </c>
      <c r="E314" s="37">
        <v>9.43</v>
      </c>
      <c r="F314" s="132"/>
    </row>
    <row r="315" spans="1:6" ht="16.5" x14ac:dyDescent="0.25">
      <c r="A315" s="131"/>
      <c r="B315" s="37">
        <v>31</v>
      </c>
      <c r="C315" s="37" t="s">
        <v>2924</v>
      </c>
      <c r="D315" s="37">
        <v>20</v>
      </c>
      <c r="E315" s="37">
        <v>9.99</v>
      </c>
      <c r="F315" s="132"/>
    </row>
    <row r="316" spans="1:6" ht="16.5" x14ac:dyDescent="0.25">
      <c r="A316" s="131"/>
      <c r="B316" s="37">
        <v>34</v>
      </c>
      <c r="C316" s="37" t="s">
        <v>2923</v>
      </c>
      <c r="D316" s="37">
        <v>4</v>
      </c>
      <c r="E316" s="37">
        <v>11.1</v>
      </c>
      <c r="F316" s="132"/>
    </row>
    <row r="317" spans="1:6" ht="16.5" x14ac:dyDescent="0.25">
      <c r="A317" s="131"/>
      <c r="B317" s="37" t="s">
        <v>2479</v>
      </c>
      <c r="C317" s="37" t="s">
        <v>2927</v>
      </c>
      <c r="D317" s="37">
        <v>4</v>
      </c>
      <c r="E317" s="37">
        <v>0.02</v>
      </c>
      <c r="F317" s="132"/>
    </row>
    <row r="318" spans="1:6" ht="33" x14ac:dyDescent="0.25">
      <c r="A318" s="131"/>
      <c r="B318" s="37" t="s">
        <v>2479</v>
      </c>
      <c r="C318" s="37" t="s">
        <v>2928</v>
      </c>
      <c r="D318" s="37">
        <v>1.7050000000000001</v>
      </c>
      <c r="E318" s="37" t="s">
        <v>4</v>
      </c>
      <c r="F318" s="132"/>
    </row>
    <row r="319" spans="1:6" ht="33" x14ac:dyDescent="0.25">
      <c r="A319" s="131"/>
      <c r="B319" s="37" t="s">
        <v>2479</v>
      </c>
      <c r="C319" s="37" t="s">
        <v>2929</v>
      </c>
      <c r="D319" s="37">
        <v>7.25</v>
      </c>
      <c r="E319" s="37" t="s">
        <v>4</v>
      </c>
      <c r="F319" s="132"/>
    </row>
    <row r="320" spans="1:6" ht="16.5" x14ac:dyDescent="0.25">
      <c r="A320" s="131" t="s">
        <v>3024</v>
      </c>
      <c r="B320" s="37">
        <v>2</v>
      </c>
      <c r="C320" s="37" t="s">
        <v>2922</v>
      </c>
      <c r="D320" s="37">
        <v>130</v>
      </c>
      <c r="E320" s="37">
        <v>0.73</v>
      </c>
      <c r="F320" s="132" t="s">
        <v>3025</v>
      </c>
    </row>
    <row r="321" spans="1:6" ht="16.5" x14ac:dyDescent="0.25">
      <c r="A321" s="131"/>
      <c r="B321" s="37">
        <v>20</v>
      </c>
      <c r="C321" s="37" t="s">
        <v>2920</v>
      </c>
      <c r="D321" s="37">
        <v>8</v>
      </c>
      <c r="E321" s="37">
        <v>15.13</v>
      </c>
      <c r="F321" s="132"/>
    </row>
    <row r="322" spans="1:6" ht="16.5" x14ac:dyDescent="0.25">
      <c r="A322" s="131"/>
      <c r="B322" s="37">
        <v>21</v>
      </c>
      <c r="C322" s="37" t="s">
        <v>2949</v>
      </c>
      <c r="D322" s="37">
        <v>8</v>
      </c>
      <c r="E322" s="37">
        <v>8.27</v>
      </c>
      <c r="F322" s="132"/>
    </row>
    <row r="323" spans="1:6" ht="16.5" x14ac:dyDescent="0.25">
      <c r="A323" s="131"/>
      <c r="B323" s="37" t="s">
        <v>2479</v>
      </c>
      <c r="C323" s="37" t="s">
        <v>2927</v>
      </c>
      <c r="D323" s="37">
        <v>8</v>
      </c>
      <c r="E323" s="37">
        <v>1.36</v>
      </c>
      <c r="F323" s="132"/>
    </row>
    <row r="324" spans="1:6" ht="33" x14ac:dyDescent="0.25">
      <c r="A324" s="131"/>
      <c r="B324" s="37" t="s">
        <v>2479</v>
      </c>
      <c r="C324" s="37" t="s">
        <v>2928</v>
      </c>
      <c r="D324" s="37">
        <v>3.2850000000000001</v>
      </c>
      <c r="E324" s="37" t="s">
        <v>4</v>
      </c>
      <c r="F324" s="132"/>
    </row>
    <row r="325" spans="1:6" ht="33" x14ac:dyDescent="0.25">
      <c r="A325" s="131"/>
      <c r="B325" s="37" t="s">
        <v>2479</v>
      </c>
      <c r="C325" s="37" t="s">
        <v>2929</v>
      </c>
      <c r="D325" s="37">
        <v>1.885</v>
      </c>
      <c r="E325" s="37" t="s">
        <v>4</v>
      </c>
      <c r="F325" s="132"/>
    </row>
    <row r="326" spans="1:6" ht="16.5" x14ac:dyDescent="0.25">
      <c r="A326" s="131" t="s">
        <v>3026</v>
      </c>
      <c r="B326" s="37">
        <v>2</v>
      </c>
      <c r="C326" s="37" t="s">
        <v>2922</v>
      </c>
      <c r="D326" s="37">
        <v>226</v>
      </c>
      <c r="E326" s="37">
        <v>0.73</v>
      </c>
      <c r="F326" s="132" t="s">
        <v>2910</v>
      </c>
    </row>
    <row r="327" spans="1:6" ht="16.5" x14ac:dyDescent="0.25">
      <c r="A327" s="131"/>
      <c r="B327" s="37">
        <v>4</v>
      </c>
      <c r="C327" s="37" t="s">
        <v>2924</v>
      </c>
      <c r="D327" s="37">
        <v>16</v>
      </c>
      <c r="E327" s="37">
        <v>9.99</v>
      </c>
      <c r="F327" s="132"/>
    </row>
    <row r="328" spans="1:6" ht="16.5" x14ac:dyDescent="0.25">
      <c r="A328" s="131"/>
      <c r="B328" s="37">
        <v>5</v>
      </c>
      <c r="C328" s="37" t="s">
        <v>2925</v>
      </c>
      <c r="D328" s="37">
        <v>4</v>
      </c>
      <c r="E328" s="37">
        <v>9.43</v>
      </c>
      <c r="F328" s="132"/>
    </row>
    <row r="329" spans="1:6" ht="16.5" x14ac:dyDescent="0.25">
      <c r="A329" s="131"/>
      <c r="B329" s="37">
        <v>6</v>
      </c>
      <c r="C329" s="37" t="s">
        <v>2926</v>
      </c>
      <c r="D329" s="37">
        <v>4</v>
      </c>
      <c r="E329" s="37">
        <v>3.53</v>
      </c>
      <c r="F329" s="132"/>
    </row>
    <row r="330" spans="1:6" ht="16.5" x14ac:dyDescent="0.25">
      <c r="A330" s="131"/>
      <c r="B330" s="37">
        <v>7</v>
      </c>
      <c r="C330" s="37" t="s">
        <v>2945</v>
      </c>
      <c r="D330" s="37">
        <v>8</v>
      </c>
      <c r="E330" s="37">
        <v>10.53</v>
      </c>
      <c r="F330" s="132"/>
    </row>
    <row r="331" spans="1:6" ht="16.5" x14ac:dyDescent="0.25">
      <c r="A331" s="131"/>
      <c r="B331" s="37">
        <v>13</v>
      </c>
      <c r="C331" s="37" t="s">
        <v>2937</v>
      </c>
      <c r="D331" s="37">
        <v>35</v>
      </c>
      <c r="E331" s="37">
        <v>0.89</v>
      </c>
      <c r="F331" s="132"/>
    </row>
    <row r="332" spans="1:6" ht="16.5" x14ac:dyDescent="0.25">
      <c r="A332" s="131"/>
      <c r="B332" s="37">
        <v>14</v>
      </c>
      <c r="C332" s="37" t="s">
        <v>2938</v>
      </c>
      <c r="D332" s="37">
        <v>35</v>
      </c>
      <c r="E332" s="37">
        <v>0.65</v>
      </c>
      <c r="F332" s="132"/>
    </row>
    <row r="333" spans="1:6" ht="16.5" x14ac:dyDescent="0.25">
      <c r="A333" s="131"/>
      <c r="B333" s="37">
        <v>19</v>
      </c>
      <c r="C333" s="37" t="s">
        <v>2946</v>
      </c>
      <c r="D333" s="37">
        <v>4</v>
      </c>
      <c r="E333" s="37">
        <v>12.53</v>
      </c>
      <c r="F333" s="132"/>
    </row>
    <row r="334" spans="1:6" ht="16.5" x14ac:dyDescent="0.25">
      <c r="A334" s="131"/>
      <c r="B334" s="37">
        <v>22</v>
      </c>
      <c r="C334" s="37" t="s">
        <v>2933</v>
      </c>
      <c r="D334" s="37">
        <v>4</v>
      </c>
      <c r="E334" s="37">
        <v>9.27</v>
      </c>
      <c r="F334" s="132"/>
    </row>
    <row r="335" spans="1:6" ht="33" x14ac:dyDescent="0.25">
      <c r="A335" s="131"/>
      <c r="B335" s="37" t="s">
        <v>2479</v>
      </c>
      <c r="C335" s="37" t="s">
        <v>2928</v>
      </c>
      <c r="D335" s="37">
        <v>2.1177000000000001</v>
      </c>
      <c r="E335" s="37" t="s">
        <v>4</v>
      </c>
      <c r="F335" s="132"/>
    </row>
    <row r="336" spans="1:6" ht="33" x14ac:dyDescent="0.25">
      <c r="A336" s="131"/>
      <c r="B336" s="37" t="s">
        <v>2479</v>
      </c>
      <c r="C336" s="37" t="s">
        <v>2929</v>
      </c>
      <c r="D336" s="37">
        <v>7.25</v>
      </c>
      <c r="E336" s="37" t="s">
        <v>4</v>
      </c>
      <c r="F336" s="132"/>
    </row>
    <row r="337" spans="1:6" ht="16.5" x14ac:dyDescent="0.25">
      <c r="A337" s="131" t="s">
        <v>3027</v>
      </c>
      <c r="B337" s="37">
        <v>2</v>
      </c>
      <c r="C337" s="37" t="s">
        <v>2922</v>
      </c>
      <c r="D337" s="37">
        <v>134</v>
      </c>
      <c r="E337" s="37">
        <v>0.73</v>
      </c>
      <c r="F337" s="132" t="s">
        <v>3028</v>
      </c>
    </row>
    <row r="338" spans="1:6" ht="16.5" x14ac:dyDescent="0.25">
      <c r="A338" s="131"/>
      <c r="B338" s="37">
        <v>3</v>
      </c>
      <c r="C338" s="37" t="s">
        <v>2923</v>
      </c>
      <c r="D338" s="37">
        <v>4</v>
      </c>
      <c r="E338" s="37">
        <v>11.1</v>
      </c>
      <c r="F338" s="132"/>
    </row>
    <row r="339" spans="1:6" ht="16.5" x14ac:dyDescent="0.25">
      <c r="A339" s="131"/>
      <c r="B339" s="37">
        <v>4</v>
      </c>
      <c r="C339" s="37" t="s">
        <v>2924</v>
      </c>
      <c r="D339" s="37">
        <v>16</v>
      </c>
      <c r="E339" s="37">
        <v>9.99</v>
      </c>
      <c r="F339" s="132"/>
    </row>
    <row r="340" spans="1:6" ht="16.5" x14ac:dyDescent="0.25">
      <c r="A340" s="131"/>
      <c r="B340" s="37">
        <v>5</v>
      </c>
      <c r="C340" s="37" t="s">
        <v>2925</v>
      </c>
      <c r="D340" s="37">
        <v>4</v>
      </c>
      <c r="E340" s="37">
        <v>9.43</v>
      </c>
      <c r="F340" s="132"/>
    </row>
    <row r="341" spans="1:6" ht="16.5" x14ac:dyDescent="0.25">
      <c r="A341" s="131"/>
      <c r="B341" s="37">
        <v>6</v>
      </c>
      <c r="C341" s="37" t="s">
        <v>2926</v>
      </c>
      <c r="D341" s="37">
        <v>4</v>
      </c>
      <c r="E341" s="37">
        <v>3.53</v>
      </c>
      <c r="F341" s="132"/>
    </row>
    <row r="342" spans="1:6" ht="16.5" x14ac:dyDescent="0.25">
      <c r="A342" s="131"/>
      <c r="B342" s="37">
        <v>8</v>
      </c>
      <c r="C342" s="37" t="s">
        <v>2932</v>
      </c>
      <c r="D342" s="37">
        <v>4</v>
      </c>
      <c r="E342" s="37">
        <v>15.16</v>
      </c>
      <c r="F342" s="132"/>
    </row>
    <row r="343" spans="1:6" ht="16.5" x14ac:dyDescent="0.25">
      <c r="A343" s="131"/>
      <c r="B343" s="37">
        <v>9</v>
      </c>
      <c r="C343" s="37" t="s">
        <v>2933</v>
      </c>
      <c r="D343" s="37">
        <v>4</v>
      </c>
      <c r="E343" s="37">
        <v>9.27</v>
      </c>
      <c r="F343" s="132"/>
    </row>
    <row r="344" spans="1:6" ht="16.5" x14ac:dyDescent="0.25">
      <c r="A344" s="131"/>
      <c r="B344" s="37">
        <v>10</v>
      </c>
      <c r="C344" s="37" t="s">
        <v>2934</v>
      </c>
      <c r="D344" s="37">
        <v>37</v>
      </c>
      <c r="E344" s="37">
        <v>1.04</v>
      </c>
      <c r="F344" s="132"/>
    </row>
    <row r="345" spans="1:6" ht="16.5" x14ac:dyDescent="0.25">
      <c r="A345" s="131"/>
      <c r="B345" s="37">
        <v>11</v>
      </c>
      <c r="C345" s="37" t="s">
        <v>2935</v>
      </c>
      <c r="D345" s="37">
        <v>37</v>
      </c>
      <c r="E345" s="37">
        <v>0.78</v>
      </c>
      <c r="F345" s="132"/>
    </row>
    <row r="346" spans="1:6" ht="16.5" x14ac:dyDescent="0.25">
      <c r="A346" s="131"/>
      <c r="B346" s="37">
        <v>12</v>
      </c>
      <c r="C346" s="37" t="s">
        <v>2936</v>
      </c>
      <c r="D346" s="37">
        <v>4</v>
      </c>
      <c r="E346" s="37">
        <v>8.48</v>
      </c>
      <c r="F346" s="132"/>
    </row>
    <row r="347" spans="1:6" ht="16.5" x14ac:dyDescent="0.25">
      <c r="A347" s="131"/>
      <c r="B347" s="37">
        <v>13</v>
      </c>
      <c r="C347" s="37" t="s">
        <v>2937</v>
      </c>
      <c r="D347" s="37">
        <v>90</v>
      </c>
      <c r="E347" s="37">
        <v>0.89</v>
      </c>
      <c r="F347" s="132"/>
    </row>
    <row r="348" spans="1:6" ht="16.5" x14ac:dyDescent="0.25">
      <c r="A348" s="131"/>
      <c r="B348" s="37">
        <v>14</v>
      </c>
      <c r="C348" s="37" t="s">
        <v>2938</v>
      </c>
      <c r="D348" s="37">
        <v>90</v>
      </c>
      <c r="E348" s="37">
        <v>0.65</v>
      </c>
      <c r="F348" s="132"/>
    </row>
    <row r="349" spans="1:6" ht="16.5" x14ac:dyDescent="0.25">
      <c r="A349" s="131"/>
      <c r="B349" s="37">
        <v>15</v>
      </c>
      <c r="C349" s="37" t="s">
        <v>2939</v>
      </c>
      <c r="D349" s="37">
        <v>4</v>
      </c>
      <c r="E349" s="37">
        <v>7.6899999999999995</v>
      </c>
      <c r="F349" s="132"/>
    </row>
    <row r="350" spans="1:6" ht="16.5" x14ac:dyDescent="0.25">
      <c r="A350" s="131"/>
      <c r="B350" s="37">
        <v>16</v>
      </c>
      <c r="C350" s="37" t="s">
        <v>2940</v>
      </c>
      <c r="D350" s="37">
        <v>4</v>
      </c>
      <c r="E350" s="37">
        <v>10.02</v>
      </c>
      <c r="F350" s="132"/>
    </row>
    <row r="351" spans="1:6" ht="16.5" x14ac:dyDescent="0.25">
      <c r="A351" s="131"/>
      <c r="B351" s="37">
        <v>17</v>
      </c>
      <c r="C351" s="37" t="s">
        <v>2941</v>
      </c>
      <c r="D351" s="37">
        <v>4</v>
      </c>
      <c r="E351" s="37">
        <v>6.95</v>
      </c>
      <c r="F351" s="132"/>
    </row>
    <row r="352" spans="1:6" ht="16.5" x14ac:dyDescent="0.25">
      <c r="A352" s="131"/>
      <c r="B352" s="37">
        <v>18</v>
      </c>
      <c r="C352" s="37" t="s">
        <v>2942</v>
      </c>
      <c r="D352" s="37">
        <v>4</v>
      </c>
      <c r="E352" s="37">
        <v>4.16</v>
      </c>
      <c r="F352" s="132"/>
    </row>
    <row r="353" spans="1:6" ht="16.5" x14ac:dyDescent="0.25">
      <c r="A353" s="131"/>
      <c r="B353" s="37" t="s">
        <v>2479</v>
      </c>
      <c r="C353" s="37" t="s">
        <v>2927</v>
      </c>
      <c r="D353" s="37">
        <v>4</v>
      </c>
      <c r="E353" s="37">
        <v>1.36</v>
      </c>
      <c r="F353" s="132"/>
    </row>
    <row r="354" spans="1:6" ht="33" x14ac:dyDescent="0.25">
      <c r="A354" s="131"/>
      <c r="B354" s="37" t="s">
        <v>2479</v>
      </c>
      <c r="C354" s="37" t="s">
        <v>2928</v>
      </c>
      <c r="D354" s="37">
        <v>2.8017999999999996</v>
      </c>
      <c r="E354" s="37" t="s">
        <v>4</v>
      </c>
      <c r="F354" s="132"/>
    </row>
    <row r="355" spans="1:6" ht="33" x14ac:dyDescent="0.25">
      <c r="A355" s="131"/>
      <c r="B355" s="37" t="s">
        <v>2479</v>
      </c>
      <c r="C355" s="37" t="s">
        <v>2929</v>
      </c>
      <c r="D355" s="37">
        <v>46.047499999999999</v>
      </c>
      <c r="E355" s="37" t="s">
        <v>4</v>
      </c>
      <c r="F355" s="132"/>
    </row>
    <row r="356" spans="1:6" ht="17.25" thickBot="1" x14ac:dyDescent="0.3">
      <c r="A356" s="133" t="s">
        <v>3029</v>
      </c>
      <c r="B356" s="134"/>
      <c r="C356" s="134"/>
      <c r="D356" s="134"/>
      <c r="E356" s="134"/>
      <c r="F356" s="135"/>
    </row>
  </sheetData>
  <mergeCells count="65">
    <mergeCell ref="A2:A10"/>
    <mergeCell ref="F2:F10"/>
    <mergeCell ref="A11:A29"/>
    <mergeCell ref="F11:F29"/>
    <mergeCell ref="A30:A41"/>
    <mergeCell ref="F30:F41"/>
    <mergeCell ref="A42:A47"/>
    <mergeCell ref="F42:F47"/>
    <mergeCell ref="A48:A57"/>
    <mergeCell ref="F48:F57"/>
    <mergeCell ref="A58:A71"/>
    <mergeCell ref="F58:F71"/>
    <mergeCell ref="A72:A80"/>
    <mergeCell ref="F72:F80"/>
    <mergeCell ref="A81:A89"/>
    <mergeCell ref="F81:F89"/>
    <mergeCell ref="A90:A98"/>
    <mergeCell ref="F90:F98"/>
    <mergeCell ref="A99:A110"/>
    <mergeCell ref="F99:F110"/>
    <mergeCell ref="A111:A125"/>
    <mergeCell ref="F111:F125"/>
    <mergeCell ref="A126:A140"/>
    <mergeCell ref="F126:F140"/>
    <mergeCell ref="A141:A150"/>
    <mergeCell ref="F141:F150"/>
    <mergeCell ref="A151:A159"/>
    <mergeCell ref="F151:F159"/>
    <mergeCell ref="A160:A170"/>
    <mergeCell ref="F160:F170"/>
    <mergeCell ref="A171:A183"/>
    <mergeCell ref="F171:F183"/>
    <mergeCell ref="A184:A193"/>
    <mergeCell ref="F184:F193"/>
    <mergeCell ref="A194:A203"/>
    <mergeCell ref="F194:F203"/>
    <mergeCell ref="A204:A213"/>
    <mergeCell ref="F204:F213"/>
    <mergeCell ref="A214:A224"/>
    <mergeCell ref="F214:F224"/>
    <mergeCell ref="A225:A233"/>
    <mergeCell ref="F225:F233"/>
    <mergeCell ref="A234:A242"/>
    <mergeCell ref="F234:F242"/>
    <mergeCell ref="A243:A250"/>
    <mergeCell ref="F243:F250"/>
    <mergeCell ref="A251:A263"/>
    <mergeCell ref="F251:F263"/>
    <mergeCell ref="A264:A275"/>
    <mergeCell ref="F264:F275"/>
    <mergeCell ref="A276:A288"/>
    <mergeCell ref="F276:F288"/>
    <mergeCell ref="A289:A301"/>
    <mergeCell ref="F289:F301"/>
    <mergeCell ref="A302:A309"/>
    <mergeCell ref="F302:F309"/>
    <mergeCell ref="A310:A319"/>
    <mergeCell ref="F310:F319"/>
    <mergeCell ref="A320:A325"/>
    <mergeCell ref="F320:F325"/>
    <mergeCell ref="A326:A336"/>
    <mergeCell ref="F326:F336"/>
    <mergeCell ref="A337:A355"/>
    <mergeCell ref="F337:F355"/>
    <mergeCell ref="A356:F356"/>
  </mergeCells>
  <conditionalFormatting sqref="A1:F356">
    <cfRule type="containsText" dxfId="65" priority="1" stopIfTrue="1" operator="containsText" text="С ЛИСТА">
      <formula>NOT(ISERROR(SEARCH("С ЛИСТА",A1)))</formula>
    </cfRule>
    <cfRule type="containsText" dxfId="64" priority="2" stopIfTrue="1" operator="containsText" text="ИЗ ФАЙЛА">
      <formula>NOT(ISERROR(SEARCH("ИЗ ФАЙЛА",A1)))</formula>
    </cfRule>
    <cfRule type="containsText" dxfId="63" priority="3" stopIfTrue="1" operator="containsText" text="!!!">
      <formula>NOT(ISERROR(SEARCH("!!!",A1)))</formula>
    </cfRule>
    <cfRule type="containsText" dxfId="62" priority="4" stopIfTrue="1" operator="containsText" text=" Изделия ">
      <formula>NOT(ISERROR(SEARCH(" Изделия ",A1)))</formula>
    </cfRule>
    <cfRule type="containsText" dxfId="61" priority="5" stopIfTrue="1" operator="containsText" text=" Прокат ">
      <formula>NOT(ISERROR(SEARCH(" Прокат ",A1)))</formula>
    </cfRule>
    <cfRule type="containsText" dxfId="60" priority="6" stopIfTrue="1" operator="containsText" text=" Сборочные единицы ">
      <formula>NOT(ISERROR(SEARCH(" Сборочные единицы ",A1)))</formula>
    </cfRule>
    <cfRule type="containsText" dxfId="59" priority="7" stopIfTrue="1" operator="containsText" text=" Материалы ">
      <formula>NOT(ISERROR(SEARCH(" Материалы ",A1)))</formula>
    </cfRule>
    <cfRule type="containsText" dxfId="58" priority="8" stopIfTrue="1" operator="containsText" text=", на ">
      <formula>NOT(ISERROR(SEARCH(", на ",A1)))</formula>
    </cfRule>
    <cfRule type="containsText" dxfId="57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000000"/>
  </sheetPr>
  <dimension ref="A1:F33"/>
  <sheetViews>
    <sheetView workbookViewId="0">
      <selection activeCell="I17" sqref="I17"/>
    </sheetView>
  </sheetViews>
  <sheetFormatPr defaultRowHeight="15" x14ac:dyDescent="0.25"/>
  <cols>
    <col min="1" max="1" width="7.85546875" style="1" customWidth="1"/>
    <col min="2" max="2" width="24.5703125" style="1" customWidth="1"/>
    <col min="3" max="3" width="29.42578125" style="1" customWidth="1"/>
    <col min="4" max="4" width="7.85546875" style="1" customWidth="1"/>
    <col min="5" max="5" width="10.28515625" style="1" customWidth="1"/>
    <col min="6" max="6" width="12.7109375" style="1" customWidth="1"/>
    <col min="7" max="16384" width="9.140625" style="1"/>
  </cols>
  <sheetData>
    <row r="1" spans="1:6" ht="33" x14ac:dyDescent="0.25">
      <c r="A1" s="52" t="s">
        <v>2734</v>
      </c>
      <c r="B1" s="53" t="s">
        <v>2735</v>
      </c>
      <c r="C1" s="53" t="s">
        <v>2736</v>
      </c>
      <c r="D1" s="53" t="s">
        <v>2782</v>
      </c>
      <c r="E1" s="53" t="s">
        <v>2783</v>
      </c>
      <c r="F1" s="54" t="s">
        <v>2478</v>
      </c>
    </row>
    <row r="2" spans="1:6" ht="16.5" x14ac:dyDescent="0.25">
      <c r="A2" s="46" t="s">
        <v>2784</v>
      </c>
      <c r="B2" s="37" t="s">
        <v>2479</v>
      </c>
      <c r="C2" s="37" t="s">
        <v>2785</v>
      </c>
      <c r="D2" s="37">
        <v>3</v>
      </c>
      <c r="E2" s="37">
        <v>556.84</v>
      </c>
      <c r="F2" s="38" t="s">
        <v>2872</v>
      </c>
    </row>
    <row r="3" spans="1:6" ht="16.5" x14ac:dyDescent="0.25">
      <c r="A3" s="46" t="s">
        <v>2787</v>
      </c>
      <c r="B3" s="37" t="s">
        <v>2479</v>
      </c>
      <c r="C3" s="37" t="s">
        <v>2788</v>
      </c>
      <c r="D3" s="37">
        <v>2</v>
      </c>
      <c r="E3" s="37">
        <v>814.31999999999994</v>
      </c>
      <c r="F3" s="38" t="s">
        <v>2873</v>
      </c>
    </row>
    <row r="4" spans="1:6" ht="16.5" x14ac:dyDescent="0.25">
      <c r="A4" s="46" t="s">
        <v>2790</v>
      </c>
      <c r="B4" s="37" t="s">
        <v>2479</v>
      </c>
      <c r="C4" s="37" t="s">
        <v>2791</v>
      </c>
      <c r="D4" s="37">
        <v>2</v>
      </c>
      <c r="E4" s="37">
        <v>608.20000000000005</v>
      </c>
      <c r="F4" s="38" t="s">
        <v>2874</v>
      </c>
    </row>
    <row r="5" spans="1:6" ht="16.5" x14ac:dyDescent="0.25">
      <c r="A5" s="46" t="s">
        <v>2793</v>
      </c>
      <c r="B5" s="37" t="s">
        <v>2479</v>
      </c>
      <c r="C5" s="37" t="s">
        <v>2794</v>
      </c>
      <c r="D5" s="37">
        <v>7</v>
      </c>
      <c r="E5" s="37">
        <v>150.80000000000001</v>
      </c>
      <c r="F5" s="38" t="s">
        <v>2875</v>
      </c>
    </row>
    <row r="6" spans="1:6" ht="16.5" x14ac:dyDescent="0.25">
      <c r="A6" s="46" t="s">
        <v>2796</v>
      </c>
      <c r="B6" s="37" t="s">
        <v>2479</v>
      </c>
      <c r="C6" s="37" t="s">
        <v>2797</v>
      </c>
      <c r="D6" s="37">
        <v>3</v>
      </c>
      <c r="E6" s="37">
        <v>558.18999999999994</v>
      </c>
      <c r="F6" s="38" t="s">
        <v>2876</v>
      </c>
    </row>
    <row r="7" spans="1:6" ht="16.5" x14ac:dyDescent="0.25">
      <c r="A7" s="46" t="s">
        <v>2799</v>
      </c>
      <c r="B7" s="37" t="s">
        <v>2479</v>
      </c>
      <c r="C7" s="37" t="s">
        <v>2800</v>
      </c>
      <c r="D7" s="37">
        <v>1</v>
      </c>
      <c r="E7" s="37">
        <v>699.69999999999982</v>
      </c>
      <c r="F7" s="38" t="s">
        <v>2877</v>
      </c>
    </row>
    <row r="8" spans="1:6" ht="16.5" x14ac:dyDescent="0.25">
      <c r="A8" s="46" t="s">
        <v>2802</v>
      </c>
      <c r="B8" s="37" t="s">
        <v>2479</v>
      </c>
      <c r="C8" s="37" t="s">
        <v>2803</v>
      </c>
      <c r="D8" s="37">
        <v>2</v>
      </c>
      <c r="E8" s="37">
        <v>512.03</v>
      </c>
      <c r="F8" s="38" t="s">
        <v>2878</v>
      </c>
    </row>
    <row r="9" spans="1:6" ht="16.5" x14ac:dyDescent="0.25">
      <c r="A9" s="46" t="s">
        <v>2805</v>
      </c>
      <c r="B9" s="37" t="s">
        <v>2479</v>
      </c>
      <c r="C9" s="37" t="s">
        <v>2806</v>
      </c>
      <c r="D9" s="37">
        <v>1</v>
      </c>
      <c r="E9" s="37">
        <v>550.13000000000011</v>
      </c>
      <c r="F9" s="38" t="s">
        <v>2879</v>
      </c>
    </row>
    <row r="10" spans="1:6" ht="16.5" x14ac:dyDescent="0.25">
      <c r="A10" s="46" t="s">
        <v>2808</v>
      </c>
      <c r="B10" s="37" t="s">
        <v>2479</v>
      </c>
      <c r="C10" s="37" t="s">
        <v>2809</v>
      </c>
      <c r="D10" s="37">
        <v>1</v>
      </c>
      <c r="E10" s="37">
        <v>548.67000000000007</v>
      </c>
      <c r="F10" s="38" t="s">
        <v>2880</v>
      </c>
    </row>
    <row r="11" spans="1:6" ht="16.5" x14ac:dyDescent="0.25">
      <c r="A11" s="46" t="s">
        <v>2811</v>
      </c>
      <c r="B11" s="37" t="s">
        <v>2479</v>
      </c>
      <c r="C11" s="37" t="s">
        <v>2812</v>
      </c>
      <c r="D11" s="37">
        <v>1</v>
      </c>
      <c r="E11" s="37">
        <v>608.31999999999994</v>
      </c>
      <c r="F11" s="38" t="s">
        <v>2881</v>
      </c>
    </row>
    <row r="12" spans="1:6" ht="16.5" x14ac:dyDescent="0.25">
      <c r="A12" s="46" t="s">
        <v>2814</v>
      </c>
      <c r="B12" s="37" t="s">
        <v>2479</v>
      </c>
      <c r="C12" s="37" t="s">
        <v>2815</v>
      </c>
      <c r="D12" s="37">
        <v>1</v>
      </c>
      <c r="E12" s="37">
        <v>706.36</v>
      </c>
      <c r="F12" s="38" t="s">
        <v>2882</v>
      </c>
    </row>
    <row r="13" spans="1:6" ht="16.5" x14ac:dyDescent="0.25">
      <c r="A13" s="46" t="s">
        <v>2817</v>
      </c>
      <c r="B13" s="37" t="s">
        <v>2479</v>
      </c>
      <c r="C13" s="37" t="s">
        <v>2818</v>
      </c>
      <c r="D13" s="37">
        <v>1</v>
      </c>
      <c r="E13" s="37">
        <v>707.09</v>
      </c>
      <c r="F13" s="38" t="s">
        <v>2883</v>
      </c>
    </row>
    <row r="14" spans="1:6" ht="16.5" x14ac:dyDescent="0.25">
      <c r="A14" s="46" t="s">
        <v>2820</v>
      </c>
      <c r="B14" s="37" t="s">
        <v>2479</v>
      </c>
      <c r="C14" s="37" t="s">
        <v>2821</v>
      </c>
      <c r="D14" s="37">
        <v>1</v>
      </c>
      <c r="E14" s="37">
        <v>574.16000000000008</v>
      </c>
      <c r="F14" s="38" t="s">
        <v>2884</v>
      </c>
    </row>
    <row r="15" spans="1:6" ht="16.5" x14ac:dyDescent="0.25">
      <c r="A15" s="46" t="s">
        <v>2823</v>
      </c>
      <c r="B15" s="37" t="s">
        <v>2479</v>
      </c>
      <c r="C15" s="37" t="s">
        <v>2824</v>
      </c>
      <c r="D15" s="37">
        <v>1</v>
      </c>
      <c r="E15" s="37">
        <v>512.03</v>
      </c>
      <c r="F15" s="38" t="s">
        <v>2885</v>
      </c>
    </row>
    <row r="16" spans="1:6" ht="16.5" x14ac:dyDescent="0.25">
      <c r="A16" s="46" t="s">
        <v>2829</v>
      </c>
      <c r="B16" s="37" t="s">
        <v>2479</v>
      </c>
      <c r="C16" s="37" t="s">
        <v>2830</v>
      </c>
      <c r="D16" s="37">
        <v>1</v>
      </c>
      <c r="E16" s="37">
        <v>577.97</v>
      </c>
      <c r="F16" s="38" t="s">
        <v>2886</v>
      </c>
    </row>
    <row r="17" spans="1:6" ht="16.5" x14ac:dyDescent="0.25">
      <c r="A17" s="46" t="s">
        <v>2832</v>
      </c>
      <c r="B17" s="37" t="s">
        <v>2479</v>
      </c>
      <c r="C17" s="37" t="s">
        <v>2833</v>
      </c>
      <c r="D17" s="37">
        <v>1</v>
      </c>
      <c r="E17" s="37">
        <v>719.23</v>
      </c>
      <c r="F17" s="38" t="s">
        <v>2887</v>
      </c>
    </row>
    <row r="18" spans="1:6" ht="16.5" x14ac:dyDescent="0.25">
      <c r="A18" s="46" t="s">
        <v>2835</v>
      </c>
      <c r="B18" s="37" t="s">
        <v>2479</v>
      </c>
      <c r="C18" s="37" t="s">
        <v>2836</v>
      </c>
      <c r="D18" s="37">
        <v>2</v>
      </c>
      <c r="E18" s="37">
        <v>526.08000000000004</v>
      </c>
      <c r="F18" s="38" t="s">
        <v>2888</v>
      </c>
    </row>
    <row r="19" spans="1:6" ht="16.5" x14ac:dyDescent="0.25">
      <c r="A19" s="46" t="s">
        <v>2838</v>
      </c>
      <c r="B19" s="37" t="s">
        <v>2479</v>
      </c>
      <c r="C19" s="37" t="s">
        <v>2839</v>
      </c>
      <c r="D19" s="37">
        <v>3</v>
      </c>
      <c r="E19" s="37">
        <v>568.39</v>
      </c>
      <c r="F19" s="38" t="s">
        <v>2889</v>
      </c>
    </row>
    <row r="20" spans="1:6" ht="16.5" x14ac:dyDescent="0.25">
      <c r="A20" s="46" t="s">
        <v>2841</v>
      </c>
      <c r="B20" s="37" t="s">
        <v>2479</v>
      </c>
      <c r="C20" s="37" t="s">
        <v>2842</v>
      </c>
      <c r="D20" s="37">
        <v>2</v>
      </c>
      <c r="E20" s="37">
        <v>569.85</v>
      </c>
      <c r="F20" s="38" t="s">
        <v>2890</v>
      </c>
    </row>
    <row r="21" spans="1:6" ht="16.5" x14ac:dyDescent="0.25">
      <c r="A21" s="46" t="s">
        <v>2844</v>
      </c>
      <c r="B21" s="37" t="s">
        <v>2479</v>
      </c>
      <c r="C21" s="37" t="s">
        <v>2845</v>
      </c>
      <c r="D21" s="37">
        <v>1</v>
      </c>
      <c r="E21" s="37">
        <v>675.58</v>
      </c>
      <c r="F21" s="38" t="s">
        <v>2891</v>
      </c>
    </row>
    <row r="22" spans="1:6" ht="16.5" x14ac:dyDescent="0.25">
      <c r="A22" s="46" t="s">
        <v>2847</v>
      </c>
      <c r="B22" s="37" t="s">
        <v>2479</v>
      </c>
      <c r="C22" s="37" t="s">
        <v>2848</v>
      </c>
      <c r="D22" s="37">
        <v>1</v>
      </c>
      <c r="E22" s="37">
        <v>535.62</v>
      </c>
      <c r="F22" s="38" t="s">
        <v>2892</v>
      </c>
    </row>
    <row r="23" spans="1:6" ht="16.5" x14ac:dyDescent="0.25">
      <c r="A23" s="46" t="s">
        <v>2850</v>
      </c>
      <c r="B23" s="37" t="s">
        <v>2479</v>
      </c>
      <c r="C23" s="37" t="s">
        <v>2851</v>
      </c>
      <c r="D23" s="37">
        <v>1</v>
      </c>
      <c r="E23" s="37">
        <v>537.07999999999993</v>
      </c>
      <c r="F23" s="38" t="s">
        <v>2893</v>
      </c>
    </row>
    <row r="24" spans="1:6" ht="16.5" x14ac:dyDescent="0.25">
      <c r="A24" s="46" t="s">
        <v>2853</v>
      </c>
      <c r="B24" s="37" t="s">
        <v>2479</v>
      </c>
      <c r="C24" s="37" t="s">
        <v>2854</v>
      </c>
      <c r="D24" s="37">
        <v>1</v>
      </c>
      <c r="E24" s="37">
        <v>511.26</v>
      </c>
      <c r="F24" s="38" t="s">
        <v>2894</v>
      </c>
    </row>
    <row r="25" spans="1:6" ht="16.5" x14ac:dyDescent="0.25">
      <c r="A25" s="46" t="s">
        <v>2856</v>
      </c>
      <c r="B25" s="37" t="s">
        <v>2479</v>
      </c>
      <c r="C25" s="37" t="s">
        <v>2857</v>
      </c>
      <c r="D25" s="37">
        <v>1</v>
      </c>
      <c r="E25" s="37">
        <v>751.53</v>
      </c>
      <c r="F25" s="38" t="s">
        <v>2895</v>
      </c>
    </row>
    <row r="26" spans="1:6" ht="16.5" x14ac:dyDescent="0.25">
      <c r="A26" s="46" t="s">
        <v>2859</v>
      </c>
      <c r="B26" s="37" t="s">
        <v>2479</v>
      </c>
      <c r="C26" s="37" t="s">
        <v>2860</v>
      </c>
      <c r="D26" s="37">
        <v>1</v>
      </c>
      <c r="E26" s="37">
        <v>752.33999999999992</v>
      </c>
      <c r="F26" s="38" t="s">
        <v>2896</v>
      </c>
    </row>
    <row r="27" spans="1:6" ht="16.5" x14ac:dyDescent="0.25">
      <c r="A27" s="46" t="s">
        <v>2897</v>
      </c>
      <c r="B27" s="37" t="s">
        <v>2479</v>
      </c>
      <c r="C27" s="37" t="s">
        <v>2898</v>
      </c>
      <c r="D27" s="37">
        <v>1</v>
      </c>
      <c r="E27" s="37">
        <v>853.76</v>
      </c>
      <c r="F27" s="38" t="s">
        <v>2899</v>
      </c>
    </row>
    <row r="28" spans="1:6" ht="16.5" x14ac:dyDescent="0.25">
      <c r="A28" s="46" t="s">
        <v>2900</v>
      </c>
      <c r="B28" s="37" t="s">
        <v>2479</v>
      </c>
      <c r="C28" s="37" t="s">
        <v>2901</v>
      </c>
      <c r="D28" s="37">
        <v>1</v>
      </c>
      <c r="E28" s="37">
        <v>759.87</v>
      </c>
      <c r="F28" s="38" t="s">
        <v>2902</v>
      </c>
    </row>
    <row r="29" spans="1:6" ht="16.5" x14ac:dyDescent="0.25">
      <c r="A29" s="46" t="s">
        <v>2760</v>
      </c>
      <c r="B29" s="37" t="s">
        <v>2479</v>
      </c>
      <c r="C29" s="37" t="s">
        <v>2761</v>
      </c>
      <c r="D29" s="37">
        <v>1</v>
      </c>
      <c r="E29" s="37">
        <v>511.99</v>
      </c>
      <c r="F29" s="38" t="s">
        <v>2903</v>
      </c>
    </row>
    <row r="30" spans="1:6" ht="16.5" x14ac:dyDescent="0.25">
      <c r="A30" s="46" t="s">
        <v>2774</v>
      </c>
      <c r="B30" s="37" t="s">
        <v>2479</v>
      </c>
      <c r="C30" s="37" t="s">
        <v>2775</v>
      </c>
      <c r="D30" s="37">
        <v>1</v>
      </c>
      <c r="E30" s="37">
        <v>660.53</v>
      </c>
      <c r="F30" s="38" t="s">
        <v>2904</v>
      </c>
    </row>
    <row r="31" spans="1:6" ht="16.5" x14ac:dyDescent="0.25">
      <c r="A31" s="46" t="s">
        <v>2905</v>
      </c>
      <c r="B31" s="37" t="s">
        <v>2479</v>
      </c>
      <c r="C31" s="37" t="s">
        <v>2906</v>
      </c>
      <c r="D31" s="37">
        <v>2</v>
      </c>
      <c r="E31" s="37">
        <v>148.60999999999999</v>
      </c>
      <c r="F31" s="38" t="s">
        <v>2907</v>
      </c>
    </row>
    <row r="32" spans="1:6" ht="16.5" x14ac:dyDescent="0.25">
      <c r="A32" s="46" t="s">
        <v>2908</v>
      </c>
      <c r="B32" s="37" t="s">
        <v>2479</v>
      </c>
      <c r="C32" s="37" t="s">
        <v>2909</v>
      </c>
      <c r="D32" s="37">
        <v>1</v>
      </c>
      <c r="E32" s="37">
        <v>602</v>
      </c>
      <c r="F32" s="38" t="s">
        <v>2910</v>
      </c>
    </row>
    <row r="33" spans="1:6" ht="17.25" thickBot="1" x14ac:dyDescent="0.3">
      <c r="A33" s="48" t="s">
        <v>2911</v>
      </c>
      <c r="B33" s="49" t="s">
        <v>2479</v>
      </c>
      <c r="C33" s="49" t="s">
        <v>2912</v>
      </c>
      <c r="D33" s="49">
        <v>1</v>
      </c>
      <c r="E33" s="49">
        <v>814.31999999999994</v>
      </c>
      <c r="F33" s="51" t="s">
        <v>2913</v>
      </c>
    </row>
  </sheetData>
  <conditionalFormatting sqref="A1:F33">
    <cfRule type="containsText" dxfId="56" priority="1" stopIfTrue="1" operator="containsText" text="С ЛИСТА">
      <formula>NOT(ISERROR(SEARCH("С ЛИСТА",A1)))</formula>
    </cfRule>
    <cfRule type="containsText" dxfId="55" priority="2" stopIfTrue="1" operator="containsText" text="ИЗ ФАЙЛА">
      <formula>NOT(ISERROR(SEARCH("ИЗ ФАЙЛА",A1)))</formula>
    </cfRule>
    <cfRule type="containsText" dxfId="54" priority="3" stopIfTrue="1" operator="containsText" text="!!!">
      <formula>NOT(ISERROR(SEARCH("!!!",A1)))</formula>
    </cfRule>
    <cfRule type="containsText" dxfId="53" priority="4" stopIfTrue="1" operator="containsText" text=" Изделия ">
      <formula>NOT(ISERROR(SEARCH(" Изделия ",A1)))</formula>
    </cfRule>
    <cfRule type="containsText" dxfId="52" priority="5" stopIfTrue="1" operator="containsText" text=" Прокат ">
      <formula>NOT(ISERROR(SEARCH(" Прокат ",A1)))</formula>
    </cfRule>
    <cfRule type="containsText" dxfId="51" priority="6" stopIfTrue="1" operator="containsText" text=" Сборочные единицы ">
      <formula>NOT(ISERROR(SEARCH(" Сборочные единицы ",A1)))</formula>
    </cfRule>
    <cfRule type="containsText" dxfId="50" priority="7" stopIfTrue="1" operator="containsText" text=" Материалы ">
      <formula>NOT(ISERROR(SEARCH(" Материалы ",A1)))</formula>
    </cfRule>
    <cfRule type="containsText" dxfId="49" priority="8" stopIfTrue="1" operator="containsText" text=", на ">
      <formula>NOT(ISERROR(SEARCH(", на ",A1)))</formula>
    </cfRule>
    <cfRule type="containsText" dxfId="48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000000"/>
  </sheetPr>
  <dimension ref="A1:R6"/>
  <sheetViews>
    <sheetView workbookViewId="0">
      <selection sqref="A1:A5"/>
    </sheetView>
  </sheetViews>
  <sheetFormatPr defaultRowHeight="15" outlineLevelCol="1" x14ac:dyDescent="0.25"/>
  <cols>
    <col min="1" max="1" width="16.28515625" style="1" customWidth="1"/>
    <col min="2" max="10" width="8.140625" style="1" customWidth="1"/>
    <col min="11" max="17" width="9.140625" style="1" hidden="1" customWidth="1" outlineLevel="1"/>
    <col min="18" max="18" width="9.140625" style="1" collapsed="1"/>
    <col min="19" max="16384" width="9.140625" style="1"/>
  </cols>
  <sheetData>
    <row r="1" spans="1:10" ht="22.7" customHeight="1" x14ac:dyDescent="0.25">
      <c r="A1" s="137" t="s">
        <v>2862</v>
      </c>
      <c r="B1" s="138" t="s">
        <v>2863</v>
      </c>
      <c r="C1" s="138"/>
      <c r="D1" s="138"/>
      <c r="E1" s="138"/>
      <c r="F1" s="138"/>
      <c r="G1" s="138"/>
      <c r="H1" s="138"/>
      <c r="I1" s="138"/>
      <c r="J1" s="139" t="s">
        <v>2864</v>
      </c>
    </row>
    <row r="2" spans="1:10" ht="22.7" customHeight="1" x14ac:dyDescent="0.25">
      <c r="A2" s="131"/>
      <c r="B2" s="136" t="s">
        <v>2865</v>
      </c>
      <c r="C2" s="136"/>
      <c r="D2" s="136"/>
      <c r="E2" s="136"/>
      <c r="F2" s="136"/>
      <c r="G2" s="136" t="s">
        <v>2741</v>
      </c>
      <c r="H2" s="136"/>
      <c r="I2" s="136" t="s">
        <v>2864</v>
      </c>
      <c r="J2" s="132"/>
    </row>
    <row r="3" spans="1:10" ht="22.7" customHeight="1" x14ac:dyDescent="0.25">
      <c r="A3" s="131"/>
      <c r="B3" s="136" t="s">
        <v>2</v>
      </c>
      <c r="C3" s="136"/>
      <c r="D3" s="136"/>
      <c r="E3" s="136" t="s">
        <v>1</v>
      </c>
      <c r="F3" s="136"/>
      <c r="G3" s="136" t="s">
        <v>2866</v>
      </c>
      <c r="H3" s="136"/>
      <c r="I3" s="136"/>
      <c r="J3" s="132"/>
    </row>
    <row r="4" spans="1:10" ht="22.7" customHeight="1" x14ac:dyDescent="0.25">
      <c r="A4" s="131"/>
      <c r="B4" s="136" t="s">
        <v>2867</v>
      </c>
      <c r="C4" s="136"/>
      <c r="D4" s="136"/>
      <c r="E4" s="136" t="s">
        <v>2764</v>
      </c>
      <c r="F4" s="136"/>
      <c r="G4" s="136" t="s">
        <v>2772</v>
      </c>
      <c r="H4" s="136"/>
      <c r="I4" s="136"/>
      <c r="J4" s="132"/>
    </row>
    <row r="5" spans="1:10" ht="22.7" customHeight="1" x14ac:dyDescent="0.25">
      <c r="A5" s="131"/>
      <c r="B5" s="37" t="s">
        <v>2868</v>
      </c>
      <c r="C5" s="37" t="s">
        <v>2869</v>
      </c>
      <c r="D5" s="37" t="s">
        <v>2864</v>
      </c>
      <c r="E5" s="37" t="s">
        <v>2870</v>
      </c>
      <c r="F5" s="37" t="s">
        <v>2864</v>
      </c>
      <c r="G5" s="37">
        <v>12</v>
      </c>
      <c r="H5" s="37" t="s">
        <v>2864</v>
      </c>
      <c r="I5" s="136"/>
      <c r="J5" s="132"/>
    </row>
    <row r="6" spans="1:10" ht="22.7" customHeight="1" thickBot="1" x14ac:dyDescent="0.3">
      <c r="A6" s="58" t="s">
        <v>2871</v>
      </c>
      <c r="B6" s="59">
        <v>290.60000000000002</v>
      </c>
      <c r="C6" s="59">
        <v>60.6</v>
      </c>
      <c r="D6" s="59">
        <v>351.20000000000005</v>
      </c>
      <c r="E6" s="59">
        <v>566</v>
      </c>
      <c r="F6" s="59">
        <v>566</v>
      </c>
      <c r="G6" s="59">
        <v>0.1</v>
      </c>
      <c r="H6" s="59">
        <v>0.1</v>
      </c>
      <c r="I6" s="59">
        <v>917.2</v>
      </c>
      <c r="J6" s="60">
        <v>917.2</v>
      </c>
    </row>
  </sheetData>
  <mergeCells count="12">
    <mergeCell ref="E4:F4"/>
    <mergeCell ref="G4:H4"/>
    <mergeCell ref="A1:A5"/>
    <mergeCell ref="B1:I1"/>
    <mergeCell ref="J1:J5"/>
    <mergeCell ref="B2:F2"/>
    <mergeCell ref="G2:H2"/>
    <mergeCell ref="I2:I5"/>
    <mergeCell ref="B3:D3"/>
    <mergeCell ref="E3:F3"/>
    <mergeCell ref="G3:H3"/>
    <mergeCell ref="B4:D4"/>
  </mergeCells>
  <conditionalFormatting sqref="A1:J6">
    <cfRule type="containsText" dxfId="47" priority="1" stopIfTrue="1" operator="containsText" text="С ЛИСТА">
      <formula>NOT(ISERROR(SEARCH("С ЛИСТА",A1)))</formula>
    </cfRule>
    <cfRule type="containsText" dxfId="46" priority="2" stopIfTrue="1" operator="containsText" text="ИЗ ФАЙЛА">
      <formula>NOT(ISERROR(SEARCH("ИЗ ФАЙЛА",A1)))</formula>
    </cfRule>
    <cfRule type="containsText" dxfId="45" priority="3" stopIfTrue="1" operator="containsText" text="!!!">
      <formula>NOT(ISERROR(SEARCH("!!!",A1)))</formula>
    </cfRule>
    <cfRule type="containsText" dxfId="44" priority="4" stopIfTrue="1" operator="containsText" text=" Изделия ">
      <formula>NOT(ISERROR(SEARCH(" Изделия ",A1)))</formula>
    </cfRule>
    <cfRule type="containsText" dxfId="43" priority="5" stopIfTrue="1" operator="containsText" text=" Прокат ">
      <formula>NOT(ISERROR(SEARCH(" Прокат ",A1)))</formula>
    </cfRule>
    <cfRule type="containsText" dxfId="42" priority="6" stopIfTrue="1" operator="containsText" text=" Сборочные единицы ">
      <formula>NOT(ISERROR(SEARCH(" Сборочные единицы ",A1)))</formula>
    </cfRule>
    <cfRule type="containsText" dxfId="41" priority="7" stopIfTrue="1" operator="containsText" text=" Материалы ">
      <formula>NOT(ISERROR(SEARCH(" Материалы ",A1)))</formula>
    </cfRule>
    <cfRule type="containsText" dxfId="40" priority="8" stopIfTrue="1" operator="containsText" text=", на ">
      <formula>NOT(ISERROR(SEARCH(", на ",A1)))</formula>
    </cfRule>
    <cfRule type="containsText" dxfId="39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000000"/>
  </sheetPr>
  <dimension ref="A1:F27"/>
  <sheetViews>
    <sheetView workbookViewId="0"/>
  </sheetViews>
  <sheetFormatPr defaultRowHeight="15" x14ac:dyDescent="0.25"/>
  <cols>
    <col min="1" max="1" width="7.85546875" style="1" customWidth="1"/>
    <col min="2" max="2" width="24.5703125" style="1" customWidth="1"/>
    <col min="3" max="3" width="29.42578125" style="1" customWidth="1"/>
    <col min="4" max="4" width="7.85546875" style="1" customWidth="1"/>
    <col min="5" max="5" width="10.28515625" style="1" customWidth="1"/>
    <col min="6" max="6" width="12.7109375" style="1" customWidth="1"/>
    <col min="7" max="16384" width="9.140625" style="1"/>
  </cols>
  <sheetData>
    <row r="1" spans="1:6" ht="33" x14ac:dyDescent="0.25">
      <c r="A1" s="52" t="s">
        <v>2734</v>
      </c>
      <c r="B1" s="53" t="s">
        <v>2735</v>
      </c>
      <c r="C1" s="53" t="s">
        <v>2736</v>
      </c>
      <c r="D1" s="53" t="s">
        <v>2782</v>
      </c>
      <c r="E1" s="53" t="s">
        <v>2783</v>
      </c>
      <c r="F1" s="54" t="s">
        <v>2478</v>
      </c>
    </row>
    <row r="2" spans="1:6" ht="16.5" x14ac:dyDescent="0.25">
      <c r="A2" s="46" t="s">
        <v>2784</v>
      </c>
      <c r="B2" s="37" t="s">
        <v>2479</v>
      </c>
      <c r="C2" s="37" t="s">
        <v>2785</v>
      </c>
      <c r="D2" s="37">
        <v>2</v>
      </c>
      <c r="E2" s="37">
        <v>575.20000000000005</v>
      </c>
      <c r="F2" s="38" t="s">
        <v>2786</v>
      </c>
    </row>
    <row r="3" spans="1:6" ht="16.5" x14ac:dyDescent="0.25">
      <c r="A3" s="46" t="s">
        <v>2787</v>
      </c>
      <c r="B3" s="37" t="s">
        <v>2479</v>
      </c>
      <c r="C3" s="37" t="s">
        <v>2788</v>
      </c>
      <c r="D3" s="37">
        <v>2</v>
      </c>
      <c r="E3" s="37">
        <v>859.6400000000001</v>
      </c>
      <c r="F3" s="38" t="s">
        <v>2789</v>
      </c>
    </row>
    <row r="4" spans="1:6" ht="16.5" x14ac:dyDescent="0.25">
      <c r="A4" s="46" t="s">
        <v>2790</v>
      </c>
      <c r="B4" s="37" t="s">
        <v>2479</v>
      </c>
      <c r="C4" s="37" t="s">
        <v>2791</v>
      </c>
      <c r="D4" s="37">
        <v>2</v>
      </c>
      <c r="E4" s="37">
        <v>631.26</v>
      </c>
      <c r="F4" s="38" t="s">
        <v>2792</v>
      </c>
    </row>
    <row r="5" spans="1:6" ht="16.5" x14ac:dyDescent="0.25">
      <c r="A5" s="46" t="s">
        <v>2793</v>
      </c>
      <c r="B5" s="37" t="s">
        <v>2479</v>
      </c>
      <c r="C5" s="37" t="s">
        <v>2794</v>
      </c>
      <c r="D5" s="37">
        <v>6</v>
      </c>
      <c r="E5" s="37">
        <v>155.67999999999998</v>
      </c>
      <c r="F5" s="38" t="s">
        <v>2795</v>
      </c>
    </row>
    <row r="6" spans="1:6" ht="16.5" x14ac:dyDescent="0.25">
      <c r="A6" s="46" t="s">
        <v>2796</v>
      </c>
      <c r="B6" s="37" t="s">
        <v>2479</v>
      </c>
      <c r="C6" s="37" t="s">
        <v>2797</v>
      </c>
      <c r="D6" s="37">
        <v>2</v>
      </c>
      <c r="E6" s="37">
        <v>584.5</v>
      </c>
      <c r="F6" s="38" t="s">
        <v>2798</v>
      </c>
    </row>
    <row r="7" spans="1:6" ht="16.5" x14ac:dyDescent="0.25">
      <c r="A7" s="46" t="s">
        <v>2799</v>
      </c>
      <c r="B7" s="37" t="s">
        <v>2479</v>
      </c>
      <c r="C7" s="37" t="s">
        <v>2800</v>
      </c>
      <c r="D7" s="37">
        <v>1</v>
      </c>
      <c r="E7" s="37">
        <v>805.28</v>
      </c>
      <c r="F7" s="38" t="s">
        <v>2801</v>
      </c>
    </row>
    <row r="8" spans="1:6" ht="16.5" x14ac:dyDescent="0.25">
      <c r="A8" s="46" t="s">
        <v>2802</v>
      </c>
      <c r="B8" s="37" t="s">
        <v>2479</v>
      </c>
      <c r="C8" s="37" t="s">
        <v>2803</v>
      </c>
      <c r="D8" s="37">
        <v>2</v>
      </c>
      <c r="E8" s="37">
        <v>536.04</v>
      </c>
      <c r="F8" s="38" t="s">
        <v>2804</v>
      </c>
    </row>
    <row r="9" spans="1:6" ht="16.5" x14ac:dyDescent="0.25">
      <c r="A9" s="46" t="s">
        <v>2805</v>
      </c>
      <c r="B9" s="37" t="s">
        <v>2479</v>
      </c>
      <c r="C9" s="37" t="s">
        <v>2806</v>
      </c>
      <c r="D9" s="37">
        <v>1</v>
      </c>
      <c r="E9" s="37">
        <v>575.96</v>
      </c>
      <c r="F9" s="38" t="s">
        <v>2807</v>
      </c>
    </row>
    <row r="10" spans="1:6" ht="16.5" x14ac:dyDescent="0.25">
      <c r="A10" s="46" t="s">
        <v>2808</v>
      </c>
      <c r="B10" s="37" t="s">
        <v>2479</v>
      </c>
      <c r="C10" s="37" t="s">
        <v>2809</v>
      </c>
      <c r="D10" s="37">
        <v>1</v>
      </c>
      <c r="E10" s="37">
        <v>574.44000000000005</v>
      </c>
      <c r="F10" s="38" t="s">
        <v>2810</v>
      </c>
    </row>
    <row r="11" spans="1:6" ht="16.5" x14ac:dyDescent="0.25">
      <c r="A11" s="46" t="s">
        <v>2811</v>
      </c>
      <c r="B11" s="37" t="s">
        <v>2479</v>
      </c>
      <c r="C11" s="37" t="s">
        <v>2812</v>
      </c>
      <c r="D11" s="37">
        <v>1</v>
      </c>
      <c r="E11" s="37">
        <v>631.38</v>
      </c>
      <c r="F11" s="38" t="s">
        <v>2813</v>
      </c>
    </row>
    <row r="12" spans="1:6" ht="16.5" x14ac:dyDescent="0.25">
      <c r="A12" s="46" t="s">
        <v>2814</v>
      </c>
      <c r="B12" s="37" t="s">
        <v>2479</v>
      </c>
      <c r="C12" s="37" t="s">
        <v>2815</v>
      </c>
      <c r="D12" s="37">
        <v>1</v>
      </c>
      <c r="E12" s="37">
        <v>734.30000000000007</v>
      </c>
      <c r="F12" s="38" t="s">
        <v>2816</v>
      </c>
    </row>
    <row r="13" spans="1:6" ht="16.5" x14ac:dyDescent="0.25">
      <c r="A13" s="46" t="s">
        <v>2817</v>
      </c>
      <c r="B13" s="37" t="s">
        <v>2479</v>
      </c>
      <c r="C13" s="37" t="s">
        <v>2818</v>
      </c>
      <c r="D13" s="37">
        <v>1</v>
      </c>
      <c r="E13" s="37">
        <v>735.06000000000006</v>
      </c>
      <c r="F13" s="38" t="s">
        <v>2819</v>
      </c>
    </row>
    <row r="14" spans="1:6" ht="16.5" x14ac:dyDescent="0.25">
      <c r="A14" s="46" t="s">
        <v>2820</v>
      </c>
      <c r="B14" s="37" t="s">
        <v>2479</v>
      </c>
      <c r="C14" s="37" t="s">
        <v>2821</v>
      </c>
      <c r="D14" s="37">
        <v>1</v>
      </c>
      <c r="E14" s="37">
        <v>595.68000000000006</v>
      </c>
      <c r="F14" s="38" t="s">
        <v>2822</v>
      </c>
    </row>
    <row r="15" spans="1:6" ht="16.5" x14ac:dyDescent="0.25">
      <c r="A15" s="46" t="s">
        <v>2823</v>
      </c>
      <c r="B15" s="37" t="s">
        <v>2479</v>
      </c>
      <c r="C15" s="37" t="s">
        <v>2824</v>
      </c>
      <c r="D15" s="37">
        <v>1</v>
      </c>
      <c r="E15" s="37">
        <v>536.04</v>
      </c>
      <c r="F15" s="38" t="s">
        <v>2825</v>
      </c>
    </row>
    <row r="16" spans="1:6" ht="16.5" x14ac:dyDescent="0.25">
      <c r="A16" s="46" t="s">
        <v>2826</v>
      </c>
      <c r="B16" s="37" t="s">
        <v>2479</v>
      </c>
      <c r="C16" s="37" t="s">
        <v>2827</v>
      </c>
      <c r="D16" s="37">
        <v>1</v>
      </c>
      <c r="E16" s="37">
        <v>576.72</v>
      </c>
      <c r="F16" s="38" t="s">
        <v>2828</v>
      </c>
    </row>
    <row r="17" spans="1:6" ht="16.5" x14ac:dyDescent="0.25">
      <c r="A17" s="46" t="s">
        <v>2829</v>
      </c>
      <c r="B17" s="37" t="s">
        <v>2479</v>
      </c>
      <c r="C17" s="37" t="s">
        <v>2830</v>
      </c>
      <c r="D17" s="37">
        <v>1</v>
      </c>
      <c r="E17" s="37">
        <v>605.20000000000005</v>
      </c>
      <c r="F17" s="38" t="s">
        <v>2831</v>
      </c>
    </row>
    <row r="18" spans="1:6" ht="16.5" x14ac:dyDescent="0.25">
      <c r="A18" s="46" t="s">
        <v>2832</v>
      </c>
      <c r="B18" s="37" t="s">
        <v>2479</v>
      </c>
      <c r="C18" s="37" t="s">
        <v>2833</v>
      </c>
      <c r="D18" s="37">
        <v>1</v>
      </c>
      <c r="E18" s="37">
        <v>753.43999999999994</v>
      </c>
      <c r="F18" s="38" t="s">
        <v>2834</v>
      </c>
    </row>
    <row r="19" spans="1:6" ht="16.5" x14ac:dyDescent="0.25">
      <c r="A19" s="46" t="s">
        <v>2835</v>
      </c>
      <c r="B19" s="37" t="s">
        <v>2479</v>
      </c>
      <c r="C19" s="37" t="s">
        <v>2836</v>
      </c>
      <c r="D19" s="37">
        <v>2</v>
      </c>
      <c r="E19" s="37">
        <v>550.68000000000006</v>
      </c>
      <c r="F19" s="38" t="s">
        <v>2837</v>
      </c>
    </row>
    <row r="20" spans="1:6" ht="16.5" x14ac:dyDescent="0.25">
      <c r="A20" s="46" t="s">
        <v>2838</v>
      </c>
      <c r="B20" s="37" t="s">
        <v>2479</v>
      </c>
      <c r="C20" s="37" t="s">
        <v>2839</v>
      </c>
      <c r="D20" s="37">
        <v>3</v>
      </c>
      <c r="E20" s="37">
        <v>595.12</v>
      </c>
      <c r="F20" s="38" t="s">
        <v>2840</v>
      </c>
    </row>
    <row r="21" spans="1:6" ht="16.5" x14ac:dyDescent="0.25">
      <c r="A21" s="46" t="s">
        <v>2841</v>
      </c>
      <c r="B21" s="37" t="s">
        <v>2479</v>
      </c>
      <c r="C21" s="37" t="s">
        <v>2842</v>
      </c>
      <c r="D21" s="37">
        <v>2</v>
      </c>
      <c r="E21" s="37">
        <v>596.64</v>
      </c>
      <c r="F21" s="38" t="s">
        <v>2843</v>
      </c>
    </row>
    <row r="22" spans="1:6" ht="16.5" x14ac:dyDescent="0.25">
      <c r="A22" s="46" t="s">
        <v>2844</v>
      </c>
      <c r="B22" s="37" t="s">
        <v>2479</v>
      </c>
      <c r="C22" s="37" t="s">
        <v>2845</v>
      </c>
      <c r="D22" s="37">
        <v>1</v>
      </c>
      <c r="E22" s="37">
        <v>707.68000000000006</v>
      </c>
      <c r="F22" s="38" t="s">
        <v>2846</v>
      </c>
    </row>
    <row r="23" spans="1:6" ht="16.5" x14ac:dyDescent="0.25">
      <c r="A23" s="46" t="s">
        <v>2847</v>
      </c>
      <c r="B23" s="37" t="s">
        <v>2479</v>
      </c>
      <c r="C23" s="37" t="s">
        <v>2848</v>
      </c>
      <c r="D23" s="37">
        <v>1</v>
      </c>
      <c r="E23" s="37">
        <v>560.88</v>
      </c>
      <c r="F23" s="38" t="s">
        <v>2849</v>
      </c>
    </row>
    <row r="24" spans="1:6" ht="16.5" x14ac:dyDescent="0.25">
      <c r="A24" s="46" t="s">
        <v>2850</v>
      </c>
      <c r="B24" s="37" t="s">
        <v>2479</v>
      </c>
      <c r="C24" s="37" t="s">
        <v>2851</v>
      </c>
      <c r="D24" s="37">
        <v>1</v>
      </c>
      <c r="E24" s="37">
        <v>562.4</v>
      </c>
      <c r="F24" s="38" t="s">
        <v>2852</v>
      </c>
    </row>
    <row r="25" spans="1:6" ht="16.5" x14ac:dyDescent="0.25">
      <c r="A25" s="46" t="s">
        <v>2853</v>
      </c>
      <c r="B25" s="37" t="s">
        <v>2479</v>
      </c>
      <c r="C25" s="37" t="s">
        <v>2854</v>
      </c>
      <c r="D25" s="37">
        <v>1</v>
      </c>
      <c r="E25" s="37">
        <v>535.28</v>
      </c>
      <c r="F25" s="38" t="s">
        <v>2855</v>
      </c>
    </row>
    <row r="26" spans="1:6" ht="16.5" x14ac:dyDescent="0.25">
      <c r="A26" s="46" t="s">
        <v>2856</v>
      </c>
      <c r="B26" s="37" t="s">
        <v>2479</v>
      </c>
      <c r="C26" s="37" t="s">
        <v>2857</v>
      </c>
      <c r="D26" s="37">
        <v>1</v>
      </c>
      <c r="E26" s="37">
        <v>787.31999999999994</v>
      </c>
      <c r="F26" s="38" t="s">
        <v>2858</v>
      </c>
    </row>
    <row r="27" spans="1:6" ht="17.25" thickBot="1" x14ac:dyDescent="0.3">
      <c r="A27" s="48" t="s">
        <v>2859</v>
      </c>
      <c r="B27" s="49" t="s">
        <v>2479</v>
      </c>
      <c r="C27" s="49" t="s">
        <v>2860</v>
      </c>
      <c r="D27" s="49">
        <v>1</v>
      </c>
      <c r="E27" s="49">
        <v>788.16</v>
      </c>
      <c r="F27" s="51" t="s">
        <v>2861</v>
      </c>
    </row>
  </sheetData>
  <conditionalFormatting sqref="A1:F27">
    <cfRule type="containsText" dxfId="38" priority="1" stopIfTrue="1" operator="containsText" text="С ЛИСТА">
      <formula>NOT(ISERROR(SEARCH("С ЛИСТА",A1)))</formula>
    </cfRule>
    <cfRule type="containsText" dxfId="37" priority="2" stopIfTrue="1" operator="containsText" text="ИЗ ФАЙЛА">
      <formula>NOT(ISERROR(SEARCH("ИЗ ФАЙЛА",A1)))</formula>
    </cfRule>
    <cfRule type="containsText" dxfId="36" priority="3" stopIfTrue="1" operator="containsText" text="!!!">
      <formula>NOT(ISERROR(SEARCH("!!!",A1)))</formula>
    </cfRule>
    <cfRule type="containsText" dxfId="35" priority="4" stopIfTrue="1" operator="containsText" text=" Изделия ">
      <formula>NOT(ISERROR(SEARCH(" Изделия ",A1)))</formula>
    </cfRule>
    <cfRule type="containsText" dxfId="34" priority="5" stopIfTrue="1" operator="containsText" text=" Прокат ">
      <formula>NOT(ISERROR(SEARCH(" Прокат ",A1)))</formula>
    </cfRule>
    <cfRule type="containsText" dxfId="33" priority="6" stopIfTrue="1" operator="containsText" text=" Сборочные единицы ">
      <formula>NOT(ISERROR(SEARCH(" Сборочные единицы ",A1)))</formula>
    </cfRule>
    <cfRule type="containsText" dxfId="32" priority="7" stopIfTrue="1" operator="containsText" text=" Материалы ">
      <formula>NOT(ISERROR(SEARCH(" Материалы ",A1)))</formula>
    </cfRule>
    <cfRule type="containsText" dxfId="31" priority="8" stopIfTrue="1" operator="containsText" text=", на ">
      <formula>NOT(ISERROR(SEARCH(", на ",A1)))</formula>
    </cfRule>
    <cfRule type="containsText" dxfId="30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000000"/>
  </sheetPr>
  <dimension ref="A1:G30"/>
  <sheetViews>
    <sheetView workbookViewId="0">
      <selection activeCell="G24" sqref="G24"/>
    </sheetView>
  </sheetViews>
  <sheetFormatPr defaultRowHeight="15" x14ac:dyDescent="0.25"/>
  <cols>
    <col min="1" max="1" width="18.140625" bestFit="1" customWidth="1"/>
    <col min="2" max="2" width="11.5703125" bestFit="1" customWidth="1"/>
    <col min="3" max="3" width="14.140625" bestFit="1" customWidth="1"/>
    <col min="4" max="4" width="30.5703125" bestFit="1" customWidth="1"/>
    <col min="5" max="5" width="10.28515625" bestFit="1" customWidth="1"/>
    <col min="6" max="6" width="24.7109375" bestFit="1" customWidth="1"/>
    <col min="7" max="7" width="49.42578125" bestFit="1" customWidth="1"/>
  </cols>
  <sheetData>
    <row r="1" spans="1:7" x14ac:dyDescent="0.25">
      <c r="D1" t="s">
        <v>2712</v>
      </c>
    </row>
    <row r="2" spans="1:7" x14ac:dyDescent="0.25">
      <c r="A2" t="s">
        <v>2713</v>
      </c>
      <c r="B2" t="s">
        <v>2714</v>
      </c>
      <c r="C2" t="s">
        <v>2715</v>
      </c>
      <c r="D2" t="s">
        <v>2716</v>
      </c>
      <c r="E2" t="s">
        <v>2717</v>
      </c>
      <c r="F2" t="s">
        <v>2718</v>
      </c>
      <c r="G2" t="s">
        <v>2719</v>
      </c>
    </row>
    <row r="3" spans="1:7" x14ac:dyDescent="0.25">
      <c r="A3" t="s">
        <v>2720</v>
      </c>
      <c r="B3">
        <v>1</v>
      </c>
      <c r="C3">
        <v>250</v>
      </c>
      <c r="D3">
        <v>116.36</v>
      </c>
      <c r="E3">
        <v>45400</v>
      </c>
      <c r="F3">
        <v>29.09</v>
      </c>
      <c r="G3">
        <v>118.02</v>
      </c>
    </row>
    <row r="4" spans="1:7" x14ac:dyDescent="0.25">
      <c r="A4" t="s">
        <v>2720</v>
      </c>
      <c r="B4">
        <v>1</v>
      </c>
      <c r="C4">
        <v>250</v>
      </c>
      <c r="D4">
        <v>287.52</v>
      </c>
      <c r="E4">
        <v>87300</v>
      </c>
      <c r="F4">
        <v>71.88</v>
      </c>
      <c r="G4">
        <v>288.45</v>
      </c>
    </row>
    <row r="5" spans="1:7" x14ac:dyDescent="0.25">
      <c r="A5" t="s">
        <v>2720</v>
      </c>
      <c r="B5">
        <v>1</v>
      </c>
      <c r="C5">
        <v>250</v>
      </c>
      <c r="D5">
        <v>1929.23</v>
      </c>
      <c r="E5">
        <v>259228.3</v>
      </c>
      <c r="F5">
        <v>482.34</v>
      </c>
      <c r="G5">
        <v>1961.88</v>
      </c>
    </row>
    <row r="6" spans="1:7" x14ac:dyDescent="0.25">
      <c r="A6" t="s">
        <v>2721</v>
      </c>
      <c r="B6">
        <v>1</v>
      </c>
      <c r="C6">
        <v>250</v>
      </c>
      <c r="D6">
        <v>7.28</v>
      </c>
      <c r="E6">
        <v>10900</v>
      </c>
      <c r="F6">
        <v>1.82</v>
      </c>
      <c r="G6">
        <v>7.28</v>
      </c>
    </row>
    <row r="7" spans="1:7" x14ac:dyDescent="0.25">
      <c r="A7" t="s">
        <v>2721</v>
      </c>
      <c r="B7">
        <v>1</v>
      </c>
      <c r="C7">
        <v>500</v>
      </c>
      <c r="D7">
        <v>13.73</v>
      </c>
      <c r="E7">
        <v>14900</v>
      </c>
      <c r="F7">
        <v>6.87</v>
      </c>
      <c r="G7">
        <v>13.73</v>
      </c>
    </row>
    <row r="8" spans="1:7" x14ac:dyDescent="0.25">
      <c r="A8" t="s">
        <v>2722</v>
      </c>
      <c r="B8">
        <v>1</v>
      </c>
      <c r="C8">
        <v>250</v>
      </c>
      <c r="D8">
        <v>1148.29</v>
      </c>
      <c r="E8">
        <v>176194.6</v>
      </c>
      <c r="F8">
        <v>287.07</v>
      </c>
      <c r="G8">
        <v>1163.82</v>
      </c>
    </row>
    <row r="9" spans="1:7" x14ac:dyDescent="0.25">
      <c r="A9" t="s">
        <v>2722</v>
      </c>
      <c r="B9">
        <v>1</v>
      </c>
      <c r="C9">
        <v>250</v>
      </c>
      <c r="D9">
        <v>1194.07</v>
      </c>
      <c r="E9">
        <v>346300.3</v>
      </c>
      <c r="F9">
        <v>298.58999999999997</v>
      </c>
      <c r="G9">
        <v>1234.69</v>
      </c>
    </row>
    <row r="10" spans="1:7" x14ac:dyDescent="0.25">
      <c r="A10" t="s">
        <v>2723</v>
      </c>
      <c r="B10">
        <v>1</v>
      </c>
      <c r="C10">
        <v>250</v>
      </c>
      <c r="D10">
        <v>1756.19</v>
      </c>
      <c r="E10">
        <v>301560</v>
      </c>
      <c r="F10">
        <v>439.07</v>
      </c>
      <c r="G10">
        <v>2270.17</v>
      </c>
    </row>
    <row r="11" spans="1:7" x14ac:dyDescent="0.25">
      <c r="A11" t="s">
        <v>2724</v>
      </c>
      <c r="B11">
        <v>1</v>
      </c>
      <c r="C11">
        <v>100</v>
      </c>
      <c r="D11">
        <v>1.31</v>
      </c>
      <c r="E11">
        <v>7340</v>
      </c>
      <c r="F11">
        <v>0.13</v>
      </c>
      <c r="G11">
        <v>1.31</v>
      </c>
    </row>
    <row r="12" spans="1:7" x14ac:dyDescent="0.25">
      <c r="A12" t="s">
        <v>2724</v>
      </c>
      <c r="B12">
        <v>1</v>
      </c>
      <c r="C12">
        <v>250</v>
      </c>
      <c r="D12">
        <v>156.4</v>
      </c>
      <c r="E12">
        <v>55000</v>
      </c>
      <c r="F12">
        <v>39.1</v>
      </c>
      <c r="G12">
        <v>156.41</v>
      </c>
    </row>
    <row r="13" spans="1:7" x14ac:dyDescent="0.25">
      <c r="A13" t="s">
        <v>2724</v>
      </c>
      <c r="B13">
        <v>1</v>
      </c>
      <c r="C13">
        <v>250</v>
      </c>
      <c r="D13">
        <v>1625.47</v>
      </c>
      <c r="E13">
        <v>331300</v>
      </c>
      <c r="F13">
        <v>406.41</v>
      </c>
      <c r="G13">
        <v>1697.87</v>
      </c>
    </row>
    <row r="14" spans="1:7" x14ac:dyDescent="0.25">
      <c r="A14" t="s">
        <v>2725</v>
      </c>
      <c r="B14">
        <v>1</v>
      </c>
      <c r="C14">
        <v>250</v>
      </c>
      <c r="D14">
        <v>53.66</v>
      </c>
      <c r="E14">
        <v>31400</v>
      </c>
      <c r="F14">
        <v>13.41</v>
      </c>
      <c r="G14">
        <v>55.2</v>
      </c>
    </row>
    <row r="15" spans="1:7" x14ac:dyDescent="0.25">
      <c r="A15" t="s">
        <v>2725</v>
      </c>
      <c r="B15">
        <v>1</v>
      </c>
      <c r="C15">
        <v>250</v>
      </c>
      <c r="D15">
        <v>1714.14</v>
      </c>
      <c r="E15">
        <v>315000</v>
      </c>
      <c r="F15">
        <v>428.56</v>
      </c>
      <c r="G15">
        <v>2216.13</v>
      </c>
    </row>
    <row r="16" spans="1:7" x14ac:dyDescent="0.25">
      <c r="A16" t="s">
        <v>2726</v>
      </c>
      <c r="B16">
        <v>1</v>
      </c>
      <c r="C16">
        <v>100</v>
      </c>
      <c r="D16">
        <v>0.59</v>
      </c>
      <c r="E16">
        <v>3515.1</v>
      </c>
      <c r="F16">
        <v>0.06</v>
      </c>
      <c r="G16">
        <v>0.59</v>
      </c>
    </row>
    <row r="17" spans="1:7" x14ac:dyDescent="0.25">
      <c r="A17" t="s">
        <v>2726</v>
      </c>
      <c r="B17">
        <v>1</v>
      </c>
      <c r="C17">
        <v>250</v>
      </c>
      <c r="D17">
        <v>30.78</v>
      </c>
      <c r="E17">
        <v>22800</v>
      </c>
      <c r="F17">
        <v>7.7</v>
      </c>
      <c r="G17">
        <v>32.4</v>
      </c>
    </row>
    <row r="18" spans="1:7" x14ac:dyDescent="0.25">
      <c r="A18" t="s">
        <v>2726</v>
      </c>
      <c r="B18">
        <v>1</v>
      </c>
      <c r="C18">
        <v>250</v>
      </c>
      <c r="D18">
        <v>1719.6</v>
      </c>
      <c r="E18">
        <v>304300</v>
      </c>
      <c r="F18">
        <v>429.97</v>
      </c>
      <c r="G18">
        <v>2233.5500000000002</v>
      </c>
    </row>
    <row r="19" spans="1:7" x14ac:dyDescent="0.25">
      <c r="A19" t="s">
        <v>2727</v>
      </c>
      <c r="B19">
        <v>1</v>
      </c>
      <c r="C19">
        <v>250</v>
      </c>
      <c r="D19">
        <v>103.8</v>
      </c>
      <c r="E19">
        <v>46600</v>
      </c>
      <c r="F19">
        <v>25.95</v>
      </c>
      <c r="G19">
        <v>103.8</v>
      </c>
    </row>
    <row r="20" spans="1:7" x14ac:dyDescent="0.25">
      <c r="A20" t="s">
        <v>2727</v>
      </c>
      <c r="B20">
        <v>1</v>
      </c>
      <c r="C20">
        <v>250</v>
      </c>
      <c r="D20">
        <v>134.26</v>
      </c>
      <c r="E20">
        <v>47600</v>
      </c>
      <c r="F20">
        <v>34.17</v>
      </c>
      <c r="G20">
        <v>141.25</v>
      </c>
    </row>
    <row r="21" spans="1:7" x14ac:dyDescent="0.25">
      <c r="A21" t="s">
        <v>2727</v>
      </c>
      <c r="B21">
        <v>1</v>
      </c>
      <c r="C21">
        <v>250</v>
      </c>
      <c r="D21">
        <v>155.65</v>
      </c>
      <c r="E21">
        <v>52000</v>
      </c>
      <c r="F21">
        <v>39.22</v>
      </c>
      <c r="G21">
        <v>161.85</v>
      </c>
    </row>
    <row r="22" spans="1:7" x14ac:dyDescent="0.25">
      <c r="A22" t="s">
        <v>2727</v>
      </c>
      <c r="B22">
        <v>1</v>
      </c>
      <c r="C22">
        <v>250</v>
      </c>
      <c r="D22">
        <v>370.38</v>
      </c>
      <c r="E22">
        <v>92200</v>
      </c>
      <c r="F22">
        <v>92.6</v>
      </c>
      <c r="G22">
        <v>387.58</v>
      </c>
    </row>
    <row r="23" spans="1:7" x14ac:dyDescent="0.25">
      <c r="A23" t="s">
        <v>2727</v>
      </c>
      <c r="B23">
        <v>1</v>
      </c>
      <c r="C23">
        <v>250</v>
      </c>
      <c r="D23">
        <v>877.1</v>
      </c>
      <c r="E23">
        <v>217400</v>
      </c>
      <c r="F23">
        <v>219.27</v>
      </c>
      <c r="G23">
        <v>920.45</v>
      </c>
    </row>
    <row r="24" spans="1:7" x14ac:dyDescent="0.25">
      <c r="A24" t="s">
        <v>2727</v>
      </c>
      <c r="B24">
        <v>2</v>
      </c>
      <c r="C24">
        <v>250</v>
      </c>
      <c r="D24">
        <v>154.69999999999999</v>
      </c>
      <c r="E24">
        <v>76000</v>
      </c>
      <c r="F24">
        <v>38.68</v>
      </c>
      <c r="G24">
        <v>162.5</v>
      </c>
    </row>
    <row r="25" spans="1:7" x14ac:dyDescent="0.25">
      <c r="A25" t="s">
        <v>2728</v>
      </c>
      <c r="B25">
        <v>1</v>
      </c>
      <c r="C25">
        <v>250</v>
      </c>
      <c r="D25">
        <v>629.84</v>
      </c>
      <c r="E25">
        <v>132000</v>
      </c>
      <c r="F25">
        <v>158.91</v>
      </c>
      <c r="G25">
        <v>649.79</v>
      </c>
    </row>
    <row r="26" spans="1:7" x14ac:dyDescent="0.25">
      <c r="A26" t="s">
        <v>2728</v>
      </c>
      <c r="B26">
        <v>1</v>
      </c>
      <c r="C26">
        <v>250</v>
      </c>
      <c r="D26">
        <v>1222.6600000000001</v>
      </c>
      <c r="E26">
        <v>225200</v>
      </c>
      <c r="F26">
        <v>305.52</v>
      </c>
      <c r="G26">
        <v>1260.01</v>
      </c>
    </row>
    <row r="27" spans="1:7" x14ac:dyDescent="0.25">
      <c r="A27" t="s">
        <v>2729</v>
      </c>
      <c r="B27">
        <v>1</v>
      </c>
      <c r="C27">
        <v>250</v>
      </c>
      <c r="D27">
        <v>1240.1400000000001</v>
      </c>
      <c r="E27">
        <v>212000</v>
      </c>
      <c r="F27">
        <v>310.02999999999997</v>
      </c>
      <c r="G27">
        <v>1288.75</v>
      </c>
    </row>
    <row r="28" spans="1:7" x14ac:dyDescent="0.25">
      <c r="A28" t="s">
        <v>2730</v>
      </c>
      <c r="B28">
        <v>1</v>
      </c>
      <c r="C28">
        <v>1000</v>
      </c>
      <c r="D28">
        <v>2504.7399999999998</v>
      </c>
      <c r="E28">
        <v>235031.2</v>
      </c>
      <c r="F28">
        <v>2504.7399999999998</v>
      </c>
      <c r="G28">
        <v>2505.2399999999998</v>
      </c>
    </row>
    <row r="29" spans="1:7" x14ac:dyDescent="0.25">
      <c r="A29" t="s">
        <v>2730</v>
      </c>
      <c r="B29">
        <v>2</v>
      </c>
      <c r="C29">
        <v>500</v>
      </c>
      <c r="D29">
        <v>27.46</v>
      </c>
      <c r="E29">
        <v>29800</v>
      </c>
      <c r="F29">
        <v>13.74</v>
      </c>
      <c r="G29">
        <v>27.46</v>
      </c>
    </row>
    <row r="30" spans="1:7" x14ac:dyDescent="0.25">
      <c r="D30" t="s">
        <v>2731</v>
      </c>
      <c r="G30" t="s">
        <v>2732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>
    <tabColor rgb="FF000000" tint="1"/>
  </sheetPr>
  <dimension ref="A1:O1000"/>
  <sheetViews>
    <sheetView topLeftCell="A106" workbookViewId="0">
      <selection activeCell="C31" sqref="C31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6" t="s">
        <v>2459</v>
      </c>
      <c r="B1" s="6" t="s">
        <v>2460</v>
      </c>
      <c r="C1" s="6" t="s">
        <v>2461</v>
      </c>
      <c r="D1" s="6" t="s">
        <v>2369</v>
      </c>
      <c r="E1" s="7" t="s">
        <v>2462</v>
      </c>
      <c r="F1" s="7" t="s">
        <v>2463</v>
      </c>
      <c r="G1" s="7" t="s">
        <v>2464</v>
      </c>
      <c r="H1" s="7" t="s">
        <v>2465</v>
      </c>
      <c r="I1" s="7" t="s">
        <v>2466</v>
      </c>
      <c r="J1" s="7" t="s">
        <v>2467</v>
      </c>
      <c r="K1" s="7" t="s">
        <v>2468</v>
      </c>
      <c r="L1" s="7" t="s">
        <v>2469</v>
      </c>
      <c r="M1" s="7" t="s">
        <v>2470</v>
      </c>
      <c r="N1" s="7" t="s">
        <v>2471</v>
      </c>
      <c r="O1" s="7" t="s">
        <v>2472</v>
      </c>
    </row>
    <row r="2" spans="1:15" ht="15.95" customHeight="1" x14ac:dyDescent="0.25">
      <c r="A2" s="8">
        <v>43496.02621527778</v>
      </c>
      <c r="B2" s="5" t="s">
        <v>2405</v>
      </c>
      <c r="C2" s="5" t="s">
        <v>2406</v>
      </c>
      <c r="D2" s="5" t="s">
        <v>2433</v>
      </c>
      <c r="E2" s="5">
        <v>0</v>
      </c>
      <c r="F2" s="5">
        <v>3.32</v>
      </c>
      <c r="G2" s="5">
        <v>3.8</v>
      </c>
      <c r="H2" s="5">
        <v>3.9</v>
      </c>
      <c r="I2" s="5">
        <v>1</v>
      </c>
      <c r="J2" s="5" t="b">
        <v>0</v>
      </c>
      <c r="K2" s="5" t="b">
        <v>0</v>
      </c>
      <c r="L2" s="5" t="b">
        <v>0</v>
      </c>
      <c r="M2" s="5" t="b">
        <v>0</v>
      </c>
      <c r="N2" s="5" t="b">
        <v>1</v>
      </c>
      <c r="O2" s="5" t="b">
        <v>0</v>
      </c>
    </row>
    <row r="3" spans="1:15" ht="15.95" customHeight="1" x14ac:dyDescent="0.25">
      <c r="A3" s="8">
        <v>43496.026226851849</v>
      </c>
      <c r="B3" s="5" t="s">
        <v>2405</v>
      </c>
      <c r="C3" s="5" t="s">
        <v>2406</v>
      </c>
      <c r="D3" s="5" t="s">
        <v>2407</v>
      </c>
      <c r="E3" s="5" t="s">
        <v>2404</v>
      </c>
      <c r="F3" s="5">
        <v>3.32</v>
      </c>
      <c r="G3" s="5">
        <v>3.8</v>
      </c>
      <c r="H3" s="5">
        <v>3.9</v>
      </c>
      <c r="I3" s="5">
        <v>1</v>
      </c>
      <c r="J3" s="5" t="b">
        <v>0</v>
      </c>
      <c r="K3" s="5" t="b">
        <v>0</v>
      </c>
      <c r="L3" s="5" t="b">
        <v>0</v>
      </c>
      <c r="M3" s="5" t="b">
        <v>0</v>
      </c>
      <c r="N3" s="5" t="b">
        <v>1</v>
      </c>
      <c r="O3" s="5" t="b">
        <v>0</v>
      </c>
    </row>
    <row r="4" spans="1:15" ht="15.95" customHeight="1" x14ac:dyDescent="0.25">
      <c r="A4" s="8">
        <v>43496.026250000003</v>
      </c>
      <c r="B4" s="5" t="s">
        <v>2405</v>
      </c>
      <c r="C4" s="5" t="s">
        <v>2406</v>
      </c>
      <c r="D4" s="5" t="s">
        <v>2433</v>
      </c>
      <c r="E4" s="5">
        <v>0</v>
      </c>
      <c r="F4" s="5">
        <v>3.32</v>
      </c>
      <c r="G4" s="5">
        <v>3.8</v>
      </c>
      <c r="H4" s="5">
        <v>3.9</v>
      </c>
      <c r="I4" s="5">
        <v>1</v>
      </c>
      <c r="J4" s="5" t="b">
        <v>0</v>
      </c>
      <c r="K4" s="5" t="b">
        <v>0</v>
      </c>
      <c r="L4" s="5" t="b">
        <v>0</v>
      </c>
      <c r="M4" s="5" t="b">
        <v>0</v>
      </c>
      <c r="N4" s="5" t="b">
        <v>1</v>
      </c>
      <c r="O4" s="5" t="b">
        <v>0</v>
      </c>
    </row>
    <row r="5" spans="1:15" ht="15.95" customHeight="1" x14ac:dyDescent="0.25">
      <c r="A5" s="8">
        <v>43496.026261574072</v>
      </c>
      <c r="B5" s="5" t="s">
        <v>2405</v>
      </c>
      <c r="C5" s="5" t="s">
        <v>2406</v>
      </c>
      <c r="D5" s="5" t="s">
        <v>2407</v>
      </c>
      <c r="E5" s="5" t="s">
        <v>2404</v>
      </c>
      <c r="F5" s="5">
        <v>3.32</v>
      </c>
      <c r="G5" s="5">
        <v>3.8</v>
      </c>
      <c r="H5" s="5">
        <v>3.9</v>
      </c>
      <c r="I5" s="5">
        <v>1</v>
      </c>
      <c r="J5" s="5" t="b">
        <v>0</v>
      </c>
      <c r="K5" s="5" t="b">
        <v>0</v>
      </c>
      <c r="L5" s="5" t="b">
        <v>0</v>
      </c>
      <c r="M5" s="5" t="b">
        <v>0</v>
      </c>
      <c r="N5" s="5" t="b">
        <v>1</v>
      </c>
      <c r="O5" s="5" t="b">
        <v>0</v>
      </c>
    </row>
    <row r="6" spans="1:15" ht="15.95" customHeight="1" x14ac:dyDescent="0.25">
      <c r="A6" s="8">
        <v>43496.026284722226</v>
      </c>
      <c r="B6" s="5" t="s">
        <v>2405</v>
      </c>
      <c r="C6" s="5" t="s">
        <v>2406</v>
      </c>
      <c r="D6" s="5" t="s">
        <v>2433</v>
      </c>
      <c r="E6" s="5">
        <v>0</v>
      </c>
      <c r="F6" s="5">
        <v>3.32</v>
      </c>
      <c r="G6" s="5">
        <v>3.8</v>
      </c>
      <c r="H6" s="5">
        <v>3.9</v>
      </c>
      <c r="I6" s="5">
        <v>1</v>
      </c>
      <c r="J6" s="5" t="b">
        <v>0</v>
      </c>
      <c r="K6" s="5" t="b">
        <v>0</v>
      </c>
      <c r="L6" s="5" t="b">
        <v>0</v>
      </c>
      <c r="M6" s="5" t="b">
        <v>0</v>
      </c>
      <c r="N6" s="5" t="b">
        <v>1</v>
      </c>
      <c r="O6" s="5" t="b">
        <v>0</v>
      </c>
    </row>
    <row r="7" spans="1:15" ht="15.95" customHeight="1" x14ac:dyDescent="0.25">
      <c r="A7" s="8">
        <v>43496.026296296295</v>
      </c>
      <c r="B7" s="5" t="s">
        <v>2405</v>
      </c>
      <c r="C7" s="5" t="s">
        <v>2406</v>
      </c>
      <c r="D7" s="5" t="s">
        <v>2407</v>
      </c>
      <c r="E7" s="5" t="s">
        <v>2404</v>
      </c>
      <c r="F7" s="5">
        <v>3.32</v>
      </c>
      <c r="G7" s="5">
        <v>3.8</v>
      </c>
      <c r="H7" s="5">
        <v>3.9</v>
      </c>
      <c r="I7" s="5">
        <v>1</v>
      </c>
      <c r="J7" s="5" t="b">
        <v>0</v>
      </c>
      <c r="K7" s="5" t="b">
        <v>0</v>
      </c>
      <c r="L7" s="5" t="b">
        <v>0</v>
      </c>
      <c r="M7" s="5" t="b">
        <v>0</v>
      </c>
      <c r="N7" s="5" t="b">
        <v>1</v>
      </c>
      <c r="O7" s="5" t="b">
        <v>0</v>
      </c>
    </row>
    <row r="8" spans="1:15" ht="15.95" customHeight="1" x14ac:dyDescent="0.25">
      <c r="A8" s="8">
        <v>43496.026307870372</v>
      </c>
      <c r="B8" s="5" t="s">
        <v>2405</v>
      </c>
      <c r="C8" s="5" t="s">
        <v>2406</v>
      </c>
      <c r="D8" s="5" t="s">
        <v>2433</v>
      </c>
      <c r="E8" s="5">
        <v>0</v>
      </c>
      <c r="F8" s="5">
        <v>3.32</v>
      </c>
      <c r="G8" s="5">
        <v>3.8</v>
      </c>
      <c r="H8" s="5">
        <v>3.9</v>
      </c>
      <c r="I8" s="5">
        <v>1</v>
      </c>
      <c r="J8" s="5" t="b">
        <v>0</v>
      </c>
      <c r="K8" s="5" t="b">
        <v>0</v>
      </c>
      <c r="L8" s="5" t="b">
        <v>0</v>
      </c>
      <c r="M8" s="5" t="b">
        <v>0</v>
      </c>
      <c r="N8" s="5" t="b">
        <v>1</v>
      </c>
      <c r="O8" s="5" t="b">
        <v>0</v>
      </c>
    </row>
    <row r="9" spans="1:15" ht="15.95" customHeight="1" x14ac:dyDescent="0.25">
      <c r="A9" s="8">
        <v>43496.026319444441</v>
      </c>
      <c r="B9" s="5" t="s">
        <v>2405</v>
      </c>
      <c r="C9" s="5" t="s">
        <v>2406</v>
      </c>
      <c r="D9" s="5" t="s">
        <v>2407</v>
      </c>
      <c r="E9" s="5" t="s">
        <v>2404</v>
      </c>
      <c r="F9" s="5">
        <v>3.32</v>
      </c>
      <c r="G9" s="5">
        <v>3.8</v>
      </c>
      <c r="H9" s="5">
        <v>3.9</v>
      </c>
      <c r="I9" s="5">
        <v>1</v>
      </c>
      <c r="J9" s="5" t="b">
        <v>0</v>
      </c>
      <c r="K9" s="5" t="b">
        <v>0</v>
      </c>
      <c r="L9" s="5" t="b">
        <v>0</v>
      </c>
      <c r="M9" s="5" t="b">
        <v>0</v>
      </c>
      <c r="N9" s="5" t="b">
        <v>1</v>
      </c>
      <c r="O9" s="5" t="b">
        <v>0</v>
      </c>
    </row>
    <row r="10" spans="1:15" ht="15.95" customHeight="1" x14ac:dyDescent="0.25">
      <c r="A10" s="8">
        <v>43496.026342592595</v>
      </c>
      <c r="B10" s="5" t="s">
        <v>2405</v>
      </c>
      <c r="C10" s="5" t="s">
        <v>2406</v>
      </c>
      <c r="D10" s="5" t="s">
        <v>2433</v>
      </c>
      <c r="E10" s="5">
        <v>0</v>
      </c>
      <c r="F10" s="5">
        <v>3.32</v>
      </c>
      <c r="G10" s="5">
        <v>3.8</v>
      </c>
      <c r="H10" s="5">
        <v>3.9</v>
      </c>
      <c r="I10" s="5">
        <v>1</v>
      </c>
      <c r="J10" s="5" t="b">
        <v>0</v>
      </c>
      <c r="K10" s="5" t="b">
        <v>0</v>
      </c>
      <c r="L10" s="5" t="b">
        <v>0</v>
      </c>
      <c r="M10" s="5" t="b">
        <v>0</v>
      </c>
      <c r="N10" s="5" t="b">
        <v>1</v>
      </c>
      <c r="O10" s="5" t="b">
        <v>0</v>
      </c>
    </row>
    <row r="11" spans="1:15" ht="15.95" customHeight="1" x14ac:dyDescent="0.25">
      <c r="A11" s="8">
        <v>43496.026342592595</v>
      </c>
      <c r="B11" s="5" t="s">
        <v>2405</v>
      </c>
      <c r="C11" s="5" t="s">
        <v>2406</v>
      </c>
      <c r="D11" s="5" t="s">
        <v>2407</v>
      </c>
      <c r="E11" s="5" t="s">
        <v>2404</v>
      </c>
      <c r="F11" s="5">
        <v>3.32</v>
      </c>
      <c r="G11" s="5">
        <v>3.8</v>
      </c>
      <c r="H11" s="5">
        <v>3.9</v>
      </c>
      <c r="I11" s="5">
        <v>1</v>
      </c>
      <c r="J11" s="5" t="b">
        <v>0</v>
      </c>
      <c r="K11" s="5" t="b">
        <v>0</v>
      </c>
      <c r="L11" s="5" t="b">
        <v>0</v>
      </c>
      <c r="M11" s="5" t="b">
        <v>0</v>
      </c>
      <c r="N11" s="5" t="b">
        <v>1</v>
      </c>
      <c r="O11" s="5" t="b">
        <v>0</v>
      </c>
    </row>
    <row r="12" spans="1:15" ht="15.95" customHeight="1" x14ac:dyDescent="0.25">
      <c r="A12" s="8">
        <v>43496.026365740741</v>
      </c>
      <c r="B12" s="5" t="s">
        <v>2405</v>
      </c>
      <c r="C12" s="5" t="s">
        <v>2406</v>
      </c>
      <c r="D12" s="5" t="s">
        <v>2433</v>
      </c>
      <c r="E12" s="5">
        <v>0</v>
      </c>
      <c r="F12" s="5">
        <v>3.32</v>
      </c>
      <c r="G12" s="5">
        <v>3.8</v>
      </c>
      <c r="H12" s="5">
        <v>3.9</v>
      </c>
      <c r="I12" s="5">
        <v>1</v>
      </c>
      <c r="J12" s="5" t="b">
        <v>0</v>
      </c>
      <c r="K12" s="5" t="b">
        <v>0</v>
      </c>
      <c r="L12" s="5" t="b">
        <v>0</v>
      </c>
      <c r="M12" s="5" t="b">
        <v>0</v>
      </c>
      <c r="N12" s="5" t="b">
        <v>1</v>
      </c>
      <c r="O12" s="5" t="b">
        <v>0</v>
      </c>
    </row>
    <row r="13" spans="1:15" ht="15.95" customHeight="1" x14ac:dyDescent="0.25">
      <c r="A13" s="8">
        <v>43496.026377314818</v>
      </c>
      <c r="B13" s="5" t="s">
        <v>2405</v>
      </c>
      <c r="C13" s="5" t="s">
        <v>2406</v>
      </c>
      <c r="D13" s="5" t="s">
        <v>2407</v>
      </c>
      <c r="E13" s="5" t="s">
        <v>2404</v>
      </c>
      <c r="F13" s="5">
        <v>3.32</v>
      </c>
      <c r="G13" s="5">
        <v>3.8</v>
      </c>
      <c r="H13" s="5">
        <v>3.9</v>
      </c>
      <c r="I13" s="5">
        <v>1</v>
      </c>
      <c r="J13" s="5" t="b">
        <v>0</v>
      </c>
      <c r="K13" s="5" t="b">
        <v>0</v>
      </c>
      <c r="L13" s="5" t="b">
        <v>0</v>
      </c>
      <c r="M13" s="5" t="b">
        <v>0</v>
      </c>
      <c r="N13" s="5" t="b">
        <v>1</v>
      </c>
      <c r="O13" s="5" t="b">
        <v>0</v>
      </c>
    </row>
    <row r="14" spans="1:15" ht="15.95" customHeight="1" x14ac:dyDescent="0.25">
      <c r="A14" s="8">
        <v>43496.026388888888</v>
      </c>
      <c r="B14" s="5" t="s">
        <v>2405</v>
      </c>
      <c r="C14" s="5" t="s">
        <v>2406</v>
      </c>
      <c r="D14" s="5" t="s">
        <v>2433</v>
      </c>
      <c r="E14" s="5">
        <v>0</v>
      </c>
      <c r="F14" s="5">
        <v>3.32</v>
      </c>
      <c r="G14" s="5">
        <v>3.8</v>
      </c>
      <c r="H14" s="5">
        <v>3.9</v>
      </c>
      <c r="I14" s="5">
        <v>1</v>
      </c>
      <c r="J14" s="5" t="b">
        <v>0</v>
      </c>
      <c r="K14" s="5" t="b">
        <v>0</v>
      </c>
      <c r="L14" s="5" t="b">
        <v>0</v>
      </c>
      <c r="M14" s="5" t="b">
        <v>0</v>
      </c>
      <c r="N14" s="5" t="b">
        <v>1</v>
      </c>
      <c r="O14" s="5" t="b">
        <v>0</v>
      </c>
    </row>
    <row r="15" spans="1:15" ht="15.95" customHeight="1" x14ac:dyDescent="0.25">
      <c r="A15" s="8">
        <v>43496.026400462964</v>
      </c>
      <c r="B15" s="5" t="s">
        <v>2405</v>
      </c>
      <c r="C15" s="5" t="s">
        <v>2406</v>
      </c>
      <c r="D15" s="5" t="s">
        <v>2407</v>
      </c>
      <c r="E15" s="5" t="s">
        <v>2404</v>
      </c>
      <c r="F15" s="5">
        <v>3.32</v>
      </c>
      <c r="G15" s="5">
        <v>3.8</v>
      </c>
      <c r="H15" s="5">
        <v>3.9</v>
      </c>
      <c r="I15" s="5">
        <v>1</v>
      </c>
      <c r="J15" s="5" t="b">
        <v>0</v>
      </c>
      <c r="K15" s="5" t="b">
        <v>0</v>
      </c>
      <c r="L15" s="5" t="b">
        <v>0</v>
      </c>
      <c r="M15" s="5" t="b">
        <v>0</v>
      </c>
      <c r="N15" s="5" t="b">
        <v>1</v>
      </c>
      <c r="O15" s="5" t="b">
        <v>0</v>
      </c>
    </row>
    <row r="16" spans="1:15" ht="15.95" customHeight="1" x14ac:dyDescent="0.25">
      <c r="A16" s="8">
        <v>43496.026412037034</v>
      </c>
      <c r="B16" s="5" t="s">
        <v>2405</v>
      </c>
      <c r="C16" s="5" t="s">
        <v>2406</v>
      </c>
      <c r="D16" s="5" t="s">
        <v>2433</v>
      </c>
      <c r="E16" s="5">
        <v>0</v>
      </c>
      <c r="F16" s="5">
        <v>3.32</v>
      </c>
      <c r="G16" s="5">
        <v>3.8</v>
      </c>
      <c r="H16" s="5">
        <v>3.9</v>
      </c>
      <c r="I16" s="5">
        <v>1</v>
      </c>
      <c r="J16" s="5" t="b">
        <v>0</v>
      </c>
      <c r="K16" s="5" t="b">
        <v>0</v>
      </c>
      <c r="L16" s="5" t="b">
        <v>0</v>
      </c>
      <c r="M16" s="5" t="b">
        <v>0</v>
      </c>
      <c r="N16" s="5" t="b">
        <v>1</v>
      </c>
      <c r="O16" s="5" t="b">
        <v>0</v>
      </c>
    </row>
    <row r="17" spans="1:15" ht="15.95" customHeight="1" x14ac:dyDescent="0.25">
      <c r="A17" s="8">
        <v>43496.026423611111</v>
      </c>
      <c r="B17" s="5" t="s">
        <v>2405</v>
      </c>
      <c r="C17" s="5" t="s">
        <v>2406</v>
      </c>
      <c r="D17" s="5" t="s">
        <v>2407</v>
      </c>
      <c r="E17" s="5" t="s">
        <v>2404</v>
      </c>
      <c r="F17" s="5">
        <v>3.32</v>
      </c>
      <c r="G17" s="5">
        <v>3.8</v>
      </c>
      <c r="H17" s="5">
        <v>3.9</v>
      </c>
      <c r="I17" s="5">
        <v>1</v>
      </c>
      <c r="J17" s="5" t="b">
        <v>0</v>
      </c>
      <c r="K17" s="5" t="b">
        <v>0</v>
      </c>
      <c r="L17" s="5" t="b">
        <v>0</v>
      </c>
      <c r="M17" s="5" t="b">
        <v>0</v>
      </c>
      <c r="N17" s="5" t="b">
        <v>1</v>
      </c>
      <c r="O17" s="5" t="b">
        <v>0</v>
      </c>
    </row>
    <row r="18" spans="1:15" ht="15.95" customHeight="1" x14ac:dyDescent="0.25">
      <c r="A18" s="8">
        <v>43496.026435185187</v>
      </c>
      <c r="B18" s="5" t="s">
        <v>2405</v>
      </c>
      <c r="C18" s="5" t="s">
        <v>2406</v>
      </c>
      <c r="D18" s="5" t="s">
        <v>2433</v>
      </c>
      <c r="E18" s="5">
        <v>0</v>
      </c>
      <c r="F18" s="5">
        <v>3.32</v>
      </c>
      <c r="G18" s="5">
        <v>3.8</v>
      </c>
      <c r="H18" s="5">
        <v>3.9</v>
      </c>
      <c r="I18" s="5">
        <v>1</v>
      </c>
      <c r="J18" s="5" t="b">
        <v>0</v>
      </c>
      <c r="K18" s="5" t="b">
        <v>0</v>
      </c>
      <c r="L18" s="5" t="b">
        <v>0</v>
      </c>
      <c r="M18" s="5" t="b">
        <v>0</v>
      </c>
      <c r="N18" s="5" t="b">
        <v>1</v>
      </c>
      <c r="O18" s="5" t="b">
        <v>0</v>
      </c>
    </row>
    <row r="19" spans="1:15" ht="15.95" customHeight="1" x14ac:dyDescent="0.25">
      <c r="A19" s="8">
        <v>43496.026435185187</v>
      </c>
      <c r="B19" s="5" t="s">
        <v>2405</v>
      </c>
      <c r="C19" s="5" t="s">
        <v>2406</v>
      </c>
      <c r="D19" s="5" t="s">
        <v>2407</v>
      </c>
      <c r="E19" s="5" t="s">
        <v>2404</v>
      </c>
      <c r="F19" s="5">
        <v>3.32</v>
      </c>
      <c r="G19" s="5">
        <v>3.8</v>
      </c>
      <c r="H19" s="5">
        <v>3.9</v>
      </c>
      <c r="I19" s="5">
        <v>1</v>
      </c>
      <c r="J19" s="5" t="b">
        <v>0</v>
      </c>
      <c r="K19" s="5" t="b">
        <v>0</v>
      </c>
      <c r="L19" s="5" t="b">
        <v>0</v>
      </c>
      <c r="M19" s="5" t="b">
        <v>0</v>
      </c>
      <c r="N19" s="5" t="b">
        <v>1</v>
      </c>
      <c r="O19" s="5" t="b">
        <v>0</v>
      </c>
    </row>
    <row r="20" spans="1:15" ht="15.95" customHeight="1" x14ac:dyDescent="0.25">
      <c r="A20" s="8">
        <v>43496.039351851854</v>
      </c>
      <c r="B20" s="5" t="s">
        <v>2405</v>
      </c>
      <c r="C20" s="5" t="s">
        <v>2406</v>
      </c>
      <c r="D20" s="5" t="s">
        <v>2433</v>
      </c>
      <c r="E20" s="5">
        <v>0</v>
      </c>
      <c r="F20" s="5">
        <v>3.32</v>
      </c>
      <c r="G20" s="5">
        <v>3.8</v>
      </c>
      <c r="H20" s="5">
        <v>3.9</v>
      </c>
      <c r="I20" s="5">
        <v>1</v>
      </c>
      <c r="J20" s="5" t="b">
        <v>0</v>
      </c>
      <c r="K20" s="5" t="b">
        <v>0</v>
      </c>
      <c r="L20" s="5" t="b">
        <v>0</v>
      </c>
      <c r="M20" s="5" t="b">
        <v>0</v>
      </c>
      <c r="N20" s="5" t="b">
        <v>1</v>
      </c>
      <c r="O20" s="5" t="b">
        <v>0</v>
      </c>
    </row>
    <row r="21" spans="1:15" ht="15.95" customHeight="1" x14ac:dyDescent="0.25">
      <c r="A21" s="8">
        <v>43496.039363425924</v>
      </c>
      <c r="B21" s="5" t="s">
        <v>2405</v>
      </c>
      <c r="C21" s="5" t="s">
        <v>2406</v>
      </c>
      <c r="D21" s="5" t="s">
        <v>2407</v>
      </c>
      <c r="E21" s="5" t="s">
        <v>2404</v>
      </c>
      <c r="F21" s="5">
        <v>3.32</v>
      </c>
      <c r="G21" s="5">
        <v>3.8</v>
      </c>
      <c r="H21" s="5">
        <v>3.9</v>
      </c>
      <c r="I21" s="5">
        <v>1</v>
      </c>
      <c r="J21" s="5" t="b">
        <v>0</v>
      </c>
      <c r="K21" s="5" t="b">
        <v>0</v>
      </c>
      <c r="L21" s="5" t="b">
        <v>0</v>
      </c>
      <c r="M21" s="5" t="b">
        <v>0</v>
      </c>
      <c r="N21" s="5" t="b">
        <v>1</v>
      </c>
      <c r="O21" s="5" t="b">
        <v>0</v>
      </c>
    </row>
    <row r="22" spans="1:15" ht="15.95" customHeight="1" x14ac:dyDescent="0.25">
      <c r="A22" s="8">
        <v>43496.039386574077</v>
      </c>
      <c r="B22" s="5" t="s">
        <v>2405</v>
      </c>
      <c r="C22" s="5" t="s">
        <v>2406</v>
      </c>
      <c r="D22" s="5" t="s">
        <v>2433</v>
      </c>
      <c r="E22" s="5">
        <v>0</v>
      </c>
      <c r="F22" s="5">
        <v>3.32</v>
      </c>
      <c r="G22" s="5">
        <v>3.8</v>
      </c>
      <c r="H22" s="5">
        <v>3.9</v>
      </c>
      <c r="I22" s="5">
        <v>1</v>
      </c>
      <c r="J22" s="5" t="b">
        <v>0</v>
      </c>
      <c r="K22" s="5" t="b">
        <v>0</v>
      </c>
      <c r="L22" s="5" t="b">
        <v>0</v>
      </c>
      <c r="M22" s="5" t="b">
        <v>0</v>
      </c>
      <c r="N22" s="5" t="b">
        <v>1</v>
      </c>
      <c r="O22" s="5" t="b">
        <v>0</v>
      </c>
    </row>
    <row r="23" spans="1:15" ht="15.95" customHeight="1" x14ac:dyDescent="0.25">
      <c r="A23" s="8">
        <v>43496.039398148147</v>
      </c>
      <c r="B23" s="5" t="s">
        <v>2405</v>
      </c>
      <c r="C23" s="5" t="s">
        <v>2406</v>
      </c>
      <c r="D23" s="5" t="s">
        <v>2407</v>
      </c>
      <c r="E23" s="5" t="s">
        <v>2404</v>
      </c>
      <c r="F23" s="5">
        <v>3.32</v>
      </c>
      <c r="G23" s="5">
        <v>3.8</v>
      </c>
      <c r="H23" s="5">
        <v>3.9</v>
      </c>
      <c r="I23" s="5">
        <v>1</v>
      </c>
      <c r="J23" s="5" t="b">
        <v>0</v>
      </c>
      <c r="K23" s="5" t="b">
        <v>0</v>
      </c>
      <c r="L23" s="5" t="b">
        <v>0</v>
      </c>
      <c r="M23" s="5" t="b">
        <v>0</v>
      </c>
      <c r="N23" s="5" t="b">
        <v>1</v>
      </c>
      <c r="O23" s="5" t="b">
        <v>0</v>
      </c>
    </row>
    <row r="24" spans="1:15" ht="15.95" customHeight="1" x14ac:dyDescent="0.25">
      <c r="A24" s="8">
        <v>43496.039421296293</v>
      </c>
      <c r="B24" s="5" t="s">
        <v>2405</v>
      </c>
      <c r="C24" s="5" t="s">
        <v>2406</v>
      </c>
      <c r="D24" s="5" t="s">
        <v>2433</v>
      </c>
      <c r="E24" s="5">
        <v>0</v>
      </c>
      <c r="F24" s="5">
        <v>3.32</v>
      </c>
      <c r="G24" s="5">
        <v>3.8</v>
      </c>
      <c r="H24" s="5">
        <v>3.9</v>
      </c>
      <c r="I24" s="5">
        <v>1</v>
      </c>
      <c r="J24" s="5" t="b">
        <v>0</v>
      </c>
      <c r="K24" s="5" t="b">
        <v>0</v>
      </c>
      <c r="L24" s="5" t="b">
        <v>0</v>
      </c>
      <c r="M24" s="5" t="b">
        <v>0</v>
      </c>
      <c r="N24" s="5" t="b">
        <v>1</v>
      </c>
      <c r="O24" s="5" t="b">
        <v>0</v>
      </c>
    </row>
    <row r="25" spans="1:15" ht="15.95" customHeight="1" x14ac:dyDescent="0.25">
      <c r="A25" s="8">
        <v>43496.039421296293</v>
      </c>
      <c r="B25" s="5" t="s">
        <v>2405</v>
      </c>
      <c r="C25" s="5" t="s">
        <v>2406</v>
      </c>
      <c r="D25" s="5" t="s">
        <v>2407</v>
      </c>
      <c r="E25" s="5" t="s">
        <v>2404</v>
      </c>
      <c r="F25" s="5">
        <v>3.32</v>
      </c>
      <c r="G25" s="5">
        <v>3.8</v>
      </c>
      <c r="H25" s="5">
        <v>3.9</v>
      </c>
      <c r="I25" s="5">
        <v>1</v>
      </c>
      <c r="J25" s="5" t="b">
        <v>0</v>
      </c>
      <c r="K25" s="5" t="b">
        <v>0</v>
      </c>
      <c r="L25" s="5" t="b">
        <v>0</v>
      </c>
      <c r="M25" s="5" t="b">
        <v>0</v>
      </c>
      <c r="N25" s="5" t="b">
        <v>1</v>
      </c>
      <c r="O25" s="5" t="b">
        <v>0</v>
      </c>
    </row>
    <row r="26" spans="1:15" ht="15.95" customHeight="1" x14ac:dyDescent="0.25">
      <c r="A26" s="8">
        <v>43496.039444444446</v>
      </c>
      <c r="B26" s="5" t="s">
        <v>2405</v>
      </c>
      <c r="C26" s="5" t="s">
        <v>2406</v>
      </c>
      <c r="D26" s="5" t="s">
        <v>2433</v>
      </c>
      <c r="E26" s="5">
        <v>0</v>
      </c>
      <c r="F26" s="5">
        <v>3.32</v>
      </c>
      <c r="G26" s="5">
        <v>3.8</v>
      </c>
      <c r="H26" s="5">
        <v>3.9</v>
      </c>
      <c r="I26" s="5">
        <v>1</v>
      </c>
      <c r="J26" s="5" t="b">
        <v>0</v>
      </c>
      <c r="K26" s="5" t="b">
        <v>0</v>
      </c>
      <c r="L26" s="5" t="b">
        <v>0</v>
      </c>
      <c r="M26" s="5" t="b">
        <v>0</v>
      </c>
      <c r="N26" s="5" t="b">
        <v>1</v>
      </c>
      <c r="O26" s="5" t="b">
        <v>0</v>
      </c>
    </row>
    <row r="27" spans="1:15" ht="15.95" customHeight="1" x14ac:dyDescent="0.25">
      <c r="A27" s="8">
        <v>43496.039456018516</v>
      </c>
      <c r="B27" s="5" t="s">
        <v>2405</v>
      </c>
      <c r="C27" s="5" t="s">
        <v>2406</v>
      </c>
      <c r="D27" s="5" t="s">
        <v>2407</v>
      </c>
      <c r="E27" s="5" t="s">
        <v>2404</v>
      </c>
      <c r="F27" s="5">
        <v>3.32</v>
      </c>
      <c r="G27" s="5">
        <v>3.8</v>
      </c>
      <c r="H27" s="5">
        <v>3.9</v>
      </c>
      <c r="I27" s="5">
        <v>1</v>
      </c>
      <c r="J27" s="5" t="b">
        <v>0</v>
      </c>
      <c r="K27" s="5" t="b">
        <v>0</v>
      </c>
      <c r="L27" s="5" t="b">
        <v>0</v>
      </c>
      <c r="M27" s="5" t="b">
        <v>0</v>
      </c>
      <c r="N27" s="5" t="b">
        <v>1</v>
      </c>
      <c r="O27" s="5" t="b">
        <v>0</v>
      </c>
    </row>
    <row r="28" spans="1:15" ht="15.95" customHeight="1" x14ac:dyDescent="0.25">
      <c r="A28" s="8">
        <v>43496.039479166669</v>
      </c>
      <c r="B28" s="5" t="s">
        <v>2405</v>
      </c>
      <c r="C28" s="5" t="s">
        <v>2406</v>
      </c>
      <c r="D28" s="5" t="s">
        <v>2433</v>
      </c>
      <c r="E28" s="5">
        <v>0</v>
      </c>
      <c r="F28" s="5">
        <v>3.32</v>
      </c>
      <c r="G28" s="5">
        <v>3.8</v>
      </c>
      <c r="H28" s="5">
        <v>3.9</v>
      </c>
      <c r="I28" s="5">
        <v>1</v>
      </c>
      <c r="J28" s="5" t="b">
        <v>0</v>
      </c>
      <c r="K28" s="5" t="b">
        <v>0</v>
      </c>
      <c r="L28" s="5" t="b">
        <v>0</v>
      </c>
      <c r="M28" s="5" t="b">
        <v>0</v>
      </c>
      <c r="N28" s="5" t="b">
        <v>1</v>
      </c>
      <c r="O28" s="5" t="b">
        <v>0</v>
      </c>
    </row>
    <row r="29" spans="1:15" ht="15.95" customHeight="1" x14ac:dyDescent="0.25">
      <c r="A29" s="8">
        <v>43496.039479166669</v>
      </c>
      <c r="B29" s="5" t="s">
        <v>2405</v>
      </c>
      <c r="C29" s="5" t="s">
        <v>2406</v>
      </c>
      <c r="D29" s="5" t="s">
        <v>2407</v>
      </c>
      <c r="E29" s="5" t="s">
        <v>2404</v>
      </c>
      <c r="F29" s="5">
        <v>3.32</v>
      </c>
      <c r="G29" s="5">
        <v>3.8</v>
      </c>
      <c r="H29" s="5">
        <v>3.9</v>
      </c>
      <c r="I29" s="5">
        <v>1</v>
      </c>
      <c r="J29" s="5" t="b">
        <v>0</v>
      </c>
      <c r="K29" s="5" t="b">
        <v>0</v>
      </c>
      <c r="L29" s="5" t="b">
        <v>0</v>
      </c>
      <c r="M29" s="5" t="b">
        <v>0</v>
      </c>
      <c r="N29" s="5" t="b">
        <v>1</v>
      </c>
      <c r="O29" s="5" t="b">
        <v>0</v>
      </c>
    </row>
    <row r="30" spans="1:15" ht="15.95" customHeight="1" x14ac:dyDescent="0.25">
      <c r="A30" s="8">
        <v>43496.039502314816</v>
      </c>
      <c r="B30" s="5" t="s">
        <v>2405</v>
      </c>
      <c r="C30" s="5" t="s">
        <v>2406</v>
      </c>
      <c r="D30" s="5" t="s">
        <v>2433</v>
      </c>
      <c r="E30" s="5">
        <v>0</v>
      </c>
      <c r="F30" s="5">
        <v>3.32</v>
      </c>
      <c r="G30" s="5">
        <v>3.8</v>
      </c>
      <c r="H30" s="5">
        <v>3.9</v>
      </c>
      <c r="I30" s="5">
        <v>1</v>
      </c>
      <c r="J30" s="5" t="b">
        <v>0</v>
      </c>
      <c r="K30" s="5" t="b">
        <v>0</v>
      </c>
      <c r="L30" s="5" t="b">
        <v>0</v>
      </c>
      <c r="M30" s="5" t="b">
        <v>0</v>
      </c>
      <c r="N30" s="5" t="b">
        <v>1</v>
      </c>
      <c r="O30" s="5" t="b">
        <v>0</v>
      </c>
    </row>
    <row r="31" spans="1:15" ht="15.95" customHeight="1" x14ac:dyDescent="0.25">
      <c r="A31" s="8">
        <v>43496.039513888885</v>
      </c>
      <c r="B31" s="5" t="s">
        <v>2405</v>
      </c>
      <c r="C31" s="5" t="s">
        <v>2406</v>
      </c>
      <c r="D31" s="5" t="s">
        <v>2407</v>
      </c>
      <c r="E31" s="5" t="s">
        <v>2404</v>
      </c>
      <c r="F31" s="5">
        <v>3.32</v>
      </c>
      <c r="G31" s="5">
        <v>3.8</v>
      </c>
      <c r="H31" s="5">
        <v>3.9</v>
      </c>
      <c r="I31" s="5">
        <v>1</v>
      </c>
      <c r="J31" s="5" t="b">
        <v>0</v>
      </c>
      <c r="K31" s="5" t="b">
        <v>0</v>
      </c>
      <c r="L31" s="5" t="b">
        <v>0</v>
      </c>
      <c r="M31" s="5" t="b">
        <v>0</v>
      </c>
      <c r="N31" s="5" t="b">
        <v>1</v>
      </c>
      <c r="O31" s="5" t="b">
        <v>0</v>
      </c>
    </row>
    <row r="32" spans="1:15" ht="15.95" customHeight="1" x14ac:dyDescent="0.25">
      <c r="A32" s="8">
        <v>43496.039525462962</v>
      </c>
      <c r="B32" s="5" t="s">
        <v>2405</v>
      </c>
      <c r="C32" s="5" t="s">
        <v>2406</v>
      </c>
      <c r="D32" s="5" t="s">
        <v>2433</v>
      </c>
      <c r="E32" s="5">
        <v>0</v>
      </c>
      <c r="F32" s="5">
        <v>3.32</v>
      </c>
      <c r="G32" s="5">
        <v>3.8</v>
      </c>
      <c r="H32" s="5">
        <v>3.9</v>
      </c>
      <c r="I32" s="5">
        <v>1</v>
      </c>
      <c r="J32" s="5" t="b">
        <v>0</v>
      </c>
      <c r="K32" s="5" t="b">
        <v>0</v>
      </c>
      <c r="L32" s="5" t="b">
        <v>0</v>
      </c>
      <c r="M32" s="5" t="b">
        <v>0</v>
      </c>
      <c r="N32" s="5" t="b">
        <v>1</v>
      </c>
      <c r="O32" s="5" t="b">
        <v>0</v>
      </c>
    </row>
    <row r="33" spans="1:15" ht="15.95" customHeight="1" x14ac:dyDescent="0.25">
      <c r="A33" s="8">
        <v>43496.039537037039</v>
      </c>
      <c r="B33" s="5" t="s">
        <v>2405</v>
      </c>
      <c r="C33" s="5" t="s">
        <v>2406</v>
      </c>
      <c r="D33" s="5" t="s">
        <v>2407</v>
      </c>
      <c r="E33" s="5" t="s">
        <v>2404</v>
      </c>
      <c r="F33" s="5">
        <v>3.32</v>
      </c>
      <c r="G33" s="5">
        <v>3.8</v>
      </c>
      <c r="H33" s="5">
        <v>3.9</v>
      </c>
      <c r="I33" s="5">
        <v>1</v>
      </c>
      <c r="J33" s="5" t="b">
        <v>0</v>
      </c>
      <c r="K33" s="5" t="b">
        <v>0</v>
      </c>
      <c r="L33" s="5" t="b">
        <v>0</v>
      </c>
      <c r="M33" s="5" t="b">
        <v>0</v>
      </c>
      <c r="N33" s="5" t="b">
        <v>1</v>
      </c>
      <c r="O33" s="5" t="b">
        <v>0</v>
      </c>
    </row>
    <row r="34" spans="1:15" ht="15.95" customHeight="1" x14ac:dyDescent="0.25">
      <c r="A34" s="8">
        <v>43496.039560185185</v>
      </c>
      <c r="B34" s="5" t="s">
        <v>2405</v>
      </c>
      <c r="C34" s="5" t="s">
        <v>2406</v>
      </c>
      <c r="D34" s="5" t="s">
        <v>2433</v>
      </c>
      <c r="E34" s="5">
        <v>0</v>
      </c>
      <c r="F34" s="5">
        <v>3.32</v>
      </c>
      <c r="G34" s="5">
        <v>3.8</v>
      </c>
      <c r="H34" s="5">
        <v>3.9</v>
      </c>
      <c r="I34" s="5">
        <v>1</v>
      </c>
      <c r="J34" s="5" t="b">
        <v>0</v>
      </c>
      <c r="K34" s="5" t="b">
        <v>0</v>
      </c>
      <c r="L34" s="5" t="b">
        <v>0</v>
      </c>
      <c r="M34" s="5" t="b">
        <v>0</v>
      </c>
      <c r="N34" s="5" t="b">
        <v>1</v>
      </c>
      <c r="O34" s="5" t="b">
        <v>0</v>
      </c>
    </row>
    <row r="35" spans="1:15" ht="15.95" customHeight="1" x14ac:dyDescent="0.25">
      <c r="A35" s="8">
        <v>43496.039560185185</v>
      </c>
      <c r="B35" s="5" t="s">
        <v>2405</v>
      </c>
      <c r="C35" s="5" t="s">
        <v>2406</v>
      </c>
      <c r="D35" s="5" t="s">
        <v>2407</v>
      </c>
      <c r="E35" s="5" t="s">
        <v>2404</v>
      </c>
      <c r="F35" s="5">
        <v>3.32</v>
      </c>
      <c r="G35" s="5">
        <v>3.8</v>
      </c>
      <c r="H35" s="5">
        <v>3.9</v>
      </c>
      <c r="I35" s="5">
        <v>1</v>
      </c>
      <c r="J35" s="5" t="b">
        <v>0</v>
      </c>
      <c r="K35" s="5" t="b">
        <v>0</v>
      </c>
      <c r="L35" s="5" t="b">
        <v>0</v>
      </c>
      <c r="M35" s="5" t="b">
        <v>0</v>
      </c>
      <c r="N35" s="5" t="b">
        <v>1</v>
      </c>
      <c r="O35" s="5" t="b">
        <v>0</v>
      </c>
    </row>
    <row r="36" spans="1:15" ht="15.95" customHeight="1" x14ac:dyDescent="0.25">
      <c r="A36" s="8">
        <v>43496.039571759262</v>
      </c>
      <c r="B36" s="5" t="s">
        <v>2405</v>
      </c>
      <c r="C36" s="5" t="s">
        <v>2406</v>
      </c>
      <c r="D36" s="5" t="s">
        <v>2433</v>
      </c>
      <c r="E36" s="5">
        <v>0</v>
      </c>
      <c r="F36" s="5">
        <v>3.32</v>
      </c>
      <c r="G36" s="5">
        <v>3.8</v>
      </c>
      <c r="H36" s="5">
        <v>3.9</v>
      </c>
      <c r="I36" s="5">
        <v>1</v>
      </c>
      <c r="J36" s="5" t="b">
        <v>0</v>
      </c>
      <c r="K36" s="5" t="b">
        <v>0</v>
      </c>
      <c r="L36" s="5" t="b">
        <v>0</v>
      </c>
      <c r="M36" s="5" t="b">
        <v>0</v>
      </c>
      <c r="N36" s="5" t="b">
        <v>1</v>
      </c>
      <c r="O36" s="5" t="b">
        <v>0</v>
      </c>
    </row>
    <row r="37" spans="1:15" ht="15.95" customHeight="1" x14ac:dyDescent="0.25">
      <c r="A37" s="8">
        <v>43496.039571759262</v>
      </c>
      <c r="B37" s="5" t="s">
        <v>2405</v>
      </c>
      <c r="C37" s="5" t="s">
        <v>2406</v>
      </c>
      <c r="D37" s="5" t="s">
        <v>2407</v>
      </c>
      <c r="E37" s="5" t="s">
        <v>2404</v>
      </c>
      <c r="F37" s="5">
        <v>3.32</v>
      </c>
      <c r="G37" s="5">
        <v>3.8</v>
      </c>
      <c r="H37" s="5">
        <v>3.9</v>
      </c>
      <c r="I37" s="5">
        <v>1</v>
      </c>
      <c r="J37" s="5" t="b">
        <v>0</v>
      </c>
      <c r="K37" s="5" t="b">
        <v>0</v>
      </c>
      <c r="L37" s="5" t="b">
        <v>0</v>
      </c>
      <c r="M37" s="5" t="b">
        <v>0</v>
      </c>
      <c r="N37" s="5" t="b">
        <v>1</v>
      </c>
      <c r="O37" s="5" t="b">
        <v>0</v>
      </c>
    </row>
    <row r="38" spans="1:15" ht="15.95" customHeight="1" x14ac:dyDescent="0.25">
      <c r="A38" s="8">
        <v>43496.066238425927</v>
      </c>
      <c r="B38" s="5" t="s">
        <v>2405</v>
      </c>
      <c r="C38" s="5" t="s">
        <v>2406</v>
      </c>
      <c r="D38" s="5" t="s">
        <v>2433</v>
      </c>
      <c r="E38" s="5">
        <v>0</v>
      </c>
      <c r="F38" s="5">
        <v>3.32</v>
      </c>
      <c r="G38" s="5">
        <v>3.8</v>
      </c>
      <c r="H38" s="5">
        <v>3.9</v>
      </c>
      <c r="I38" s="5">
        <v>1</v>
      </c>
      <c r="J38" s="5" t="b">
        <v>0</v>
      </c>
      <c r="K38" s="5" t="b">
        <v>0</v>
      </c>
      <c r="L38" s="5" t="b">
        <v>0</v>
      </c>
      <c r="M38" s="5" t="b">
        <v>0</v>
      </c>
      <c r="N38" s="5" t="b">
        <v>1</v>
      </c>
      <c r="O38" s="5" t="b">
        <v>0</v>
      </c>
    </row>
    <row r="39" spans="1:15" ht="15.95" customHeight="1" x14ac:dyDescent="0.25">
      <c r="A39" s="8">
        <v>43496.066238425927</v>
      </c>
      <c r="B39" s="5" t="s">
        <v>2405</v>
      </c>
      <c r="C39" s="5" t="s">
        <v>2406</v>
      </c>
      <c r="D39" s="5" t="s">
        <v>2407</v>
      </c>
      <c r="E39" s="5" t="s">
        <v>2404</v>
      </c>
      <c r="F39" s="5">
        <v>3.32</v>
      </c>
      <c r="G39" s="5">
        <v>3.8</v>
      </c>
      <c r="H39" s="5">
        <v>3.9</v>
      </c>
      <c r="I39" s="5">
        <v>1</v>
      </c>
      <c r="J39" s="5" t="b">
        <v>0</v>
      </c>
      <c r="K39" s="5" t="b">
        <v>0</v>
      </c>
      <c r="L39" s="5" t="b">
        <v>0</v>
      </c>
      <c r="M39" s="5" t="b">
        <v>0</v>
      </c>
      <c r="N39" s="5" t="b">
        <v>1</v>
      </c>
      <c r="O39" s="5" t="b">
        <v>0</v>
      </c>
    </row>
    <row r="40" spans="1:15" ht="15.95" customHeight="1" x14ac:dyDescent="0.25">
      <c r="A40" s="8">
        <v>43496.066238425927</v>
      </c>
      <c r="B40" s="5" t="s">
        <v>2405</v>
      </c>
      <c r="C40" s="5" t="s">
        <v>2406</v>
      </c>
      <c r="D40" s="5" t="s">
        <v>2433</v>
      </c>
      <c r="E40" s="5">
        <v>0</v>
      </c>
      <c r="F40" s="5">
        <v>3.32</v>
      </c>
      <c r="G40" s="5">
        <v>3.8</v>
      </c>
      <c r="H40" s="5">
        <v>3.9</v>
      </c>
      <c r="I40" s="5">
        <v>1</v>
      </c>
      <c r="J40" s="5" t="b">
        <v>0</v>
      </c>
      <c r="K40" s="5" t="b">
        <v>0</v>
      </c>
      <c r="L40" s="5" t="b">
        <v>0</v>
      </c>
      <c r="M40" s="5" t="b">
        <v>0</v>
      </c>
      <c r="N40" s="5" t="b">
        <v>1</v>
      </c>
      <c r="O40" s="5" t="b">
        <v>0</v>
      </c>
    </row>
    <row r="41" spans="1:15" ht="15.95" customHeight="1" x14ac:dyDescent="0.25">
      <c r="A41" s="8">
        <v>43496.066250000003</v>
      </c>
      <c r="B41" s="5" t="s">
        <v>2405</v>
      </c>
      <c r="C41" s="5" t="s">
        <v>2406</v>
      </c>
      <c r="D41" s="5" t="s">
        <v>2407</v>
      </c>
      <c r="E41" s="5" t="s">
        <v>2404</v>
      </c>
      <c r="F41" s="5">
        <v>3.32</v>
      </c>
      <c r="G41" s="5">
        <v>3.8</v>
      </c>
      <c r="H41" s="5">
        <v>3.9</v>
      </c>
      <c r="I41" s="5">
        <v>1</v>
      </c>
      <c r="J41" s="5" t="b">
        <v>0</v>
      </c>
      <c r="K41" s="5" t="b">
        <v>0</v>
      </c>
      <c r="L41" s="5" t="b">
        <v>0</v>
      </c>
      <c r="M41" s="5" t="b">
        <v>0</v>
      </c>
      <c r="N41" s="5" t="b">
        <v>1</v>
      </c>
      <c r="O41" s="5" t="b">
        <v>0</v>
      </c>
    </row>
    <row r="42" spans="1:15" ht="15.95" customHeight="1" x14ac:dyDescent="0.25">
      <c r="A42" s="8">
        <v>43496.072905092595</v>
      </c>
      <c r="B42" s="5" t="s">
        <v>2405</v>
      </c>
      <c r="C42" s="5" t="s">
        <v>2406</v>
      </c>
      <c r="D42" s="5" t="s">
        <v>2433</v>
      </c>
      <c r="E42" s="5">
        <v>0</v>
      </c>
      <c r="F42" s="5">
        <v>3.32</v>
      </c>
      <c r="G42" s="5">
        <v>3.8</v>
      </c>
      <c r="H42" s="5">
        <v>3.9</v>
      </c>
      <c r="I42" s="5">
        <v>1</v>
      </c>
      <c r="J42" s="5" t="b">
        <v>0</v>
      </c>
      <c r="K42" s="5" t="b">
        <v>0</v>
      </c>
      <c r="L42" s="5" t="b">
        <v>0</v>
      </c>
      <c r="M42" s="5" t="b">
        <v>0</v>
      </c>
      <c r="N42" s="5" t="b">
        <v>1</v>
      </c>
      <c r="O42" s="5" t="b">
        <v>0</v>
      </c>
    </row>
    <row r="43" spans="1:15" ht="15.95" customHeight="1" x14ac:dyDescent="0.25">
      <c r="A43" s="8">
        <v>43496.072905092595</v>
      </c>
      <c r="B43" s="5" t="s">
        <v>2405</v>
      </c>
      <c r="C43" s="5" t="s">
        <v>2406</v>
      </c>
      <c r="D43" s="5" t="s">
        <v>2407</v>
      </c>
      <c r="E43" s="5" t="s">
        <v>2404</v>
      </c>
      <c r="F43" s="5">
        <v>3.32</v>
      </c>
      <c r="G43" s="5">
        <v>3.8</v>
      </c>
      <c r="H43" s="5">
        <v>3.9</v>
      </c>
      <c r="I43" s="5">
        <v>1</v>
      </c>
      <c r="J43" s="5" t="b">
        <v>0</v>
      </c>
      <c r="K43" s="5" t="b">
        <v>0</v>
      </c>
      <c r="L43" s="5" t="b">
        <v>0</v>
      </c>
      <c r="M43" s="5" t="b">
        <v>0</v>
      </c>
      <c r="N43" s="5" t="b">
        <v>1</v>
      </c>
      <c r="O43" s="5" t="b">
        <v>0</v>
      </c>
    </row>
    <row r="44" spans="1:15" ht="15.95" customHeight="1" x14ac:dyDescent="0.25">
      <c r="A44" s="8">
        <v>43496.073819444442</v>
      </c>
      <c r="B44" s="5" t="s">
        <v>2405</v>
      </c>
      <c r="C44" s="5" t="s">
        <v>2406</v>
      </c>
      <c r="D44" s="5" t="s">
        <v>2433</v>
      </c>
      <c r="E44" s="5">
        <v>0</v>
      </c>
      <c r="F44" s="5">
        <v>3.32</v>
      </c>
      <c r="G44" s="5">
        <v>3.8</v>
      </c>
      <c r="H44" s="5">
        <v>3.9</v>
      </c>
      <c r="I44" s="5">
        <v>1</v>
      </c>
      <c r="J44" s="5" t="b">
        <v>0</v>
      </c>
      <c r="K44" s="5" t="b">
        <v>0</v>
      </c>
      <c r="L44" s="5" t="b">
        <v>0</v>
      </c>
      <c r="M44" s="5" t="b">
        <v>0</v>
      </c>
      <c r="N44" s="5" t="b">
        <v>1</v>
      </c>
      <c r="O44" s="5" t="b">
        <v>0</v>
      </c>
    </row>
    <row r="45" spans="1:15" ht="15.95" customHeight="1" x14ac:dyDescent="0.25">
      <c r="A45" s="8">
        <v>43496.073831018519</v>
      </c>
      <c r="B45" s="5" t="s">
        <v>2405</v>
      </c>
      <c r="C45" s="5" t="s">
        <v>2406</v>
      </c>
      <c r="D45" s="5" t="s">
        <v>2407</v>
      </c>
      <c r="E45" s="5" t="s">
        <v>2404</v>
      </c>
      <c r="F45" s="5">
        <v>3.32</v>
      </c>
      <c r="G45" s="5">
        <v>3.8</v>
      </c>
      <c r="H45" s="5">
        <v>3.9</v>
      </c>
      <c r="I45" s="5">
        <v>1</v>
      </c>
      <c r="J45" s="5" t="b">
        <v>0</v>
      </c>
      <c r="K45" s="5" t="b">
        <v>0</v>
      </c>
      <c r="L45" s="5" t="b">
        <v>0</v>
      </c>
      <c r="M45" s="5" t="b">
        <v>0</v>
      </c>
      <c r="N45" s="5" t="b">
        <v>1</v>
      </c>
      <c r="O45" s="5" t="b">
        <v>0</v>
      </c>
    </row>
    <row r="46" spans="1:15" ht="15.95" customHeight="1" x14ac:dyDescent="0.25">
      <c r="A46" s="8">
        <v>43496.073831018519</v>
      </c>
      <c r="B46" s="5" t="s">
        <v>2405</v>
      </c>
      <c r="C46" s="5" t="s">
        <v>2406</v>
      </c>
      <c r="D46" s="5" t="s">
        <v>2433</v>
      </c>
      <c r="E46" s="5">
        <v>0</v>
      </c>
      <c r="F46" s="5">
        <v>3.32</v>
      </c>
      <c r="G46" s="5">
        <v>3.8</v>
      </c>
      <c r="H46" s="5">
        <v>3.9</v>
      </c>
      <c r="I46" s="5">
        <v>1</v>
      </c>
      <c r="J46" s="5" t="b">
        <v>0</v>
      </c>
      <c r="K46" s="5" t="b">
        <v>0</v>
      </c>
      <c r="L46" s="5" t="b">
        <v>0</v>
      </c>
      <c r="M46" s="5" t="b">
        <v>0</v>
      </c>
      <c r="N46" s="5" t="b">
        <v>1</v>
      </c>
      <c r="O46" s="5" t="b">
        <v>0</v>
      </c>
    </row>
    <row r="47" spans="1:15" ht="15.95" customHeight="1" x14ac:dyDescent="0.25">
      <c r="A47" s="8">
        <v>43496.073831018519</v>
      </c>
      <c r="B47" s="5" t="s">
        <v>2405</v>
      </c>
      <c r="C47" s="5" t="s">
        <v>2406</v>
      </c>
      <c r="D47" s="5" t="s">
        <v>2407</v>
      </c>
      <c r="E47" s="5" t="s">
        <v>2404</v>
      </c>
      <c r="F47" s="5">
        <v>3.32</v>
      </c>
      <c r="G47" s="5">
        <v>3.8</v>
      </c>
      <c r="H47" s="5">
        <v>3.9</v>
      </c>
      <c r="I47" s="5">
        <v>1</v>
      </c>
      <c r="J47" s="5" t="b">
        <v>0</v>
      </c>
      <c r="K47" s="5" t="b">
        <v>0</v>
      </c>
      <c r="L47" s="5" t="b">
        <v>0</v>
      </c>
      <c r="M47" s="5" t="b">
        <v>0</v>
      </c>
      <c r="N47" s="5" t="b">
        <v>1</v>
      </c>
      <c r="O47" s="5" t="b">
        <v>0</v>
      </c>
    </row>
    <row r="48" spans="1:15" ht="15.95" customHeight="1" x14ac:dyDescent="0.25">
      <c r="A48" s="8">
        <v>43496.079687500001</v>
      </c>
      <c r="B48" s="5" t="s">
        <v>2405</v>
      </c>
      <c r="C48" s="5" t="s">
        <v>2406</v>
      </c>
      <c r="D48" s="5" t="s">
        <v>2433</v>
      </c>
      <c r="E48" s="5">
        <v>0</v>
      </c>
      <c r="F48" s="5">
        <v>3.32</v>
      </c>
      <c r="G48" s="5">
        <v>3.8</v>
      </c>
      <c r="H48" s="5">
        <v>3.9</v>
      </c>
      <c r="I48" s="5">
        <v>1</v>
      </c>
      <c r="J48" s="5" t="b">
        <v>0</v>
      </c>
      <c r="K48" s="5" t="b">
        <v>0</v>
      </c>
      <c r="L48" s="5" t="b">
        <v>0</v>
      </c>
      <c r="M48" s="5" t="b">
        <v>0</v>
      </c>
      <c r="N48" s="5" t="b">
        <v>1</v>
      </c>
      <c r="O48" s="5" t="b">
        <v>0</v>
      </c>
    </row>
    <row r="49" spans="1:15" ht="15.95" customHeight="1" x14ac:dyDescent="0.25">
      <c r="A49" s="8">
        <v>43496.079687500001</v>
      </c>
      <c r="B49" s="5" t="s">
        <v>2405</v>
      </c>
      <c r="C49" s="5" t="s">
        <v>2406</v>
      </c>
      <c r="D49" s="5" t="s">
        <v>2407</v>
      </c>
      <c r="E49" s="5" t="s">
        <v>2404</v>
      </c>
      <c r="F49" s="5">
        <v>3.32</v>
      </c>
      <c r="G49" s="5">
        <v>3.8</v>
      </c>
      <c r="H49" s="5">
        <v>3.9</v>
      </c>
      <c r="I49" s="5">
        <v>1</v>
      </c>
      <c r="J49" s="5" t="b">
        <v>0</v>
      </c>
      <c r="K49" s="5" t="b">
        <v>0</v>
      </c>
      <c r="L49" s="5" t="b">
        <v>0</v>
      </c>
      <c r="M49" s="5" t="b">
        <v>0</v>
      </c>
      <c r="N49" s="5" t="b">
        <v>1</v>
      </c>
      <c r="O49" s="5" t="b">
        <v>0</v>
      </c>
    </row>
    <row r="50" spans="1:15" ht="15.95" customHeight="1" x14ac:dyDescent="0.25">
      <c r="A50" s="8">
        <v>43496.079687500001</v>
      </c>
      <c r="B50" s="5" t="s">
        <v>2405</v>
      </c>
      <c r="C50" s="5" t="s">
        <v>2406</v>
      </c>
      <c r="D50" s="5" t="s">
        <v>2433</v>
      </c>
      <c r="E50" s="5">
        <v>0</v>
      </c>
      <c r="F50" s="5">
        <v>3.32</v>
      </c>
      <c r="G50" s="5">
        <v>3.8</v>
      </c>
      <c r="H50" s="5">
        <v>3.9</v>
      </c>
      <c r="I50" s="5">
        <v>1</v>
      </c>
      <c r="J50" s="5" t="b">
        <v>0</v>
      </c>
      <c r="K50" s="5" t="b">
        <v>0</v>
      </c>
      <c r="L50" s="5" t="b">
        <v>0</v>
      </c>
      <c r="M50" s="5" t="b">
        <v>0</v>
      </c>
      <c r="N50" s="5" t="b">
        <v>1</v>
      </c>
      <c r="O50" s="5" t="b">
        <v>0</v>
      </c>
    </row>
    <row r="51" spans="1:15" ht="15.95" customHeight="1" x14ac:dyDescent="0.25">
      <c r="A51" s="8">
        <v>43496.079699074071</v>
      </c>
      <c r="B51" s="5" t="s">
        <v>2405</v>
      </c>
      <c r="C51" s="5" t="s">
        <v>2406</v>
      </c>
      <c r="D51" s="5" t="s">
        <v>2407</v>
      </c>
      <c r="E51" s="5" t="s">
        <v>2404</v>
      </c>
      <c r="F51" s="5">
        <v>3.32</v>
      </c>
      <c r="G51" s="5">
        <v>3.8</v>
      </c>
      <c r="H51" s="5">
        <v>3.9</v>
      </c>
      <c r="I51" s="5">
        <v>1</v>
      </c>
      <c r="J51" s="5" t="b">
        <v>0</v>
      </c>
      <c r="K51" s="5" t="b">
        <v>0</v>
      </c>
      <c r="L51" s="5" t="b">
        <v>0</v>
      </c>
      <c r="M51" s="5" t="b">
        <v>0</v>
      </c>
      <c r="N51" s="5" t="b">
        <v>1</v>
      </c>
      <c r="O51" s="5" t="b">
        <v>0</v>
      </c>
    </row>
    <row r="52" spans="1:15" ht="15.95" customHeight="1" x14ac:dyDescent="0.25">
      <c r="A52" s="8">
        <v>43496.086481481485</v>
      </c>
      <c r="B52" s="5" t="s">
        <v>2405</v>
      </c>
      <c r="C52" s="5" t="s">
        <v>2406</v>
      </c>
      <c r="D52" s="5" t="s">
        <v>2433</v>
      </c>
      <c r="E52" s="5">
        <v>0</v>
      </c>
      <c r="F52" s="5">
        <v>3.32</v>
      </c>
      <c r="G52" s="5">
        <v>3.8</v>
      </c>
      <c r="H52" s="5">
        <v>3.9</v>
      </c>
      <c r="I52" s="5">
        <v>1</v>
      </c>
      <c r="J52" s="5" t="b">
        <v>0</v>
      </c>
      <c r="K52" s="5" t="b">
        <v>0</v>
      </c>
      <c r="L52" s="5" t="b">
        <v>0</v>
      </c>
      <c r="M52" s="5" t="b">
        <v>0</v>
      </c>
      <c r="N52" s="5" t="b">
        <v>1</v>
      </c>
      <c r="O52" s="5" t="b">
        <v>0</v>
      </c>
    </row>
    <row r="53" spans="1:15" ht="15.95" customHeight="1" x14ac:dyDescent="0.25">
      <c r="A53" s="8">
        <v>43496.086481481485</v>
      </c>
      <c r="B53" s="5" t="s">
        <v>2405</v>
      </c>
      <c r="C53" s="5" t="s">
        <v>2406</v>
      </c>
      <c r="D53" s="5" t="s">
        <v>2407</v>
      </c>
      <c r="E53" s="5" t="s">
        <v>2404</v>
      </c>
      <c r="F53" s="5">
        <v>3.32</v>
      </c>
      <c r="G53" s="5">
        <v>3.8</v>
      </c>
      <c r="H53" s="5">
        <v>3.9</v>
      </c>
      <c r="I53" s="5">
        <v>1</v>
      </c>
      <c r="J53" s="5" t="b">
        <v>0</v>
      </c>
      <c r="K53" s="5" t="b">
        <v>0</v>
      </c>
      <c r="L53" s="5" t="b">
        <v>0</v>
      </c>
      <c r="M53" s="5" t="b">
        <v>0</v>
      </c>
      <c r="N53" s="5" t="b">
        <v>1</v>
      </c>
      <c r="O53" s="5" t="b">
        <v>0</v>
      </c>
    </row>
    <row r="54" spans="1:15" ht="15.95" customHeight="1" x14ac:dyDescent="0.25">
      <c r="A54" s="8">
        <v>43496.086493055554</v>
      </c>
      <c r="B54" s="5" t="s">
        <v>2405</v>
      </c>
      <c r="C54" s="5" t="s">
        <v>2406</v>
      </c>
      <c r="D54" s="5" t="s">
        <v>2433</v>
      </c>
      <c r="E54" s="5">
        <v>0</v>
      </c>
      <c r="F54" s="5">
        <v>3.32</v>
      </c>
      <c r="G54" s="5">
        <v>3.8</v>
      </c>
      <c r="H54" s="5">
        <v>3.9</v>
      </c>
      <c r="I54" s="5">
        <v>1</v>
      </c>
      <c r="J54" s="5" t="b">
        <v>0</v>
      </c>
      <c r="K54" s="5" t="b">
        <v>0</v>
      </c>
      <c r="L54" s="5" t="b">
        <v>0</v>
      </c>
      <c r="M54" s="5" t="b">
        <v>0</v>
      </c>
      <c r="N54" s="5" t="b">
        <v>1</v>
      </c>
      <c r="O54" s="5" t="b">
        <v>0</v>
      </c>
    </row>
    <row r="55" spans="1:15" ht="15.95" customHeight="1" x14ac:dyDescent="0.25">
      <c r="A55" s="8">
        <v>43496.086516203701</v>
      </c>
      <c r="B55" s="5" t="s">
        <v>2405</v>
      </c>
      <c r="C55" s="5" t="s">
        <v>2406</v>
      </c>
      <c r="D55" s="5" t="s">
        <v>2407</v>
      </c>
      <c r="E55" s="5" t="s">
        <v>2404</v>
      </c>
      <c r="F55" s="5">
        <v>3.32</v>
      </c>
      <c r="G55" s="5">
        <v>3.8</v>
      </c>
      <c r="H55" s="5">
        <v>3.9</v>
      </c>
      <c r="I55" s="5">
        <v>1</v>
      </c>
      <c r="J55" s="5" t="b">
        <v>0</v>
      </c>
      <c r="K55" s="5" t="b">
        <v>0</v>
      </c>
      <c r="L55" s="5" t="b">
        <v>0</v>
      </c>
      <c r="M55" s="5" t="b">
        <v>0</v>
      </c>
      <c r="N55" s="5" t="b">
        <v>1</v>
      </c>
      <c r="O55" s="5" t="b">
        <v>0</v>
      </c>
    </row>
    <row r="56" spans="1:15" ht="15.95" customHeight="1" x14ac:dyDescent="0.25">
      <c r="A56" s="8">
        <v>43496.087951388887</v>
      </c>
      <c r="B56" s="5" t="s">
        <v>2405</v>
      </c>
      <c r="C56" s="5" t="s">
        <v>2406</v>
      </c>
      <c r="D56" s="5" t="s">
        <v>2433</v>
      </c>
      <c r="E56" s="5">
        <v>0</v>
      </c>
      <c r="F56" s="5">
        <v>3.32</v>
      </c>
      <c r="G56" s="5">
        <v>3.8</v>
      </c>
      <c r="H56" s="5">
        <v>3.9</v>
      </c>
      <c r="I56" s="5">
        <v>1</v>
      </c>
      <c r="J56" s="5" t="b">
        <v>0</v>
      </c>
      <c r="K56" s="5" t="b">
        <v>0</v>
      </c>
      <c r="L56" s="5" t="b">
        <v>0</v>
      </c>
      <c r="M56" s="5" t="b">
        <v>0</v>
      </c>
      <c r="N56" s="5" t="b">
        <v>1</v>
      </c>
      <c r="O56" s="5" t="b">
        <v>0</v>
      </c>
    </row>
    <row r="57" spans="1:15" ht="15.95" customHeight="1" x14ac:dyDescent="0.25">
      <c r="A57" s="8">
        <v>43496.087951388887</v>
      </c>
      <c r="B57" s="5" t="s">
        <v>2405</v>
      </c>
      <c r="C57" s="5" t="s">
        <v>2406</v>
      </c>
      <c r="D57" s="5" t="s">
        <v>2407</v>
      </c>
      <c r="E57" s="5" t="s">
        <v>2404</v>
      </c>
      <c r="F57" s="5">
        <v>3.32</v>
      </c>
      <c r="G57" s="5">
        <v>3.8</v>
      </c>
      <c r="H57" s="5">
        <v>3.9</v>
      </c>
      <c r="I57" s="5">
        <v>1</v>
      </c>
      <c r="J57" s="5" t="b">
        <v>0</v>
      </c>
      <c r="K57" s="5" t="b">
        <v>0</v>
      </c>
      <c r="L57" s="5" t="b">
        <v>0</v>
      </c>
      <c r="M57" s="5" t="b">
        <v>0</v>
      </c>
      <c r="N57" s="5" t="b">
        <v>1</v>
      </c>
      <c r="O57" s="5" t="b">
        <v>0</v>
      </c>
    </row>
    <row r="58" spans="1:15" ht="15.95" customHeight="1" x14ac:dyDescent="0.25">
      <c r="A58" s="8">
        <v>43496.087962962964</v>
      </c>
      <c r="B58" s="5" t="s">
        <v>2405</v>
      </c>
      <c r="C58" s="5" t="s">
        <v>2406</v>
      </c>
      <c r="D58" s="5" t="s">
        <v>2407</v>
      </c>
      <c r="E58" s="5" t="s">
        <v>2508</v>
      </c>
      <c r="F58" s="5">
        <v>3.32</v>
      </c>
      <c r="G58" s="5">
        <v>3.8</v>
      </c>
      <c r="H58" s="5">
        <v>3.9</v>
      </c>
      <c r="I58" s="5">
        <v>1</v>
      </c>
      <c r="J58" s="5" t="b">
        <v>0</v>
      </c>
      <c r="K58" s="5" t="b">
        <v>0</v>
      </c>
      <c r="L58" s="5" t="b">
        <v>0</v>
      </c>
      <c r="M58" s="5" t="b">
        <v>0</v>
      </c>
      <c r="N58" s="5" t="b">
        <v>1</v>
      </c>
      <c r="O58" s="5" t="b">
        <v>0</v>
      </c>
    </row>
    <row r="59" spans="1:15" ht="15.95" customHeight="1" x14ac:dyDescent="0.25">
      <c r="A59" s="8">
        <v>43496.088530092595</v>
      </c>
      <c r="B59" s="5" t="s">
        <v>2405</v>
      </c>
      <c r="C59" s="5" t="s">
        <v>2406</v>
      </c>
      <c r="D59" s="5" t="s">
        <v>2433</v>
      </c>
      <c r="E59" s="5">
        <v>0</v>
      </c>
      <c r="F59" s="5">
        <v>3.32</v>
      </c>
      <c r="G59" s="5">
        <v>3.8</v>
      </c>
      <c r="H59" s="5">
        <v>3.9</v>
      </c>
      <c r="I59" s="5">
        <v>1</v>
      </c>
      <c r="J59" s="5" t="b">
        <v>0</v>
      </c>
      <c r="K59" s="5" t="b">
        <v>0</v>
      </c>
      <c r="L59" s="5" t="b">
        <v>0</v>
      </c>
      <c r="M59" s="5" t="b">
        <v>0</v>
      </c>
      <c r="N59" s="5" t="b">
        <v>1</v>
      </c>
      <c r="O59" s="5" t="b">
        <v>0</v>
      </c>
    </row>
    <row r="60" spans="1:15" ht="15.95" customHeight="1" x14ac:dyDescent="0.25">
      <c r="A60" s="8">
        <v>43496.088541666664</v>
      </c>
      <c r="B60" s="5" t="s">
        <v>2405</v>
      </c>
      <c r="C60" s="5" t="s">
        <v>2406</v>
      </c>
      <c r="D60" s="5" t="s">
        <v>2407</v>
      </c>
      <c r="E60" s="5" t="s">
        <v>2404</v>
      </c>
      <c r="F60" s="5">
        <v>3.32</v>
      </c>
      <c r="G60" s="5">
        <v>3.8</v>
      </c>
      <c r="H60" s="5">
        <v>3.9</v>
      </c>
      <c r="I60" s="5">
        <v>1</v>
      </c>
      <c r="J60" s="5" t="b">
        <v>0</v>
      </c>
      <c r="K60" s="5" t="b">
        <v>0</v>
      </c>
      <c r="L60" s="5" t="b">
        <v>0</v>
      </c>
      <c r="M60" s="5" t="b">
        <v>0</v>
      </c>
      <c r="N60" s="5" t="b">
        <v>1</v>
      </c>
      <c r="O60" s="5" t="b">
        <v>0</v>
      </c>
    </row>
    <row r="61" spans="1:15" ht="15.95" customHeight="1" x14ac:dyDescent="0.25">
      <c r="A61" s="8">
        <v>43496.088541666664</v>
      </c>
      <c r="B61" s="5" t="s">
        <v>2405</v>
      </c>
      <c r="C61" s="5" t="s">
        <v>2406</v>
      </c>
      <c r="D61" s="5" t="s">
        <v>2407</v>
      </c>
      <c r="E61" s="5" t="s">
        <v>2508</v>
      </c>
      <c r="F61" s="5">
        <v>3.32</v>
      </c>
      <c r="G61" s="5">
        <v>3.8</v>
      </c>
      <c r="H61" s="5">
        <v>3.9</v>
      </c>
      <c r="I61" s="5">
        <v>1</v>
      </c>
      <c r="J61" s="5" t="b">
        <v>0</v>
      </c>
      <c r="K61" s="5" t="b">
        <v>0</v>
      </c>
      <c r="L61" s="5" t="b">
        <v>0</v>
      </c>
      <c r="M61" s="5" t="b">
        <v>0</v>
      </c>
      <c r="N61" s="5" t="b">
        <v>1</v>
      </c>
      <c r="O61" s="5" t="b">
        <v>0</v>
      </c>
    </row>
    <row r="62" spans="1:15" ht="15.95" customHeight="1" x14ac:dyDescent="0.25">
      <c r="A62" s="8">
        <v>43496.089733796296</v>
      </c>
      <c r="B62" s="5" t="s">
        <v>2405</v>
      </c>
      <c r="C62" s="5" t="s">
        <v>2406</v>
      </c>
      <c r="D62" s="5" t="s">
        <v>2433</v>
      </c>
      <c r="E62" s="5">
        <v>0</v>
      </c>
      <c r="F62" s="5">
        <v>3.32</v>
      </c>
      <c r="G62" s="5">
        <v>3.8</v>
      </c>
      <c r="H62" s="5">
        <v>3.9</v>
      </c>
      <c r="I62" s="5">
        <v>1</v>
      </c>
      <c r="J62" s="5" t="b">
        <v>0</v>
      </c>
      <c r="K62" s="5" t="b">
        <v>0</v>
      </c>
      <c r="L62" s="5" t="b">
        <v>0</v>
      </c>
      <c r="M62" s="5" t="b">
        <v>0</v>
      </c>
      <c r="N62" s="5" t="b">
        <v>1</v>
      </c>
      <c r="O62" s="5" t="b">
        <v>0</v>
      </c>
    </row>
    <row r="63" spans="1:15" ht="15.95" customHeight="1" x14ac:dyDescent="0.25">
      <c r="A63" s="8">
        <v>43496.089733796296</v>
      </c>
      <c r="B63" s="5" t="s">
        <v>2405</v>
      </c>
      <c r="C63" s="5" t="s">
        <v>2406</v>
      </c>
      <c r="D63" s="5" t="s">
        <v>2407</v>
      </c>
      <c r="E63" s="5" t="s">
        <v>2404</v>
      </c>
      <c r="F63" s="5">
        <v>3.32</v>
      </c>
      <c r="G63" s="5">
        <v>3.8</v>
      </c>
      <c r="H63" s="5">
        <v>3.9</v>
      </c>
      <c r="I63" s="5">
        <v>1</v>
      </c>
      <c r="J63" s="5" t="b">
        <v>0</v>
      </c>
      <c r="K63" s="5" t="b">
        <v>0</v>
      </c>
      <c r="L63" s="5" t="b">
        <v>0</v>
      </c>
      <c r="M63" s="5" t="b">
        <v>0</v>
      </c>
      <c r="N63" s="5" t="b">
        <v>1</v>
      </c>
      <c r="O63" s="5" t="b">
        <v>0</v>
      </c>
    </row>
    <row r="64" spans="1:15" ht="15.95" customHeight="1" x14ac:dyDescent="0.25">
      <c r="A64" s="8">
        <v>43496.089745370373</v>
      </c>
      <c r="B64" s="5" t="s">
        <v>2405</v>
      </c>
      <c r="C64" s="5" t="s">
        <v>2406</v>
      </c>
      <c r="D64" s="5" t="s">
        <v>2433</v>
      </c>
      <c r="E64" s="5">
        <v>0</v>
      </c>
      <c r="F64" s="5">
        <v>3.32</v>
      </c>
      <c r="G64" s="5">
        <v>3.8</v>
      </c>
      <c r="H64" s="5">
        <v>3.9</v>
      </c>
      <c r="I64" s="5">
        <v>1</v>
      </c>
      <c r="J64" s="5" t="b">
        <v>0</v>
      </c>
      <c r="K64" s="5" t="b">
        <v>0</v>
      </c>
      <c r="L64" s="5" t="b">
        <v>0</v>
      </c>
      <c r="M64" s="5" t="b">
        <v>0</v>
      </c>
      <c r="N64" s="5" t="b">
        <v>1</v>
      </c>
      <c r="O64" s="5" t="b">
        <v>0</v>
      </c>
    </row>
    <row r="65" spans="1:15" ht="15.95" customHeight="1" x14ac:dyDescent="0.25">
      <c r="A65" s="8">
        <v>43496.089756944442</v>
      </c>
      <c r="B65" s="5" t="s">
        <v>2405</v>
      </c>
      <c r="C65" s="5" t="s">
        <v>2406</v>
      </c>
      <c r="D65" s="5" t="s">
        <v>2407</v>
      </c>
      <c r="E65" s="5" t="s">
        <v>2404</v>
      </c>
      <c r="F65" s="5">
        <v>3.32</v>
      </c>
      <c r="G65" s="5">
        <v>3.8</v>
      </c>
      <c r="H65" s="5">
        <v>3.9</v>
      </c>
      <c r="I65" s="5">
        <v>1</v>
      </c>
      <c r="J65" s="5" t="b">
        <v>0</v>
      </c>
      <c r="K65" s="5" t="b">
        <v>0</v>
      </c>
      <c r="L65" s="5" t="b">
        <v>0</v>
      </c>
      <c r="M65" s="5" t="b">
        <v>0</v>
      </c>
      <c r="N65" s="5" t="b">
        <v>1</v>
      </c>
      <c r="O65" s="5" t="b">
        <v>0</v>
      </c>
    </row>
    <row r="66" spans="1:15" ht="15.95" customHeight="1" x14ac:dyDescent="0.25">
      <c r="A66" s="8">
        <v>43496.090266203704</v>
      </c>
      <c r="B66" s="5" t="s">
        <v>2405</v>
      </c>
      <c r="C66" s="5" t="s">
        <v>2406</v>
      </c>
      <c r="D66" s="5" t="s">
        <v>2433</v>
      </c>
      <c r="E66" s="5">
        <v>0</v>
      </c>
      <c r="F66" s="5">
        <v>3.32</v>
      </c>
      <c r="G66" s="5">
        <v>3.8</v>
      </c>
      <c r="H66" s="5">
        <v>3.9</v>
      </c>
      <c r="I66" s="5">
        <v>1</v>
      </c>
      <c r="J66" s="5" t="b">
        <v>0</v>
      </c>
      <c r="K66" s="5" t="b">
        <v>0</v>
      </c>
      <c r="L66" s="5" t="b">
        <v>0</v>
      </c>
      <c r="M66" s="5" t="b">
        <v>0</v>
      </c>
      <c r="N66" s="5" t="b">
        <v>1</v>
      </c>
      <c r="O66" s="5" t="b">
        <v>0</v>
      </c>
    </row>
    <row r="67" spans="1:15" ht="15.95" customHeight="1" x14ac:dyDescent="0.25">
      <c r="A67" s="8">
        <v>43496.090289351851</v>
      </c>
      <c r="B67" s="5" t="s">
        <v>2405</v>
      </c>
      <c r="C67" s="5" t="s">
        <v>2406</v>
      </c>
      <c r="D67" s="5" t="s">
        <v>2407</v>
      </c>
      <c r="E67" s="5" t="s">
        <v>2404</v>
      </c>
      <c r="F67" s="5">
        <v>3.32</v>
      </c>
      <c r="G67" s="5">
        <v>3.8</v>
      </c>
      <c r="H67" s="5">
        <v>3.9</v>
      </c>
      <c r="I67" s="5">
        <v>1</v>
      </c>
      <c r="J67" s="5" t="b">
        <v>0</v>
      </c>
      <c r="K67" s="5" t="b">
        <v>0</v>
      </c>
      <c r="L67" s="5" t="b">
        <v>0</v>
      </c>
      <c r="M67" s="5" t="b">
        <v>0</v>
      </c>
      <c r="N67" s="5" t="b">
        <v>1</v>
      </c>
      <c r="O67" s="5" t="b">
        <v>0</v>
      </c>
    </row>
    <row r="68" spans="1:15" ht="15.95" customHeight="1" x14ac:dyDescent="0.25">
      <c r="A68" s="8">
        <v>43496.090682870374</v>
      </c>
      <c r="B68" s="5" t="s">
        <v>2405</v>
      </c>
      <c r="C68" s="5" t="s">
        <v>2406</v>
      </c>
      <c r="D68" s="5" t="s">
        <v>2407</v>
      </c>
      <c r="E68" s="5" t="s">
        <v>2508</v>
      </c>
      <c r="F68" s="5">
        <v>3.32</v>
      </c>
      <c r="G68" s="5">
        <v>3.8</v>
      </c>
      <c r="H68" s="5">
        <v>3.9</v>
      </c>
      <c r="I68" s="5">
        <v>1</v>
      </c>
      <c r="J68" s="5" t="b">
        <v>0</v>
      </c>
      <c r="K68" s="5" t="b">
        <v>0</v>
      </c>
      <c r="L68" s="5" t="b">
        <v>0</v>
      </c>
      <c r="M68" s="5" t="b">
        <v>0</v>
      </c>
      <c r="N68" s="5" t="b">
        <v>1</v>
      </c>
      <c r="O68" s="5" t="b">
        <v>0</v>
      </c>
    </row>
    <row r="69" spans="1:15" ht="15.95" customHeight="1" x14ac:dyDescent="0.25">
      <c r="A69" s="8">
        <v>43496.092372685183</v>
      </c>
      <c r="B69" s="5" t="s">
        <v>2405</v>
      </c>
      <c r="C69" s="5" t="s">
        <v>2406</v>
      </c>
      <c r="D69" s="5" t="s">
        <v>2433</v>
      </c>
      <c r="E69" s="5">
        <v>0</v>
      </c>
      <c r="F69" s="5">
        <v>3.32</v>
      </c>
      <c r="G69" s="5">
        <v>3.8</v>
      </c>
      <c r="H69" s="5">
        <v>3.9</v>
      </c>
      <c r="I69" s="5">
        <v>1</v>
      </c>
      <c r="J69" s="5" t="b">
        <v>0</v>
      </c>
      <c r="K69" s="5" t="b">
        <v>0</v>
      </c>
      <c r="L69" s="5" t="b">
        <v>0</v>
      </c>
      <c r="M69" s="5" t="b">
        <v>0</v>
      </c>
      <c r="N69" s="5" t="b">
        <v>1</v>
      </c>
      <c r="O69" s="5" t="b">
        <v>0</v>
      </c>
    </row>
    <row r="70" spans="1:15" ht="15.95" customHeight="1" x14ac:dyDescent="0.25">
      <c r="A70" s="8">
        <v>43496.09238425926</v>
      </c>
      <c r="B70" s="5" t="s">
        <v>2405</v>
      </c>
      <c r="C70" s="5" t="s">
        <v>2406</v>
      </c>
      <c r="D70" s="5" t="s">
        <v>2407</v>
      </c>
      <c r="E70" s="5" t="s">
        <v>2404</v>
      </c>
      <c r="F70" s="5">
        <v>3.32</v>
      </c>
      <c r="G70" s="5">
        <v>3.8</v>
      </c>
      <c r="H70" s="5">
        <v>3.9</v>
      </c>
      <c r="I70" s="5">
        <v>1</v>
      </c>
      <c r="J70" s="5" t="b">
        <v>0</v>
      </c>
      <c r="K70" s="5" t="b">
        <v>0</v>
      </c>
      <c r="L70" s="5" t="b">
        <v>0</v>
      </c>
      <c r="M70" s="5" t="b">
        <v>0</v>
      </c>
      <c r="N70" s="5" t="b">
        <v>1</v>
      </c>
      <c r="O70" s="5" t="b">
        <v>0</v>
      </c>
    </row>
    <row r="71" spans="1:15" ht="15.95" customHeight="1" x14ac:dyDescent="0.25">
      <c r="A71" s="8">
        <v>43496.093124999999</v>
      </c>
      <c r="B71" s="5" t="s">
        <v>2405</v>
      </c>
      <c r="C71" s="5" t="s">
        <v>2406</v>
      </c>
      <c r="D71" s="5" t="s">
        <v>2433</v>
      </c>
      <c r="E71" s="5">
        <v>0</v>
      </c>
      <c r="F71" s="5">
        <v>3.32</v>
      </c>
      <c r="G71" s="5">
        <v>3.8</v>
      </c>
      <c r="H71" s="5">
        <v>3.9</v>
      </c>
      <c r="I71" s="5">
        <v>1</v>
      </c>
      <c r="J71" s="5" t="b">
        <v>0</v>
      </c>
      <c r="K71" s="5" t="b">
        <v>0</v>
      </c>
      <c r="L71" s="5" t="b">
        <v>0</v>
      </c>
      <c r="M71" s="5" t="b">
        <v>0</v>
      </c>
      <c r="N71" s="5" t="b">
        <v>1</v>
      </c>
      <c r="O71" s="5" t="b">
        <v>0</v>
      </c>
    </row>
    <row r="72" spans="1:15" ht="15.95" customHeight="1" x14ac:dyDescent="0.25">
      <c r="A72" s="8">
        <v>43496.093136574076</v>
      </c>
      <c r="B72" s="5" t="s">
        <v>2405</v>
      </c>
      <c r="C72" s="5" t="s">
        <v>2406</v>
      </c>
      <c r="D72" s="5" t="s">
        <v>2407</v>
      </c>
      <c r="E72" s="5" t="s">
        <v>2404</v>
      </c>
      <c r="F72" s="5">
        <v>3.32</v>
      </c>
      <c r="G72" s="5">
        <v>3.8</v>
      </c>
      <c r="H72" s="5">
        <v>3.9</v>
      </c>
      <c r="I72" s="5">
        <v>1</v>
      </c>
      <c r="J72" s="5" t="b">
        <v>0</v>
      </c>
      <c r="K72" s="5" t="b">
        <v>0</v>
      </c>
      <c r="L72" s="5" t="b">
        <v>0</v>
      </c>
      <c r="M72" s="5" t="b">
        <v>0</v>
      </c>
      <c r="N72" s="5" t="b">
        <v>1</v>
      </c>
      <c r="O72" s="5" t="b">
        <v>0</v>
      </c>
    </row>
    <row r="73" spans="1:15" ht="15.95" customHeight="1" x14ac:dyDescent="0.25">
      <c r="A73" s="8">
        <v>43496.095578703702</v>
      </c>
      <c r="B73" s="5" t="s">
        <v>2405</v>
      </c>
      <c r="C73" s="5" t="s">
        <v>2406</v>
      </c>
      <c r="D73" s="5" t="s">
        <v>2433</v>
      </c>
      <c r="E73" s="5">
        <v>0</v>
      </c>
      <c r="F73" s="5">
        <v>3.32</v>
      </c>
      <c r="G73" s="5">
        <v>3.8</v>
      </c>
      <c r="H73" s="5">
        <v>3.9</v>
      </c>
      <c r="I73" s="5">
        <v>1</v>
      </c>
      <c r="J73" s="5" t="b">
        <v>0</v>
      </c>
      <c r="K73" s="5" t="b">
        <v>0</v>
      </c>
      <c r="L73" s="5" t="b">
        <v>0</v>
      </c>
      <c r="M73" s="5" t="b">
        <v>0</v>
      </c>
      <c r="N73" s="5" t="b">
        <v>1</v>
      </c>
      <c r="O73" s="5" t="b">
        <v>0</v>
      </c>
    </row>
    <row r="74" spans="1:15" ht="15.95" customHeight="1" x14ac:dyDescent="0.25">
      <c r="A74" s="8">
        <v>43496.095590277779</v>
      </c>
      <c r="B74" s="5" t="s">
        <v>2405</v>
      </c>
      <c r="C74" s="5" t="s">
        <v>2406</v>
      </c>
      <c r="D74" s="5" t="s">
        <v>2407</v>
      </c>
      <c r="E74" s="5" t="s">
        <v>2404</v>
      </c>
      <c r="F74" s="5">
        <v>3.32</v>
      </c>
      <c r="G74" s="5">
        <v>3.8</v>
      </c>
      <c r="H74" s="5">
        <v>3.9</v>
      </c>
      <c r="I74" s="5">
        <v>1</v>
      </c>
      <c r="J74" s="5" t="b">
        <v>0</v>
      </c>
      <c r="K74" s="5" t="b">
        <v>0</v>
      </c>
      <c r="L74" s="5" t="b">
        <v>0</v>
      </c>
      <c r="M74" s="5" t="b">
        <v>0</v>
      </c>
      <c r="N74" s="5" t="b">
        <v>1</v>
      </c>
      <c r="O74" s="5" t="b">
        <v>0</v>
      </c>
    </row>
    <row r="75" spans="1:15" ht="15.95" customHeight="1" x14ac:dyDescent="0.25">
      <c r="A75" s="8">
        <v>43496.095613425925</v>
      </c>
      <c r="B75" s="5" t="s">
        <v>2405</v>
      </c>
      <c r="C75" s="5" t="s">
        <v>2406</v>
      </c>
      <c r="D75" s="5" t="s">
        <v>2433</v>
      </c>
      <c r="E75" s="5">
        <v>0</v>
      </c>
      <c r="F75" s="5">
        <v>3.32</v>
      </c>
      <c r="G75" s="5">
        <v>3.8</v>
      </c>
      <c r="H75" s="5">
        <v>3.9</v>
      </c>
      <c r="I75" s="5">
        <v>1</v>
      </c>
      <c r="J75" s="5" t="b">
        <v>0</v>
      </c>
      <c r="K75" s="5" t="b">
        <v>0</v>
      </c>
      <c r="L75" s="5" t="b">
        <v>0</v>
      </c>
      <c r="M75" s="5" t="b">
        <v>0</v>
      </c>
      <c r="N75" s="5" t="b">
        <v>1</v>
      </c>
      <c r="O75" s="5" t="b">
        <v>0</v>
      </c>
    </row>
    <row r="76" spans="1:15" ht="15.95" customHeight="1" x14ac:dyDescent="0.25">
      <c r="A76" s="8">
        <v>43496.095625000002</v>
      </c>
      <c r="B76" s="5" t="s">
        <v>2405</v>
      </c>
      <c r="C76" s="5" t="s">
        <v>2406</v>
      </c>
      <c r="D76" s="5" t="s">
        <v>2407</v>
      </c>
      <c r="E76" s="5" t="s">
        <v>2404</v>
      </c>
      <c r="F76" s="5">
        <v>3.32</v>
      </c>
      <c r="G76" s="5">
        <v>3.8</v>
      </c>
      <c r="H76" s="5">
        <v>3.9</v>
      </c>
      <c r="I76" s="5">
        <v>1</v>
      </c>
      <c r="J76" s="5" t="b">
        <v>0</v>
      </c>
      <c r="K76" s="5" t="b">
        <v>0</v>
      </c>
      <c r="L76" s="5" t="b">
        <v>0</v>
      </c>
      <c r="M76" s="5" t="b">
        <v>0</v>
      </c>
      <c r="N76" s="5" t="b">
        <v>1</v>
      </c>
      <c r="O76" s="5" t="b">
        <v>0</v>
      </c>
    </row>
    <row r="77" spans="1:15" ht="15.95" customHeight="1" x14ac:dyDescent="0.25">
      <c r="A77" s="8">
        <v>43496.095648148148</v>
      </c>
      <c r="B77" s="5" t="s">
        <v>2405</v>
      </c>
      <c r="C77" s="5" t="s">
        <v>2406</v>
      </c>
      <c r="D77" s="5" t="s">
        <v>2433</v>
      </c>
      <c r="E77" s="5">
        <v>0</v>
      </c>
      <c r="F77" s="5">
        <v>3.32</v>
      </c>
      <c r="G77" s="5">
        <v>3.8</v>
      </c>
      <c r="H77" s="5">
        <v>3.9</v>
      </c>
      <c r="I77" s="5">
        <v>1</v>
      </c>
      <c r="J77" s="5" t="b">
        <v>0</v>
      </c>
      <c r="K77" s="5" t="b">
        <v>0</v>
      </c>
      <c r="L77" s="5" t="b">
        <v>0</v>
      </c>
      <c r="M77" s="5" t="b">
        <v>0</v>
      </c>
      <c r="N77" s="5" t="b">
        <v>1</v>
      </c>
      <c r="O77" s="5" t="b">
        <v>0</v>
      </c>
    </row>
    <row r="78" spans="1:15" ht="15.95" customHeight="1" x14ac:dyDescent="0.25">
      <c r="A78" s="8">
        <v>43496.095648148148</v>
      </c>
      <c r="B78" s="5" t="s">
        <v>2405</v>
      </c>
      <c r="C78" s="5" t="s">
        <v>2406</v>
      </c>
      <c r="D78" s="5" t="s">
        <v>2407</v>
      </c>
      <c r="E78" s="5" t="s">
        <v>2404</v>
      </c>
      <c r="F78" s="5">
        <v>3.32</v>
      </c>
      <c r="G78" s="5">
        <v>3.8</v>
      </c>
      <c r="H78" s="5">
        <v>3.9</v>
      </c>
      <c r="I78" s="5">
        <v>1</v>
      </c>
      <c r="J78" s="5" t="b">
        <v>0</v>
      </c>
      <c r="K78" s="5" t="b">
        <v>0</v>
      </c>
      <c r="L78" s="5" t="b">
        <v>0</v>
      </c>
      <c r="M78" s="5" t="b">
        <v>0</v>
      </c>
      <c r="N78" s="5" t="b">
        <v>1</v>
      </c>
      <c r="O78" s="5" t="b">
        <v>0</v>
      </c>
    </row>
    <row r="79" spans="1:15" ht="15.95" customHeight="1" x14ac:dyDescent="0.25">
      <c r="A79" s="8">
        <v>43496.095671296294</v>
      </c>
      <c r="B79" s="5" t="s">
        <v>2405</v>
      </c>
      <c r="C79" s="5" t="s">
        <v>2406</v>
      </c>
      <c r="D79" s="5" t="s">
        <v>2433</v>
      </c>
      <c r="E79" s="5">
        <v>0</v>
      </c>
      <c r="F79" s="5">
        <v>3.32</v>
      </c>
      <c r="G79" s="5">
        <v>3.8</v>
      </c>
      <c r="H79" s="5">
        <v>3.9</v>
      </c>
      <c r="I79" s="5">
        <v>1</v>
      </c>
      <c r="J79" s="5" t="b">
        <v>0</v>
      </c>
      <c r="K79" s="5" t="b">
        <v>0</v>
      </c>
      <c r="L79" s="5" t="b">
        <v>0</v>
      </c>
      <c r="M79" s="5" t="b">
        <v>0</v>
      </c>
      <c r="N79" s="5" t="b">
        <v>1</v>
      </c>
      <c r="O79" s="5" t="b">
        <v>0</v>
      </c>
    </row>
    <row r="80" spans="1:15" ht="15.95" customHeight="1" x14ac:dyDescent="0.25">
      <c r="A80" s="8">
        <v>43496.095682870371</v>
      </c>
      <c r="B80" s="5" t="s">
        <v>2405</v>
      </c>
      <c r="C80" s="5" t="s">
        <v>2406</v>
      </c>
      <c r="D80" s="5" t="s">
        <v>2407</v>
      </c>
      <c r="E80" s="5" t="s">
        <v>2404</v>
      </c>
      <c r="F80" s="5">
        <v>3.32</v>
      </c>
      <c r="G80" s="5">
        <v>3.8</v>
      </c>
      <c r="H80" s="5">
        <v>3.9</v>
      </c>
      <c r="I80" s="5">
        <v>1</v>
      </c>
      <c r="J80" s="5" t="b">
        <v>0</v>
      </c>
      <c r="K80" s="5" t="b">
        <v>0</v>
      </c>
      <c r="L80" s="5" t="b">
        <v>0</v>
      </c>
      <c r="M80" s="5" t="b">
        <v>0</v>
      </c>
      <c r="N80" s="5" t="b">
        <v>1</v>
      </c>
      <c r="O80" s="5" t="b">
        <v>0</v>
      </c>
    </row>
    <row r="81" spans="1:15" ht="15.95" customHeight="1" x14ac:dyDescent="0.25">
      <c r="A81" s="8">
        <v>43496.095706018517</v>
      </c>
      <c r="B81" s="5" t="s">
        <v>2405</v>
      </c>
      <c r="C81" s="5" t="s">
        <v>2406</v>
      </c>
      <c r="D81" s="5" t="s">
        <v>2433</v>
      </c>
      <c r="E81" s="5">
        <v>0</v>
      </c>
      <c r="F81" s="5">
        <v>3.32</v>
      </c>
      <c r="G81" s="5">
        <v>3.8</v>
      </c>
      <c r="H81" s="5">
        <v>3.9</v>
      </c>
      <c r="I81" s="5">
        <v>1</v>
      </c>
      <c r="J81" s="5" t="b">
        <v>0</v>
      </c>
      <c r="K81" s="5" t="b">
        <v>0</v>
      </c>
      <c r="L81" s="5" t="b">
        <v>0</v>
      </c>
      <c r="M81" s="5" t="b">
        <v>0</v>
      </c>
      <c r="N81" s="5" t="b">
        <v>1</v>
      </c>
      <c r="O81" s="5" t="b">
        <v>0</v>
      </c>
    </row>
    <row r="82" spans="1:15" ht="15.95" customHeight="1" x14ac:dyDescent="0.25">
      <c r="A82" s="8">
        <v>43496.095706018517</v>
      </c>
      <c r="B82" s="5" t="s">
        <v>2405</v>
      </c>
      <c r="C82" s="5" t="s">
        <v>2406</v>
      </c>
      <c r="D82" s="5" t="s">
        <v>2407</v>
      </c>
      <c r="E82" s="5" t="s">
        <v>2404</v>
      </c>
      <c r="F82" s="5">
        <v>3.32</v>
      </c>
      <c r="G82" s="5">
        <v>3.8</v>
      </c>
      <c r="H82" s="5">
        <v>3.9</v>
      </c>
      <c r="I82" s="5">
        <v>1</v>
      </c>
      <c r="J82" s="5" t="b">
        <v>0</v>
      </c>
      <c r="K82" s="5" t="b">
        <v>0</v>
      </c>
      <c r="L82" s="5" t="b">
        <v>0</v>
      </c>
      <c r="M82" s="5" t="b">
        <v>0</v>
      </c>
      <c r="N82" s="5" t="b">
        <v>1</v>
      </c>
      <c r="O82" s="5" t="b">
        <v>0</v>
      </c>
    </row>
    <row r="83" spans="1:15" ht="15.95" customHeight="1" x14ac:dyDescent="0.25">
      <c r="A83" s="8">
        <v>43496.095729166664</v>
      </c>
      <c r="B83" s="5" t="s">
        <v>2405</v>
      </c>
      <c r="C83" s="5" t="s">
        <v>2406</v>
      </c>
      <c r="D83" s="5" t="s">
        <v>2433</v>
      </c>
      <c r="E83" s="5">
        <v>0</v>
      </c>
      <c r="F83" s="5">
        <v>3.32</v>
      </c>
      <c r="G83" s="5">
        <v>3.8</v>
      </c>
      <c r="H83" s="5">
        <v>3.9</v>
      </c>
      <c r="I83" s="5">
        <v>1</v>
      </c>
      <c r="J83" s="5" t="b">
        <v>0</v>
      </c>
      <c r="K83" s="5" t="b">
        <v>0</v>
      </c>
      <c r="L83" s="5" t="b">
        <v>0</v>
      </c>
      <c r="M83" s="5" t="b">
        <v>0</v>
      </c>
      <c r="N83" s="5" t="b">
        <v>1</v>
      </c>
      <c r="O83" s="5" t="b">
        <v>0</v>
      </c>
    </row>
    <row r="84" spans="1:15" ht="15.95" customHeight="1" x14ac:dyDescent="0.25">
      <c r="A84" s="8">
        <v>43496.09574074074</v>
      </c>
      <c r="B84" s="5" t="s">
        <v>2405</v>
      </c>
      <c r="C84" s="5" t="s">
        <v>2406</v>
      </c>
      <c r="D84" s="5" t="s">
        <v>2407</v>
      </c>
      <c r="E84" s="5" t="s">
        <v>2404</v>
      </c>
      <c r="F84" s="5">
        <v>3.32</v>
      </c>
      <c r="G84" s="5">
        <v>3.8</v>
      </c>
      <c r="H84" s="5">
        <v>3.9</v>
      </c>
      <c r="I84" s="5">
        <v>1</v>
      </c>
      <c r="J84" s="5" t="b">
        <v>0</v>
      </c>
      <c r="K84" s="5" t="b">
        <v>0</v>
      </c>
      <c r="L84" s="5" t="b">
        <v>0</v>
      </c>
      <c r="M84" s="5" t="b">
        <v>0</v>
      </c>
      <c r="N84" s="5" t="b">
        <v>1</v>
      </c>
      <c r="O84" s="5" t="b">
        <v>0</v>
      </c>
    </row>
    <row r="85" spans="1:15" ht="15.95" customHeight="1" x14ac:dyDescent="0.25">
      <c r="A85" s="8">
        <v>43496.095752314817</v>
      </c>
      <c r="B85" s="5" t="s">
        <v>2405</v>
      </c>
      <c r="C85" s="5" t="s">
        <v>2406</v>
      </c>
      <c r="D85" s="5" t="s">
        <v>2433</v>
      </c>
      <c r="E85" s="5">
        <v>0</v>
      </c>
      <c r="F85" s="5">
        <v>3.32</v>
      </c>
      <c r="G85" s="5">
        <v>3.8</v>
      </c>
      <c r="H85" s="5">
        <v>3.9</v>
      </c>
      <c r="I85" s="5">
        <v>1</v>
      </c>
      <c r="J85" s="5" t="b">
        <v>0</v>
      </c>
      <c r="K85" s="5" t="b">
        <v>0</v>
      </c>
      <c r="L85" s="5" t="b">
        <v>0</v>
      </c>
      <c r="M85" s="5" t="b">
        <v>0</v>
      </c>
      <c r="N85" s="5" t="b">
        <v>1</v>
      </c>
      <c r="O85" s="5" t="b">
        <v>0</v>
      </c>
    </row>
    <row r="86" spans="1:15" ht="15.95" customHeight="1" x14ac:dyDescent="0.25">
      <c r="A86" s="8">
        <v>43496.095763888887</v>
      </c>
      <c r="B86" s="5" t="s">
        <v>2405</v>
      </c>
      <c r="C86" s="5" t="s">
        <v>2406</v>
      </c>
      <c r="D86" s="5" t="s">
        <v>2407</v>
      </c>
      <c r="E86" s="5" t="s">
        <v>2404</v>
      </c>
      <c r="F86" s="5">
        <v>3.32</v>
      </c>
      <c r="G86" s="5">
        <v>3.8</v>
      </c>
      <c r="H86" s="5">
        <v>3.9</v>
      </c>
      <c r="I86" s="5">
        <v>1</v>
      </c>
      <c r="J86" s="5" t="b">
        <v>0</v>
      </c>
      <c r="K86" s="5" t="b">
        <v>0</v>
      </c>
      <c r="L86" s="5" t="b">
        <v>0</v>
      </c>
      <c r="M86" s="5" t="b">
        <v>0</v>
      </c>
      <c r="N86" s="5" t="b">
        <v>1</v>
      </c>
      <c r="O86" s="5" t="b">
        <v>0</v>
      </c>
    </row>
    <row r="87" spans="1:15" ht="15.95" customHeight="1" x14ac:dyDescent="0.25">
      <c r="A87" s="8">
        <v>43496.09578703704</v>
      </c>
      <c r="B87" s="5" t="s">
        <v>2405</v>
      </c>
      <c r="C87" s="5" t="s">
        <v>2406</v>
      </c>
      <c r="D87" s="5" t="s">
        <v>2433</v>
      </c>
      <c r="E87" s="5">
        <v>0</v>
      </c>
      <c r="F87" s="5">
        <v>3.32</v>
      </c>
      <c r="G87" s="5">
        <v>3.8</v>
      </c>
      <c r="H87" s="5">
        <v>3.9</v>
      </c>
      <c r="I87" s="5">
        <v>1</v>
      </c>
      <c r="J87" s="5" t="b">
        <v>0</v>
      </c>
      <c r="K87" s="5" t="b">
        <v>0</v>
      </c>
      <c r="L87" s="5" t="b">
        <v>0</v>
      </c>
      <c r="M87" s="5" t="b">
        <v>0</v>
      </c>
      <c r="N87" s="5" t="b">
        <v>1</v>
      </c>
      <c r="O87" s="5" t="b">
        <v>0</v>
      </c>
    </row>
    <row r="88" spans="1:15" ht="15.95" customHeight="1" x14ac:dyDescent="0.25">
      <c r="A88" s="8">
        <v>43496.09578703704</v>
      </c>
      <c r="B88" s="5" t="s">
        <v>2405</v>
      </c>
      <c r="C88" s="5" t="s">
        <v>2406</v>
      </c>
      <c r="D88" s="5" t="s">
        <v>2407</v>
      </c>
      <c r="E88" s="5" t="s">
        <v>2404</v>
      </c>
      <c r="F88" s="5">
        <v>3.32</v>
      </c>
      <c r="G88" s="5">
        <v>3.8</v>
      </c>
      <c r="H88" s="5">
        <v>3.9</v>
      </c>
      <c r="I88" s="5">
        <v>1</v>
      </c>
      <c r="J88" s="5" t="b">
        <v>0</v>
      </c>
      <c r="K88" s="5" t="b">
        <v>0</v>
      </c>
      <c r="L88" s="5" t="b">
        <v>0</v>
      </c>
      <c r="M88" s="5" t="b">
        <v>0</v>
      </c>
      <c r="N88" s="5" t="b">
        <v>1</v>
      </c>
      <c r="O88" s="5" t="b">
        <v>0</v>
      </c>
    </row>
    <row r="89" spans="1:15" ht="15.95" customHeight="1" x14ac:dyDescent="0.25">
      <c r="A89" s="8">
        <v>43496.09579861111</v>
      </c>
      <c r="B89" s="5" t="s">
        <v>2405</v>
      </c>
      <c r="C89" s="5" t="s">
        <v>2406</v>
      </c>
      <c r="D89" s="5" t="s">
        <v>2433</v>
      </c>
      <c r="E89" s="5">
        <v>0</v>
      </c>
      <c r="F89" s="5">
        <v>3.32</v>
      </c>
      <c r="G89" s="5">
        <v>3.8</v>
      </c>
      <c r="H89" s="5">
        <v>3.9</v>
      </c>
      <c r="I89" s="5">
        <v>1</v>
      </c>
      <c r="J89" s="5" t="b">
        <v>0</v>
      </c>
      <c r="K89" s="5" t="b">
        <v>0</v>
      </c>
      <c r="L89" s="5" t="b">
        <v>0</v>
      </c>
      <c r="M89" s="5" t="b">
        <v>0</v>
      </c>
      <c r="N89" s="5" t="b">
        <v>1</v>
      </c>
      <c r="O89" s="5" t="b">
        <v>0</v>
      </c>
    </row>
    <row r="90" spans="1:15" ht="15.95" customHeight="1" x14ac:dyDescent="0.25">
      <c r="A90" s="8">
        <v>43496.09579861111</v>
      </c>
      <c r="B90" s="5" t="s">
        <v>2405</v>
      </c>
      <c r="C90" s="5" t="s">
        <v>2406</v>
      </c>
      <c r="D90" s="5" t="s">
        <v>2407</v>
      </c>
      <c r="E90" s="5" t="s">
        <v>2404</v>
      </c>
      <c r="F90" s="5">
        <v>3.32</v>
      </c>
      <c r="G90" s="5">
        <v>3.8</v>
      </c>
      <c r="H90" s="5">
        <v>3.9</v>
      </c>
      <c r="I90" s="5">
        <v>1</v>
      </c>
      <c r="J90" s="5" t="b">
        <v>0</v>
      </c>
      <c r="K90" s="5" t="b">
        <v>0</v>
      </c>
      <c r="L90" s="5" t="b">
        <v>0</v>
      </c>
      <c r="M90" s="5" t="b">
        <v>0</v>
      </c>
      <c r="N90" s="5" t="b">
        <v>1</v>
      </c>
      <c r="O90" s="5" t="b">
        <v>0</v>
      </c>
    </row>
    <row r="91" spans="1:15" ht="15.95" customHeight="1" x14ac:dyDescent="0.25">
      <c r="A91" s="8">
        <v>43496.097870370373</v>
      </c>
      <c r="B91" s="5" t="s">
        <v>2405</v>
      </c>
      <c r="C91" s="5" t="s">
        <v>2406</v>
      </c>
      <c r="D91" s="5" t="s">
        <v>2433</v>
      </c>
      <c r="E91" s="5">
        <v>0</v>
      </c>
      <c r="F91" s="5">
        <v>3.32</v>
      </c>
      <c r="G91" s="5">
        <v>3.8</v>
      </c>
      <c r="H91" s="5">
        <v>3.9</v>
      </c>
      <c r="I91" s="5">
        <v>1</v>
      </c>
      <c r="J91" s="5" t="b">
        <v>0</v>
      </c>
      <c r="K91" s="5" t="b">
        <v>0</v>
      </c>
      <c r="L91" s="5" t="b">
        <v>0</v>
      </c>
      <c r="M91" s="5" t="b">
        <v>0</v>
      </c>
      <c r="N91" s="5" t="b">
        <v>1</v>
      </c>
      <c r="O91" s="5" t="b">
        <v>0</v>
      </c>
    </row>
    <row r="92" spans="1:15" ht="15.95" customHeight="1" x14ac:dyDescent="0.25">
      <c r="A92" s="8">
        <v>43496.097881944443</v>
      </c>
      <c r="B92" s="5" t="s">
        <v>2405</v>
      </c>
      <c r="C92" s="5" t="s">
        <v>2406</v>
      </c>
      <c r="D92" s="5" t="s">
        <v>2407</v>
      </c>
      <c r="E92" s="5" t="s">
        <v>2404</v>
      </c>
      <c r="F92" s="5">
        <v>3.32</v>
      </c>
      <c r="G92" s="5">
        <v>3.8</v>
      </c>
      <c r="H92" s="5">
        <v>3.9</v>
      </c>
      <c r="I92" s="5">
        <v>1</v>
      </c>
      <c r="J92" s="5" t="b">
        <v>0</v>
      </c>
      <c r="K92" s="5" t="b">
        <v>0</v>
      </c>
      <c r="L92" s="5" t="b">
        <v>0</v>
      </c>
      <c r="M92" s="5" t="b">
        <v>0</v>
      </c>
      <c r="N92" s="5" t="b">
        <v>1</v>
      </c>
      <c r="O92" s="5" t="b">
        <v>0</v>
      </c>
    </row>
    <row r="93" spans="1:15" ht="15.95" customHeight="1" x14ac:dyDescent="0.25">
      <c r="A93" s="8">
        <v>43496.097905092596</v>
      </c>
      <c r="B93" s="5" t="s">
        <v>2405</v>
      </c>
      <c r="C93" s="5" t="s">
        <v>2406</v>
      </c>
      <c r="D93" s="5" t="s">
        <v>2433</v>
      </c>
      <c r="E93" s="5">
        <v>0</v>
      </c>
      <c r="F93" s="5">
        <v>3.32</v>
      </c>
      <c r="G93" s="5">
        <v>3.8</v>
      </c>
      <c r="H93" s="5">
        <v>3.9</v>
      </c>
      <c r="I93" s="5">
        <v>1</v>
      </c>
      <c r="J93" s="5" t="b">
        <v>0</v>
      </c>
      <c r="K93" s="5" t="b">
        <v>0</v>
      </c>
      <c r="L93" s="5" t="b">
        <v>0</v>
      </c>
      <c r="M93" s="5" t="b">
        <v>0</v>
      </c>
      <c r="N93" s="5" t="b">
        <v>1</v>
      </c>
      <c r="O93" s="5" t="b">
        <v>0</v>
      </c>
    </row>
    <row r="94" spans="1:15" ht="15.95" customHeight="1" x14ac:dyDescent="0.25">
      <c r="A94" s="8">
        <v>43496.097905092596</v>
      </c>
      <c r="B94" s="5" t="s">
        <v>2405</v>
      </c>
      <c r="C94" s="5" t="s">
        <v>2406</v>
      </c>
      <c r="D94" s="5" t="s">
        <v>2407</v>
      </c>
      <c r="E94" s="5" t="s">
        <v>2404</v>
      </c>
      <c r="F94" s="5">
        <v>3.32</v>
      </c>
      <c r="G94" s="5">
        <v>3.8</v>
      </c>
      <c r="H94" s="5">
        <v>3.9</v>
      </c>
      <c r="I94" s="5">
        <v>1</v>
      </c>
      <c r="J94" s="5" t="b">
        <v>0</v>
      </c>
      <c r="K94" s="5" t="b">
        <v>0</v>
      </c>
      <c r="L94" s="5" t="b">
        <v>0</v>
      </c>
      <c r="M94" s="5" t="b">
        <v>0</v>
      </c>
      <c r="N94" s="5" t="b">
        <v>1</v>
      </c>
      <c r="O94" s="5" t="b">
        <v>0</v>
      </c>
    </row>
    <row r="95" spans="1:15" ht="15.95" customHeight="1" x14ac:dyDescent="0.25">
      <c r="A95" s="8">
        <v>43496.097928240742</v>
      </c>
      <c r="B95" s="5" t="s">
        <v>2405</v>
      </c>
      <c r="C95" s="5" t="s">
        <v>2406</v>
      </c>
      <c r="D95" s="5" t="s">
        <v>2433</v>
      </c>
      <c r="E95" s="5">
        <v>0</v>
      </c>
      <c r="F95" s="5">
        <v>3.32</v>
      </c>
      <c r="G95" s="5">
        <v>3.8</v>
      </c>
      <c r="H95" s="5">
        <v>3.9</v>
      </c>
      <c r="I95" s="5">
        <v>1</v>
      </c>
      <c r="J95" s="5" t="b">
        <v>0</v>
      </c>
      <c r="K95" s="5" t="b">
        <v>0</v>
      </c>
      <c r="L95" s="5" t="b">
        <v>0</v>
      </c>
      <c r="M95" s="5" t="b">
        <v>0</v>
      </c>
      <c r="N95" s="5" t="b">
        <v>1</v>
      </c>
      <c r="O95" s="5" t="b">
        <v>0</v>
      </c>
    </row>
    <row r="96" spans="1:15" ht="15.95" customHeight="1" x14ac:dyDescent="0.25">
      <c r="A96" s="8">
        <v>43496.097939814812</v>
      </c>
      <c r="B96" s="5" t="s">
        <v>2405</v>
      </c>
      <c r="C96" s="5" t="s">
        <v>2406</v>
      </c>
      <c r="D96" s="5" t="s">
        <v>2407</v>
      </c>
      <c r="E96" s="5" t="s">
        <v>2404</v>
      </c>
      <c r="F96" s="5">
        <v>3.32</v>
      </c>
      <c r="G96" s="5">
        <v>3.8</v>
      </c>
      <c r="H96" s="5">
        <v>3.9</v>
      </c>
      <c r="I96" s="5">
        <v>1</v>
      </c>
      <c r="J96" s="5" t="b">
        <v>0</v>
      </c>
      <c r="K96" s="5" t="b">
        <v>0</v>
      </c>
      <c r="L96" s="5" t="b">
        <v>0</v>
      </c>
      <c r="M96" s="5" t="b">
        <v>0</v>
      </c>
      <c r="N96" s="5" t="b">
        <v>1</v>
      </c>
      <c r="O96" s="5" t="b">
        <v>0</v>
      </c>
    </row>
    <row r="97" spans="1:15" ht="15.95" customHeight="1" x14ac:dyDescent="0.25">
      <c r="A97" s="8">
        <v>43496.097962962966</v>
      </c>
      <c r="B97" s="5" t="s">
        <v>2405</v>
      </c>
      <c r="C97" s="5" t="s">
        <v>2406</v>
      </c>
      <c r="D97" s="5" t="s">
        <v>2433</v>
      </c>
      <c r="E97" s="5">
        <v>0</v>
      </c>
      <c r="F97" s="5">
        <v>3.32</v>
      </c>
      <c r="G97" s="5">
        <v>3.8</v>
      </c>
      <c r="H97" s="5">
        <v>3.9</v>
      </c>
      <c r="I97" s="5">
        <v>1</v>
      </c>
      <c r="J97" s="5" t="b">
        <v>0</v>
      </c>
      <c r="K97" s="5" t="b">
        <v>0</v>
      </c>
      <c r="L97" s="5" t="b">
        <v>0</v>
      </c>
      <c r="M97" s="5" t="b">
        <v>0</v>
      </c>
      <c r="N97" s="5" t="b">
        <v>1</v>
      </c>
      <c r="O97" s="5" t="b">
        <v>0</v>
      </c>
    </row>
    <row r="98" spans="1:15" ht="15.95" customHeight="1" x14ac:dyDescent="0.25">
      <c r="A98" s="8">
        <v>43496.097962962966</v>
      </c>
      <c r="B98" s="5" t="s">
        <v>2405</v>
      </c>
      <c r="C98" s="5" t="s">
        <v>2406</v>
      </c>
      <c r="D98" s="5" t="s">
        <v>2407</v>
      </c>
      <c r="E98" s="5" t="s">
        <v>2404</v>
      </c>
      <c r="F98" s="5">
        <v>3.32</v>
      </c>
      <c r="G98" s="5">
        <v>3.8</v>
      </c>
      <c r="H98" s="5">
        <v>3.9</v>
      </c>
      <c r="I98" s="5">
        <v>1</v>
      </c>
      <c r="J98" s="5" t="b">
        <v>0</v>
      </c>
      <c r="K98" s="5" t="b">
        <v>0</v>
      </c>
      <c r="L98" s="5" t="b">
        <v>0</v>
      </c>
      <c r="M98" s="5" t="b">
        <v>0</v>
      </c>
      <c r="N98" s="5" t="b">
        <v>1</v>
      </c>
      <c r="O98" s="5" t="b">
        <v>0</v>
      </c>
    </row>
    <row r="99" spans="1:15" ht="15.95" customHeight="1" x14ac:dyDescent="0.25">
      <c r="A99" s="8">
        <v>43496.097986111112</v>
      </c>
      <c r="B99" s="5" t="s">
        <v>2405</v>
      </c>
      <c r="C99" s="5" t="s">
        <v>2406</v>
      </c>
      <c r="D99" s="5" t="s">
        <v>2433</v>
      </c>
      <c r="E99" s="5">
        <v>0</v>
      </c>
      <c r="F99" s="5">
        <v>3.32</v>
      </c>
      <c r="G99" s="5">
        <v>3.8</v>
      </c>
      <c r="H99" s="5">
        <v>3.9</v>
      </c>
      <c r="I99" s="5">
        <v>1</v>
      </c>
      <c r="J99" s="5" t="b">
        <v>0</v>
      </c>
      <c r="K99" s="5" t="b">
        <v>0</v>
      </c>
      <c r="L99" s="5" t="b">
        <v>0</v>
      </c>
      <c r="M99" s="5" t="b">
        <v>0</v>
      </c>
      <c r="N99" s="5" t="b">
        <v>1</v>
      </c>
      <c r="O99" s="5" t="b">
        <v>0</v>
      </c>
    </row>
    <row r="100" spans="1:15" ht="15.95" customHeight="1" x14ac:dyDescent="0.25">
      <c r="A100" s="8">
        <v>43496.097997685189</v>
      </c>
      <c r="B100" s="5" t="s">
        <v>2405</v>
      </c>
      <c r="C100" s="5" t="s">
        <v>2406</v>
      </c>
      <c r="D100" s="5" t="s">
        <v>2407</v>
      </c>
      <c r="E100" s="5" t="s">
        <v>2404</v>
      </c>
      <c r="F100" s="5">
        <v>3.32</v>
      </c>
      <c r="G100" s="5">
        <v>3.8</v>
      </c>
      <c r="H100" s="5">
        <v>3.9</v>
      </c>
      <c r="I100" s="5">
        <v>1</v>
      </c>
      <c r="J100" s="5" t="b">
        <v>0</v>
      </c>
      <c r="K100" s="5" t="b">
        <v>0</v>
      </c>
      <c r="L100" s="5" t="b">
        <v>0</v>
      </c>
      <c r="M100" s="5" t="b">
        <v>0</v>
      </c>
      <c r="N100" s="5" t="b">
        <v>1</v>
      </c>
      <c r="O100" s="5" t="b">
        <v>0</v>
      </c>
    </row>
    <row r="101" spans="1:15" ht="15.95" customHeight="1" x14ac:dyDescent="0.25">
      <c r="A101" s="8">
        <v>43496.098020833335</v>
      </c>
      <c r="B101" s="5" t="s">
        <v>2405</v>
      </c>
      <c r="C101" s="5" t="s">
        <v>2406</v>
      </c>
      <c r="D101" s="5" t="s">
        <v>2433</v>
      </c>
      <c r="E101" s="5">
        <v>0</v>
      </c>
      <c r="F101" s="5">
        <v>3.32</v>
      </c>
      <c r="G101" s="5">
        <v>3.8</v>
      </c>
      <c r="H101" s="5">
        <v>3.9</v>
      </c>
      <c r="I101" s="5">
        <v>1</v>
      </c>
      <c r="J101" s="5" t="b">
        <v>0</v>
      </c>
      <c r="K101" s="5" t="b">
        <v>0</v>
      </c>
      <c r="L101" s="5" t="b">
        <v>0</v>
      </c>
      <c r="M101" s="5" t="b">
        <v>0</v>
      </c>
      <c r="N101" s="5" t="b">
        <v>1</v>
      </c>
      <c r="O101" s="5" t="b">
        <v>0</v>
      </c>
    </row>
    <row r="102" spans="1:15" ht="15.95" customHeight="1" x14ac:dyDescent="0.25">
      <c r="A102" s="8">
        <v>43496.098020833335</v>
      </c>
      <c r="B102" s="5" t="s">
        <v>2405</v>
      </c>
      <c r="C102" s="5" t="s">
        <v>2406</v>
      </c>
      <c r="D102" s="5" t="s">
        <v>2407</v>
      </c>
      <c r="E102" s="5" t="s">
        <v>2404</v>
      </c>
      <c r="F102" s="5">
        <v>3.32</v>
      </c>
      <c r="G102" s="5">
        <v>3.8</v>
      </c>
      <c r="H102" s="5">
        <v>3.9</v>
      </c>
      <c r="I102" s="5">
        <v>1</v>
      </c>
      <c r="J102" s="5" t="b">
        <v>0</v>
      </c>
      <c r="K102" s="5" t="b">
        <v>0</v>
      </c>
      <c r="L102" s="5" t="b">
        <v>0</v>
      </c>
      <c r="M102" s="5" t="b">
        <v>0</v>
      </c>
      <c r="N102" s="5" t="b">
        <v>1</v>
      </c>
      <c r="O102" s="5" t="b">
        <v>0</v>
      </c>
    </row>
    <row r="103" spans="1:15" ht="15.95" customHeight="1" x14ac:dyDescent="0.25">
      <c r="A103" s="8">
        <v>43496.098043981481</v>
      </c>
      <c r="B103" s="5" t="s">
        <v>2405</v>
      </c>
      <c r="C103" s="5" t="s">
        <v>2406</v>
      </c>
      <c r="D103" s="5" t="s">
        <v>2433</v>
      </c>
      <c r="E103" s="5">
        <v>0</v>
      </c>
      <c r="F103" s="5">
        <v>3.32</v>
      </c>
      <c r="G103" s="5">
        <v>3.8</v>
      </c>
      <c r="H103" s="5">
        <v>3.9</v>
      </c>
      <c r="I103" s="5">
        <v>1</v>
      </c>
      <c r="J103" s="5" t="b">
        <v>0</v>
      </c>
      <c r="K103" s="5" t="b">
        <v>0</v>
      </c>
      <c r="L103" s="5" t="b">
        <v>0</v>
      </c>
      <c r="M103" s="5" t="b">
        <v>0</v>
      </c>
      <c r="N103" s="5" t="b">
        <v>1</v>
      </c>
      <c r="O103" s="5" t="b">
        <v>0</v>
      </c>
    </row>
    <row r="104" spans="1:15" ht="15.95" customHeight="1" x14ac:dyDescent="0.25">
      <c r="A104" s="8">
        <v>43496.098055555558</v>
      </c>
      <c r="B104" s="5" t="s">
        <v>2405</v>
      </c>
      <c r="C104" s="5" t="s">
        <v>2406</v>
      </c>
      <c r="D104" s="5" t="s">
        <v>2407</v>
      </c>
      <c r="E104" s="5" t="s">
        <v>2404</v>
      </c>
      <c r="F104" s="5">
        <v>3.32</v>
      </c>
      <c r="G104" s="5">
        <v>3.8</v>
      </c>
      <c r="H104" s="5">
        <v>3.9</v>
      </c>
      <c r="I104" s="5">
        <v>1</v>
      </c>
      <c r="J104" s="5" t="b">
        <v>0</v>
      </c>
      <c r="K104" s="5" t="b">
        <v>0</v>
      </c>
      <c r="L104" s="5" t="b">
        <v>0</v>
      </c>
      <c r="M104" s="5" t="b">
        <v>0</v>
      </c>
      <c r="N104" s="5" t="b">
        <v>1</v>
      </c>
      <c r="O104" s="5" t="b">
        <v>0</v>
      </c>
    </row>
    <row r="105" spans="1:15" ht="15.95" customHeight="1" x14ac:dyDescent="0.25">
      <c r="A105" s="8">
        <v>43496.098067129627</v>
      </c>
      <c r="B105" s="5" t="s">
        <v>2405</v>
      </c>
      <c r="C105" s="5" t="s">
        <v>2406</v>
      </c>
      <c r="D105" s="5" t="s">
        <v>2433</v>
      </c>
      <c r="E105" s="5">
        <v>0</v>
      </c>
      <c r="F105" s="5">
        <v>3.32</v>
      </c>
      <c r="G105" s="5">
        <v>3.8</v>
      </c>
      <c r="H105" s="5">
        <v>3.9</v>
      </c>
      <c r="I105" s="5">
        <v>1</v>
      </c>
      <c r="J105" s="5" t="b">
        <v>0</v>
      </c>
      <c r="K105" s="5" t="b">
        <v>0</v>
      </c>
      <c r="L105" s="5" t="b">
        <v>0</v>
      </c>
      <c r="M105" s="5" t="b">
        <v>0</v>
      </c>
      <c r="N105" s="5" t="b">
        <v>1</v>
      </c>
      <c r="O105" s="5" t="b">
        <v>0</v>
      </c>
    </row>
    <row r="106" spans="1:15" ht="15.95" customHeight="1" x14ac:dyDescent="0.25">
      <c r="A106" s="8">
        <v>43496.098078703704</v>
      </c>
      <c r="B106" s="5" t="s">
        <v>2405</v>
      </c>
      <c r="C106" s="5" t="s">
        <v>2406</v>
      </c>
      <c r="D106" s="5" t="s">
        <v>2407</v>
      </c>
      <c r="E106" s="5" t="s">
        <v>2404</v>
      </c>
      <c r="F106" s="5">
        <v>3.32</v>
      </c>
      <c r="G106" s="5">
        <v>3.8</v>
      </c>
      <c r="H106" s="5">
        <v>3.9</v>
      </c>
      <c r="I106" s="5">
        <v>1</v>
      </c>
      <c r="J106" s="5" t="b">
        <v>0</v>
      </c>
      <c r="K106" s="5" t="b">
        <v>0</v>
      </c>
      <c r="L106" s="5" t="b">
        <v>0</v>
      </c>
      <c r="M106" s="5" t="b">
        <v>0</v>
      </c>
      <c r="N106" s="5" t="b">
        <v>1</v>
      </c>
      <c r="O106" s="5" t="b">
        <v>0</v>
      </c>
    </row>
    <row r="107" spans="1:15" ht="15.95" customHeight="1" x14ac:dyDescent="0.25">
      <c r="A107" s="8">
        <v>43496.098078703704</v>
      </c>
      <c r="B107" s="5" t="s">
        <v>2405</v>
      </c>
      <c r="C107" s="5" t="s">
        <v>2406</v>
      </c>
      <c r="D107" s="5" t="s">
        <v>2433</v>
      </c>
      <c r="E107" s="5">
        <v>0</v>
      </c>
      <c r="F107" s="5">
        <v>3.32</v>
      </c>
      <c r="G107" s="5">
        <v>3.8</v>
      </c>
      <c r="H107" s="5">
        <v>3.9</v>
      </c>
      <c r="I107" s="5">
        <v>1</v>
      </c>
      <c r="J107" s="5" t="b">
        <v>0</v>
      </c>
      <c r="K107" s="5" t="b">
        <v>0</v>
      </c>
      <c r="L107" s="5" t="b">
        <v>0</v>
      </c>
      <c r="M107" s="5" t="b">
        <v>0</v>
      </c>
      <c r="N107" s="5" t="b">
        <v>1</v>
      </c>
      <c r="O107" s="5" t="b">
        <v>0</v>
      </c>
    </row>
    <row r="108" spans="1:15" ht="15.95" customHeight="1" x14ac:dyDescent="0.25">
      <c r="A108" s="8">
        <v>43496.098090277781</v>
      </c>
      <c r="B108" s="5" t="s">
        <v>2405</v>
      </c>
      <c r="C108" s="5" t="s">
        <v>2406</v>
      </c>
      <c r="D108" s="5" t="s">
        <v>2407</v>
      </c>
      <c r="E108" s="5" t="s">
        <v>2404</v>
      </c>
      <c r="F108" s="5">
        <v>3.32</v>
      </c>
      <c r="G108" s="5">
        <v>3.8</v>
      </c>
      <c r="H108" s="5">
        <v>3.9</v>
      </c>
      <c r="I108" s="5">
        <v>1</v>
      </c>
      <c r="J108" s="5" t="b">
        <v>0</v>
      </c>
      <c r="K108" s="5" t="b">
        <v>0</v>
      </c>
      <c r="L108" s="5" t="b">
        <v>0</v>
      </c>
      <c r="M108" s="5" t="b">
        <v>0</v>
      </c>
      <c r="N108" s="5" t="b">
        <v>1</v>
      </c>
      <c r="O108" s="5" t="b">
        <v>0</v>
      </c>
    </row>
    <row r="109" spans="1:15" ht="15.95" customHeight="1" x14ac:dyDescent="0.25">
      <c r="A109" s="8">
        <v>43496.550925925927</v>
      </c>
      <c r="B109" s="5" t="s">
        <v>2573</v>
      </c>
      <c r="C109" s="5" t="s">
        <v>2406</v>
      </c>
      <c r="D109" s="5" t="s">
        <v>2433</v>
      </c>
      <c r="E109" s="5">
        <v>0</v>
      </c>
      <c r="F109" s="5">
        <v>3.32</v>
      </c>
      <c r="G109" s="5">
        <v>3.8</v>
      </c>
      <c r="H109" s="5">
        <v>3.9</v>
      </c>
      <c r="I109" s="5">
        <v>1</v>
      </c>
      <c r="J109" s="5" t="b">
        <v>0</v>
      </c>
      <c r="K109" s="5" t="b">
        <v>0</v>
      </c>
      <c r="L109" s="5" t="b">
        <v>0</v>
      </c>
      <c r="M109" s="5" t="b">
        <v>0</v>
      </c>
      <c r="N109" s="5" t="b">
        <v>1</v>
      </c>
      <c r="O109" s="5" t="b">
        <v>0</v>
      </c>
    </row>
    <row r="110" spans="1:15" ht="15.95" customHeight="1" x14ac:dyDescent="0.25">
      <c r="A110" s="8">
        <v>43496.550937499997</v>
      </c>
      <c r="B110" s="5" t="s">
        <v>2573</v>
      </c>
      <c r="C110" s="5" t="s">
        <v>2406</v>
      </c>
      <c r="D110" s="5" t="s">
        <v>2407</v>
      </c>
      <c r="E110" s="5" t="s">
        <v>2404</v>
      </c>
      <c r="F110" s="5">
        <v>3.32</v>
      </c>
      <c r="G110" s="5">
        <v>3.8</v>
      </c>
      <c r="H110" s="5">
        <v>3.9</v>
      </c>
      <c r="I110" s="5">
        <v>1</v>
      </c>
      <c r="J110" s="5" t="b">
        <v>0</v>
      </c>
      <c r="K110" s="5" t="b">
        <v>0</v>
      </c>
      <c r="L110" s="5" t="b">
        <v>0</v>
      </c>
      <c r="M110" s="5" t="b">
        <v>0</v>
      </c>
      <c r="N110" s="5" t="b">
        <v>1</v>
      </c>
      <c r="O110" s="5" t="b">
        <v>0</v>
      </c>
    </row>
    <row r="111" spans="1:15" ht="15.95" customHeight="1" x14ac:dyDescent="0.25">
      <c r="A111" s="8">
        <v>43496.585879629631</v>
      </c>
      <c r="B111" s="5" t="s">
        <v>2573</v>
      </c>
      <c r="C111" s="5" t="s">
        <v>2406</v>
      </c>
      <c r="D111" s="5" t="s">
        <v>2433</v>
      </c>
      <c r="E111" s="5">
        <v>0</v>
      </c>
      <c r="F111" s="5">
        <v>3.32</v>
      </c>
      <c r="G111" s="5">
        <v>3.8</v>
      </c>
      <c r="H111" s="5">
        <v>3.9</v>
      </c>
      <c r="I111" s="5">
        <v>1</v>
      </c>
      <c r="J111" s="5" t="b">
        <v>0</v>
      </c>
      <c r="K111" s="5" t="b">
        <v>0</v>
      </c>
      <c r="L111" s="5" t="b">
        <v>0</v>
      </c>
      <c r="M111" s="5" t="b">
        <v>0</v>
      </c>
      <c r="N111" s="5" t="b">
        <v>1</v>
      </c>
      <c r="O111" s="5" t="b">
        <v>0</v>
      </c>
    </row>
    <row r="112" spans="1:15" ht="15.95" customHeight="1" x14ac:dyDescent="0.25">
      <c r="A112" s="8">
        <v>43496.585879629631</v>
      </c>
      <c r="B112" s="5" t="s">
        <v>2573</v>
      </c>
      <c r="C112" s="5" t="s">
        <v>2406</v>
      </c>
      <c r="D112" s="5" t="s">
        <v>2407</v>
      </c>
      <c r="E112" s="5" t="s">
        <v>2404</v>
      </c>
      <c r="F112" s="5">
        <v>3.32</v>
      </c>
      <c r="G112" s="5">
        <v>3.8</v>
      </c>
      <c r="H112" s="5">
        <v>3.9</v>
      </c>
      <c r="I112" s="5">
        <v>1</v>
      </c>
      <c r="J112" s="5" t="b">
        <v>0</v>
      </c>
      <c r="K112" s="5" t="b">
        <v>0</v>
      </c>
      <c r="L112" s="5" t="b">
        <v>0</v>
      </c>
      <c r="M112" s="5" t="b">
        <v>0</v>
      </c>
      <c r="N112" s="5" t="b">
        <v>1</v>
      </c>
      <c r="O112" s="5" t="b">
        <v>0</v>
      </c>
    </row>
    <row r="113" spans="1:15" ht="15.95" customHeight="1" x14ac:dyDescent="0.25">
      <c r="A113" s="8">
        <v>43496.586412037039</v>
      </c>
      <c r="B113" s="5" t="s">
        <v>2573</v>
      </c>
      <c r="C113" s="5" t="s">
        <v>2406</v>
      </c>
      <c r="D113" s="5" t="s">
        <v>2433</v>
      </c>
      <c r="E113" s="5">
        <v>0</v>
      </c>
      <c r="F113" s="5">
        <v>3.32</v>
      </c>
      <c r="G113" s="5">
        <v>3.8</v>
      </c>
      <c r="H113" s="5">
        <v>3.9</v>
      </c>
      <c r="I113" s="5">
        <v>1</v>
      </c>
      <c r="J113" s="5" t="b">
        <v>0</v>
      </c>
      <c r="K113" s="5" t="b">
        <v>0</v>
      </c>
      <c r="L113" s="5" t="b">
        <v>0</v>
      </c>
      <c r="M113" s="5" t="b">
        <v>0</v>
      </c>
      <c r="N113" s="5" t="b">
        <v>1</v>
      </c>
      <c r="O113" s="5" t="b">
        <v>0</v>
      </c>
    </row>
    <row r="114" spans="1:15" ht="15.95" customHeight="1" x14ac:dyDescent="0.25">
      <c r="A114" s="8">
        <v>43496.586412037039</v>
      </c>
      <c r="B114" s="5" t="s">
        <v>2573</v>
      </c>
      <c r="C114" s="5" t="s">
        <v>2406</v>
      </c>
      <c r="D114" s="5" t="s">
        <v>2407</v>
      </c>
      <c r="E114" s="5" t="s">
        <v>2404</v>
      </c>
      <c r="F114" s="5">
        <v>3.32</v>
      </c>
      <c r="G114" s="5">
        <v>3.8</v>
      </c>
      <c r="H114" s="5">
        <v>3.9</v>
      </c>
      <c r="I114" s="5">
        <v>1</v>
      </c>
      <c r="J114" s="5" t="b">
        <v>0</v>
      </c>
      <c r="K114" s="5" t="b">
        <v>0</v>
      </c>
      <c r="L114" s="5" t="b">
        <v>0</v>
      </c>
      <c r="M114" s="5" t="b">
        <v>0</v>
      </c>
      <c r="N114" s="5" t="b">
        <v>1</v>
      </c>
      <c r="O114" s="5" t="b">
        <v>0</v>
      </c>
    </row>
    <row r="115" spans="1:15" ht="15.95" customHeight="1" x14ac:dyDescent="0.25">
      <c r="A115" s="8">
        <v>43496.586643518516</v>
      </c>
      <c r="B115" s="5" t="s">
        <v>2573</v>
      </c>
      <c r="C115" s="5" t="s">
        <v>2406</v>
      </c>
      <c r="D115" s="5" t="s">
        <v>2433</v>
      </c>
      <c r="E115" s="5">
        <v>0</v>
      </c>
      <c r="F115" s="5">
        <v>3.32</v>
      </c>
      <c r="G115" s="5">
        <v>3.8</v>
      </c>
      <c r="H115" s="5">
        <v>3.9</v>
      </c>
      <c r="I115" s="5">
        <v>1</v>
      </c>
      <c r="J115" s="5" t="b">
        <v>0</v>
      </c>
      <c r="K115" s="5" t="b">
        <v>0</v>
      </c>
      <c r="L115" s="5" t="b">
        <v>0</v>
      </c>
      <c r="M115" s="5" t="b">
        <v>0</v>
      </c>
      <c r="N115" s="5" t="b">
        <v>1</v>
      </c>
      <c r="O115" s="5" t="b">
        <v>0</v>
      </c>
    </row>
    <row r="116" spans="1:15" ht="15.95" customHeight="1" x14ac:dyDescent="0.25">
      <c r="A116" s="8">
        <v>43496.586643518516</v>
      </c>
      <c r="B116" s="5" t="s">
        <v>2573</v>
      </c>
      <c r="C116" s="5" t="s">
        <v>2406</v>
      </c>
      <c r="D116" s="5" t="s">
        <v>2407</v>
      </c>
      <c r="E116" s="5" t="s">
        <v>2404</v>
      </c>
      <c r="F116" s="5">
        <v>3.32</v>
      </c>
      <c r="G116" s="5">
        <v>3.8</v>
      </c>
      <c r="H116" s="5">
        <v>3.9</v>
      </c>
      <c r="I116" s="5">
        <v>1</v>
      </c>
      <c r="J116" s="5" t="b">
        <v>0</v>
      </c>
      <c r="K116" s="5" t="b">
        <v>0</v>
      </c>
      <c r="L116" s="5" t="b">
        <v>0</v>
      </c>
      <c r="M116" s="5" t="b">
        <v>0</v>
      </c>
      <c r="N116" s="5" t="b">
        <v>1</v>
      </c>
      <c r="O116" s="5" t="b">
        <v>0</v>
      </c>
    </row>
    <row r="117" spans="1:15" ht="15.95" customHeight="1" x14ac:dyDescent="0.25">
      <c r="A117" s="8">
        <v>43496.587025462963</v>
      </c>
      <c r="B117" s="5" t="s">
        <v>2573</v>
      </c>
      <c r="C117" s="5" t="s">
        <v>2406</v>
      </c>
      <c r="D117" s="5" t="s">
        <v>2433</v>
      </c>
      <c r="E117" s="5">
        <v>0</v>
      </c>
      <c r="F117" s="5">
        <v>3.32</v>
      </c>
      <c r="G117" s="5">
        <v>3.8</v>
      </c>
      <c r="H117" s="5">
        <v>3.9</v>
      </c>
      <c r="I117" s="5">
        <v>1</v>
      </c>
      <c r="J117" s="5" t="b">
        <v>0</v>
      </c>
      <c r="K117" s="5" t="b">
        <v>0</v>
      </c>
      <c r="L117" s="5" t="b">
        <v>0</v>
      </c>
      <c r="M117" s="5" t="b">
        <v>0</v>
      </c>
      <c r="N117" s="5" t="b">
        <v>1</v>
      </c>
      <c r="O117" s="5" t="b">
        <v>0</v>
      </c>
    </row>
    <row r="118" spans="1:15" ht="15.95" customHeight="1" x14ac:dyDescent="0.25">
      <c r="A118" s="8">
        <v>43496.587037037039</v>
      </c>
      <c r="B118" s="5" t="s">
        <v>2573</v>
      </c>
      <c r="C118" s="5" t="s">
        <v>2406</v>
      </c>
      <c r="D118" s="5" t="s">
        <v>2407</v>
      </c>
      <c r="E118" s="5" t="s">
        <v>2404</v>
      </c>
      <c r="F118" s="5">
        <v>3.32</v>
      </c>
      <c r="G118" s="5">
        <v>3.8</v>
      </c>
      <c r="H118" s="5">
        <v>3.9</v>
      </c>
      <c r="I118" s="5">
        <v>1</v>
      </c>
      <c r="J118" s="5" t="b">
        <v>0</v>
      </c>
      <c r="K118" s="5" t="b">
        <v>0</v>
      </c>
      <c r="L118" s="5" t="b">
        <v>0</v>
      </c>
      <c r="M118" s="5" t="b">
        <v>0</v>
      </c>
      <c r="N118" s="5" t="b">
        <v>1</v>
      </c>
      <c r="O118" s="5" t="b">
        <v>0</v>
      </c>
    </row>
    <row r="119" spans="1:15" ht="15.95" customHeight="1" x14ac:dyDescent="0.25">
      <c r="A119" s="8">
        <v>43496.588125000002</v>
      </c>
      <c r="B119" s="5" t="s">
        <v>2573</v>
      </c>
      <c r="C119" s="5" t="s">
        <v>2406</v>
      </c>
      <c r="D119" s="5" t="s">
        <v>2433</v>
      </c>
      <c r="E119" s="5">
        <v>0</v>
      </c>
      <c r="F119" s="5">
        <v>3.32</v>
      </c>
      <c r="G119" s="5">
        <v>3.8</v>
      </c>
      <c r="H119" s="5">
        <v>3.9</v>
      </c>
      <c r="I119" s="5">
        <v>1</v>
      </c>
      <c r="J119" s="5" t="b">
        <v>0</v>
      </c>
      <c r="K119" s="5" t="b">
        <v>0</v>
      </c>
      <c r="L119" s="5" t="b">
        <v>0</v>
      </c>
      <c r="M119" s="5" t="b">
        <v>0</v>
      </c>
      <c r="N119" s="5" t="b">
        <v>1</v>
      </c>
      <c r="O119" s="5" t="b">
        <v>0</v>
      </c>
    </row>
    <row r="120" spans="1:15" ht="15.95" customHeight="1" x14ac:dyDescent="0.25">
      <c r="A120" s="8">
        <v>43496.588125000002</v>
      </c>
      <c r="B120" s="5" t="s">
        <v>2573</v>
      </c>
      <c r="C120" s="5" t="s">
        <v>2406</v>
      </c>
      <c r="D120" s="5" t="s">
        <v>2407</v>
      </c>
      <c r="E120" s="5" t="s">
        <v>2404</v>
      </c>
      <c r="F120" s="5">
        <v>3.32</v>
      </c>
      <c r="G120" s="5">
        <v>3.8</v>
      </c>
      <c r="H120" s="5">
        <v>3.9</v>
      </c>
      <c r="I120" s="5">
        <v>1</v>
      </c>
      <c r="J120" s="5" t="b">
        <v>0</v>
      </c>
      <c r="K120" s="5" t="b">
        <v>0</v>
      </c>
      <c r="L120" s="5" t="b">
        <v>0</v>
      </c>
      <c r="M120" s="5" t="b">
        <v>0</v>
      </c>
      <c r="N120" s="5" t="b">
        <v>1</v>
      </c>
      <c r="O120" s="5" t="b">
        <v>0</v>
      </c>
    </row>
    <row r="121" spans="1:15" ht="15.95" customHeight="1" x14ac:dyDescent="0.25">
      <c r="A121" s="8">
        <v>43496.588738425926</v>
      </c>
      <c r="B121" s="5" t="s">
        <v>2573</v>
      </c>
      <c r="C121" s="5" t="s">
        <v>2406</v>
      </c>
      <c r="D121" s="5" t="s">
        <v>2433</v>
      </c>
      <c r="E121" s="5">
        <v>0</v>
      </c>
      <c r="F121" s="5">
        <v>3.32</v>
      </c>
      <c r="G121" s="5">
        <v>3.8</v>
      </c>
      <c r="H121" s="5">
        <v>3.9</v>
      </c>
      <c r="I121" s="5">
        <v>1</v>
      </c>
      <c r="J121" s="5" t="b">
        <v>0</v>
      </c>
      <c r="K121" s="5" t="b">
        <v>0</v>
      </c>
      <c r="L121" s="5" t="b">
        <v>0</v>
      </c>
      <c r="M121" s="5" t="b">
        <v>0</v>
      </c>
      <c r="N121" s="5" t="b">
        <v>1</v>
      </c>
      <c r="O121" s="5" t="b">
        <v>0</v>
      </c>
    </row>
    <row r="122" spans="1:15" ht="15.95" customHeight="1" x14ac:dyDescent="0.25">
      <c r="A122" s="8">
        <v>43496.588750000003</v>
      </c>
      <c r="B122" s="5" t="s">
        <v>2573</v>
      </c>
      <c r="C122" s="5" t="s">
        <v>2406</v>
      </c>
      <c r="D122" s="5" t="s">
        <v>2407</v>
      </c>
      <c r="E122" s="5" t="s">
        <v>2404</v>
      </c>
      <c r="F122" s="5">
        <v>3.32</v>
      </c>
      <c r="G122" s="5">
        <v>3.8</v>
      </c>
      <c r="H122" s="5">
        <v>3.9</v>
      </c>
      <c r="I122" s="5">
        <v>1</v>
      </c>
      <c r="J122" s="5" t="b">
        <v>0</v>
      </c>
      <c r="K122" s="5" t="b">
        <v>0</v>
      </c>
      <c r="L122" s="5" t="b">
        <v>0</v>
      </c>
      <c r="M122" s="5" t="b">
        <v>0</v>
      </c>
      <c r="N122" s="5" t="b">
        <v>1</v>
      </c>
      <c r="O122" s="5" t="b">
        <v>0</v>
      </c>
    </row>
    <row r="123" spans="1:15" ht="15.95" customHeight="1" x14ac:dyDescent="0.25">
      <c r="A123" s="8">
        <v>43496.588993055557</v>
      </c>
      <c r="B123" s="5" t="s">
        <v>2573</v>
      </c>
      <c r="C123" s="5" t="s">
        <v>2406</v>
      </c>
      <c r="D123" s="5" t="s">
        <v>2433</v>
      </c>
      <c r="E123" s="5">
        <v>0</v>
      </c>
      <c r="F123" s="5">
        <v>3.32</v>
      </c>
      <c r="G123" s="5">
        <v>3.8</v>
      </c>
      <c r="H123" s="5">
        <v>3.9</v>
      </c>
      <c r="I123" s="5">
        <v>1</v>
      </c>
      <c r="J123" s="5" t="b">
        <v>0</v>
      </c>
      <c r="K123" s="5" t="b">
        <v>0</v>
      </c>
      <c r="L123" s="5" t="b">
        <v>0</v>
      </c>
      <c r="M123" s="5" t="b">
        <v>0</v>
      </c>
      <c r="N123" s="5" t="b">
        <v>1</v>
      </c>
      <c r="O123" s="5" t="b">
        <v>0</v>
      </c>
    </row>
    <row r="124" spans="1:15" ht="15.95" customHeight="1" x14ac:dyDescent="0.25">
      <c r="A124" s="8">
        <v>43496.589004629626</v>
      </c>
      <c r="B124" s="5" t="s">
        <v>2573</v>
      </c>
      <c r="C124" s="5" t="s">
        <v>2406</v>
      </c>
      <c r="D124" s="5" t="s">
        <v>2407</v>
      </c>
      <c r="E124" s="5" t="s">
        <v>2404</v>
      </c>
      <c r="F124" s="5">
        <v>3.32</v>
      </c>
      <c r="G124" s="5">
        <v>3.8</v>
      </c>
      <c r="H124" s="5">
        <v>3.9</v>
      </c>
      <c r="I124" s="5">
        <v>1</v>
      </c>
      <c r="J124" s="5" t="b">
        <v>0</v>
      </c>
      <c r="K124" s="5" t="b">
        <v>0</v>
      </c>
      <c r="L124" s="5" t="b">
        <v>0</v>
      </c>
      <c r="M124" s="5" t="b">
        <v>0</v>
      </c>
      <c r="N124" s="5" t="b">
        <v>1</v>
      </c>
      <c r="O124" s="5" t="b">
        <v>0</v>
      </c>
    </row>
    <row r="125" spans="1:15" ht="15.95" customHeight="1" x14ac:dyDescent="0.25">
      <c r="A125" s="8">
        <v>43496.589525462965</v>
      </c>
      <c r="B125" s="5" t="s">
        <v>2573</v>
      </c>
      <c r="C125" s="5" t="s">
        <v>2406</v>
      </c>
      <c r="D125" s="5" t="s">
        <v>2433</v>
      </c>
      <c r="E125" s="5">
        <v>0</v>
      </c>
      <c r="F125" s="5">
        <v>3.32</v>
      </c>
      <c r="G125" s="5">
        <v>3.8</v>
      </c>
      <c r="H125" s="5">
        <v>3.9</v>
      </c>
      <c r="I125" s="5">
        <v>1</v>
      </c>
      <c r="J125" s="5" t="b">
        <v>0</v>
      </c>
      <c r="K125" s="5" t="b">
        <v>0</v>
      </c>
      <c r="L125" s="5" t="b">
        <v>0</v>
      </c>
      <c r="M125" s="5" t="b">
        <v>0</v>
      </c>
      <c r="N125" s="5" t="b">
        <v>1</v>
      </c>
      <c r="O125" s="5" t="b">
        <v>0</v>
      </c>
    </row>
    <row r="126" spans="1:15" ht="15.95" customHeight="1" x14ac:dyDescent="0.25">
      <c r="A126" s="8">
        <v>43496.589525462965</v>
      </c>
      <c r="B126" s="5" t="s">
        <v>2573</v>
      </c>
      <c r="C126" s="5" t="s">
        <v>2406</v>
      </c>
      <c r="D126" s="5" t="s">
        <v>2407</v>
      </c>
      <c r="E126" s="5" t="s">
        <v>2404</v>
      </c>
      <c r="F126" s="5">
        <v>3.32</v>
      </c>
      <c r="G126" s="5">
        <v>3.8</v>
      </c>
      <c r="H126" s="5">
        <v>3.9</v>
      </c>
      <c r="I126" s="5">
        <v>1</v>
      </c>
      <c r="J126" s="5" t="b">
        <v>0</v>
      </c>
      <c r="K126" s="5" t="b">
        <v>0</v>
      </c>
      <c r="L126" s="5" t="b">
        <v>0</v>
      </c>
      <c r="M126" s="5" t="b">
        <v>0</v>
      </c>
      <c r="N126" s="5" t="b">
        <v>1</v>
      </c>
      <c r="O126" s="5" t="b">
        <v>0</v>
      </c>
    </row>
    <row r="127" spans="1:15" ht="15.95" customHeight="1" x14ac:dyDescent="0.25">
      <c r="A127" s="8">
        <v>43496.600405092591</v>
      </c>
      <c r="B127" s="5" t="s">
        <v>2573</v>
      </c>
      <c r="C127" s="5" t="s">
        <v>2577</v>
      </c>
      <c r="D127" s="5" t="s">
        <v>2578</v>
      </c>
      <c r="E127" s="5" t="s">
        <v>2579</v>
      </c>
      <c r="F127" s="5">
        <v>3.32</v>
      </c>
      <c r="G127" s="5">
        <v>3.8</v>
      </c>
      <c r="H127" s="5">
        <v>3.9</v>
      </c>
      <c r="I127" s="5">
        <v>1</v>
      </c>
      <c r="J127" s="5" t="b">
        <v>0</v>
      </c>
      <c r="K127" s="5" t="b">
        <v>0</v>
      </c>
      <c r="L127" s="5" t="b">
        <v>0</v>
      </c>
      <c r="M127" s="5" t="b">
        <v>0</v>
      </c>
      <c r="N127" s="5" t="b">
        <v>1</v>
      </c>
      <c r="O127" s="5" t="b">
        <v>0</v>
      </c>
    </row>
    <row r="128" spans="1:15" ht="15.95" customHeight="1" x14ac:dyDescent="0.25">
      <c r="A128" s="8">
        <v>43496.600428240738</v>
      </c>
      <c r="B128" s="5" t="s">
        <v>2573</v>
      </c>
      <c r="C128" s="5" t="s">
        <v>2580</v>
      </c>
      <c r="D128" s="5" t="s">
        <v>2578</v>
      </c>
      <c r="E128" s="5" t="s">
        <v>2581</v>
      </c>
      <c r="F128" s="5">
        <v>3.32</v>
      </c>
      <c r="G128" s="5">
        <v>3.8</v>
      </c>
      <c r="H128" s="5">
        <v>3.9</v>
      </c>
      <c r="I128" s="5">
        <v>1</v>
      </c>
      <c r="J128" s="5" t="b">
        <v>0</v>
      </c>
      <c r="K128" s="5" t="b">
        <v>0</v>
      </c>
      <c r="L128" s="5" t="b">
        <v>0</v>
      </c>
      <c r="M128" s="5" t="b">
        <v>0</v>
      </c>
      <c r="N128" s="5" t="b">
        <v>1</v>
      </c>
      <c r="O128" s="5" t="b">
        <v>0</v>
      </c>
    </row>
    <row r="129" spans="1:15" ht="15.95" customHeight="1" x14ac:dyDescent="0.25">
      <c r="A129" s="8">
        <v>43496.600462962961</v>
      </c>
      <c r="B129" s="5" t="s">
        <v>2573</v>
      </c>
      <c r="C129" s="5" t="s">
        <v>2582</v>
      </c>
      <c r="D129" s="5" t="s">
        <v>2578</v>
      </c>
      <c r="E129" s="5" t="s">
        <v>2583</v>
      </c>
      <c r="F129" s="5">
        <v>3.32</v>
      </c>
      <c r="G129" s="5">
        <v>3.8</v>
      </c>
      <c r="H129" s="5">
        <v>3.9</v>
      </c>
      <c r="I129" s="5">
        <v>1</v>
      </c>
      <c r="J129" s="5" t="b">
        <v>0</v>
      </c>
      <c r="K129" s="5" t="b">
        <v>0</v>
      </c>
      <c r="L129" s="5" t="b">
        <v>0</v>
      </c>
      <c r="M129" s="5" t="b">
        <v>0</v>
      </c>
      <c r="N129" s="5" t="b">
        <v>1</v>
      </c>
      <c r="O129" s="5" t="b">
        <v>0</v>
      </c>
    </row>
    <row r="130" spans="1:15" ht="15.95" customHeight="1" x14ac:dyDescent="0.25">
      <c r="A130" s="8">
        <v>43496.600474537037</v>
      </c>
      <c r="B130" s="5" t="s">
        <v>2573</v>
      </c>
      <c r="C130" s="5" t="s">
        <v>2584</v>
      </c>
      <c r="D130" s="5" t="s">
        <v>2578</v>
      </c>
      <c r="E130" s="5" t="s">
        <v>2585</v>
      </c>
      <c r="F130" s="5">
        <v>3.32</v>
      </c>
      <c r="G130" s="5">
        <v>3.8</v>
      </c>
      <c r="H130" s="5">
        <v>3.9</v>
      </c>
      <c r="I130" s="5">
        <v>1</v>
      </c>
      <c r="J130" s="5" t="b">
        <v>0</v>
      </c>
      <c r="K130" s="5" t="b">
        <v>0</v>
      </c>
      <c r="L130" s="5" t="b">
        <v>0</v>
      </c>
      <c r="M130" s="5" t="b">
        <v>0</v>
      </c>
      <c r="N130" s="5" t="b">
        <v>1</v>
      </c>
      <c r="O130" s="5" t="b">
        <v>0</v>
      </c>
    </row>
    <row r="131" spans="1:15" ht="15.95" customHeight="1" x14ac:dyDescent="0.25">
      <c r="A131" s="8">
        <v>43496.600486111114</v>
      </c>
      <c r="B131" s="5" t="s">
        <v>2573</v>
      </c>
      <c r="C131" s="5" t="s">
        <v>2586</v>
      </c>
      <c r="D131" s="5" t="s">
        <v>2578</v>
      </c>
      <c r="E131" s="5" t="s">
        <v>2587</v>
      </c>
      <c r="F131" s="5">
        <v>3.32</v>
      </c>
      <c r="G131" s="5">
        <v>3.8</v>
      </c>
      <c r="H131" s="5">
        <v>3.9</v>
      </c>
      <c r="I131" s="5">
        <v>1</v>
      </c>
      <c r="J131" s="5" t="b">
        <v>0</v>
      </c>
      <c r="K131" s="5" t="b">
        <v>0</v>
      </c>
      <c r="L131" s="5" t="b">
        <v>0</v>
      </c>
      <c r="M131" s="5" t="b">
        <v>0</v>
      </c>
      <c r="N131" s="5" t="b">
        <v>1</v>
      </c>
      <c r="O131" s="5" t="b">
        <v>0</v>
      </c>
    </row>
    <row r="132" spans="1:15" ht="15.95" customHeight="1" x14ac:dyDescent="0.25">
      <c r="A132" s="8">
        <v>43496.600486111114</v>
      </c>
      <c r="B132" s="5" t="s">
        <v>2573</v>
      </c>
      <c r="C132" s="5" t="s">
        <v>2588</v>
      </c>
      <c r="D132" s="5" t="s">
        <v>2578</v>
      </c>
      <c r="E132" s="5" t="s">
        <v>2589</v>
      </c>
      <c r="F132" s="5">
        <v>3.32</v>
      </c>
      <c r="G132" s="5">
        <v>3.8</v>
      </c>
      <c r="H132" s="5">
        <v>3.9</v>
      </c>
      <c r="I132" s="5">
        <v>1</v>
      </c>
      <c r="J132" s="5" t="b">
        <v>0</v>
      </c>
      <c r="K132" s="5" t="b">
        <v>0</v>
      </c>
      <c r="L132" s="5" t="b">
        <v>0</v>
      </c>
      <c r="M132" s="5" t="b">
        <v>0</v>
      </c>
      <c r="N132" s="5" t="b">
        <v>1</v>
      </c>
      <c r="O132" s="5" t="b">
        <v>0</v>
      </c>
    </row>
    <row r="133" spans="1:15" ht="15.95" customHeight="1" x14ac:dyDescent="0.25">
      <c r="A133" s="8">
        <v>43496.600486111114</v>
      </c>
      <c r="B133" s="5" t="s">
        <v>2573</v>
      </c>
      <c r="C133" s="5" t="s">
        <v>2590</v>
      </c>
      <c r="D133" s="5" t="s">
        <v>2578</v>
      </c>
      <c r="E133" s="5" t="s">
        <v>2591</v>
      </c>
      <c r="F133" s="5">
        <v>3.32</v>
      </c>
      <c r="G133" s="5">
        <v>3.8</v>
      </c>
      <c r="H133" s="5">
        <v>3.9</v>
      </c>
      <c r="I133" s="5">
        <v>1</v>
      </c>
      <c r="J133" s="5" t="b">
        <v>0</v>
      </c>
      <c r="K133" s="5" t="b">
        <v>0</v>
      </c>
      <c r="L133" s="5" t="b">
        <v>0</v>
      </c>
      <c r="M133" s="5" t="b">
        <v>0</v>
      </c>
      <c r="N133" s="5" t="b">
        <v>1</v>
      </c>
      <c r="O133" s="5" t="b">
        <v>0</v>
      </c>
    </row>
    <row r="134" spans="1:15" ht="15.95" customHeight="1" x14ac:dyDescent="0.25">
      <c r="A134" s="8">
        <v>43496.600497685184</v>
      </c>
      <c r="B134" s="5" t="s">
        <v>2573</v>
      </c>
      <c r="C134" s="5" t="s">
        <v>2592</v>
      </c>
      <c r="D134" s="5" t="s">
        <v>2578</v>
      </c>
      <c r="E134" s="5" t="s">
        <v>2593</v>
      </c>
      <c r="F134" s="5">
        <v>3.32</v>
      </c>
      <c r="G134" s="5">
        <v>3.8</v>
      </c>
      <c r="H134" s="5">
        <v>3.9</v>
      </c>
      <c r="I134" s="5">
        <v>1</v>
      </c>
      <c r="J134" s="5" t="b">
        <v>0</v>
      </c>
      <c r="K134" s="5" t="b">
        <v>0</v>
      </c>
      <c r="L134" s="5" t="b">
        <v>0</v>
      </c>
      <c r="M134" s="5" t="b">
        <v>0</v>
      </c>
      <c r="N134" s="5" t="b">
        <v>1</v>
      </c>
      <c r="O134" s="5" t="b">
        <v>0</v>
      </c>
    </row>
    <row r="135" spans="1:15" ht="15.95" customHeight="1" x14ac:dyDescent="0.25">
      <c r="A135" s="8">
        <v>43496.600497685184</v>
      </c>
      <c r="B135" s="5" t="s">
        <v>2573</v>
      </c>
      <c r="C135" s="5" t="s">
        <v>2594</v>
      </c>
      <c r="D135" s="5" t="s">
        <v>2578</v>
      </c>
      <c r="E135" s="5" t="s">
        <v>2595</v>
      </c>
      <c r="F135" s="5">
        <v>3.32</v>
      </c>
      <c r="G135" s="5">
        <v>3.8</v>
      </c>
      <c r="H135" s="5">
        <v>3.9</v>
      </c>
      <c r="I135" s="5">
        <v>1</v>
      </c>
      <c r="J135" s="5" t="b">
        <v>0</v>
      </c>
      <c r="K135" s="5" t="b">
        <v>0</v>
      </c>
      <c r="L135" s="5" t="b">
        <v>0</v>
      </c>
      <c r="M135" s="5" t="b">
        <v>0</v>
      </c>
      <c r="N135" s="5" t="b">
        <v>1</v>
      </c>
      <c r="O135" s="5" t="b">
        <v>0</v>
      </c>
    </row>
    <row r="136" spans="1:15" ht="15.95" customHeight="1" x14ac:dyDescent="0.25">
      <c r="A136" s="8">
        <v>43496.60050925926</v>
      </c>
      <c r="B136" s="5" t="s">
        <v>2573</v>
      </c>
      <c r="C136" s="5" t="s">
        <v>2596</v>
      </c>
      <c r="D136" s="5" t="s">
        <v>2578</v>
      </c>
      <c r="E136" s="5" t="s">
        <v>2597</v>
      </c>
      <c r="F136" s="5">
        <v>3.32</v>
      </c>
      <c r="G136" s="5">
        <v>3.8</v>
      </c>
      <c r="H136" s="5">
        <v>3.9</v>
      </c>
      <c r="I136" s="5">
        <v>1</v>
      </c>
      <c r="J136" s="5" t="b">
        <v>0</v>
      </c>
      <c r="K136" s="5" t="b">
        <v>0</v>
      </c>
      <c r="L136" s="5" t="b">
        <v>0</v>
      </c>
      <c r="M136" s="5" t="b">
        <v>0</v>
      </c>
      <c r="N136" s="5" t="b">
        <v>1</v>
      </c>
      <c r="O136" s="5" t="b">
        <v>0</v>
      </c>
    </row>
    <row r="137" spans="1:15" ht="15.95" customHeight="1" x14ac:dyDescent="0.25">
      <c r="A137" s="8">
        <v>43496.60050925926</v>
      </c>
      <c r="B137" s="5" t="s">
        <v>2573</v>
      </c>
      <c r="C137" s="5" t="s">
        <v>2598</v>
      </c>
      <c r="D137" s="5" t="s">
        <v>2578</v>
      </c>
      <c r="E137" s="5" t="s">
        <v>2595</v>
      </c>
      <c r="F137" s="5">
        <v>3.32</v>
      </c>
      <c r="G137" s="5">
        <v>3.8</v>
      </c>
      <c r="H137" s="5">
        <v>3.9</v>
      </c>
      <c r="I137" s="5">
        <v>1</v>
      </c>
      <c r="J137" s="5" t="b">
        <v>0</v>
      </c>
      <c r="K137" s="5" t="b">
        <v>0</v>
      </c>
      <c r="L137" s="5" t="b">
        <v>0</v>
      </c>
      <c r="M137" s="5" t="b">
        <v>0</v>
      </c>
      <c r="N137" s="5" t="b">
        <v>1</v>
      </c>
      <c r="O137" s="5" t="b">
        <v>0</v>
      </c>
    </row>
    <row r="138" spans="1:15" ht="15.95" customHeight="1" x14ac:dyDescent="0.25">
      <c r="A138" s="8">
        <v>43496.60050925926</v>
      </c>
      <c r="B138" s="5" t="s">
        <v>2573</v>
      </c>
      <c r="C138" s="5" t="s">
        <v>2599</v>
      </c>
      <c r="D138" s="5" t="s">
        <v>2578</v>
      </c>
      <c r="E138" s="5" t="s">
        <v>2600</v>
      </c>
      <c r="F138" s="5">
        <v>3.32</v>
      </c>
      <c r="G138" s="5">
        <v>3.8</v>
      </c>
      <c r="H138" s="5">
        <v>3.9</v>
      </c>
      <c r="I138" s="5">
        <v>1</v>
      </c>
      <c r="J138" s="5" t="b">
        <v>0</v>
      </c>
      <c r="K138" s="5" t="b">
        <v>0</v>
      </c>
      <c r="L138" s="5" t="b">
        <v>0</v>
      </c>
      <c r="M138" s="5" t="b">
        <v>0</v>
      </c>
      <c r="N138" s="5" t="b">
        <v>1</v>
      </c>
      <c r="O138" s="5" t="b">
        <v>0</v>
      </c>
    </row>
    <row r="139" spans="1:15" ht="15.95" customHeight="1" x14ac:dyDescent="0.25">
      <c r="A139" s="8">
        <v>43496.60052083333</v>
      </c>
      <c r="B139" s="5" t="s">
        <v>2573</v>
      </c>
      <c r="C139" s="5" t="s">
        <v>2601</v>
      </c>
      <c r="D139" s="5" t="s">
        <v>2578</v>
      </c>
      <c r="E139" s="5" t="s">
        <v>2602</v>
      </c>
      <c r="F139" s="5">
        <v>3.32</v>
      </c>
      <c r="G139" s="5">
        <v>3.8</v>
      </c>
      <c r="H139" s="5">
        <v>3.9</v>
      </c>
      <c r="I139" s="5">
        <v>1</v>
      </c>
      <c r="J139" s="5" t="b">
        <v>0</v>
      </c>
      <c r="K139" s="5" t="b">
        <v>0</v>
      </c>
      <c r="L139" s="5" t="b">
        <v>0</v>
      </c>
      <c r="M139" s="5" t="b">
        <v>0</v>
      </c>
      <c r="N139" s="5" t="b">
        <v>1</v>
      </c>
      <c r="O139" s="5" t="b">
        <v>0</v>
      </c>
    </row>
    <row r="140" spans="1:15" ht="15.95" customHeight="1" x14ac:dyDescent="0.25">
      <c r="A140" s="8">
        <v>43496.60052083333</v>
      </c>
      <c r="B140" s="5" t="s">
        <v>2573</v>
      </c>
      <c r="C140" s="5" t="s">
        <v>2603</v>
      </c>
      <c r="D140" s="5" t="s">
        <v>2578</v>
      </c>
      <c r="E140" s="5" t="s">
        <v>2604</v>
      </c>
      <c r="F140" s="5">
        <v>3.32</v>
      </c>
      <c r="G140" s="5">
        <v>3.8</v>
      </c>
      <c r="H140" s="5">
        <v>3.9</v>
      </c>
      <c r="I140" s="5">
        <v>1</v>
      </c>
      <c r="J140" s="5" t="b">
        <v>0</v>
      </c>
      <c r="K140" s="5" t="b">
        <v>0</v>
      </c>
      <c r="L140" s="5" t="b">
        <v>0</v>
      </c>
      <c r="M140" s="5" t="b">
        <v>0</v>
      </c>
      <c r="N140" s="5" t="b">
        <v>1</v>
      </c>
      <c r="O140" s="5" t="b">
        <v>0</v>
      </c>
    </row>
    <row r="141" spans="1:15" ht="15.95" customHeight="1" x14ac:dyDescent="0.25">
      <c r="A141" s="8">
        <v>43496.600624999999</v>
      </c>
      <c r="B141" s="5" t="s">
        <v>2573</v>
      </c>
      <c r="C141" s="5" t="s">
        <v>2605</v>
      </c>
      <c r="D141" s="5" t="s">
        <v>2578</v>
      </c>
      <c r="E141" s="5" t="s">
        <v>2606</v>
      </c>
      <c r="F141" s="5">
        <v>3.32</v>
      </c>
      <c r="G141" s="5">
        <v>3.8</v>
      </c>
      <c r="H141" s="5">
        <v>3.9</v>
      </c>
      <c r="I141" s="5">
        <v>1</v>
      </c>
      <c r="J141" s="5" t="b">
        <v>0</v>
      </c>
      <c r="K141" s="5" t="b">
        <v>0</v>
      </c>
      <c r="L141" s="5" t="b">
        <v>0</v>
      </c>
      <c r="M141" s="5" t="b">
        <v>0</v>
      </c>
      <c r="N141" s="5" t="b">
        <v>1</v>
      </c>
      <c r="O141" s="5" t="b">
        <v>0</v>
      </c>
    </row>
    <row r="142" spans="1:15" ht="15.95" customHeight="1" x14ac:dyDescent="0.25">
      <c r="A142" s="8">
        <v>43496.600636574076</v>
      </c>
      <c r="B142" s="5" t="s">
        <v>2573</v>
      </c>
      <c r="C142" s="5" t="s">
        <v>2607</v>
      </c>
      <c r="D142" s="5" t="s">
        <v>2578</v>
      </c>
      <c r="E142" s="5" t="s">
        <v>2585</v>
      </c>
      <c r="F142" s="5">
        <v>3.32</v>
      </c>
      <c r="G142" s="5">
        <v>3.8</v>
      </c>
      <c r="H142" s="5">
        <v>3.9</v>
      </c>
      <c r="I142" s="5">
        <v>1</v>
      </c>
      <c r="J142" s="5" t="b">
        <v>0</v>
      </c>
      <c r="K142" s="5" t="b">
        <v>0</v>
      </c>
      <c r="L142" s="5" t="b">
        <v>0</v>
      </c>
      <c r="M142" s="5" t="b">
        <v>0</v>
      </c>
      <c r="N142" s="5" t="b">
        <v>1</v>
      </c>
      <c r="O142" s="5" t="b">
        <v>0</v>
      </c>
    </row>
    <row r="143" spans="1:15" ht="15.95" customHeight="1" x14ac:dyDescent="0.25">
      <c r="A143" s="8">
        <v>43496.600648148145</v>
      </c>
      <c r="B143" s="5" t="s">
        <v>2573</v>
      </c>
      <c r="C143" s="5" t="s">
        <v>2608</v>
      </c>
      <c r="D143" s="5" t="s">
        <v>2578</v>
      </c>
      <c r="E143" s="5" t="s">
        <v>2609</v>
      </c>
      <c r="F143" s="5">
        <v>3.32</v>
      </c>
      <c r="G143" s="5">
        <v>3.8</v>
      </c>
      <c r="H143" s="5">
        <v>3.9</v>
      </c>
      <c r="I143" s="5">
        <v>1</v>
      </c>
      <c r="J143" s="5" t="b">
        <v>0</v>
      </c>
      <c r="K143" s="5" t="b">
        <v>0</v>
      </c>
      <c r="L143" s="5" t="b">
        <v>0</v>
      </c>
      <c r="M143" s="5" t="b">
        <v>0</v>
      </c>
      <c r="N143" s="5" t="b">
        <v>1</v>
      </c>
      <c r="O143" s="5" t="b">
        <v>0</v>
      </c>
    </row>
    <row r="144" spans="1:15" ht="15.95" customHeight="1" x14ac:dyDescent="0.25">
      <c r="A144" s="8">
        <v>43496.600798611114</v>
      </c>
      <c r="B144" s="5" t="s">
        <v>2573</v>
      </c>
      <c r="C144" s="5" t="s">
        <v>2610</v>
      </c>
      <c r="D144" s="5" t="s">
        <v>2578</v>
      </c>
      <c r="E144" s="5" t="s">
        <v>2611</v>
      </c>
      <c r="F144" s="5">
        <v>3.32</v>
      </c>
      <c r="G144" s="5">
        <v>3.8</v>
      </c>
      <c r="H144" s="5">
        <v>3.9</v>
      </c>
      <c r="I144" s="5">
        <v>1</v>
      </c>
      <c r="J144" s="5" t="b">
        <v>0</v>
      </c>
      <c r="K144" s="5" t="b">
        <v>0</v>
      </c>
      <c r="L144" s="5" t="b">
        <v>0</v>
      </c>
      <c r="M144" s="5" t="b">
        <v>0</v>
      </c>
      <c r="N144" s="5" t="b">
        <v>1</v>
      </c>
      <c r="O144" s="5" t="b">
        <v>0</v>
      </c>
    </row>
    <row r="145" spans="1:15" ht="15.95" customHeight="1" x14ac:dyDescent="0.25">
      <c r="A145" s="8">
        <v>43496.600821759261</v>
      </c>
      <c r="B145" s="5" t="s">
        <v>2573</v>
      </c>
      <c r="C145" s="5" t="s">
        <v>2612</v>
      </c>
      <c r="D145" s="5" t="s">
        <v>2578</v>
      </c>
      <c r="E145" s="5" t="s">
        <v>2613</v>
      </c>
      <c r="F145" s="5">
        <v>3.32</v>
      </c>
      <c r="G145" s="5">
        <v>3.8</v>
      </c>
      <c r="H145" s="5">
        <v>3.9</v>
      </c>
      <c r="I145" s="5">
        <v>1</v>
      </c>
      <c r="J145" s="5" t="b">
        <v>0</v>
      </c>
      <c r="K145" s="5" t="b">
        <v>0</v>
      </c>
      <c r="L145" s="5" t="b">
        <v>0</v>
      </c>
      <c r="M145" s="5" t="b">
        <v>0</v>
      </c>
      <c r="N145" s="5" t="b">
        <v>1</v>
      </c>
      <c r="O145" s="5" t="b">
        <v>0</v>
      </c>
    </row>
    <row r="146" spans="1:15" ht="15.95" customHeight="1" x14ac:dyDescent="0.25">
      <c r="A146" s="8">
        <v>43496.600844907407</v>
      </c>
      <c r="B146" s="5" t="s">
        <v>2573</v>
      </c>
      <c r="C146" s="5" t="s">
        <v>2614</v>
      </c>
      <c r="D146" s="5" t="s">
        <v>2578</v>
      </c>
      <c r="E146" s="5" t="s">
        <v>2615</v>
      </c>
      <c r="F146" s="5">
        <v>3.32</v>
      </c>
      <c r="G146" s="5">
        <v>3.8</v>
      </c>
      <c r="H146" s="5">
        <v>3.9</v>
      </c>
      <c r="I146" s="5">
        <v>1</v>
      </c>
      <c r="J146" s="5" t="b">
        <v>0</v>
      </c>
      <c r="K146" s="5" t="b">
        <v>0</v>
      </c>
      <c r="L146" s="5" t="b">
        <v>0</v>
      </c>
      <c r="M146" s="5" t="b">
        <v>0</v>
      </c>
      <c r="N146" s="5" t="b">
        <v>1</v>
      </c>
      <c r="O146" s="5" t="b">
        <v>0</v>
      </c>
    </row>
    <row r="147" spans="1:15" ht="15.95" customHeight="1" x14ac:dyDescent="0.25">
      <c r="A147" s="8">
        <v>43496.600844907407</v>
      </c>
      <c r="B147" s="5" t="s">
        <v>2573</v>
      </c>
      <c r="C147" s="5" t="s">
        <v>2616</v>
      </c>
      <c r="D147" s="5" t="s">
        <v>2578</v>
      </c>
      <c r="E147" s="5" t="s">
        <v>2617</v>
      </c>
      <c r="F147" s="5">
        <v>3.32</v>
      </c>
      <c r="G147" s="5">
        <v>3.8</v>
      </c>
      <c r="H147" s="5">
        <v>3.9</v>
      </c>
      <c r="I147" s="5">
        <v>1</v>
      </c>
      <c r="J147" s="5" t="b">
        <v>0</v>
      </c>
      <c r="K147" s="5" t="b">
        <v>0</v>
      </c>
      <c r="L147" s="5" t="b">
        <v>0</v>
      </c>
      <c r="M147" s="5" t="b">
        <v>0</v>
      </c>
      <c r="N147" s="5" t="b">
        <v>1</v>
      </c>
      <c r="O147" s="5" t="b">
        <v>0</v>
      </c>
    </row>
    <row r="148" spans="1:15" ht="15.95" customHeight="1" x14ac:dyDescent="0.25">
      <c r="A148" s="8">
        <v>43496.600844907407</v>
      </c>
      <c r="B148" s="5" t="s">
        <v>2573</v>
      </c>
      <c r="C148" s="5" t="s">
        <v>2618</v>
      </c>
      <c r="D148" s="5" t="s">
        <v>2578</v>
      </c>
      <c r="E148" s="5" t="s">
        <v>2619</v>
      </c>
      <c r="F148" s="5">
        <v>3.32</v>
      </c>
      <c r="G148" s="5">
        <v>3.8</v>
      </c>
      <c r="H148" s="5">
        <v>3.9</v>
      </c>
      <c r="I148" s="5">
        <v>1</v>
      </c>
      <c r="J148" s="5" t="b">
        <v>0</v>
      </c>
      <c r="K148" s="5" t="b">
        <v>0</v>
      </c>
      <c r="L148" s="5" t="b">
        <v>0</v>
      </c>
      <c r="M148" s="5" t="b">
        <v>0</v>
      </c>
      <c r="N148" s="5" t="b">
        <v>1</v>
      </c>
      <c r="O148" s="5" t="b">
        <v>0</v>
      </c>
    </row>
    <row r="149" spans="1:15" ht="15.95" customHeight="1" x14ac:dyDescent="0.25">
      <c r="A149" s="8">
        <v>43496.600856481484</v>
      </c>
      <c r="B149" s="5" t="s">
        <v>2573</v>
      </c>
      <c r="C149" s="5" t="s">
        <v>2620</v>
      </c>
      <c r="D149" s="5" t="s">
        <v>2578</v>
      </c>
      <c r="E149" s="5" t="s">
        <v>2621</v>
      </c>
      <c r="F149" s="5">
        <v>3.32</v>
      </c>
      <c r="G149" s="5">
        <v>3.8</v>
      </c>
      <c r="H149" s="5">
        <v>3.9</v>
      </c>
      <c r="I149" s="5">
        <v>1</v>
      </c>
      <c r="J149" s="5" t="b">
        <v>0</v>
      </c>
      <c r="K149" s="5" t="b">
        <v>0</v>
      </c>
      <c r="L149" s="5" t="b">
        <v>0</v>
      </c>
      <c r="M149" s="5" t="b">
        <v>0</v>
      </c>
      <c r="N149" s="5" t="b">
        <v>1</v>
      </c>
      <c r="O149" s="5" t="b">
        <v>0</v>
      </c>
    </row>
    <row r="150" spans="1:15" ht="15.95" customHeight="1" x14ac:dyDescent="0.25">
      <c r="A150" s="8">
        <v>43496.60087962963</v>
      </c>
      <c r="B150" s="5" t="s">
        <v>2573</v>
      </c>
      <c r="C150" s="5" t="s">
        <v>2622</v>
      </c>
      <c r="D150" s="5" t="s">
        <v>2578</v>
      </c>
      <c r="E150" s="5" t="s">
        <v>2623</v>
      </c>
      <c r="F150" s="5">
        <v>3.32</v>
      </c>
      <c r="G150" s="5">
        <v>3.8</v>
      </c>
      <c r="H150" s="5">
        <v>3.9</v>
      </c>
      <c r="I150" s="5">
        <v>1</v>
      </c>
      <c r="J150" s="5" t="b">
        <v>0</v>
      </c>
      <c r="K150" s="5" t="b">
        <v>0</v>
      </c>
      <c r="L150" s="5" t="b">
        <v>0</v>
      </c>
      <c r="M150" s="5" t="b">
        <v>0</v>
      </c>
      <c r="N150" s="5" t="b">
        <v>1</v>
      </c>
      <c r="O150" s="5" t="b">
        <v>0</v>
      </c>
    </row>
    <row r="151" spans="1:15" ht="15.95" customHeight="1" x14ac:dyDescent="0.25">
      <c r="A151" s="8">
        <v>43496.600925925923</v>
      </c>
      <c r="B151" s="5" t="s">
        <v>2573</v>
      </c>
      <c r="C151" s="5" t="s">
        <v>2624</v>
      </c>
      <c r="D151" s="5" t="s">
        <v>2578</v>
      </c>
      <c r="E151" s="5" t="s">
        <v>2625</v>
      </c>
      <c r="F151" s="5">
        <v>3.32</v>
      </c>
      <c r="G151" s="5">
        <v>3.8</v>
      </c>
      <c r="H151" s="5">
        <v>3.9</v>
      </c>
      <c r="I151" s="5">
        <v>1</v>
      </c>
      <c r="J151" s="5" t="b">
        <v>0</v>
      </c>
      <c r="K151" s="5" t="b">
        <v>0</v>
      </c>
      <c r="L151" s="5" t="b">
        <v>0</v>
      </c>
      <c r="M151" s="5" t="b">
        <v>0</v>
      </c>
      <c r="N151" s="5" t="b">
        <v>1</v>
      </c>
      <c r="O151" s="5" t="b">
        <v>0</v>
      </c>
    </row>
    <row r="152" spans="1:15" ht="15.95" customHeight="1" x14ac:dyDescent="0.25">
      <c r="A152" s="8">
        <v>43496.60125</v>
      </c>
      <c r="B152" s="5" t="s">
        <v>2573</v>
      </c>
      <c r="C152" s="5" t="s">
        <v>2626</v>
      </c>
      <c r="D152" s="5" t="s">
        <v>2578</v>
      </c>
      <c r="E152" s="5" t="s">
        <v>2627</v>
      </c>
      <c r="F152" s="5">
        <v>3.32</v>
      </c>
      <c r="G152" s="5">
        <v>3.8</v>
      </c>
      <c r="H152" s="5">
        <v>3.9</v>
      </c>
      <c r="I152" s="5">
        <v>1</v>
      </c>
      <c r="J152" s="5" t="b">
        <v>0</v>
      </c>
      <c r="K152" s="5" t="b">
        <v>0</v>
      </c>
      <c r="L152" s="5" t="b">
        <v>0</v>
      </c>
      <c r="M152" s="5" t="b">
        <v>0</v>
      </c>
      <c r="N152" s="5" t="b">
        <v>1</v>
      </c>
      <c r="O152" s="5" t="b">
        <v>0</v>
      </c>
    </row>
    <row r="153" spans="1:15" ht="15.95" customHeight="1" x14ac:dyDescent="0.25">
      <c r="A153" s="8">
        <v>43496.60125</v>
      </c>
      <c r="B153" s="5" t="s">
        <v>2573</v>
      </c>
      <c r="C153" s="5" t="s">
        <v>2628</v>
      </c>
      <c r="D153" s="5" t="s">
        <v>2578</v>
      </c>
      <c r="E153" s="5" t="s">
        <v>2629</v>
      </c>
      <c r="F153" s="5">
        <v>3.32</v>
      </c>
      <c r="G153" s="5">
        <v>3.8</v>
      </c>
      <c r="H153" s="5">
        <v>3.9</v>
      </c>
      <c r="I153" s="5">
        <v>1</v>
      </c>
      <c r="J153" s="5" t="b">
        <v>0</v>
      </c>
      <c r="K153" s="5" t="b">
        <v>0</v>
      </c>
      <c r="L153" s="5" t="b">
        <v>0</v>
      </c>
      <c r="M153" s="5" t="b">
        <v>0</v>
      </c>
      <c r="N153" s="5" t="b">
        <v>1</v>
      </c>
      <c r="O153" s="5" t="b">
        <v>0</v>
      </c>
    </row>
    <row r="154" spans="1:15" ht="15.95" customHeight="1" x14ac:dyDescent="0.25">
      <c r="A154" s="8">
        <v>43496.601284722223</v>
      </c>
      <c r="B154" s="5" t="s">
        <v>2573</v>
      </c>
      <c r="C154" s="5" t="s">
        <v>2630</v>
      </c>
      <c r="D154" s="5" t="s">
        <v>2578</v>
      </c>
      <c r="E154" s="5" t="s">
        <v>2631</v>
      </c>
      <c r="F154" s="5">
        <v>3.32</v>
      </c>
      <c r="G154" s="5">
        <v>3.8</v>
      </c>
      <c r="H154" s="5">
        <v>3.9</v>
      </c>
      <c r="I154" s="5">
        <v>1</v>
      </c>
      <c r="J154" s="5" t="b">
        <v>0</v>
      </c>
      <c r="K154" s="5" t="b">
        <v>0</v>
      </c>
      <c r="L154" s="5" t="b">
        <v>0</v>
      </c>
      <c r="M154" s="5" t="b">
        <v>0</v>
      </c>
      <c r="N154" s="5" t="b">
        <v>1</v>
      </c>
      <c r="O154" s="5" t="b">
        <v>0</v>
      </c>
    </row>
    <row r="155" spans="1:15" ht="15.95" customHeight="1" x14ac:dyDescent="0.25">
      <c r="A155" s="8">
        <v>43496.601284722223</v>
      </c>
      <c r="B155" s="5" t="s">
        <v>2573</v>
      </c>
      <c r="C155" s="5" t="s">
        <v>2632</v>
      </c>
      <c r="D155" s="5" t="s">
        <v>2578</v>
      </c>
      <c r="E155" s="5" t="s">
        <v>2633</v>
      </c>
      <c r="F155" s="5">
        <v>3.32</v>
      </c>
      <c r="G155" s="5">
        <v>3.8</v>
      </c>
      <c r="H155" s="5">
        <v>3.9</v>
      </c>
      <c r="I155" s="5">
        <v>1</v>
      </c>
      <c r="J155" s="5" t="b">
        <v>0</v>
      </c>
      <c r="K155" s="5" t="b">
        <v>0</v>
      </c>
      <c r="L155" s="5" t="b">
        <v>0</v>
      </c>
      <c r="M155" s="5" t="b">
        <v>0</v>
      </c>
      <c r="N155" s="5" t="b">
        <v>1</v>
      </c>
      <c r="O155" s="5" t="b">
        <v>0</v>
      </c>
    </row>
    <row r="156" spans="1:15" ht="15.95" customHeight="1" x14ac:dyDescent="0.25">
      <c r="A156" s="8">
        <v>43496.601319444446</v>
      </c>
      <c r="B156" s="5" t="s">
        <v>2573</v>
      </c>
      <c r="C156" s="5" t="s">
        <v>2634</v>
      </c>
      <c r="D156" s="5" t="s">
        <v>2578</v>
      </c>
      <c r="E156" s="5" t="s">
        <v>2635</v>
      </c>
      <c r="F156" s="5">
        <v>3.32</v>
      </c>
      <c r="G156" s="5">
        <v>3.8</v>
      </c>
      <c r="H156" s="5">
        <v>3.9</v>
      </c>
      <c r="I156" s="5">
        <v>1</v>
      </c>
      <c r="J156" s="5" t="b">
        <v>0</v>
      </c>
      <c r="K156" s="5" t="b">
        <v>0</v>
      </c>
      <c r="L156" s="5" t="b">
        <v>0</v>
      </c>
      <c r="M156" s="5" t="b">
        <v>0</v>
      </c>
      <c r="N156" s="5" t="b">
        <v>1</v>
      </c>
      <c r="O156" s="5" t="b">
        <v>0</v>
      </c>
    </row>
    <row r="157" spans="1:15" ht="15.95" customHeight="1" x14ac:dyDescent="0.25">
      <c r="A157" s="8">
        <v>43496.601331018515</v>
      </c>
      <c r="B157" s="5" t="s">
        <v>2573</v>
      </c>
      <c r="C157" s="5" t="s">
        <v>2636</v>
      </c>
      <c r="D157" s="5" t="s">
        <v>2578</v>
      </c>
      <c r="E157" s="5" t="s">
        <v>2637</v>
      </c>
      <c r="F157" s="5">
        <v>3.32</v>
      </c>
      <c r="G157" s="5">
        <v>3.8</v>
      </c>
      <c r="H157" s="5">
        <v>3.9</v>
      </c>
      <c r="I157" s="5">
        <v>1</v>
      </c>
      <c r="J157" s="5" t="b">
        <v>0</v>
      </c>
      <c r="K157" s="5" t="b">
        <v>0</v>
      </c>
      <c r="L157" s="5" t="b">
        <v>0</v>
      </c>
      <c r="M157" s="5" t="b">
        <v>0</v>
      </c>
      <c r="N157" s="5" t="b">
        <v>1</v>
      </c>
      <c r="O157" s="5" t="b">
        <v>0</v>
      </c>
    </row>
    <row r="158" spans="1:15" ht="15.95" customHeight="1" x14ac:dyDescent="0.25">
      <c r="A158" s="8">
        <v>43496.601597222223</v>
      </c>
      <c r="B158" s="5" t="s">
        <v>2573</v>
      </c>
      <c r="C158" s="5" t="s">
        <v>2638</v>
      </c>
      <c r="D158" s="5" t="s">
        <v>2578</v>
      </c>
      <c r="E158" s="5" t="s">
        <v>2639</v>
      </c>
      <c r="F158" s="5">
        <v>3.32</v>
      </c>
      <c r="G158" s="5">
        <v>3.8</v>
      </c>
      <c r="H158" s="5">
        <v>3.9</v>
      </c>
      <c r="I158" s="5">
        <v>1</v>
      </c>
      <c r="J158" s="5" t="b">
        <v>0</v>
      </c>
      <c r="K158" s="5" t="b">
        <v>0</v>
      </c>
      <c r="L158" s="5" t="b">
        <v>0</v>
      </c>
      <c r="M158" s="5" t="b">
        <v>0</v>
      </c>
      <c r="N158" s="5" t="b">
        <v>1</v>
      </c>
      <c r="O158" s="5" t="b">
        <v>0</v>
      </c>
    </row>
    <row r="159" spans="1:15" ht="15.95" customHeight="1" x14ac:dyDescent="0.25">
      <c r="A159" s="8">
        <v>43496.601620370369</v>
      </c>
      <c r="B159" s="5" t="s">
        <v>2573</v>
      </c>
      <c r="C159" s="5" t="s">
        <v>2640</v>
      </c>
      <c r="D159" s="5" t="s">
        <v>2578</v>
      </c>
      <c r="E159" s="5" t="s">
        <v>2641</v>
      </c>
      <c r="F159" s="5">
        <v>3.32</v>
      </c>
      <c r="G159" s="5">
        <v>3.8</v>
      </c>
      <c r="H159" s="5">
        <v>3.9</v>
      </c>
      <c r="I159" s="5">
        <v>1</v>
      </c>
      <c r="J159" s="5" t="b">
        <v>0</v>
      </c>
      <c r="K159" s="5" t="b">
        <v>0</v>
      </c>
      <c r="L159" s="5" t="b">
        <v>0</v>
      </c>
      <c r="M159" s="5" t="b">
        <v>0</v>
      </c>
      <c r="N159" s="5" t="b">
        <v>1</v>
      </c>
      <c r="O159" s="5" t="b">
        <v>0</v>
      </c>
    </row>
    <row r="160" spans="1:15" ht="15.95" customHeight="1" x14ac:dyDescent="0.25">
      <c r="A160" s="8">
        <v>43496.601631944446</v>
      </c>
      <c r="B160" s="5" t="s">
        <v>2573</v>
      </c>
      <c r="C160" s="5" t="s">
        <v>2642</v>
      </c>
      <c r="D160" s="5" t="s">
        <v>2578</v>
      </c>
      <c r="E160" s="5" t="s">
        <v>2643</v>
      </c>
      <c r="F160" s="5">
        <v>3.32</v>
      </c>
      <c r="G160" s="5">
        <v>3.8</v>
      </c>
      <c r="H160" s="5">
        <v>3.9</v>
      </c>
      <c r="I160" s="5">
        <v>1</v>
      </c>
      <c r="J160" s="5" t="b">
        <v>0</v>
      </c>
      <c r="K160" s="5" t="b">
        <v>0</v>
      </c>
      <c r="L160" s="5" t="b">
        <v>0</v>
      </c>
      <c r="M160" s="5" t="b">
        <v>0</v>
      </c>
      <c r="N160" s="5" t="b">
        <v>1</v>
      </c>
      <c r="O160" s="5" t="b">
        <v>0</v>
      </c>
    </row>
    <row r="161" spans="1:15" ht="15.95" customHeight="1" x14ac:dyDescent="0.25">
      <c r="A161" s="8">
        <v>43496.601631944446</v>
      </c>
      <c r="B161" s="5" t="s">
        <v>2573</v>
      </c>
      <c r="C161" s="5" t="s">
        <v>2644</v>
      </c>
      <c r="D161" s="5" t="s">
        <v>2578</v>
      </c>
      <c r="E161" s="5" t="s">
        <v>2645</v>
      </c>
      <c r="F161" s="5">
        <v>3.32</v>
      </c>
      <c r="G161" s="5">
        <v>3.8</v>
      </c>
      <c r="H161" s="5">
        <v>3.9</v>
      </c>
      <c r="I161" s="5">
        <v>1</v>
      </c>
      <c r="J161" s="5" t="b">
        <v>0</v>
      </c>
      <c r="K161" s="5" t="b">
        <v>0</v>
      </c>
      <c r="L161" s="5" t="b">
        <v>0</v>
      </c>
      <c r="M161" s="5" t="b">
        <v>0</v>
      </c>
      <c r="N161" s="5" t="b">
        <v>1</v>
      </c>
      <c r="O161" s="5" t="b">
        <v>0</v>
      </c>
    </row>
    <row r="162" spans="1:15" ht="15.95" customHeight="1" x14ac:dyDescent="0.25">
      <c r="A162" s="8">
        <v>43496.601666666669</v>
      </c>
      <c r="B162" s="5" t="s">
        <v>2573</v>
      </c>
      <c r="C162" s="5" t="s">
        <v>2646</v>
      </c>
      <c r="D162" s="5" t="s">
        <v>2578</v>
      </c>
      <c r="E162" s="5" t="s">
        <v>2647</v>
      </c>
      <c r="F162" s="5">
        <v>3.32</v>
      </c>
      <c r="G162" s="5">
        <v>3.8</v>
      </c>
      <c r="H162" s="5">
        <v>3.9</v>
      </c>
      <c r="I162" s="5">
        <v>1</v>
      </c>
      <c r="J162" s="5" t="b">
        <v>0</v>
      </c>
      <c r="K162" s="5" t="b">
        <v>0</v>
      </c>
      <c r="L162" s="5" t="b">
        <v>0</v>
      </c>
      <c r="M162" s="5" t="b">
        <v>0</v>
      </c>
      <c r="N162" s="5" t="b">
        <v>1</v>
      </c>
      <c r="O162" s="5" t="b">
        <v>0</v>
      </c>
    </row>
    <row r="163" spans="1:15" ht="15.95" customHeight="1" x14ac:dyDescent="0.25">
      <c r="A163" s="8">
        <v>43496.601701388892</v>
      </c>
      <c r="B163" s="5" t="s">
        <v>2573</v>
      </c>
      <c r="C163" s="5" t="s">
        <v>2648</v>
      </c>
      <c r="D163" s="5" t="s">
        <v>2578</v>
      </c>
      <c r="E163" s="5" t="s">
        <v>2649</v>
      </c>
      <c r="F163" s="5">
        <v>3.32</v>
      </c>
      <c r="G163" s="5">
        <v>3.8</v>
      </c>
      <c r="H163" s="5">
        <v>3.9</v>
      </c>
      <c r="I163" s="5">
        <v>1</v>
      </c>
      <c r="J163" s="5" t="b">
        <v>0</v>
      </c>
      <c r="K163" s="5" t="b">
        <v>0</v>
      </c>
      <c r="L163" s="5" t="b">
        <v>0</v>
      </c>
      <c r="M163" s="5" t="b">
        <v>0</v>
      </c>
      <c r="N163" s="5" t="b">
        <v>1</v>
      </c>
      <c r="O163" s="5" t="b">
        <v>0</v>
      </c>
    </row>
    <row r="164" spans="1:15" ht="15.95" customHeight="1" x14ac:dyDescent="0.25">
      <c r="A164" s="8">
        <v>43496.601724537039</v>
      </c>
      <c r="B164" s="5" t="s">
        <v>2573</v>
      </c>
      <c r="C164" s="5" t="s">
        <v>2650</v>
      </c>
      <c r="D164" s="5" t="s">
        <v>2578</v>
      </c>
      <c r="E164" s="5" t="s">
        <v>2651</v>
      </c>
      <c r="F164" s="5">
        <v>3.32</v>
      </c>
      <c r="G164" s="5">
        <v>3.8</v>
      </c>
      <c r="H164" s="5">
        <v>3.9</v>
      </c>
      <c r="I164" s="5">
        <v>1</v>
      </c>
      <c r="J164" s="5" t="b">
        <v>0</v>
      </c>
      <c r="K164" s="5" t="b">
        <v>0</v>
      </c>
      <c r="L164" s="5" t="b">
        <v>0</v>
      </c>
      <c r="M164" s="5" t="b">
        <v>0</v>
      </c>
      <c r="N164" s="5" t="b">
        <v>1</v>
      </c>
      <c r="O164" s="5" t="b">
        <v>0</v>
      </c>
    </row>
    <row r="165" spans="1:15" ht="15.95" customHeight="1" x14ac:dyDescent="0.25">
      <c r="A165" s="8">
        <v>43496.601817129631</v>
      </c>
      <c r="B165" s="5" t="s">
        <v>2573</v>
      </c>
      <c r="C165" s="5" t="s">
        <v>2652</v>
      </c>
      <c r="D165" s="5" t="s">
        <v>2578</v>
      </c>
      <c r="E165" s="5" t="s">
        <v>2653</v>
      </c>
      <c r="F165" s="5">
        <v>3.32</v>
      </c>
      <c r="G165" s="5">
        <v>3.8</v>
      </c>
      <c r="H165" s="5">
        <v>3.9</v>
      </c>
      <c r="I165" s="5">
        <v>1</v>
      </c>
      <c r="J165" s="5" t="b">
        <v>0</v>
      </c>
      <c r="K165" s="5" t="b">
        <v>0</v>
      </c>
      <c r="L165" s="5" t="b">
        <v>0</v>
      </c>
      <c r="M165" s="5" t="b">
        <v>0</v>
      </c>
      <c r="N165" s="5" t="b">
        <v>1</v>
      </c>
      <c r="O165" s="5" t="b">
        <v>0</v>
      </c>
    </row>
    <row r="166" spans="1:15" ht="15.95" customHeight="1" x14ac:dyDescent="0.25">
      <c r="A166" s="8">
        <v>43496.601875</v>
      </c>
      <c r="B166" s="5" t="s">
        <v>2573</v>
      </c>
      <c r="C166" s="5" t="s">
        <v>2654</v>
      </c>
      <c r="D166" s="5" t="s">
        <v>2578</v>
      </c>
      <c r="E166" s="5" t="s">
        <v>2655</v>
      </c>
      <c r="F166" s="5">
        <v>3.32</v>
      </c>
      <c r="G166" s="5">
        <v>3.8</v>
      </c>
      <c r="H166" s="5">
        <v>3.9</v>
      </c>
      <c r="I166" s="5">
        <v>1</v>
      </c>
      <c r="J166" s="5" t="b">
        <v>0</v>
      </c>
      <c r="K166" s="5" t="b">
        <v>0</v>
      </c>
      <c r="L166" s="5" t="b">
        <v>0</v>
      </c>
      <c r="M166" s="5" t="b">
        <v>0</v>
      </c>
      <c r="N166" s="5" t="b">
        <v>1</v>
      </c>
      <c r="O166" s="5" t="b">
        <v>0</v>
      </c>
    </row>
    <row r="167" spans="1:15" ht="15.95" customHeight="1" x14ac:dyDescent="0.25">
      <c r="A167" s="8">
        <v>43496.60193287037</v>
      </c>
      <c r="B167" s="5" t="s">
        <v>2573</v>
      </c>
      <c r="C167" s="5" t="s">
        <v>2656</v>
      </c>
      <c r="D167" s="5" t="s">
        <v>2578</v>
      </c>
      <c r="E167" s="5" t="s">
        <v>2657</v>
      </c>
      <c r="F167" s="5">
        <v>3.32</v>
      </c>
      <c r="G167" s="5">
        <v>3.8</v>
      </c>
      <c r="H167" s="5">
        <v>3.9</v>
      </c>
      <c r="I167" s="5">
        <v>1</v>
      </c>
      <c r="J167" s="5" t="b">
        <v>0</v>
      </c>
      <c r="K167" s="5" t="b">
        <v>0</v>
      </c>
      <c r="L167" s="5" t="b">
        <v>0</v>
      </c>
      <c r="M167" s="5" t="b">
        <v>0</v>
      </c>
      <c r="N167" s="5" t="b">
        <v>1</v>
      </c>
      <c r="O167" s="5" t="b">
        <v>0</v>
      </c>
    </row>
    <row r="168" spans="1:15" ht="15.95" customHeight="1" x14ac:dyDescent="0.25">
      <c r="A168" s="8">
        <v>43496.601944444446</v>
      </c>
      <c r="B168" s="5" t="s">
        <v>2573</v>
      </c>
      <c r="C168" s="5" t="s">
        <v>2658</v>
      </c>
      <c r="D168" s="5" t="s">
        <v>2578</v>
      </c>
      <c r="E168" s="5" t="s">
        <v>2659</v>
      </c>
      <c r="F168" s="5">
        <v>3.32</v>
      </c>
      <c r="G168" s="5">
        <v>3.8</v>
      </c>
      <c r="H168" s="5">
        <v>3.9</v>
      </c>
      <c r="I168" s="5">
        <v>1</v>
      </c>
      <c r="J168" s="5" t="b">
        <v>0</v>
      </c>
      <c r="K168" s="5" t="b">
        <v>0</v>
      </c>
      <c r="L168" s="5" t="b">
        <v>0</v>
      </c>
      <c r="M168" s="5" t="b">
        <v>0</v>
      </c>
      <c r="N168" s="5" t="b">
        <v>1</v>
      </c>
      <c r="O168" s="5" t="b">
        <v>0</v>
      </c>
    </row>
    <row r="169" spans="1:15" ht="15.95" customHeight="1" x14ac:dyDescent="0.25">
      <c r="A169" s="8">
        <v>43496.602164351854</v>
      </c>
      <c r="B169" s="5" t="s">
        <v>2573</v>
      </c>
      <c r="C169" s="5" t="s">
        <v>2660</v>
      </c>
      <c r="D169" s="5" t="s">
        <v>2578</v>
      </c>
      <c r="E169" s="5" t="s">
        <v>2661</v>
      </c>
      <c r="F169" s="5">
        <v>3.32</v>
      </c>
      <c r="G169" s="5">
        <v>3.8</v>
      </c>
      <c r="H169" s="5">
        <v>3.9</v>
      </c>
      <c r="I169" s="5">
        <v>1</v>
      </c>
      <c r="J169" s="5" t="b">
        <v>0</v>
      </c>
      <c r="K169" s="5" t="b">
        <v>0</v>
      </c>
      <c r="L169" s="5" t="b">
        <v>0</v>
      </c>
      <c r="M169" s="5" t="b">
        <v>0</v>
      </c>
      <c r="N169" s="5" t="b">
        <v>1</v>
      </c>
      <c r="O169" s="5" t="b">
        <v>0</v>
      </c>
    </row>
    <row r="170" spans="1:15" ht="15.95" customHeight="1" x14ac:dyDescent="0.25">
      <c r="A170" s="8">
        <v>43496.602164351854</v>
      </c>
      <c r="B170" s="5" t="s">
        <v>2573</v>
      </c>
      <c r="C170" s="5" t="s">
        <v>2662</v>
      </c>
      <c r="D170" s="5" t="s">
        <v>2578</v>
      </c>
      <c r="E170" s="5" t="s">
        <v>2663</v>
      </c>
      <c r="F170" s="5">
        <v>3.32</v>
      </c>
      <c r="G170" s="5">
        <v>3.8</v>
      </c>
      <c r="H170" s="5">
        <v>3.9</v>
      </c>
      <c r="I170" s="5">
        <v>1</v>
      </c>
      <c r="J170" s="5" t="b">
        <v>0</v>
      </c>
      <c r="K170" s="5" t="b">
        <v>0</v>
      </c>
      <c r="L170" s="5" t="b">
        <v>0</v>
      </c>
      <c r="M170" s="5" t="b">
        <v>0</v>
      </c>
      <c r="N170" s="5" t="b">
        <v>1</v>
      </c>
      <c r="O170" s="5" t="b">
        <v>0</v>
      </c>
    </row>
    <row r="171" spans="1:15" ht="15.95" customHeight="1" x14ac:dyDescent="0.25">
      <c r="A171" s="8">
        <v>43496.602233796293</v>
      </c>
      <c r="B171" s="5" t="s">
        <v>2573</v>
      </c>
      <c r="C171" s="5" t="s">
        <v>2664</v>
      </c>
      <c r="D171" s="5" t="s">
        <v>2578</v>
      </c>
      <c r="E171" s="5" t="s">
        <v>2665</v>
      </c>
      <c r="F171" s="5">
        <v>3.32</v>
      </c>
      <c r="G171" s="5">
        <v>3.8</v>
      </c>
      <c r="H171" s="5">
        <v>3.9</v>
      </c>
      <c r="I171" s="5">
        <v>1</v>
      </c>
      <c r="J171" s="5" t="b">
        <v>0</v>
      </c>
      <c r="K171" s="5" t="b">
        <v>0</v>
      </c>
      <c r="L171" s="5" t="b">
        <v>0</v>
      </c>
      <c r="M171" s="5" t="b">
        <v>0</v>
      </c>
      <c r="N171" s="5" t="b">
        <v>1</v>
      </c>
      <c r="O171" s="5" t="b">
        <v>0</v>
      </c>
    </row>
    <row r="172" spans="1:15" ht="15.95" customHeight="1" x14ac:dyDescent="0.25">
      <c r="A172" s="8">
        <v>43496.602233796293</v>
      </c>
      <c r="B172" s="5" t="s">
        <v>2573</v>
      </c>
      <c r="C172" s="5" t="s">
        <v>2666</v>
      </c>
      <c r="D172" s="5" t="s">
        <v>2578</v>
      </c>
      <c r="E172" s="5" t="s">
        <v>2667</v>
      </c>
      <c r="F172" s="5">
        <v>3.32</v>
      </c>
      <c r="G172" s="5">
        <v>3.8</v>
      </c>
      <c r="H172" s="5">
        <v>3.9</v>
      </c>
      <c r="I172" s="5">
        <v>1</v>
      </c>
      <c r="J172" s="5" t="b">
        <v>0</v>
      </c>
      <c r="K172" s="5" t="b">
        <v>0</v>
      </c>
      <c r="L172" s="5" t="b">
        <v>0</v>
      </c>
      <c r="M172" s="5" t="b">
        <v>0</v>
      </c>
      <c r="N172" s="5" t="b">
        <v>1</v>
      </c>
      <c r="O172" s="5" t="b">
        <v>0</v>
      </c>
    </row>
    <row r="173" spans="1:15" ht="15.95" customHeight="1" x14ac:dyDescent="0.25">
      <c r="A173" s="8">
        <v>43496.602268518516</v>
      </c>
      <c r="B173" s="5" t="s">
        <v>2573</v>
      </c>
      <c r="C173" s="5" t="s">
        <v>2668</v>
      </c>
      <c r="D173" s="5" t="s">
        <v>2578</v>
      </c>
      <c r="E173" s="5" t="s">
        <v>2669</v>
      </c>
      <c r="F173" s="5">
        <v>3.32</v>
      </c>
      <c r="G173" s="5">
        <v>3.8</v>
      </c>
      <c r="H173" s="5">
        <v>3.9</v>
      </c>
      <c r="I173" s="5">
        <v>1</v>
      </c>
      <c r="J173" s="5" t="b">
        <v>0</v>
      </c>
      <c r="K173" s="5" t="b">
        <v>0</v>
      </c>
      <c r="L173" s="5" t="b">
        <v>0</v>
      </c>
      <c r="M173" s="5" t="b">
        <v>0</v>
      </c>
      <c r="N173" s="5" t="b">
        <v>1</v>
      </c>
      <c r="O173" s="5" t="b">
        <v>0</v>
      </c>
    </row>
    <row r="174" spans="1:15" ht="15.95" customHeight="1" x14ac:dyDescent="0.25">
      <c r="A174" s="8">
        <v>43496.602418981478</v>
      </c>
      <c r="B174" s="5" t="s">
        <v>2573</v>
      </c>
      <c r="C174" s="5" t="s">
        <v>2670</v>
      </c>
      <c r="D174" s="5" t="s">
        <v>2578</v>
      </c>
      <c r="E174" s="5" t="s">
        <v>2671</v>
      </c>
      <c r="F174" s="5">
        <v>3.32</v>
      </c>
      <c r="G174" s="5">
        <v>3.8</v>
      </c>
      <c r="H174" s="5">
        <v>3.9</v>
      </c>
      <c r="I174" s="5">
        <v>1</v>
      </c>
      <c r="J174" s="5" t="b">
        <v>0</v>
      </c>
      <c r="K174" s="5" t="b">
        <v>0</v>
      </c>
      <c r="L174" s="5" t="b">
        <v>0</v>
      </c>
      <c r="M174" s="5" t="b">
        <v>0</v>
      </c>
      <c r="N174" s="5" t="b">
        <v>1</v>
      </c>
      <c r="O174" s="5" t="b">
        <v>0</v>
      </c>
    </row>
    <row r="175" spans="1:15" ht="15.95" customHeight="1" x14ac:dyDescent="0.25">
      <c r="A175" s="8">
        <v>43496.602418981478</v>
      </c>
      <c r="B175" s="5" t="s">
        <v>2573</v>
      </c>
      <c r="C175" s="5" t="s">
        <v>2672</v>
      </c>
      <c r="D175" s="5" t="s">
        <v>2578</v>
      </c>
      <c r="E175" s="5" t="s">
        <v>2673</v>
      </c>
      <c r="F175" s="5">
        <v>3.32</v>
      </c>
      <c r="G175" s="5">
        <v>3.8</v>
      </c>
      <c r="H175" s="5">
        <v>3.9</v>
      </c>
      <c r="I175" s="5">
        <v>1</v>
      </c>
      <c r="J175" s="5" t="b">
        <v>0</v>
      </c>
      <c r="K175" s="5" t="b">
        <v>0</v>
      </c>
      <c r="L175" s="5" t="b">
        <v>0</v>
      </c>
      <c r="M175" s="5" t="b">
        <v>0</v>
      </c>
      <c r="N175" s="5" t="b">
        <v>1</v>
      </c>
      <c r="O175" s="5" t="b">
        <v>0</v>
      </c>
    </row>
    <row r="176" spans="1:15" ht="15.95" customHeight="1" x14ac:dyDescent="0.25">
      <c r="A176" s="8">
        <v>43496.602418981478</v>
      </c>
      <c r="B176" s="5" t="s">
        <v>2573</v>
      </c>
      <c r="C176" s="5" t="s">
        <v>2674</v>
      </c>
      <c r="D176" s="5" t="s">
        <v>2578</v>
      </c>
      <c r="E176" s="5">
        <v>11</v>
      </c>
      <c r="F176" s="5">
        <v>3.32</v>
      </c>
      <c r="G176" s="5">
        <v>3.8</v>
      </c>
      <c r="H176" s="5">
        <v>3.9</v>
      </c>
      <c r="I176" s="5">
        <v>1</v>
      </c>
      <c r="J176" s="5" t="b">
        <v>0</v>
      </c>
      <c r="K176" s="5" t="b">
        <v>0</v>
      </c>
      <c r="L176" s="5" t="b">
        <v>0</v>
      </c>
      <c r="M176" s="5" t="b">
        <v>0</v>
      </c>
      <c r="N176" s="5" t="b">
        <v>1</v>
      </c>
      <c r="O176" s="5" t="b">
        <v>0</v>
      </c>
    </row>
    <row r="177" spans="1:15" ht="15.95" customHeight="1" x14ac:dyDescent="0.25">
      <c r="A177" s="8">
        <v>43496.602430555555</v>
      </c>
      <c r="B177" s="5" t="s">
        <v>2573</v>
      </c>
      <c r="C177" s="5" t="s">
        <v>2675</v>
      </c>
      <c r="D177" s="5" t="s">
        <v>2578</v>
      </c>
      <c r="E177" s="5" t="s">
        <v>2676</v>
      </c>
      <c r="F177" s="5">
        <v>3.32</v>
      </c>
      <c r="G177" s="5">
        <v>3.8</v>
      </c>
      <c r="H177" s="5">
        <v>3.9</v>
      </c>
      <c r="I177" s="5">
        <v>1</v>
      </c>
      <c r="J177" s="5" t="b">
        <v>0</v>
      </c>
      <c r="K177" s="5" t="b">
        <v>0</v>
      </c>
      <c r="L177" s="5" t="b">
        <v>0</v>
      </c>
      <c r="M177" s="5" t="b">
        <v>0</v>
      </c>
      <c r="N177" s="5" t="b">
        <v>1</v>
      </c>
      <c r="O177" s="5" t="b">
        <v>0</v>
      </c>
    </row>
    <row r="178" spans="1:15" ht="15.95" customHeight="1" x14ac:dyDescent="0.25">
      <c r="A178" s="8">
        <v>43496.602430555555</v>
      </c>
      <c r="B178" s="5" t="s">
        <v>2573</v>
      </c>
      <c r="C178" s="5" t="s">
        <v>2677</v>
      </c>
      <c r="D178" s="5" t="s">
        <v>2578</v>
      </c>
      <c r="E178" s="5" t="s">
        <v>2678</v>
      </c>
      <c r="F178" s="5">
        <v>3.32</v>
      </c>
      <c r="G178" s="5">
        <v>3.8</v>
      </c>
      <c r="H178" s="5">
        <v>3.9</v>
      </c>
      <c r="I178" s="5">
        <v>1</v>
      </c>
      <c r="J178" s="5" t="b">
        <v>0</v>
      </c>
      <c r="K178" s="5" t="b">
        <v>0</v>
      </c>
      <c r="L178" s="5" t="b">
        <v>0</v>
      </c>
      <c r="M178" s="5" t="b">
        <v>0</v>
      </c>
      <c r="N178" s="5" t="b">
        <v>1</v>
      </c>
      <c r="O178" s="5" t="b">
        <v>0</v>
      </c>
    </row>
    <row r="179" spans="1:15" ht="15.95" customHeight="1" x14ac:dyDescent="0.25">
      <c r="A179" s="8">
        <v>43496.602476851855</v>
      </c>
      <c r="B179" s="5" t="s">
        <v>2573</v>
      </c>
      <c r="C179" s="5" t="s">
        <v>2679</v>
      </c>
      <c r="D179" s="5" t="s">
        <v>2578</v>
      </c>
      <c r="E179" s="5" t="s">
        <v>2680</v>
      </c>
      <c r="F179" s="5">
        <v>3.32</v>
      </c>
      <c r="G179" s="5">
        <v>3.8</v>
      </c>
      <c r="H179" s="5">
        <v>3.9</v>
      </c>
      <c r="I179" s="5">
        <v>1</v>
      </c>
      <c r="J179" s="5" t="b">
        <v>0</v>
      </c>
      <c r="K179" s="5" t="b">
        <v>0</v>
      </c>
      <c r="L179" s="5" t="b">
        <v>0</v>
      </c>
      <c r="M179" s="5" t="b">
        <v>0</v>
      </c>
      <c r="N179" s="5" t="b">
        <v>1</v>
      </c>
      <c r="O179" s="5" t="b">
        <v>0</v>
      </c>
    </row>
    <row r="180" spans="1:15" ht="15.95" customHeight="1" x14ac:dyDescent="0.25">
      <c r="A180" s="8">
        <v>43496.602523148147</v>
      </c>
      <c r="B180" s="5" t="s">
        <v>2573</v>
      </c>
      <c r="C180" s="5" t="s">
        <v>2681</v>
      </c>
      <c r="D180" s="5" t="s">
        <v>2578</v>
      </c>
      <c r="E180" s="5" t="s">
        <v>2682</v>
      </c>
      <c r="F180" s="5">
        <v>3.32</v>
      </c>
      <c r="G180" s="5">
        <v>3.8</v>
      </c>
      <c r="H180" s="5">
        <v>3.9</v>
      </c>
      <c r="I180" s="5">
        <v>1</v>
      </c>
      <c r="J180" s="5" t="b">
        <v>0</v>
      </c>
      <c r="K180" s="5" t="b">
        <v>0</v>
      </c>
      <c r="L180" s="5" t="b">
        <v>0</v>
      </c>
      <c r="M180" s="5" t="b">
        <v>0</v>
      </c>
      <c r="N180" s="5" t="b">
        <v>1</v>
      </c>
      <c r="O180" s="5" t="b">
        <v>0</v>
      </c>
    </row>
    <row r="181" spans="1:15" ht="15.95" customHeight="1" x14ac:dyDescent="0.25">
      <c r="A181" s="8">
        <v>43496.602743055555</v>
      </c>
      <c r="B181" s="5" t="s">
        <v>2573</v>
      </c>
      <c r="C181" s="5" t="s">
        <v>2683</v>
      </c>
      <c r="D181" s="5" t="s">
        <v>2578</v>
      </c>
      <c r="E181" s="5" t="s">
        <v>2678</v>
      </c>
      <c r="F181" s="5">
        <v>3.32</v>
      </c>
      <c r="G181" s="5">
        <v>3.8</v>
      </c>
      <c r="H181" s="5">
        <v>3.9</v>
      </c>
      <c r="I181" s="5">
        <v>1</v>
      </c>
      <c r="J181" s="5" t="b">
        <v>0</v>
      </c>
      <c r="K181" s="5" t="b">
        <v>0</v>
      </c>
      <c r="L181" s="5" t="b">
        <v>0</v>
      </c>
      <c r="M181" s="5" t="b">
        <v>0</v>
      </c>
      <c r="N181" s="5" t="b">
        <v>1</v>
      </c>
      <c r="O181" s="5" t="b">
        <v>0</v>
      </c>
    </row>
    <row r="182" spans="1:15" ht="15.95" customHeight="1" x14ac:dyDescent="0.25">
      <c r="A182" s="8">
        <v>43496.602754629632</v>
      </c>
      <c r="B182" s="5" t="s">
        <v>2573</v>
      </c>
      <c r="C182" s="5" t="s">
        <v>2684</v>
      </c>
      <c r="D182" s="5" t="s">
        <v>2578</v>
      </c>
      <c r="E182" s="5" t="s">
        <v>2685</v>
      </c>
      <c r="F182" s="5">
        <v>3.32</v>
      </c>
      <c r="G182" s="5">
        <v>3.8</v>
      </c>
      <c r="H182" s="5">
        <v>3.9</v>
      </c>
      <c r="I182" s="5">
        <v>1</v>
      </c>
      <c r="J182" s="5" t="b">
        <v>0</v>
      </c>
      <c r="K182" s="5" t="b">
        <v>0</v>
      </c>
      <c r="L182" s="5" t="b">
        <v>0</v>
      </c>
      <c r="M182" s="5" t="b">
        <v>0</v>
      </c>
      <c r="N182" s="5" t="b">
        <v>1</v>
      </c>
      <c r="O182" s="5" t="b">
        <v>0</v>
      </c>
    </row>
    <row r="183" spans="1:15" ht="15.95" customHeight="1" x14ac:dyDescent="0.25">
      <c r="A183" s="8">
        <v>43496.602754629632</v>
      </c>
      <c r="B183" s="5" t="s">
        <v>2573</v>
      </c>
      <c r="C183" s="5" t="s">
        <v>2686</v>
      </c>
      <c r="D183" s="5" t="s">
        <v>2578</v>
      </c>
      <c r="E183" s="5" t="s">
        <v>2687</v>
      </c>
      <c r="F183" s="5">
        <v>3.32</v>
      </c>
      <c r="G183" s="5">
        <v>3.8</v>
      </c>
      <c r="H183" s="5">
        <v>3.9</v>
      </c>
      <c r="I183" s="5">
        <v>1</v>
      </c>
      <c r="J183" s="5" t="b">
        <v>0</v>
      </c>
      <c r="K183" s="5" t="b">
        <v>0</v>
      </c>
      <c r="L183" s="5" t="b">
        <v>0</v>
      </c>
      <c r="M183" s="5" t="b">
        <v>0</v>
      </c>
      <c r="N183" s="5" t="b">
        <v>1</v>
      </c>
      <c r="O183" s="5" t="b">
        <v>0</v>
      </c>
    </row>
    <row r="184" spans="1:15" ht="15.95" customHeight="1" x14ac:dyDescent="0.25">
      <c r="A184" s="8">
        <v>43496.602986111109</v>
      </c>
      <c r="B184" s="5" t="s">
        <v>2573</v>
      </c>
      <c r="C184" s="5" t="s">
        <v>2688</v>
      </c>
      <c r="D184" s="5" t="s">
        <v>2578</v>
      </c>
      <c r="E184" s="5" t="s">
        <v>2689</v>
      </c>
      <c r="F184" s="5">
        <v>3.32</v>
      </c>
      <c r="G184" s="5">
        <v>3.8</v>
      </c>
      <c r="H184" s="5">
        <v>3.9</v>
      </c>
      <c r="I184" s="5">
        <v>1</v>
      </c>
      <c r="J184" s="5" t="b">
        <v>0</v>
      </c>
      <c r="K184" s="5" t="b">
        <v>0</v>
      </c>
      <c r="L184" s="5" t="b">
        <v>0</v>
      </c>
      <c r="M184" s="5" t="b">
        <v>0</v>
      </c>
      <c r="N184" s="5" t="b">
        <v>1</v>
      </c>
      <c r="O184" s="5" t="b">
        <v>0</v>
      </c>
    </row>
    <row r="185" spans="1:15" ht="15.95" customHeight="1" x14ac:dyDescent="0.25">
      <c r="A185" s="8">
        <v>43496.607488425929</v>
      </c>
      <c r="B185" s="5" t="s">
        <v>2573</v>
      </c>
      <c r="C185" s="5" t="s">
        <v>2406</v>
      </c>
      <c r="D185" s="5" t="s">
        <v>2407</v>
      </c>
      <c r="E185" s="5" t="s">
        <v>2508</v>
      </c>
      <c r="F185" s="5">
        <v>3.32</v>
      </c>
      <c r="G185" s="5">
        <v>3.8</v>
      </c>
      <c r="H185" s="5">
        <v>3.9</v>
      </c>
      <c r="I185" s="5">
        <v>1</v>
      </c>
      <c r="J185" s="5" t="b">
        <v>0</v>
      </c>
      <c r="K185" s="5" t="b">
        <v>0</v>
      </c>
      <c r="L185" s="5" t="b">
        <v>0</v>
      </c>
      <c r="M185" s="5" t="b">
        <v>0</v>
      </c>
      <c r="N185" s="5" t="b">
        <v>1</v>
      </c>
      <c r="O185" s="5" t="b">
        <v>0</v>
      </c>
    </row>
    <row r="186" spans="1:15" ht="15.95" customHeight="1" x14ac:dyDescent="0.25">
      <c r="A186" s="8">
        <v>43496.628900462965</v>
      </c>
      <c r="B186" s="5" t="s">
        <v>2573</v>
      </c>
      <c r="C186" s="5" t="s">
        <v>2406</v>
      </c>
      <c r="D186" s="5" t="s">
        <v>2433</v>
      </c>
      <c r="E186" s="5">
        <v>0</v>
      </c>
      <c r="F186" s="5">
        <v>3.32</v>
      </c>
      <c r="G186" s="5">
        <v>3.8</v>
      </c>
      <c r="H186" s="5">
        <v>3.9</v>
      </c>
      <c r="I186" s="5">
        <v>1</v>
      </c>
      <c r="J186" s="5" t="b">
        <v>0</v>
      </c>
      <c r="K186" s="5" t="b">
        <v>0</v>
      </c>
      <c r="L186" s="5" t="b">
        <v>0</v>
      </c>
      <c r="M186" s="5" t="b">
        <v>0</v>
      </c>
      <c r="N186" s="5" t="b">
        <v>1</v>
      </c>
      <c r="O186" s="5" t="b">
        <v>0</v>
      </c>
    </row>
    <row r="187" spans="1:15" ht="15.95" customHeight="1" x14ac:dyDescent="0.25">
      <c r="A187" s="8">
        <v>43496.632476851853</v>
      </c>
      <c r="B187" s="5" t="s">
        <v>2573</v>
      </c>
      <c r="C187" s="5" t="s">
        <v>2406</v>
      </c>
      <c r="D187" s="5" t="s">
        <v>2433</v>
      </c>
      <c r="E187" s="5">
        <v>0</v>
      </c>
      <c r="F187" s="5">
        <v>3.32</v>
      </c>
      <c r="G187" s="5">
        <v>3.8</v>
      </c>
      <c r="H187" s="5">
        <v>3.9</v>
      </c>
      <c r="I187" s="5">
        <v>1</v>
      </c>
      <c r="J187" s="5" t="b">
        <v>0</v>
      </c>
      <c r="K187" s="5" t="b">
        <v>0</v>
      </c>
      <c r="L187" s="5" t="b">
        <v>0</v>
      </c>
      <c r="M187" s="5" t="b">
        <v>0</v>
      </c>
      <c r="N187" s="5" t="b">
        <v>1</v>
      </c>
      <c r="O187" s="5" t="b">
        <v>0</v>
      </c>
    </row>
    <row r="188" spans="1:15" ht="15.95" customHeight="1" x14ac:dyDescent="0.25">
      <c r="A188" s="8">
        <v>43496.632476851853</v>
      </c>
      <c r="B188" s="5" t="s">
        <v>2573</v>
      </c>
      <c r="C188" s="5" t="s">
        <v>2406</v>
      </c>
      <c r="D188" s="5" t="s">
        <v>2407</v>
      </c>
      <c r="E188" s="5" t="s">
        <v>2404</v>
      </c>
      <c r="F188" s="5">
        <v>3.32</v>
      </c>
      <c r="G188" s="5">
        <v>3.8</v>
      </c>
      <c r="H188" s="5">
        <v>3.9</v>
      </c>
      <c r="I188" s="5">
        <v>1</v>
      </c>
      <c r="J188" s="5" t="b">
        <v>0</v>
      </c>
      <c r="K188" s="5" t="b">
        <v>0</v>
      </c>
      <c r="L188" s="5" t="b">
        <v>0</v>
      </c>
      <c r="M188" s="5" t="b">
        <v>0</v>
      </c>
      <c r="N188" s="5" t="b">
        <v>1</v>
      </c>
      <c r="O188" s="5" t="b">
        <v>0</v>
      </c>
    </row>
    <row r="189" spans="1:15" ht="15.95" customHeight="1" x14ac:dyDescent="0.25">
      <c r="A189" s="8">
        <v>43496.634363425925</v>
      </c>
      <c r="B189" s="5" t="s">
        <v>2573</v>
      </c>
      <c r="C189" s="5" t="s">
        <v>2406</v>
      </c>
      <c r="D189" s="5" t="s">
        <v>2433</v>
      </c>
      <c r="E189" s="5">
        <v>0</v>
      </c>
      <c r="F189" s="5">
        <v>3.32</v>
      </c>
      <c r="G189" s="5">
        <v>3.8</v>
      </c>
      <c r="H189" s="5">
        <v>3.9</v>
      </c>
      <c r="I189" s="5">
        <v>1</v>
      </c>
      <c r="J189" s="5" t="b">
        <v>0</v>
      </c>
      <c r="K189" s="5" t="b">
        <v>0</v>
      </c>
      <c r="L189" s="5" t="b">
        <v>0</v>
      </c>
      <c r="M189" s="5" t="b">
        <v>0</v>
      </c>
      <c r="N189" s="5" t="b">
        <v>1</v>
      </c>
      <c r="O189" s="5" t="b">
        <v>0</v>
      </c>
    </row>
    <row r="190" spans="1:15" ht="15.95" customHeight="1" x14ac:dyDescent="0.25">
      <c r="A190" s="8">
        <v>43496.634363425925</v>
      </c>
      <c r="B190" s="5" t="s">
        <v>2573</v>
      </c>
      <c r="C190" s="5" t="s">
        <v>2406</v>
      </c>
      <c r="D190" s="5" t="s">
        <v>2407</v>
      </c>
      <c r="E190" s="5" t="s">
        <v>2404</v>
      </c>
      <c r="F190" s="5">
        <v>3.32</v>
      </c>
      <c r="G190" s="5">
        <v>3.8</v>
      </c>
      <c r="H190" s="5">
        <v>3.9</v>
      </c>
      <c r="I190" s="5">
        <v>1</v>
      </c>
      <c r="J190" s="5" t="b">
        <v>0</v>
      </c>
      <c r="K190" s="5" t="b">
        <v>0</v>
      </c>
      <c r="L190" s="5" t="b">
        <v>0</v>
      </c>
      <c r="M190" s="5" t="b">
        <v>0</v>
      </c>
      <c r="N190" s="5" t="b">
        <v>1</v>
      </c>
      <c r="O190" s="5" t="b">
        <v>0</v>
      </c>
    </row>
    <row r="191" spans="1:15" ht="15.95" customHeight="1" x14ac:dyDescent="0.25">
      <c r="A191" s="8">
        <v>43496.635208333333</v>
      </c>
      <c r="B191" s="5" t="s">
        <v>2573</v>
      </c>
      <c r="C191" s="5" t="s">
        <v>2406</v>
      </c>
      <c r="D191" s="5" t="s">
        <v>2433</v>
      </c>
      <c r="E191" s="5">
        <v>0</v>
      </c>
      <c r="F191" s="5">
        <v>3.32</v>
      </c>
      <c r="G191" s="5">
        <v>3.8</v>
      </c>
      <c r="H191" s="5">
        <v>3.9</v>
      </c>
      <c r="I191" s="5">
        <v>1</v>
      </c>
      <c r="J191" s="5" t="b">
        <v>0</v>
      </c>
      <c r="K191" s="5" t="b">
        <v>0</v>
      </c>
      <c r="L191" s="5" t="b">
        <v>0</v>
      </c>
      <c r="M191" s="5" t="b">
        <v>0</v>
      </c>
      <c r="N191" s="5" t="b">
        <v>1</v>
      </c>
      <c r="O191" s="5" t="b">
        <v>0</v>
      </c>
    </row>
    <row r="192" spans="1:15" ht="15.95" customHeight="1" x14ac:dyDescent="0.25">
      <c r="A192" s="8">
        <v>43496.635208333333</v>
      </c>
      <c r="B192" s="5" t="s">
        <v>2573</v>
      </c>
      <c r="C192" s="5" t="s">
        <v>2406</v>
      </c>
      <c r="D192" s="5" t="s">
        <v>2407</v>
      </c>
      <c r="E192" s="5" t="s">
        <v>2404</v>
      </c>
      <c r="F192" s="5">
        <v>3.32</v>
      </c>
      <c r="G192" s="5">
        <v>3.8</v>
      </c>
      <c r="H192" s="5">
        <v>3.9</v>
      </c>
      <c r="I192" s="5">
        <v>1</v>
      </c>
      <c r="J192" s="5" t="b">
        <v>0</v>
      </c>
      <c r="K192" s="5" t="b">
        <v>0</v>
      </c>
      <c r="L192" s="5" t="b">
        <v>0</v>
      </c>
      <c r="M192" s="5" t="b">
        <v>0</v>
      </c>
      <c r="N192" s="5" t="b">
        <v>1</v>
      </c>
      <c r="O192" s="5" t="b">
        <v>0</v>
      </c>
    </row>
    <row r="193" spans="1:15" ht="15.95" customHeight="1" x14ac:dyDescent="0.25">
      <c r="A193" s="8">
        <v>43496.673206018517</v>
      </c>
      <c r="B193" s="5" t="s">
        <v>2573</v>
      </c>
      <c r="C193" s="5" t="s">
        <v>2406</v>
      </c>
      <c r="D193" s="5" t="s">
        <v>2433</v>
      </c>
      <c r="E193" s="5">
        <v>0</v>
      </c>
      <c r="F193" s="5">
        <v>3.32</v>
      </c>
      <c r="G193" s="5">
        <v>3.8</v>
      </c>
      <c r="H193" s="5">
        <v>3.9</v>
      </c>
      <c r="I193" s="5">
        <v>1</v>
      </c>
      <c r="J193" s="5" t="b">
        <v>0</v>
      </c>
      <c r="K193" s="5" t="b">
        <v>0</v>
      </c>
      <c r="L193" s="5" t="b">
        <v>0</v>
      </c>
      <c r="M193" s="5" t="b">
        <v>0</v>
      </c>
      <c r="N193" s="5" t="b">
        <v>1</v>
      </c>
      <c r="O193" s="5" t="b">
        <v>0</v>
      </c>
    </row>
    <row r="194" spans="1:15" ht="15.95" customHeight="1" x14ac:dyDescent="0.25">
      <c r="A194" s="8">
        <v>43496.673217592594</v>
      </c>
      <c r="B194" s="5" t="s">
        <v>2573</v>
      </c>
      <c r="C194" s="5" t="s">
        <v>2406</v>
      </c>
      <c r="D194" s="5" t="s">
        <v>2407</v>
      </c>
      <c r="E194" s="5" t="s">
        <v>2404</v>
      </c>
      <c r="F194" s="5">
        <v>3.32</v>
      </c>
      <c r="G194" s="5">
        <v>3.8</v>
      </c>
      <c r="H194" s="5">
        <v>3.9</v>
      </c>
      <c r="I194" s="5">
        <v>1</v>
      </c>
      <c r="J194" s="5" t="b">
        <v>0</v>
      </c>
      <c r="K194" s="5" t="b">
        <v>0</v>
      </c>
      <c r="L194" s="5" t="b">
        <v>0</v>
      </c>
      <c r="M194" s="5" t="b">
        <v>0</v>
      </c>
      <c r="N194" s="5" t="b">
        <v>1</v>
      </c>
      <c r="O194" s="5" t="b">
        <v>0</v>
      </c>
    </row>
    <row r="195" spans="1:15" ht="15.95" customHeight="1" x14ac:dyDescent="0.25">
      <c r="A195" s="8">
        <v>43496.673680555556</v>
      </c>
      <c r="B195" s="5" t="s">
        <v>2573</v>
      </c>
      <c r="C195" s="5" t="s">
        <v>2406</v>
      </c>
      <c r="D195" s="5" t="s">
        <v>2433</v>
      </c>
      <c r="E195" s="5">
        <v>0</v>
      </c>
      <c r="F195" s="5">
        <v>3.32</v>
      </c>
      <c r="G195" s="5">
        <v>3.8</v>
      </c>
      <c r="H195" s="5">
        <v>3.9</v>
      </c>
      <c r="I195" s="5">
        <v>1</v>
      </c>
      <c r="J195" s="5" t="b">
        <v>0</v>
      </c>
      <c r="K195" s="5" t="b">
        <v>0</v>
      </c>
      <c r="L195" s="5" t="b">
        <v>0</v>
      </c>
      <c r="M195" s="5" t="b">
        <v>0</v>
      </c>
      <c r="N195" s="5" t="b">
        <v>1</v>
      </c>
      <c r="O195" s="5" t="b">
        <v>0</v>
      </c>
    </row>
    <row r="196" spans="1:15" ht="15.95" customHeight="1" x14ac:dyDescent="0.25">
      <c r="A196" s="8">
        <v>43496.673692129632</v>
      </c>
      <c r="B196" s="5" t="s">
        <v>2573</v>
      </c>
      <c r="C196" s="5" t="s">
        <v>2406</v>
      </c>
      <c r="D196" s="5" t="s">
        <v>2407</v>
      </c>
      <c r="E196" s="5" t="s">
        <v>2404</v>
      </c>
      <c r="F196" s="5">
        <v>3.32</v>
      </c>
      <c r="G196" s="5">
        <v>3.8</v>
      </c>
      <c r="H196" s="5">
        <v>3.9</v>
      </c>
      <c r="I196" s="5">
        <v>1</v>
      </c>
      <c r="J196" s="5" t="b">
        <v>0</v>
      </c>
      <c r="K196" s="5" t="b">
        <v>0</v>
      </c>
      <c r="L196" s="5" t="b">
        <v>0</v>
      </c>
      <c r="M196" s="5" t="b">
        <v>0</v>
      </c>
      <c r="N196" s="5" t="b">
        <v>1</v>
      </c>
      <c r="O196" s="5" t="b">
        <v>0</v>
      </c>
    </row>
    <row r="197" spans="1:15" ht="15.95" customHeight="1" x14ac:dyDescent="0.25">
      <c r="A197" s="8">
        <v>43496.674421296295</v>
      </c>
      <c r="B197" s="5" t="s">
        <v>2573</v>
      </c>
      <c r="C197" s="5" t="s">
        <v>2406</v>
      </c>
      <c r="D197" s="5" t="s">
        <v>2433</v>
      </c>
      <c r="E197" s="5">
        <v>0</v>
      </c>
      <c r="F197" s="5">
        <v>3.32</v>
      </c>
      <c r="G197" s="5">
        <v>3.8</v>
      </c>
      <c r="H197" s="5">
        <v>3.9</v>
      </c>
      <c r="I197" s="5">
        <v>1</v>
      </c>
      <c r="J197" s="5" t="b">
        <v>0</v>
      </c>
      <c r="K197" s="5" t="b">
        <v>0</v>
      </c>
      <c r="L197" s="5" t="b">
        <v>0</v>
      </c>
      <c r="M197" s="5" t="b">
        <v>0</v>
      </c>
      <c r="N197" s="5" t="b">
        <v>1</v>
      </c>
      <c r="O197" s="5" t="b">
        <v>0</v>
      </c>
    </row>
    <row r="198" spans="1:15" ht="15.95" customHeight="1" x14ac:dyDescent="0.25">
      <c r="A198" s="8">
        <v>43496.674421296295</v>
      </c>
      <c r="B198" s="5" t="s">
        <v>2573</v>
      </c>
      <c r="C198" s="5" t="s">
        <v>2406</v>
      </c>
      <c r="D198" s="5" t="s">
        <v>2407</v>
      </c>
      <c r="E198" s="5" t="s">
        <v>2404</v>
      </c>
      <c r="F198" s="5">
        <v>3.32</v>
      </c>
      <c r="G198" s="5">
        <v>3.8</v>
      </c>
      <c r="H198" s="5">
        <v>3.9</v>
      </c>
      <c r="I198" s="5">
        <v>1</v>
      </c>
      <c r="J198" s="5" t="b">
        <v>0</v>
      </c>
      <c r="K198" s="5" t="b">
        <v>0</v>
      </c>
      <c r="L198" s="5" t="b">
        <v>0</v>
      </c>
      <c r="M198" s="5" t="b">
        <v>0</v>
      </c>
      <c r="N198" s="5" t="b">
        <v>1</v>
      </c>
      <c r="O198" s="5" t="b">
        <v>0</v>
      </c>
    </row>
    <row r="199" spans="1:15" ht="15.95" customHeight="1" x14ac:dyDescent="0.25">
      <c r="A199" s="8">
        <v>43496.674780092595</v>
      </c>
      <c r="B199" s="5" t="s">
        <v>2573</v>
      </c>
      <c r="C199" s="5" t="s">
        <v>2406</v>
      </c>
      <c r="D199" s="5" t="s">
        <v>2433</v>
      </c>
      <c r="E199" s="5">
        <v>0</v>
      </c>
      <c r="F199" s="5">
        <v>3.32</v>
      </c>
      <c r="G199" s="5">
        <v>3.8</v>
      </c>
      <c r="H199" s="5">
        <v>3.9</v>
      </c>
      <c r="I199" s="5">
        <v>1</v>
      </c>
      <c r="J199" s="5" t="b">
        <v>0</v>
      </c>
      <c r="K199" s="5" t="b">
        <v>0</v>
      </c>
      <c r="L199" s="5" t="b">
        <v>0</v>
      </c>
      <c r="M199" s="5" t="b">
        <v>0</v>
      </c>
      <c r="N199" s="5" t="b">
        <v>1</v>
      </c>
      <c r="O199" s="5" t="b">
        <v>0</v>
      </c>
    </row>
    <row r="200" spans="1:15" ht="15.95" customHeight="1" x14ac:dyDescent="0.25">
      <c r="A200" s="8">
        <v>43496.674780092595</v>
      </c>
      <c r="B200" s="5" t="s">
        <v>2573</v>
      </c>
      <c r="C200" s="5" t="s">
        <v>2406</v>
      </c>
      <c r="D200" s="5" t="s">
        <v>2407</v>
      </c>
      <c r="E200" s="5" t="s">
        <v>2404</v>
      </c>
      <c r="F200" s="5">
        <v>3.32</v>
      </c>
      <c r="G200" s="5">
        <v>3.8</v>
      </c>
      <c r="H200" s="5">
        <v>3.9</v>
      </c>
      <c r="I200" s="5">
        <v>1</v>
      </c>
      <c r="J200" s="5" t="b">
        <v>0</v>
      </c>
      <c r="K200" s="5" t="b">
        <v>0</v>
      </c>
      <c r="L200" s="5" t="b">
        <v>0</v>
      </c>
      <c r="M200" s="5" t="b">
        <v>0</v>
      </c>
      <c r="N200" s="5" t="b">
        <v>1</v>
      </c>
      <c r="O200" s="5" t="b">
        <v>0</v>
      </c>
    </row>
    <row r="201" spans="1:15" ht="15.95" customHeight="1" x14ac:dyDescent="0.25">
      <c r="A201" s="8">
        <v>43496.675115740742</v>
      </c>
      <c r="B201" s="5" t="s">
        <v>2573</v>
      </c>
      <c r="C201" s="5" t="s">
        <v>2406</v>
      </c>
      <c r="D201" s="5" t="s">
        <v>2433</v>
      </c>
      <c r="E201" s="5">
        <v>0</v>
      </c>
      <c r="F201" s="5">
        <v>3.32</v>
      </c>
      <c r="G201" s="5">
        <v>3.8</v>
      </c>
      <c r="H201" s="5">
        <v>3.9</v>
      </c>
      <c r="I201" s="5">
        <v>1</v>
      </c>
      <c r="J201" s="5" t="b">
        <v>0</v>
      </c>
      <c r="K201" s="5" t="b">
        <v>0</v>
      </c>
      <c r="L201" s="5" t="b">
        <v>0</v>
      </c>
      <c r="M201" s="5" t="b">
        <v>0</v>
      </c>
      <c r="N201" s="5" t="b">
        <v>1</v>
      </c>
      <c r="O201" s="5" t="b">
        <v>0</v>
      </c>
    </row>
    <row r="202" spans="1:15" ht="15.95" customHeight="1" x14ac:dyDescent="0.25">
      <c r="A202" s="8">
        <v>43496.675115740742</v>
      </c>
      <c r="B202" s="5" t="s">
        <v>2573</v>
      </c>
      <c r="C202" s="5" t="s">
        <v>2406</v>
      </c>
      <c r="D202" s="5" t="s">
        <v>2407</v>
      </c>
      <c r="E202" s="5" t="s">
        <v>2404</v>
      </c>
      <c r="F202" s="5">
        <v>3.32</v>
      </c>
      <c r="G202" s="5">
        <v>3.8</v>
      </c>
      <c r="H202" s="5">
        <v>3.9</v>
      </c>
      <c r="I202" s="5">
        <v>1</v>
      </c>
      <c r="J202" s="5" t="b">
        <v>0</v>
      </c>
      <c r="K202" s="5" t="b">
        <v>0</v>
      </c>
      <c r="L202" s="5" t="b">
        <v>0</v>
      </c>
      <c r="M202" s="5" t="b">
        <v>0</v>
      </c>
      <c r="N202" s="5" t="b">
        <v>1</v>
      </c>
      <c r="O202" s="5" t="b">
        <v>0</v>
      </c>
    </row>
    <row r="203" spans="1:15" ht="15.95" customHeight="1" x14ac:dyDescent="0.25">
      <c r="A203" s="8">
        <v>43496.684687499997</v>
      </c>
      <c r="B203" s="5" t="s">
        <v>2573</v>
      </c>
      <c r="C203" s="5" t="s">
        <v>2406</v>
      </c>
      <c r="D203" s="5" t="s">
        <v>2433</v>
      </c>
      <c r="E203" s="5">
        <v>0</v>
      </c>
      <c r="F203" s="5">
        <v>3.32</v>
      </c>
      <c r="G203" s="5">
        <v>3.8</v>
      </c>
      <c r="H203" s="5">
        <v>3.9</v>
      </c>
      <c r="I203" s="5">
        <v>1</v>
      </c>
      <c r="J203" s="5" t="b">
        <v>0</v>
      </c>
      <c r="K203" s="5" t="b">
        <v>0</v>
      </c>
      <c r="L203" s="5" t="b">
        <v>0</v>
      </c>
      <c r="M203" s="5" t="b">
        <v>0</v>
      </c>
      <c r="N203" s="5" t="b">
        <v>1</v>
      </c>
      <c r="O203" s="5" t="b">
        <v>0</v>
      </c>
    </row>
    <row r="204" spans="1:15" ht="15.95" customHeight="1" x14ac:dyDescent="0.25">
      <c r="A204" s="8">
        <v>43496.684745370374</v>
      </c>
      <c r="B204" s="5" t="s">
        <v>2573</v>
      </c>
      <c r="C204" s="5" t="s">
        <v>2406</v>
      </c>
      <c r="D204" s="5" t="s">
        <v>2407</v>
      </c>
      <c r="E204" s="5" t="s">
        <v>2404</v>
      </c>
      <c r="F204" s="5">
        <v>3.32</v>
      </c>
      <c r="G204" s="5">
        <v>3.8</v>
      </c>
      <c r="H204" s="5">
        <v>3.9</v>
      </c>
      <c r="I204" s="5">
        <v>1</v>
      </c>
      <c r="J204" s="5" t="b">
        <v>0</v>
      </c>
      <c r="K204" s="5" t="b">
        <v>0</v>
      </c>
      <c r="L204" s="5" t="b">
        <v>0</v>
      </c>
      <c r="M204" s="5" t="b">
        <v>0</v>
      </c>
      <c r="N204" s="5" t="b">
        <v>1</v>
      </c>
      <c r="O204" s="5" t="b">
        <v>0</v>
      </c>
    </row>
    <row r="205" spans="1:15" ht="15.95" customHeight="1" x14ac:dyDescent="0.25">
      <c r="A205" s="8">
        <v>43496.687037037038</v>
      </c>
      <c r="B205" s="5" t="s">
        <v>2573</v>
      </c>
      <c r="C205" s="5" t="s">
        <v>2709</v>
      </c>
      <c r="D205" s="5" t="s">
        <v>2710</v>
      </c>
      <c r="E205" s="5" t="s">
        <v>2404</v>
      </c>
      <c r="F205" s="5">
        <v>3.32</v>
      </c>
      <c r="G205" s="5">
        <v>3.8</v>
      </c>
      <c r="H205" s="5">
        <v>3.9</v>
      </c>
      <c r="I205" s="5">
        <v>1</v>
      </c>
      <c r="J205" s="5" t="b">
        <v>0</v>
      </c>
      <c r="K205" s="5" t="b">
        <v>0</v>
      </c>
      <c r="L205" s="5" t="b">
        <v>0</v>
      </c>
      <c r="M205" s="5" t="b">
        <v>0</v>
      </c>
      <c r="N205" s="5" t="b">
        <v>1</v>
      </c>
      <c r="O205" s="5" t="b">
        <v>0</v>
      </c>
    </row>
    <row r="206" spans="1:15" ht="15.95" customHeight="1" x14ac:dyDescent="0.25">
      <c r="A206" s="8">
        <v>43496.687604166669</v>
      </c>
      <c r="B206" s="5" t="s">
        <v>2573</v>
      </c>
      <c r="C206" s="5" t="s">
        <v>2709</v>
      </c>
      <c r="D206" s="5" t="s">
        <v>2710</v>
      </c>
      <c r="E206" s="5" t="s">
        <v>2404</v>
      </c>
      <c r="F206" s="5">
        <v>3.32</v>
      </c>
      <c r="G206" s="5">
        <v>3.8</v>
      </c>
      <c r="H206" s="5">
        <v>3.9</v>
      </c>
      <c r="I206" s="5">
        <v>1</v>
      </c>
      <c r="J206" s="5" t="b">
        <v>0</v>
      </c>
      <c r="K206" s="5" t="b">
        <v>0</v>
      </c>
      <c r="L206" s="5" t="b">
        <v>0</v>
      </c>
      <c r="M206" s="5" t="b">
        <v>0</v>
      </c>
      <c r="N206" s="5" t="b">
        <v>1</v>
      </c>
      <c r="O206" s="5" t="b">
        <v>0</v>
      </c>
    </row>
    <row r="207" spans="1:15" ht="15.95" customHeight="1" x14ac:dyDescent="0.25">
      <c r="A207" s="8">
        <v>43500.64644675926</v>
      </c>
      <c r="B207" s="5" t="s">
        <v>2573</v>
      </c>
      <c r="C207" s="5" t="s">
        <v>3182</v>
      </c>
      <c r="D207" s="5"/>
      <c r="E207" s="5" t="s">
        <v>3183</v>
      </c>
      <c r="F207" s="5">
        <v>3.32</v>
      </c>
      <c r="G207" s="5">
        <v>3.8</v>
      </c>
      <c r="H207" s="5">
        <v>3.9</v>
      </c>
      <c r="I207" s="5">
        <v>0</v>
      </c>
      <c r="J207" s="5" t="b">
        <v>0</v>
      </c>
      <c r="K207" s="5" t="b">
        <v>0</v>
      </c>
      <c r="L207" s="5" t="b">
        <v>0</v>
      </c>
      <c r="M207" s="5" t="b">
        <v>0</v>
      </c>
      <c r="N207" s="5" t="b">
        <v>1</v>
      </c>
      <c r="O207" s="5" t="b">
        <v>0</v>
      </c>
    </row>
    <row r="208" spans="1:15" ht="15.95" customHeight="1" x14ac:dyDescent="0.25">
      <c r="A208" s="8">
        <v>43500.646655092591</v>
      </c>
      <c r="B208" s="5" t="s">
        <v>2573</v>
      </c>
      <c r="C208" s="5" t="s">
        <v>3192</v>
      </c>
      <c r="D208" s="5" t="s">
        <v>3193</v>
      </c>
      <c r="E208" s="5">
        <v>1</v>
      </c>
      <c r="F208" s="5">
        <v>3.32</v>
      </c>
      <c r="G208" s="5">
        <v>3.8</v>
      </c>
      <c r="H208" s="5">
        <v>3.9</v>
      </c>
      <c r="I208" s="5">
        <v>0</v>
      </c>
      <c r="J208" s="5" t="b">
        <v>0</v>
      </c>
      <c r="K208" s="5" t="b">
        <v>0</v>
      </c>
      <c r="L208" s="5" t="b">
        <v>0</v>
      </c>
      <c r="M208" s="5" t="b">
        <v>0</v>
      </c>
      <c r="N208" s="5" t="b">
        <v>1</v>
      </c>
      <c r="O208" s="5" t="b">
        <v>0</v>
      </c>
    </row>
    <row r="209" spans="1:15" ht="15.95" customHeight="1" x14ac:dyDescent="0.25">
      <c r="A209" s="8">
        <v>43500.656608796293</v>
      </c>
      <c r="B209" s="5" t="s">
        <v>2573</v>
      </c>
      <c r="C209" s="5" t="s">
        <v>3185</v>
      </c>
      <c r="D209" s="5" t="s">
        <v>3196</v>
      </c>
      <c r="E209" s="5" t="s">
        <v>2404</v>
      </c>
      <c r="F209" s="5">
        <v>3.32</v>
      </c>
      <c r="G209" s="5">
        <v>3.8</v>
      </c>
      <c r="H209" s="5">
        <v>3.9</v>
      </c>
      <c r="I209" s="5">
        <v>1</v>
      </c>
      <c r="J209" s="5" t="b">
        <v>0</v>
      </c>
      <c r="K209" s="5" t="b">
        <v>0</v>
      </c>
      <c r="L209" s="5" t="b">
        <v>0</v>
      </c>
      <c r="M209" s="5" t="b">
        <v>0</v>
      </c>
      <c r="N209" s="5" t="b">
        <v>1</v>
      </c>
      <c r="O209" s="5" t="b">
        <v>0</v>
      </c>
    </row>
    <row r="210" spans="1:15" ht="15.95" customHeight="1" x14ac:dyDescent="0.25">
      <c r="A210" s="8">
        <v>43500.667071759257</v>
      </c>
      <c r="B210" s="5" t="s">
        <v>2573</v>
      </c>
      <c r="C210" s="5" t="s">
        <v>3192</v>
      </c>
      <c r="D210" s="5" t="s">
        <v>3193</v>
      </c>
      <c r="E210" s="5">
        <v>1</v>
      </c>
      <c r="F210" s="5">
        <v>3.32</v>
      </c>
      <c r="G210" s="5">
        <v>3.8</v>
      </c>
      <c r="H210" s="5">
        <v>3.9</v>
      </c>
      <c r="I210" s="5">
        <v>0</v>
      </c>
      <c r="J210" s="5" t="b">
        <v>0</v>
      </c>
      <c r="K210" s="5" t="b">
        <v>0</v>
      </c>
      <c r="L210" s="5" t="b">
        <v>0</v>
      </c>
      <c r="M210" s="5" t="b">
        <v>0</v>
      </c>
      <c r="N210" s="5" t="b">
        <v>1</v>
      </c>
      <c r="O210" s="5" t="b">
        <v>0</v>
      </c>
    </row>
    <row r="211" spans="1:15" ht="15.95" customHeight="1" x14ac:dyDescent="0.25">
      <c r="A211" s="8">
        <v>43500.687025462961</v>
      </c>
      <c r="B211" s="5" t="s">
        <v>2573</v>
      </c>
      <c r="C211" s="5" t="s">
        <v>3192</v>
      </c>
      <c r="D211" s="5" t="s">
        <v>3193</v>
      </c>
      <c r="E211" s="5">
        <v>1</v>
      </c>
      <c r="F211" s="5">
        <v>3.32</v>
      </c>
      <c r="G211" s="5">
        <v>3.8</v>
      </c>
      <c r="H211" s="5">
        <v>3.9</v>
      </c>
      <c r="I211" s="5">
        <v>0</v>
      </c>
      <c r="J211" s="5" t="b">
        <v>0</v>
      </c>
      <c r="K211" s="5" t="b">
        <v>0</v>
      </c>
      <c r="L211" s="5" t="b">
        <v>0</v>
      </c>
      <c r="M211" s="5" t="b">
        <v>0</v>
      </c>
      <c r="N211" s="5" t="b">
        <v>1</v>
      </c>
      <c r="O211" s="5" t="b">
        <v>0</v>
      </c>
    </row>
    <row r="212" spans="1:15" ht="15.95" customHeight="1" x14ac:dyDescent="0.25">
      <c r="A212" s="8">
        <v>43500.687569444446</v>
      </c>
      <c r="B212" s="5" t="s">
        <v>2573</v>
      </c>
      <c r="C212" s="5" t="s">
        <v>3192</v>
      </c>
      <c r="D212" s="5" t="s">
        <v>3193</v>
      </c>
      <c r="E212" s="5">
        <v>1</v>
      </c>
      <c r="F212" s="5">
        <v>3.32</v>
      </c>
      <c r="G212" s="5">
        <v>3.8</v>
      </c>
      <c r="H212" s="5">
        <v>3.9</v>
      </c>
      <c r="I212" s="5">
        <v>0</v>
      </c>
      <c r="J212" s="5" t="b">
        <v>0</v>
      </c>
      <c r="K212" s="5" t="b">
        <v>0</v>
      </c>
      <c r="L212" s="5" t="b">
        <v>0</v>
      </c>
      <c r="M212" s="5" t="b">
        <v>0</v>
      </c>
      <c r="N212" s="5" t="b">
        <v>1</v>
      </c>
      <c r="O212" s="5" t="b">
        <v>0</v>
      </c>
    </row>
    <row r="213" spans="1:15" ht="15.95" customHeight="1" x14ac:dyDescent="0.25">
      <c r="A213" s="8">
        <v>43500.688344907408</v>
      </c>
      <c r="B213" s="5" t="s">
        <v>2573</v>
      </c>
      <c r="C213" s="5" t="s">
        <v>3192</v>
      </c>
      <c r="D213" s="5" t="s">
        <v>3193</v>
      </c>
      <c r="E213" s="5">
        <v>1</v>
      </c>
      <c r="F213" s="5">
        <v>3.32</v>
      </c>
      <c r="G213" s="5">
        <v>3.8</v>
      </c>
      <c r="H213" s="5">
        <v>3.9</v>
      </c>
      <c r="I213" s="5">
        <v>0</v>
      </c>
      <c r="J213" s="5" t="b">
        <v>0</v>
      </c>
      <c r="K213" s="5" t="b">
        <v>0</v>
      </c>
      <c r="L213" s="5" t="b">
        <v>0</v>
      </c>
      <c r="M213" s="5" t="b">
        <v>0</v>
      </c>
      <c r="N213" s="5" t="b">
        <v>1</v>
      </c>
      <c r="O213" s="5" t="b">
        <v>0</v>
      </c>
    </row>
    <row r="214" spans="1:15" ht="15.95" customHeight="1" x14ac:dyDescent="0.25">
      <c r="A214" s="8">
        <v>43500.691099537034</v>
      </c>
      <c r="B214" s="5" t="s">
        <v>2573</v>
      </c>
      <c r="C214" s="5" t="s">
        <v>3192</v>
      </c>
      <c r="D214" s="5" t="s">
        <v>3193</v>
      </c>
      <c r="E214" s="5">
        <v>32</v>
      </c>
      <c r="F214" s="5">
        <v>3.32</v>
      </c>
      <c r="G214" s="5">
        <v>3.8</v>
      </c>
      <c r="H214" s="5">
        <v>3.9</v>
      </c>
      <c r="I214" s="5">
        <v>0</v>
      </c>
      <c r="J214" s="5" t="b">
        <v>0</v>
      </c>
      <c r="K214" s="5" t="b">
        <v>0</v>
      </c>
      <c r="L214" s="5" t="b">
        <v>0</v>
      </c>
      <c r="M214" s="5" t="b">
        <v>0</v>
      </c>
      <c r="N214" s="5" t="b">
        <v>1</v>
      </c>
      <c r="O214" s="5" t="b">
        <v>0</v>
      </c>
    </row>
    <row r="215" spans="1:15" ht="15.95" customHeight="1" x14ac:dyDescent="0.25">
      <c r="A215" s="8">
        <v>43500.691886574074</v>
      </c>
      <c r="B215" s="5" t="s">
        <v>2573</v>
      </c>
      <c r="C215" s="5" t="s">
        <v>3192</v>
      </c>
      <c r="D215" s="5" t="s">
        <v>3193</v>
      </c>
      <c r="E215" s="5">
        <v>7</v>
      </c>
      <c r="F215" s="5">
        <v>3.32</v>
      </c>
      <c r="G215" s="5">
        <v>3.8</v>
      </c>
      <c r="H215" s="5">
        <v>3.9</v>
      </c>
      <c r="I215" s="5">
        <v>0</v>
      </c>
      <c r="J215" s="5" t="b">
        <v>0</v>
      </c>
      <c r="K215" s="5" t="b">
        <v>0</v>
      </c>
      <c r="L215" s="5" t="b">
        <v>0</v>
      </c>
      <c r="M215" s="5" t="b">
        <v>0</v>
      </c>
      <c r="N215" s="5" t="b">
        <v>1</v>
      </c>
      <c r="O215" s="5" t="b">
        <v>0</v>
      </c>
    </row>
    <row r="216" spans="1:15" ht="15.95" customHeight="1" x14ac:dyDescent="0.25">
      <c r="A216" s="8">
        <v>43500.692361111112</v>
      </c>
      <c r="B216" s="5" t="s">
        <v>2573</v>
      </c>
      <c r="C216" s="5" t="s">
        <v>3192</v>
      </c>
      <c r="D216" s="5" t="s">
        <v>3193</v>
      </c>
      <c r="E216" s="5">
        <v>6</v>
      </c>
      <c r="F216" s="5">
        <v>3.32</v>
      </c>
      <c r="G216" s="5">
        <v>3.8</v>
      </c>
      <c r="H216" s="5">
        <v>3.9</v>
      </c>
      <c r="I216" s="5">
        <v>0</v>
      </c>
      <c r="J216" s="5" t="b">
        <v>0</v>
      </c>
      <c r="K216" s="5" t="b">
        <v>0</v>
      </c>
      <c r="L216" s="5" t="b">
        <v>0</v>
      </c>
      <c r="M216" s="5" t="b">
        <v>0</v>
      </c>
      <c r="N216" s="5" t="b">
        <v>1</v>
      </c>
      <c r="O216" s="5" t="b">
        <v>0</v>
      </c>
    </row>
    <row r="217" spans="1:15" ht="15.95" customHeight="1" x14ac:dyDescent="0.25">
      <c r="A217" s="8">
        <v>43500.692847222221</v>
      </c>
      <c r="B217" s="5" t="s">
        <v>2573</v>
      </c>
      <c r="C217" s="5" t="s">
        <v>3192</v>
      </c>
      <c r="D217" s="5" t="s">
        <v>3193</v>
      </c>
      <c r="E217" s="5">
        <v>2</v>
      </c>
      <c r="F217" s="5">
        <v>3.32</v>
      </c>
      <c r="G217" s="5">
        <v>3.8</v>
      </c>
      <c r="H217" s="5">
        <v>3.9</v>
      </c>
      <c r="I217" s="5">
        <v>0</v>
      </c>
      <c r="J217" s="5" t="b">
        <v>0</v>
      </c>
      <c r="K217" s="5" t="b">
        <v>0</v>
      </c>
      <c r="L217" s="5" t="b">
        <v>0</v>
      </c>
      <c r="M217" s="5" t="b">
        <v>0</v>
      </c>
      <c r="N217" s="5" t="b">
        <v>1</v>
      </c>
      <c r="O217" s="5" t="b">
        <v>0</v>
      </c>
    </row>
    <row r="218" spans="1:15" ht="15.95" customHeight="1" x14ac:dyDescent="0.25">
      <c r="A218" s="8">
        <v>43500.693460648145</v>
      </c>
      <c r="B218" s="5" t="s">
        <v>2573</v>
      </c>
      <c r="C218" s="5" t="s">
        <v>3192</v>
      </c>
      <c r="D218" s="5" t="s">
        <v>3200</v>
      </c>
      <c r="E218" s="5" t="s">
        <v>2404</v>
      </c>
      <c r="F218" s="5">
        <v>3.32</v>
      </c>
      <c r="G218" s="5">
        <v>3.8</v>
      </c>
      <c r="H218" s="5">
        <v>3.9</v>
      </c>
      <c r="I218" s="5">
        <v>1</v>
      </c>
      <c r="J218" s="5" t="b">
        <v>0</v>
      </c>
      <c r="K218" s="5" t="b">
        <v>0</v>
      </c>
      <c r="L218" s="5" t="b">
        <v>0</v>
      </c>
      <c r="M218" s="5" t="b">
        <v>0</v>
      </c>
      <c r="N218" s="5" t="b">
        <v>1</v>
      </c>
      <c r="O218" s="5" t="b">
        <v>0</v>
      </c>
    </row>
    <row r="219" spans="1:15" ht="15.95" customHeight="1" x14ac:dyDescent="0.25">
      <c r="A219" s="8">
        <v>43500.694178240738</v>
      </c>
      <c r="B219" s="5" t="s">
        <v>2573</v>
      </c>
      <c r="C219" s="5" t="s">
        <v>3192</v>
      </c>
      <c r="D219" s="5" t="s">
        <v>3193</v>
      </c>
      <c r="E219" s="5">
        <v>0</v>
      </c>
      <c r="F219" s="5">
        <v>3.32</v>
      </c>
      <c r="G219" s="5">
        <v>3.8</v>
      </c>
      <c r="H219" s="5">
        <v>3.9</v>
      </c>
      <c r="I219" s="5">
        <v>1</v>
      </c>
      <c r="J219" s="5" t="b">
        <v>0</v>
      </c>
      <c r="K219" s="5" t="b">
        <v>0</v>
      </c>
      <c r="L219" s="5" t="b">
        <v>0</v>
      </c>
      <c r="M219" s="5" t="b">
        <v>0</v>
      </c>
      <c r="N219" s="5" t="b">
        <v>1</v>
      </c>
      <c r="O219" s="5" t="b">
        <v>0</v>
      </c>
    </row>
    <row r="220" spans="1:15" ht="15.95" customHeight="1" x14ac:dyDescent="0.25">
      <c r="A220" s="8">
        <v>43500.696527777778</v>
      </c>
      <c r="B220" s="5" t="s">
        <v>2573</v>
      </c>
      <c r="C220" s="5" t="s">
        <v>3192</v>
      </c>
      <c r="D220" s="5" t="s">
        <v>3200</v>
      </c>
      <c r="E220" s="5" t="s">
        <v>2404</v>
      </c>
      <c r="F220" s="5">
        <v>3.32</v>
      </c>
      <c r="G220" s="5">
        <v>3.8</v>
      </c>
      <c r="H220" s="5">
        <v>3.9</v>
      </c>
      <c r="I220" s="5">
        <v>1</v>
      </c>
      <c r="J220" s="5" t="b">
        <v>0</v>
      </c>
      <c r="K220" s="5" t="b">
        <v>0</v>
      </c>
      <c r="L220" s="5" t="b">
        <v>0</v>
      </c>
      <c r="M220" s="5" t="b">
        <v>0</v>
      </c>
      <c r="N220" s="5" t="b">
        <v>1</v>
      </c>
      <c r="O220" s="5" t="b">
        <v>0</v>
      </c>
    </row>
    <row r="221" spans="1:15" ht="15.95" customHeight="1" x14ac:dyDescent="0.25">
      <c r="A221" s="8">
        <v>43500.697002314817</v>
      </c>
      <c r="B221" s="5" t="s">
        <v>2573</v>
      </c>
      <c r="C221" s="5" t="s">
        <v>3192</v>
      </c>
      <c r="D221" s="5" t="s">
        <v>3193</v>
      </c>
      <c r="E221" s="5">
        <v>0</v>
      </c>
      <c r="F221" s="5">
        <v>3.32</v>
      </c>
      <c r="G221" s="5">
        <v>3.8</v>
      </c>
      <c r="H221" s="5">
        <v>3.9</v>
      </c>
      <c r="I221" s="5">
        <v>1</v>
      </c>
      <c r="J221" s="5" t="b">
        <v>0</v>
      </c>
      <c r="K221" s="5" t="b">
        <v>0</v>
      </c>
      <c r="L221" s="5" t="b">
        <v>0</v>
      </c>
      <c r="M221" s="5" t="b">
        <v>0</v>
      </c>
      <c r="N221" s="5" t="b">
        <v>1</v>
      </c>
      <c r="O221" s="5" t="b">
        <v>0</v>
      </c>
    </row>
    <row r="222" spans="1:15" ht="15.95" customHeight="1" x14ac:dyDescent="0.25">
      <c r="A222" s="8">
        <v>43500.697048611109</v>
      </c>
      <c r="B222" s="5" t="s">
        <v>2573</v>
      </c>
      <c r="C222" s="5" t="s">
        <v>3192</v>
      </c>
      <c r="D222" s="5" t="s">
        <v>3205</v>
      </c>
      <c r="E222" s="5" t="s">
        <v>2404</v>
      </c>
      <c r="F222" s="5">
        <v>3.32</v>
      </c>
      <c r="G222" s="5">
        <v>3.8</v>
      </c>
      <c r="H222" s="5">
        <v>3.9</v>
      </c>
      <c r="I222" s="5">
        <v>1</v>
      </c>
      <c r="J222" s="5" t="b">
        <v>0</v>
      </c>
      <c r="K222" s="5" t="b">
        <v>0</v>
      </c>
      <c r="L222" s="5" t="b">
        <v>0</v>
      </c>
      <c r="M222" s="5" t="b">
        <v>0</v>
      </c>
      <c r="N222" s="5" t="b">
        <v>1</v>
      </c>
      <c r="O222" s="5" t="b">
        <v>0</v>
      </c>
    </row>
    <row r="223" spans="1:15" ht="15.95" customHeight="1" x14ac:dyDescent="0.25">
      <c r="A223" s="8">
        <v>43500.716469907406</v>
      </c>
      <c r="B223" s="5" t="s">
        <v>2573</v>
      </c>
      <c r="C223" s="5" t="s">
        <v>3192</v>
      </c>
      <c r="D223" s="5" t="s">
        <v>3193</v>
      </c>
      <c r="E223" s="5">
        <v>0</v>
      </c>
      <c r="F223" s="5">
        <v>3.32</v>
      </c>
      <c r="G223" s="5">
        <v>3.8</v>
      </c>
      <c r="H223" s="5">
        <v>3.9</v>
      </c>
      <c r="I223" s="5">
        <v>0</v>
      </c>
      <c r="J223" s="5" t="b">
        <v>0</v>
      </c>
      <c r="K223" s="5" t="b">
        <v>0</v>
      </c>
      <c r="L223" s="5" t="b">
        <v>0</v>
      </c>
      <c r="M223" s="5" t="b">
        <v>0</v>
      </c>
      <c r="N223" s="5" t="b">
        <v>1</v>
      </c>
      <c r="O223" s="5" t="b">
        <v>0</v>
      </c>
    </row>
    <row r="224" spans="1:15" ht="15.95" customHeight="1" x14ac:dyDescent="0.25">
      <c r="A224" s="8">
        <v>43500.723113425927</v>
      </c>
      <c r="B224" s="5" t="s">
        <v>2573</v>
      </c>
      <c r="C224" s="5" t="s">
        <v>3192</v>
      </c>
      <c r="D224" s="5" t="s">
        <v>3193</v>
      </c>
      <c r="E224" s="5">
        <v>0</v>
      </c>
      <c r="F224" s="5">
        <v>3.32</v>
      </c>
      <c r="G224" s="5">
        <v>3.8</v>
      </c>
      <c r="H224" s="5">
        <v>3.9</v>
      </c>
      <c r="I224" s="5">
        <v>0</v>
      </c>
      <c r="J224" s="5" t="b">
        <v>0</v>
      </c>
      <c r="K224" s="5" t="b">
        <v>0</v>
      </c>
      <c r="L224" s="5" t="b">
        <v>0</v>
      </c>
      <c r="M224" s="5" t="b">
        <v>0</v>
      </c>
      <c r="N224" s="5" t="b">
        <v>1</v>
      </c>
      <c r="O224" s="5" t="b">
        <v>0</v>
      </c>
    </row>
    <row r="225" spans="1:15" ht="15.95" customHeight="1" x14ac:dyDescent="0.25">
      <c r="A225" s="8">
        <v>43500.724062499998</v>
      </c>
      <c r="B225" s="5" t="s">
        <v>2573</v>
      </c>
      <c r="C225" s="5" t="s">
        <v>3192</v>
      </c>
      <c r="D225" s="5" t="s">
        <v>3193</v>
      </c>
      <c r="E225" s="5">
        <v>0</v>
      </c>
      <c r="F225" s="5">
        <v>3.32</v>
      </c>
      <c r="G225" s="5">
        <v>3.8</v>
      </c>
      <c r="H225" s="5">
        <v>3.9</v>
      </c>
      <c r="I225" s="5">
        <v>0</v>
      </c>
      <c r="J225" s="5" t="b">
        <v>0</v>
      </c>
      <c r="K225" s="5" t="b">
        <v>0</v>
      </c>
      <c r="L225" s="5" t="b">
        <v>0</v>
      </c>
      <c r="M225" s="5" t="b">
        <v>0</v>
      </c>
      <c r="N225" s="5" t="b">
        <v>1</v>
      </c>
      <c r="O225" s="5" t="b">
        <v>0</v>
      </c>
    </row>
    <row r="226" spans="1:15" ht="15.95" customHeight="1" x14ac:dyDescent="0.25">
      <c r="A226" s="8">
        <v>43500.724687499998</v>
      </c>
      <c r="B226" s="5" t="s">
        <v>2573</v>
      </c>
      <c r="C226" s="5" t="s">
        <v>3192</v>
      </c>
      <c r="D226" s="5" t="s">
        <v>3193</v>
      </c>
      <c r="E226" s="5">
        <v>0</v>
      </c>
      <c r="F226" s="5">
        <v>3.32</v>
      </c>
      <c r="G226" s="5">
        <v>3.8</v>
      </c>
      <c r="H226" s="5">
        <v>3.9</v>
      </c>
      <c r="I226" s="5">
        <v>0</v>
      </c>
      <c r="J226" s="5" t="b">
        <v>0</v>
      </c>
      <c r="K226" s="5" t="b">
        <v>0</v>
      </c>
      <c r="L226" s="5" t="b">
        <v>0</v>
      </c>
      <c r="M226" s="5" t="b">
        <v>0</v>
      </c>
      <c r="N226" s="5" t="b">
        <v>1</v>
      </c>
      <c r="O226" s="5" t="b">
        <v>0</v>
      </c>
    </row>
    <row r="227" spans="1:15" ht="15.95" customHeight="1" x14ac:dyDescent="0.25">
      <c r="A227" s="8">
        <v>43500.725590277776</v>
      </c>
      <c r="B227" s="5" t="s">
        <v>2573</v>
      </c>
      <c r="C227" s="5" t="s">
        <v>3192</v>
      </c>
      <c r="D227" s="5" t="s">
        <v>3193</v>
      </c>
      <c r="E227" s="5">
        <v>0</v>
      </c>
      <c r="F227" s="5">
        <v>3.32</v>
      </c>
      <c r="G227" s="5">
        <v>3.8</v>
      </c>
      <c r="H227" s="5">
        <v>3.9</v>
      </c>
      <c r="I227" s="5">
        <v>0</v>
      </c>
      <c r="J227" s="5" t="b">
        <v>0</v>
      </c>
      <c r="K227" s="5" t="b">
        <v>0</v>
      </c>
      <c r="L227" s="5" t="b">
        <v>0</v>
      </c>
      <c r="M227" s="5" t="b">
        <v>0</v>
      </c>
      <c r="N227" s="5" t="b">
        <v>1</v>
      </c>
      <c r="O227" s="5" t="b">
        <v>0</v>
      </c>
    </row>
    <row r="228" spans="1:15" ht="15.95" customHeight="1" x14ac:dyDescent="0.25">
      <c r="A228" s="8">
        <v>43500.726620370369</v>
      </c>
      <c r="B228" s="5" t="s">
        <v>2573</v>
      </c>
      <c r="C228" s="5" t="s">
        <v>3192</v>
      </c>
      <c r="D228" s="5" t="s">
        <v>3193</v>
      </c>
      <c r="E228" s="5">
        <v>0</v>
      </c>
      <c r="F228" s="5">
        <v>3.32</v>
      </c>
      <c r="G228" s="5">
        <v>3.8</v>
      </c>
      <c r="H228" s="5">
        <v>3.9</v>
      </c>
      <c r="I228" s="5">
        <v>0</v>
      </c>
      <c r="J228" s="5" t="b">
        <v>0</v>
      </c>
      <c r="K228" s="5" t="b">
        <v>0</v>
      </c>
      <c r="L228" s="5" t="b">
        <v>0</v>
      </c>
      <c r="M228" s="5" t="b">
        <v>0</v>
      </c>
      <c r="N228" s="5" t="b">
        <v>1</v>
      </c>
      <c r="O228" s="5" t="b">
        <v>0</v>
      </c>
    </row>
    <row r="229" spans="1:15" ht="15.95" customHeight="1" x14ac:dyDescent="0.25">
      <c r="A229" s="8">
        <v>43500.727187500001</v>
      </c>
      <c r="B229" s="5" t="s">
        <v>2573</v>
      </c>
      <c r="C229" s="5" t="s">
        <v>3192</v>
      </c>
      <c r="D229" s="5" t="s">
        <v>3193</v>
      </c>
      <c r="E229" s="5">
        <v>0</v>
      </c>
      <c r="F229" s="5">
        <v>3.32</v>
      </c>
      <c r="G229" s="5">
        <v>3.8</v>
      </c>
      <c r="H229" s="5">
        <v>3.9</v>
      </c>
      <c r="I229" s="5">
        <v>0</v>
      </c>
      <c r="J229" s="5" t="b">
        <v>0</v>
      </c>
      <c r="K229" s="5" t="b">
        <v>0</v>
      </c>
      <c r="L229" s="5" t="b">
        <v>0</v>
      </c>
      <c r="M229" s="5" t="b">
        <v>0</v>
      </c>
      <c r="N229" s="5" t="b">
        <v>1</v>
      </c>
      <c r="O229" s="5" t="b">
        <v>0</v>
      </c>
    </row>
    <row r="230" spans="1:15" ht="15.95" customHeight="1" x14ac:dyDescent="0.25">
      <c r="A230" s="8">
        <v>43500.72761574074</v>
      </c>
      <c r="B230" s="5" t="s">
        <v>2573</v>
      </c>
      <c r="C230" s="5" t="s">
        <v>3192</v>
      </c>
      <c r="D230" s="5" t="s">
        <v>3193</v>
      </c>
      <c r="E230" s="5">
        <v>0</v>
      </c>
      <c r="F230" s="5">
        <v>3.32</v>
      </c>
      <c r="G230" s="5">
        <v>3.8</v>
      </c>
      <c r="H230" s="5">
        <v>3.9</v>
      </c>
      <c r="I230" s="5">
        <v>0</v>
      </c>
      <c r="J230" s="5" t="b">
        <v>0</v>
      </c>
      <c r="K230" s="5" t="b">
        <v>0</v>
      </c>
      <c r="L230" s="5" t="b">
        <v>0</v>
      </c>
      <c r="M230" s="5" t="b">
        <v>0</v>
      </c>
      <c r="N230" s="5" t="b">
        <v>1</v>
      </c>
      <c r="O230" s="5" t="b">
        <v>0</v>
      </c>
    </row>
    <row r="231" spans="1:15" ht="15.95" customHeight="1" x14ac:dyDescent="0.25">
      <c r="A231" s="8">
        <v>43500.736539351848</v>
      </c>
      <c r="B231" s="5" t="s">
        <v>2573</v>
      </c>
      <c r="C231" s="5" t="s">
        <v>3192</v>
      </c>
      <c r="D231" s="5" t="s">
        <v>3193</v>
      </c>
      <c r="E231" s="5">
        <v>0</v>
      </c>
      <c r="F231" s="5">
        <v>3.32</v>
      </c>
      <c r="G231" s="5">
        <v>3.8</v>
      </c>
      <c r="H231" s="5">
        <v>3.9</v>
      </c>
      <c r="I231" s="5">
        <v>0</v>
      </c>
      <c r="J231" s="5" t="b">
        <v>0</v>
      </c>
      <c r="K231" s="5" t="b">
        <v>0</v>
      </c>
      <c r="L231" s="5" t="b">
        <v>0</v>
      </c>
      <c r="M231" s="5" t="b">
        <v>0</v>
      </c>
      <c r="N231" s="5" t="b">
        <v>1</v>
      </c>
      <c r="O231" s="5" t="b">
        <v>0</v>
      </c>
    </row>
    <row r="232" spans="1:15" ht="15.95" customHeight="1" x14ac:dyDescent="0.25">
      <c r="A232" s="8">
        <v>43500.740636574075</v>
      </c>
      <c r="B232" s="5" t="s">
        <v>2573</v>
      </c>
      <c r="C232" s="5" t="s">
        <v>3192</v>
      </c>
      <c r="D232" s="5" t="s">
        <v>3193</v>
      </c>
      <c r="E232" s="5">
        <v>0</v>
      </c>
      <c r="F232" s="5">
        <v>3.32</v>
      </c>
      <c r="G232" s="5">
        <v>3.8</v>
      </c>
      <c r="H232" s="5">
        <v>3.9</v>
      </c>
      <c r="I232" s="5">
        <v>0</v>
      </c>
      <c r="J232" s="5" t="b">
        <v>0</v>
      </c>
      <c r="K232" s="5" t="b">
        <v>0</v>
      </c>
      <c r="L232" s="5" t="b">
        <v>0</v>
      </c>
      <c r="M232" s="5" t="b">
        <v>0</v>
      </c>
      <c r="N232" s="5" t="b">
        <v>1</v>
      </c>
      <c r="O232" s="5" t="b">
        <v>0</v>
      </c>
    </row>
    <row r="233" spans="1:15" ht="15.95" customHeight="1" x14ac:dyDescent="0.25">
      <c r="A233" s="8">
        <v>43500.74287037037</v>
      </c>
      <c r="B233" s="5" t="s">
        <v>2573</v>
      </c>
      <c r="C233" s="5" t="s">
        <v>3192</v>
      </c>
      <c r="D233" s="5" t="s">
        <v>3193</v>
      </c>
      <c r="E233" s="5">
        <v>0</v>
      </c>
      <c r="F233" s="5">
        <v>3.32</v>
      </c>
      <c r="G233" s="5">
        <v>3.8</v>
      </c>
      <c r="H233" s="5">
        <v>3.9</v>
      </c>
      <c r="I233" s="5">
        <v>0</v>
      </c>
      <c r="J233" s="5" t="b">
        <v>0</v>
      </c>
      <c r="K233" s="5" t="b">
        <v>0</v>
      </c>
      <c r="L233" s="5" t="b">
        <v>0</v>
      </c>
      <c r="M233" s="5" t="b">
        <v>0</v>
      </c>
      <c r="N233" s="5" t="b">
        <v>1</v>
      </c>
      <c r="O233" s="5" t="b">
        <v>0</v>
      </c>
    </row>
    <row r="234" spans="1:15" ht="15.95" customHeight="1" x14ac:dyDescent="0.25">
      <c r="A234" s="8">
        <v>43500.743437500001</v>
      </c>
      <c r="B234" s="5" t="s">
        <v>2573</v>
      </c>
      <c r="C234" s="5" t="s">
        <v>3192</v>
      </c>
      <c r="D234" s="5" t="s">
        <v>3193</v>
      </c>
      <c r="E234" s="5">
        <v>0</v>
      </c>
      <c r="F234" s="5">
        <v>3.32</v>
      </c>
      <c r="G234" s="5">
        <v>3.8</v>
      </c>
      <c r="H234" s="5">
        <v>3.9</v>
      </c>
      <c r="I234" s="5">
        <v>0</v>
      </c>
      <c r="J234" s="5" t="b">
        <v>0</v>
      </c>
      <c r="K234" s="5" t="b">
        <v>0</v>
      </c>
      <c r="L234" s="5" t="b">
        <v>0</v>
      </c>
      <c r="M234" s="5" t="b">
        <v>0</v>
      </c>
      <c r="N234" s="5" t="b">
        <v>1</v>
      </c>
      <c r="O234" s="5" t="b">
        <v>0</v>
      </c>
    </row>
    <row r="235" spans="1:15" ht="15.95" customHeight="1" x14ac:dyDescent="0.25">
      <c r="A235" s="8">
        <v>43500.747303240743</v>
      </c>
      <c r="B235" s="5" t="s">
        <v>2573</v>
      </c>
      <c r="C235" s="5" t="s">
        <v>3192</v>
      </c>
      <c r="D235" s="5" t="s">
        <v>3193</v>
      </c>
      <c r="E235" s="5">
        <v>0</v>
      </c>
      <c r="F235" s="5">
        <v>3.32</v>
      </c>
      <c r="G235" s="5">
        <v>3.8</v>
      </c>
      <c r="H235" s="5">
        <v>3.9</v>
      </c>
      <c r="I235" s="5">
        <v>0</v>
      </c>
      <c r="J235" s="5" t="b">
        <v>0</v>
      </c>
      <c r="K235" s="5" t="b">
        <v>0</v>
      </c>
      <c r="L235" s="5" t="b">
        <v>0</v>
      </c>
      <c r="M235" s="5" t="b">
        <v>0</v>
      </c>
      <c r="N235" s="5" t="b">
        <v>1</v>
      </c>
      <c r="O235" s="5" t="b">
        <v>0</v>
      </c>
    </row>
    <row r="236" spans="1:15" ht="15.95" customHeight="1" x14ac:dyDescent="0.25">
      <c r="A236" s="8">
        <v>43500.758356481485</v>
      </c>
      <c r="B236" s="5" t="s">
        <v>2573</v>
      </c>
      <c r="C236" s="5" t="s">
        <v>3192</v>
      </c>
      <c r="D236" s="5" t="s">
        <v>3193</v>
      </c>
      <c r="E236" s="5">
        <v>0</v>
      </c>
      <c r="F236" s="5">
        <v>3.32</v>
      </c>
      <c r="G236" s="5">
        <v>3.8</v>
      </c>
      <c r="H236" s="5">
        <v>3.9</v>
      </c>
      <c r="I236" s="5">
        <v>0</v>
      </c>
      <c r="J236" s="5" t="b">
        <v>0</v>
      </c>
      <c r="K236" s="5" t="b">
        <v>0</v>
      </c>
      <c r="L236" s="5" t="b">
        <v>0</v>
      </c>
      <c r="M236" s="5" t="b">
        <v>0</v>
      </c>
      <c r="N236" s="5" t="b">
        <v>1</v>
      </c>
      <c r="O236" s="5" t="b">
        <v>0</v>
      </c>
    </row>
    <row r="237" spans="1:15" ht="15.95" customHeight="1" x14ac:dyDescent="0.25">
      <c r="A237" s="8">
        <v>43500.763784722221</v>
      </c>
      <c r="B237" s="5" t="s">
        <v>2573</v>
      </c>
      <c r="C237" s="5" t="s">
        <v>3192</v>
      </c>
      <c r="D237" s="5" t="s">
        <v>3193</v>
      </c>
      <c r="E237" s="5">
        <v>0</v>
      </c>
      <c r="F237" s="5">
        <v>3.32</v>
      </c>
      <c r="G237" s="5">
        <v>3.8</v>
      </c>
      <c r="H237" s="5">
        <v>3.9</v>
      </c>
      <c r="I237" s="5">
        <v>0</v>
      </c>
      <c r="J237" s="5" t="b">
        <v>0</v>
      </c>
      <c r="K237" s="5" t="b">
        <v>0</v>
      </c>
      <c r="L237" s="5" t="b">
        <v>0</v>
      </c>
      <c r="M237" s="5" t="b">
        <v>0</v>
      </c>
      <c r="N237" s="5" t="b">
        <v>1</v>
      </c>
      <c r="O237" s="5" t="b">
        <v>0</v>
      </c>
    </row>
    <row r="238" spans="1:15" ht="15.95" customHeight="1" x14ac:dyDescent="0.25">
      <c r="A238" s="8">
        <v>43500.765706018516</v>
      </c>
      <c r="B238" s="5" t="s">
        <v>2573</v>
      </c>
      <c r="C238" s="5" t="s">
        <v>3192</v>
      </c>
      <c r="D238" s="5" t="s">
        <v>3193</v>
      </c>
      <c r="E238" s="5">
        <v>0</v>
      </c>
      <c r="F238" s="5">
        <v>3.32</v>
      </c>
      <c r="G238" s="5">
        <v>3.8</v>
      </c>
      <c r="H238" s="5">
        <v>3.9</v>
      </c>
      <c r="I238" s="5">
        <v>0</v>
      </c>
      <c r="J238" s="5" t="b">
        <v>0</v>
      </c>
      <c r="K238" s="5" t="b">
        <v>0</v>
      </c>
      <c r="L238" s="5" t="b">
        <v>0</v>
      </c>
      <c r="M238" s="5" t="b">
        <v>0</v>
      </c>
      <c r="N238" s="5" t="b">
        <v>1</v>
      </c>
      <c r="O238" s="5" t="b">
        <v>0</v>
      </c>
    </row>
    <row r="239" spans="1:15" ht="15.95" customHeight="1" x14ac:dyDescent="0.25">
      <c r="A239" s="8">
        <v>43500.766273148147</v>
      </c>
      <c r="B239" s="5" t="s">
        <v>2573</v>
      </c>
      <c r="C239" s="5" t="s">
        <v>3192</v>
      </c>
      <c r="D239" s="5" t="s">
        <v>3193</v>
      </c>
      <c r="E239" s="5">
        <v>0</v>
      </c>
      <c r="F239" s="5">
        <v>3.32</v>
      </c>
      <c r="G239" s="5">
        <v>3.8</v>
      </c>
      <c r="H239" s="5">
        <v>3.9</v>
      </c>
      <c r="I239" s="5">
        <v>0</v>
      </c>
      <c r="J239" s="5" t="b">
        <v>0</v>
      </c>
      <c r="K239" s="5" t="b">
        <v>0</v>
      </c>
      <c r="L239" s="5" t="b">
        <v>0</v>
      </c>
      <c r="M239" s="5" t="b">
        <v>0</v>
      </c>
      <c r="N239" s="5" t="b">
        <v>1</v>
      </c>
      <c r="O239" s="5" t="b">
        <v>0</v>
      </c>
    </row>
    <row r="240" spans="1:15" ht="15.95" customHeight="1" x14ac:dyDescent="0.25">
      <c r="A240" s="8">
        <v>43500.767337962963</v>
      </c>
      <c r="B240" s="5" t="s">
        <v>2573</v>
      </c>
      <c r="C240" s="5" t="s">
        <v>3192</v>
      </c>
      <c r="D240" s="5" t="s">
        <v>3193</v>
      </c>
      <c r="E240" s="5">
        <v>0</v>
      </c>
      <c r="F240" s="5">
        <v>3.32</v>
      </c>
      <c r="G240" s="5">
        <v>3.8</v>
      </c>
      <c r="H240" s="5">
        <v>3.9</v>
      </c>
      <c r="I240" s="5">
        <v>0</v>
      </c>
      <c r="J240" s="5" t="b">
        <v>0</v>
      </c>
      <c r="K240" s="5" t="b">
        <v>0</v>
      </c>
      <c r="L240" s="5" t="b">
        <v>0</v>
      </c>
      <c r="M240" s="5" t="b">
        <v>0</v>
      </c>
      <c r="N240" s="5" t="b">
        <v>1</v>
      </c>
      <c r="O240" s="5" t="b">
        <v>0</v>
      </c>
    </row>
    <row r="241" spans="1:15" ht="15.95" customHeight="1" x14ac:dyDescent="0.25">
      <c r="A241" s="8">
        <v>43500.77034722222</v>
      </c>
      <c r="B241" s="5" t="s">
        <v>2573</v>
      </c>
      <c r="C241" s="5" t="s">
        <v>3192</v>
      </c>
      <c r="D241" s="5" t="s">
        <v>3193</v>
      </c>
      <c r="E241" s="5">
        <v>0</v>
      </c>
      <c r="F241" s="5">
        <v>3.32</v>
      </c>
      <c r="G241" s="5">
        <v>3.8</v>
      </c>
      <c r="H241" s="5">
        <v>3.9</v>
      </c>
      <c r="I241" s="5">
        <v>0</v>
      </c>
      <c r="J241" s="5" t="b">
        <v>0</v>
      </c>
      <c r="K241" s="5" t="b">
        <v>0</v>
      </c>
      <c r="L241" s="5" t="b">
        <v>0</v>
      </c>
      <c r="M241" s="5" t="b">
        <v>0</v>
      </c>
      <c r="N241" s="5" t="b">
        <v>1</v>
      </c>
      <c r="O241" s="5" t="b">
        <v>0</v>
      </c>
    </row>
    <row r="242" spans="1:15" ht="15.95" customHeight="1" x14ac:dyDescent="0.25">
      <c r="A242" s="8">
        <v>43500.771631944444</v>
      </c>
      <c r="B242" s="5" t="s">
        <v>2573</v>
      </c>
      <c r="C242" s="5" t="s">
        <v>3192</v>
      </c>
      <c r="D242" s="5" t="s">
        <v>3193</v>
      </c>
      <c r="E242" s="5">
        <v>0</v>
      </c>
      <c r="F242" s="5">
        <v>3.32</v>
      </c>
      <c r="G242" s="5">
        <v>3.8</v>
      </c>
      <c r="H242" s="5">
        <v>3.9</v>
      </c>
      <c r="I242" s="5">
        <v>0</v>
      </c>
      <c r="J242" s="5" t="b">
        <v>0</v>
      </c>
      <c r="K242" s="5" t="b">
        <v>0</v>
      </c>
      <c r="L242" s="5" t="b">
        <v>0</v>
      </c>
      <c r="M242" s="5" t="b">
        <v>0</v>
      </c>
      <c r="N242" s="5" t="b">
        <v>1</v>
      </c>
      <c r="O242" s="5" t="b">
        <v>0</v>
      </c>
    </row>
    <row r="243" spans="1:15" ht="15.95" customHeight="1" x14ac:dyDescent="0.25">
      <c r="A243" s="8">
        <v>43500.772326388891</v>
      </c>
      <c r="B243" s="5" t="s">
        <v>2573</v>
      </c>
      <c r="C243" s="5" t="s">
        <v>3192</v>
      </c>
      <c r="D243" s="5" t="s">
        <v>3193</v>
      </c>
      <c r="E243" s="5">
        <v>0</v>
      </c>
      <c r="F243" s="5">
        <v>3.32</v>
      </c>
      <c r="G243" s="5">
        <v>3.8</v>
      </c>
      <c r="H243" s="5">
        <v>3.9</v>
      </c>
      <c r="I243" s="5">
        <v>0</v>
      </c>
      <c r="J243" s="5" t="b">
        <v>0</v>
      </c>
      <c r="K243" s="5" t="b">
        <v>0</v>
      </c>
      <c r="L243" s="5" t="b">
        <v>0</v>
      </c>
      <c r="M243" s="5" t="b">
        <v>0</v>
      </c>
      <c r="N243" s="5" t="b">
        <v>1</v>
      </c>
      <c r="O243" s="5" t="b">
        <v>0</v>
      </c>
    </row>
    <row r="244" spans="1:15" ht="15.95" customHeight="1" x14ac:dyDescent="0.25">
      <c r="A244" s="8">
        <v>43500.775833333333</v>
      </c>
      <c r="B244" s="5" t="s">
        <v>2573</v>
      </c>
      <c r="C244" s="5" t="s">
        <v>3192</v>
      </c>
      <c r="D244" s="5" t="s">
        <v>3193</v>
      </c>
      <c r="E244" s="5">
        <v>0</v>
      </c>
      <c r="F244" s="5">
        <v>3.32</v>
      </c>
      <c r="G244" s="5">
        <v>3.8</v>
      </c>
      <c r="H244" s="5">
        <v>3.9</v>
      </c>
      <c r="I244" s="5">
        <v>0</v>
      </c>
      <c r="J244" s="5" t="b">
        <v>0</v>
      </c>
      <c r="K244" s="5" t="b">
        <v>0</v>
      </c>
      <c r="L244" s="5" t="b">
        <v>0</v>
      </c>
      <c r="M244" s="5" t="b">
        <v>0</v>
      </c>
      <c r="N244" s="5" t="b">
        <v>1</v>
      </c>
      <c r="O244" s="5" t="b">
        <v>0</v>
      </c>
    </row>
    <row r="245" spans="1:15" ht="15.95" customHeight="1" x14ac:dyDescent="0.25">
      <c r="A245" s="8">
        <v>43500.776412037034</v>
      </c>
      <c r="B245" s="5" t="s">
        <v>2573</v>
      </c>
      <c r="C245" s="5" t="s">
        <v>3192</v>
      </c>
      <c r="D245" s="5" t="s">
        <v>3193</v>
      </c>
      <c r="E245" s="5">
        <v>0</v>
      </c>
      <c r="F245" s="5">
        <v>3.32</v>
      </c>
      <c r="G245" s="5">
        <v>3.8</v>
      </c>
      <c r="H245" s="5">
        <v>3.9</v>
      </c>
      <c r="I245" s="5">
        <v>0</v>
      </c>
      <c r="J245" s="5" t="b">
        <v>0</v>
      </c>
      <c r="K245" s="5" t="b">
        <v>0</v>
      </c>
      <c r="L245" s="5" t="b">
        <v>0</v>
      </c>
      <c r="M245" s="5" t="b">
        <v>0</v>
      </c>
      <c r="N245" s="5" t="b">
        <v>1</v>
      </c>
      <c r="O245" s="5" t="b">
        <v>0</v>
      </c>
    </row>
    <row r="246" spans="1:15" ht="15.95" customHeight="1" x14ac:dyDescent="0.25">
      <c r="A246" s="8">
        <v>43500.776828703703</v>
      </c>
      <c r="B246" s="5" t="s">
        <v>2573</v>
      </c>
      <c r="C246" s="5" t="s">
        <v>3192</v>
      </c>
      <c r="D246" s="5" t="s">
        <v>3193</v>
      </c>
      <c r="E246" s="5">
        <v>0</v>
      </c>
      <c r="F246" s="5">
        <v>3.32</v>
      </c>
      <c r="G246" s="5">
        <v>3.8</v>
      </c>
      <c r="H246" s="5">
        <v>3.9</v>
      </c>
      <c r="I246" s="5">
        <v>0</v>
      </c>
      <c r="J246" s="5" t="b">
        <v>0</v>
      </c>
      <c r="K246" s="5" t="b">
        <v>0</v>
      </c>
      <c r="L246" s="5" t="b">
        <v>0</v>
      </c>
      <c r="M246" s="5" t="b">
        <v>0</v>
      </c>
      <c r="N246" s="5" t="b">
        <v>1</v>
      </c>
      <c r="O246" s="5" t="b">
        <v>0</v>
      </c>
    </row>
    <row r="247" spans="1:15" ht="15.95" customHeight="1" x14ac:dyDescent="0.25">
      <c r="A247" s="8">
        <v>43500.77783564815</v>
      </c>
      <c r="B247" s="5" t="s">
        <v>2573</v>
      </c>
      <c r="C247" s="5" t="s">
        <v>3192</v>
      </c>
      <c r="D247" s="5" t="s">
        <v>3193</v>
      </c>
      <c r="E247" s="5">
        <v>0</v>
      </c>
      <c r="F247" s="5">
        <v>3.32</v>
      </c>
      <c r="G247" s="5">
        <v>3.8</v>
      </c>
      <c r="H247" s="5">
        <v>3.9</v>
      </c>
      <c r="I247" s="5">
        <v>0</v>
      </c>
      <c r="J247" s="5" t="b">
        <v>0</v>
      </c>
      <c r="K247" s="5" t="b">
        <v>0</v>
      </c>
      <c r="L247" s="5" t="b">
        <v>0</v>
      </c>
      <c r="M247" s="5" t="b">
        <v>0</v>
      </c>
      <c r="N247" s="5" t="b">
        <v>1</v>
      </c>
      <c r="O247" s="5" t="b">
        <v>0</v>
      </c>
    </row>
    <row r="248" spans="1:15" ht="15.95" customHeight="1" x14ac:dyDescent="0.25">
      <c r="A248" s="8">
        <v>43500.779710648145</v>
      </c>
      <c r="B248" s="5" t="s">
        <v>2573</v>
      </c>
      <c r="C248" s="5" t="s">
        <v>3192</v>
      </c>
      <c r="D248" s="5" t="s">
        <v>3193</v>
      </c>
      <c r="E248" s="5">
        <v>0</v>
      </c>
      <c r="F248" s="5">
        <v>3.32</v>
      </c>
      <c r="G248" s="5">
        <v>3.8</v>
      </c>
      <c r="H248" s="5">
        <v>3.9</v>
      </c>
      <c r="I248" s="5">
        <v>0</v>
      </c>
      <c r="J248" s="5" t="b">
        <v>0</v>
      </c>
      <c r="K248" s="5" t="b">
        <v>0</v>
      </c>
      <c r="L248" s="5" t="b">
        <v>0</v>
      </c>
      <c r="M248" s="5" t="b">
        <v>0</v>
      </c>
      <c r="N248" s="5" t="b">
        <v>1</v>
      </c>
      <c r="O248" s="5" t="b">
        <v>0</v>
      </c>
    </row>
    <row r="249" spans="1:15" ht="15.95" customHeight="1" x14ac:dyDescent="0.25">
      <c r="A249" s="8">
        <v>43500.78297453704</v>
      </c>
      <c r="B249" s="5" t="s">
        <v>2573</v>
      </c>
      <c r="C249" s="5" t="s">
        <v>3192</v>
      </c>
      <c r="D249" s="5" t="s">
        <v>3193</v>
      </c>
      <c r="E249" s="5">
        <v>0</v>
      </c>
      <c r="F249" s="5">
        <v>3.32</v>
      </c>
      <c r="G249" s="5">
        <v>3.8</v>
      </c>
      <c r="H249" s="5">
        <v>3.9</v>
      </c>
      <c r="I249" s="5">
        <v>0</v>
      </c>
      <c r="J249" s="5" t="b">
        <v>0</v>
      </c>
      <c r="K249" s="5" t="b">
        <v>0</v>
      </c>
      <c r="L249" s="5" t="b">
        <v>0</v>
      </c>
      <c r="M249" s="5" t="b">
        <v>0</v>
      </c>
      <c r="N249" s="5" t="b">
        <v>1</v>
      </c>
      <c r="O249" s="5" t="b">
        <v>0</v>
      </c>
    </row>
    <row r="250" spans="1:15" ht="15.95" customHeight="1" x14ac:dyDescent="0.25">
      <c r="A250" s="8">
        <v>43500.783738425926</v>
      </c>
      <c r="B250" s="5" t="s">
        <v>2573</v>
      </c>
      <c r="C250" s="5" t="s">
        <v>3192</v>
      </c>
      <c r="D250" s="5" t="s">
        <v>3193</v>
      </c>
      <c r="E250" s="5">
        <v>0</v>
      </c>
      <c r="F250" s="5">
        <v>3.32</v>
      </c>
      <c r="G250" s="5">
        <v>3.8</v>
      </c>
      <c r="H250" s="5">
        <v>3.9</v>
      </c>
      <c r="I250" s="5">
        <v>0</v>
      </c>
      <c r="J250" s="5" t="b">
        <v>0</v>
      </c>
      <c r="K250" s="5" t="b">
        <v>0</v>
      </c>
      <c r="L250" s="5" t="b">
        <v>0</v>
      </c>
      <c r="M250" s="5" t="b">
        <v>0</v>
      </c>
      <c r="N250" s="5" t="b">
        <v>1</v>
      </c>
      <c r="O250" s="5" t="b">
        <v>0</v>
      </c>
    </row>
    <row r="251" spans="1:15" ht="15.95" customHeight="1" x14ac:dyDescent="0.25">
      <c r="A251" s="8">
        <v>43500.785312499997</v>
      </c>
      <c r="B251" s="5" t="s">
        <v>2573</v>
      </c>
      <c r="C251" s="5" t="s">
        <v>3192</v>
      </c>
      <c r="D251" s="5" t="s">
        <v>3193</v>
      </c>
      <c r="E251" s="5">
        <v>0</v>
      </c>
      <c r="F251" s="5">
        <v>3.32</v>
      </c>
      <c r="G251" s="5">
        <v>3.8</v>
      </c>
      <c r="H251" s="5">
        <v>3.9</v>
      </c>
      <c r="I251" s="5">
        <v>0</v>
      </c>
      <c r="J251" s="5" t="b">
        <v>0</v>
      </c>
      <c r="K251" s="5" t="b">
        <v>0</v>
      </c>
      <c r="L251" s="5" t="b">
        <v>0</v>
      </c>
      <c r="M251" s="5" t="b">
        <v>0</v>
      </c>
      <c r="N251" s="5" t="b">
        <v>1</v>
      </c>
      <c r="O251" s="5" t="b">
        <v>0</v>
      </c>
    </row>
    <row r="252" spans="1:15" ht="15.95" customHeight="1" x14ac:dyDescent="0.25">
      <c r="A252" s="8">
        <v>43500.786157407405</v>
      </c>
      <c r="B252" s="5" t="s">
        <v>2573</v>
      </c>
      <c r="C252" s="5" t="s">
        <v>3192</v>
      </c>
      <c r="D252" s="5" t="s">
        <v>3193</v>
      </c>
      <c r="E252" s="5">
        <v>0</v>
      </c>
      <c r="F252" s="5">
        <v>3.32</v>
      </c>
      <c r="G252" s="5">
        <v>3.8</v>
      </c>
      <c r="H252" s="5">
        <v>3.9</v>
      </c>
      <c r="I252" s="5">
        <v>0</v>
      </c>
      <c r="J252" s="5" t="b">
        <v>0</v>
      </c>
      <c r="K252" s="5" t="b">
        <v>0</v>
      </c>
      <c r="L252" s="5" t="b">
        <v>0</v>
      </c>
      <c r="M252" s="5" t="b">
        <v>0</v>
      </c>
      <c r="N252" s="5" t="b">
        <v>1</v>
      </c>
      <c r="O252" s="5" t="b">
        <v>0</v>
      </c>
    </row>
    <row r="253" spans="1:15" ht="15.95" customHeight="1" x14ac:dyDescent="0.25">
      <c r="A253" s="8">
        <v>43500.786874999998</v>
      </c>
      <c r="B253" s="5" t="s">
        <v>2573</v>
      </c>
      <c r="C253" s="5" t="s">
        <v>3192</v>
      </c>
      <c r="D253" s="5" t="s">
        <v>3193</v>
      </c>
      <c r="E253" s="5">
        <v>0</v>
      </c>
      <c r="F253" s="5">
        <v>3.32</v>
      </c>
      <c r="G253" s="5">
        <v>3.8</v>
      </c>
      <c r="H253" s="5">
        <v>3.9</v>
      </c>
      <c r="I253" s="5">
        <v>0</v>
      </c>
      <c r="J253" s="5" t="b">
        <v>0</v>
      </c>
      <c r="K253" s="5" t="b">
        <v>0</v>
      </c>
      <c r="L253" s="5" t="b">
        <v>0</v>
      </c>
      <c r="M253" s="5" t="b">
        <v>0</v>
      </c>
      <c r="N253" s="5" t="b">
        <v>1</v>
      </c>
      <c r="O253" s="5" t="b">
        <v>0</v>
      </c>
    </row>
    <row r="254" spans="1:15" ht="15.95" customHeight="1" x14ac:dyDescent="0.25">
      <c r="A254" s="8">
        <v>43500.787291666667</v>
      </c>
      <c r="B254" s="5" t="s">
        <v>2573</v>
      </c>
      <c r="C254" s="5" t="s">
        <v>3192</v>
      </c>
      <c r="D254" s="5" t="s">
        <v>3193</v>
      </c>
      <c r="E254" s="5">
        <v>0</v>
      </c>
      <c r="F254" s="5">
        <v>3.32</v>
      </c>
      <c r="G254" s="5">
        <v>3.8</v>
      </c>
      <c r="H254" s="5">
        <v>3.9</v>
      </c>
      <c r="I254" s="5">
        <v>0</v>
      </c>
      <c r="J254" s="5" t="b">
        <v>0</v>
      </c>
      <c r="K254" s="5" t="b">
        <v>0</v>
      </c>
      <c r="L254" s="5" t="b">
        <v>0</v>
      </c>
      <c r="M254" s="5" t="b">
        <v>0</v>
      </c>
      <c r="N254" s="5" t="b">
        <v>1</v>
      </c>
      <c r="O254" s="5" t="b">
        <v>0</v>
      </c>
    </row>
    <row r="255" spans="1:15" ht="15.95" customHeight="1" x14ac:dyDescent="0.25">
      <c r="A255" s="8">
        <v>43500.787627314814</v>
      </c>
      <c r="B255" s="5" t="s">
        <v>2573</v>
      </c>
      <c r="C255" s="5" t="s">
        <v>3192</v>
      </c>
      <c r="D255" s="5" t="s">
        <v>3193</v>
      </c>
      <c r="E255" s="5">
        <v>0</v>
      </c>
      <c r="F255" s="5">
        <v>3.32</v>
      </c>
      <c r="G255" s="5">
        <v>3.8</v>
      </c>
      <c r="H255" s="5">
        <v>3.9</v>
      </c>
      <c r="I255" s="5">
        <v>0</v>
      </c>
      <c r="J255" s="5" t="b">
        <v>0</v>
      </c>
      <c r="K255" s="5" t="b">
        <v>0</v>
      </c>
      <c r="L255" s="5" t="b">
        <v>0</v>
      </c>
      <c r="M255" s="5" t="b">
        <v>0</v>
      </c>
      <c r="N255" s="5" t="b">
        <v>1</v>
      </c>
      <c r="O255" s="5" t="b">
        <v>0</v>
      </c>
    </row>
    <row r="256" spans="1:15" ht="15.95" customHeight="1" x14ac:dyDescent="0.25">
      <c r="A256" s="8">
        <v>43500.788194444445</v>
      </c>
      <c r="B256" s="5" t="s">
        <v>2573</v>
      </c>
      <c r="C256" s="5" t="s">
        <v>3192</v>
      </c>
      <c r="D256" s="5" t="s">
        <v>3193</v>
      </c>
      <c r="E256" s="5">
        <v>0</v>
      </c>
      <c r="F256" s="5">
        <v>3.32</v>
      </c>
      <c r="G256" s="5">
        <v>3.8</v>
      </c>
      <c r="H256" s="5">
        <v>3.9</v>
      </c>
      <c r="I256" s="5">
        <v>0</v>
      </c>
      <c r="J256" s="5" t="b">
        <v>0</v>
      </c>
      <c r="K256" s="5" t="b">
        <v>0</v>
      </c>
      <c r="L256" s="5" t="b">
        <v>0</v>
      </c>
      <c r="M256" s="5" t="b">
        <v>0</v>
      </c>
      <c r="N256" s="5" t="b">
        <v>1</v>
      </c>
      <c r="O256" s="5" t="b">
        <v>0</v>
      </c>
    </row>
    <row r="257" spans="1:15" ht="15.95" customHeight="1" x14ac:dyDescent="0.25">
      <c r="A257" s="8">
        <v>43500.7890162037</v>
      </c>
      <c r="B257" s="5" t="s">
        <v>2573</v>
      </c>
      <c r="C257" s="5" t="s">
        <v>3192</v>
      </c>
      <c r="D257" s="5" t="s">
        <v>3205</v>
      </c>
      <c r="E257" s="5" t="s">
        <v>2404</v>
      </c>
      <c r="F257" s="5">
        <v>3.32</v>
      </c>
      <c r="G257" s="5">
        <v>3.8</v>
      </c>
      <c r="H257" s="5">
        <v>3.9</v>
      </c>
      <c r="I257" s="5">
        <v>1</v>
      </c>
      <c r="J257" s="5" t="b">
        <v>0</v>
      </c>
      <c r="K257" s="5" t="b">
        <v>0</v>
      </c>
      <c r="L257" s="5" t="b">
        <v>0</v>
      </c>
      <c r="M257" s="5" t="b">
        <v>0</v>
      </c>
      <c r="N257" s="5" t="b">
        <v>1</v>
      </c>
      <c r="O257" s="5" t="b">
        <v>0</v>
      </c>
    </row>
    <row r="258" spans="1:15" ht="15.95" customHeight="1" x14ac:dyDescent="0.25">
      <c r="A258" s="8">
        <v>43500.789502314816</v>
      </c>
      <c r="B258" s="5" t="s">
        <v>2573</v>
      </c>
      <c r="C258" s="5" t="s">
        <v>3185</v>
      </c>
      <c r="D258" s="5" t="s">
        <v>3193</v>
      </c>
      <c r="E258" s="5">
        <v>3</v>
      </c>
      <c r="F258" s="5">
        <v>3.32</v>
      </c>
      <c r="G258" s="5">
        <v>3.8</v>
      </c>
      <c r="H258" s="5">
        <v>3.9</v>
      </c>
      <c r="I258" s="5">
        <v>1</v>
      </c>
      <c r="J258" s="5" t="b">
        <v>0</v>
      </c>
      <c r="K258" s="5" t="b">
        <v>0</v>
      </c>
      <c r="L258" s="5" t="b">
        <v>0</v>
      </c>
      <c r="M258" s="5" t="b">
        <v>0</v>
      </c>
      <c r="N258" s="5" t="b">
        <v>1</v>
      </c>
      <c r="O258" s="5" t="b">
        <v>0</v>
      </c>
    </row>
    <row r="259" spans="1:15" ht="15.95" customHeight="1" x14ac:dyDescent="0.25">
      <c r="A259" s="8">
        <v>43500.78979166667</v>
      </c>
      <c r="B259" s="5" t="s">
        <v>2573</v>
      </c>
      <c r="C259" s="5" t="s">
        <v>3192</v>
      </c>
      <c r="D259" s="5" t="s">
        <v>3193</v>
      </c>
      <c r="E259" s="5">
        <v>0</v>
      </c>
      <c r="F259" s="5">
        <v>3.32</v>
      </c>
      <c r="G259" s="5">
        <v>3.8</v>
      </c>
      <c r="H259" s="5">
        <v>3.9</v>
      </c>
      <c r="I259" s="5">
        <v>1</v>
      </c>
      <c r="J259" s="5" t="b">
        <v>0</v>
      </c>
      <c r="K259" s="5" t="b">
        <v>0</v>
      </c>
      <c r="L259" s="5" t="b">
        <v>0</v>
      </c>
      <c r="M259" s="5" t="b">
        <v>0</v>
      </c>
      <c r="N259" s="5" t="b">
        <v>1</v>
      </c>
      <c r="O259" s="5" t="b">
        <v>0</v>
      </c>
    </row>
    <row r="260" spans="1:15" ht="15.95" customHeight="1" x14ac:dyDescent="0.25">
      <c r="A260" s="8">
        <v>43500.789803240739</v>
      </c>
      <c r="B260" s="5" t="s">
        <v>2573</v>
      </c>
      <c r="C260" s="5" t="s">
        <v>3192</v>
      </c>
      <c r="D260" s="5" t="s">
        <v>3205</v>
      </c>
      <c r="E260" s="5" t="s">
        <v>2404</v>
      </c>
      <c r="F260" s="5">
        <v>3.32</v>
      </c>
      <c r="G260" s="5">
        <v>3.8</v>
      </c>
      <c r="H260" s="5">
        <v>3.9</v>
      </c>
      <c r="I260" s="5">
        <v>1</v>
      </c>
      <c r="J260" s="5" t="b">
        <v>0</v>
      </c>
      <c r="K260" s="5" t="b">
        <v>0</v>
      </c>
      <c r="L260" s="5" t="b">
        <v>0</v>
      </c>
      <c r="M260" s="5" t="b">
        <v>0</v>
      </c>
      <c r="N260" s="5" t="b">
        <v>1</v>
      </c>
      <c r="O260" s="5" t="b">
        <v>0</v>
      </c>
    </row>
    <row r="261" spans="1:15" ht="15.95" customHeight="1" x14ac:dyDescent="0.25">
      <c r="A261" s="8">
        <v>43500.804189814815</v>
      </c>
      <c r="B261" s="5" t="s">
        <v>2573</v>
      </c>
      <c r="C261" s="5" t="s">
        <v>3192</v>
      </c>
      <c r="D261" s="5" t="s">
        <v>3193</v>
      </c>
      <c r="E261" s="5">
        <v>0</v>
      </c>
      <c r="F261" s="5">
        <v>3.32</v>
      </c>
      <c r="G261" s="5">
        <v>3.8</v>
      </c>
      <c r="H261" s="5">
        <v>3.9</v>
      </c>
      <c r="I261" s="5">
        <v>0</v>
      </c>
      <c r="J261" s="5" t="b">
        <v>0</v>
      </c>
      <c r="K261" s="5" t="b">
        <v>0</v>
      </c>
      <c r="L261" s="5" t="b">
        <v>0</v>
      </c>
      <c r="M261" s="5" t="b">
        <v>0</v>
      </c>
      <c r="N261" s="5" t="b">
        <v>1</v>
      </c>
      <c r="O261" s="5" t="b">
        <v>0</v>
      </c>
    </row>
    <row r="262" spans="1:15" ht="15.95" customHeight="1" x14ac:dyDescent="0.25">
      <c r="A262" s="8">
        <v>43500.806597222225</v>
      </c>
      <c r="B262" s="5" t="s">
        <v>2573</v>
      </c>
      <c r="C262" s="5" t="s">
        <v>3192</v>
      </c>
      <c r="D262" s="5" t="s">
        <v>3196</v>
      </c>
      <c r="E262" s="5" t="s">
        <v>2508</v>
      </c>
      <c r="F262" s="5">
        <v>3.32</v>
      </c>
      <c r="G262" s="5">
        <v>3.8</v>
      </c>
      <c r="H262" s="5">
        <v>3.9</v>
      </c>
      <c r="I262" s="5">
        <v>1</v>
      </c>
      <c r="J262" s="5" t="b">
        <v>0</v>
      </c>
      <c r="K262" s="5" t="b">
        <v>0</v>
      </c>
      <c r="L262" s="5" t="b">
        <v>0</v>
      </c>
      <c r="M262" s="5" t="b">
        <v>0</v>
      </c>
      <c r="N262" s="5" t="b">
        <v>1</v>
      </c>
      <c r="O262" s="5" t="b">
        <v>0</v>
      </c>
    </row>
    <row r="263" spans="1:15" ht="15.95" customHeight="1" x14ac:dyDescent="0.25">
      <c r="A263" s="8">
        <v>43500.807025462964</v>
      </c>
      <c r="B263" s="5" t="s">
        <v>2573</v>
      </c>
      <c r="C263" s="5" t="s">
        <v>3192</v>
      </c>
      <c r="D263" s="5" t="s">
        <v>3196</v>
      </c>
      <c r="E263" s="5" t="s">
        <v>2508</v>
      </c>
      <c r="F263" s="5">
        <v>3.32</v>
      </c>
      <c r="G263" s="5">
        <v>3.8</v>
      </c>
      <c r="H263" s="5">
        <v>3.9</v>
      </c>
      <c r="I263" s="5">
        <v>1</v>
      </c>
      <c r="J263" s="5" t="b">
        <v>0</v>
      </c>
      <c r="K263" s="5" t="b">
        <v>0</v>
      </c>
      <c r="L263" s="5" t="b">
        <v>0</v>
      </c>
      <c r="M263" s="5" t="b">
        <v>0</v>
      </c>
      <c r="N263" s="5" t="b">
        <v>1</v>
      </c>
      <c r="O263" s="5" t="b">
        <v>0</v>
      </c>
    </row>
    <row r="264" spans="1:15" ht="15.95" customHeight="1" x14ac:dyDescent="0.25">
      <c r="A264" s="8">
        <v>43500.814363425925</v>
      </c>
      <c r="B264" s="5" t="s">
        <v>2573</v>
      </c>
      <c r="C264" s="5" t="s">
        <v>3192</v>
      </c>
      <c r="D264" s="5" t="s">
        <v>3196</v>
      </c>
      <c r="E264" s="5" t="s">
        <v>2404</v>
      </c>
      <c r="F264" s="5">
        <v>3.32</v>
      </c>
      <c r="G264" s="5">
        <v>3.8</v>
      </c>
      <c r="H264" s="5">
        <v>3.9</v>
      </c>
      <c r="I264" s="5">
        <v>1</v>
      </c>
      <c r="J264" s="5" t="b">
        <v>0</v>
      </c>
      <c r="K264" s="5" t="b">
        <v>0</v>
      </c>
      <c r="L264" s="5" t="b">
        <v>0</v>
      </c>
      <c r="M264" s="5" t="b">
        <v>0</v>
      </c>
      <c r="N264" s="5" t="b">
        <v>1</v>
      </c>
      <c r="O264" s="5" t="b">
        <v>0</v>
      </c>
    </row>
    <row r="265" spans="1:15" ht="15.95" customHeight="1" x14ac:dyDescent="0.25">
      <c r="A265" s="8">
        <v>43500.817719907405</v>
      </c>
      <c r="B265" s="5" t="s">
        <v>2573</v>
      </c>
      <c r="C265" s="5" t="s">
        <v>3192</v>
      </c>
      <c r="D265" s="5" t="s">
        <v>3196</v>
      </c>
      <c r="E265" s="5" t="s">
        <v>2404</v>
      </c>
      <c r="F265" s="5">
        <v>3.32</v>
      </c>
      <c r="G265" s="5">
        <v>3.8</v>
      </c>
      <c r="H265" s="5">
        <v>3.9</v>
      </c>
      <c r="I265" s="5">
        <v>1</v>
      </c>
      <c r="J265" s="5" t="b">
        <v>0</v>
      </c>
      <c r="K265" s="5" t="b">
        <v>0</v>
      </c>
      <c r="L265" s="5" t="b">
        <v>0</v>
      </c>
      <c r="M265" s="5" t="b">
        <v>0</v>
      </c>
      <c r="N265" s="5" t="b">
        <v>1</v>
      </c>
      <c r="O265" s="5" t="b">
        <v>0</v>
      </c>
    </row>
    <row r="266" spans="1:15" ht="15.95" customHeight="1" x14ac:dyDescent="0.25">
      <c r="A266" s="8">
        <v>43500.818611111114</v>
      </c>
      <c r="B266" s="5" t="s">
        <v>2573</v>
      </c>
      <c r="C266" s="5" t="s">
        <v>3192</v>
      </c>
      <c r="D266" s="5" t="s">
        <v>3196</v>
      </c>
      <c r="E266" s="5" t="s">
        <v>2404</v>
      </c>
      <c r="F266" s="5">
        <v>3.32</v>
      </c>
      <c r="G266" s="5">
        <v>3.8</v>
      </c>
      <c r="H266" s="5">
        <v>3.9</v>
      </c>
      <c r="I266" s="5">
        <v>1</v>
      </c>
      <c r="J266" s="5" t="b">
        <v>0</v>
      </c>
      <c r="K266" s="5" t="b">
        <v>0</v>
      </c>
      <c r="L266" s="5" t="b">
        <v>0</v>
      </c>
      <c r="M266" s="5" t="b">
        <v>0</v>
      </c>
      <c r="N266" s="5" t="b">
        <v>1</v>
      </c>
      <c r="O266" s="5" t="b">
        <v>0</v>
      </c>
    </row>
    <row r="267" spans="1:15" ht="15.95" customHeight="1" x14ac:dyDescent="0.25">
      <c r="A267" s="8">
        <v>43500.819444444445</v>
      </c>
      <c r="B267" s="5" t="s">
        <v>2573</v>
      </c>
      <c r="C267" s="5" t="s">
        <v>3192</v>
      </c>
      <c r="D267" s="5" t="s">
        <v>3193</v>
      </c>
      <c r="E267" s="5">
        <v>0</v>
      </c>
      <c r="F267" s="5">
        <v>3.32</v>
      </c>
      <c r="G267" s="5">
        <v>3.8</v>
      </c>
      <c r="H267" s="5">
        <v>3.9</v>
      </c>
      <c r="I267" s="5">
        <v>1</v>
      </c>
      <c r="J267" s="5" t="b">
        <v>0</v>
      </c>
      <c r="K267" s="5" t="b">
        <v>0</v>
      </c>
      <c r="L267" s="5" t="b">
        <v>0</v>
      </c>
      <c r="M267" s="5" t="b">
        <v>0</v>
      </c>
      <c r="N267" s="5" t="b">
        <v>1</v>
      </c>
      <c r="O267" s="5" t="b">
        <v>0</v>
      </c>
    </row>
    <row r="268" spans="1:15" ht="15.95" customHeight="1" x14ac:dyDescent="0.25">
      <c r="A268" s="8">
        <v>43500.819479166668</v>
      </c>
      <c r="B268" s="5" t="s">
        <v>2573</v>
      </c>
      <c r="C268" s="5" t="s">
        <v>3191</v>
      </c>
      <c r="D268" s="5"/>
      <c r="E268" s="5" t="s">
        <v>2404</v>
      </c>
      <c r="F268" s="5">
        <v>3.32</v>
      </c>
      <c r="G268" s="5">
        <v>3.8</v>
      </c>
      <c r="H268" s="5">
        <v>3.9</v>
      </c>
      <c r="I268" s="5">
        <v>1</v>
      </c>
      <c r="J268" s="5" t="b">
        <v>0</v>
      </c>
      <c r="K268" s="5" t="b">
        <v>0</v>
      </c>
      <c r="L268" s="5" t="b">
        <v>0</v>
      </c>
      <c r="M268" s="5" t="b">
        <v>0</v>
      </c>
      <c r="N268" s="5" t="b">
        <v>1</v>
      </c>
      <c r="O268" s="5" t="b">
        <v>0</v>
      </c>
    </row>
    <row r="269" spans="1:15" ht="15.95" customHeight="1" x14ac:dyDescent="0.25">
      <c r="A269" s="8">
        <v>43500.821655092594</v>
      </c>
      <c r="B269" s="5" t="s">
        <v>2573</v>
      </c>
      <c r="C269" s="5" t="s">
        <v>3192</v>
      </c>
      <c r="D269" s="5" t="s">
        <v>3193</v>
      </c>
      <c r="E269" s="5">
        <v>0</v>
      </c>
      <c r="F269" s="5">
        <v>3.32</v>
      </c>
      <c r="G269" s="5">
        <v>3.8</v>
      </c>
      <c r="H269" s="5">
        <v>3.9</v>
      </c>
      <c r="I269" s="5">
        <v>1</v>
      </c>
      <c r="J269" s="5" t="b">
        <v>0</v>
      </c>
      <c r="K269" s="5" t="b">
        <v>0</v>
      </c>
      <c r="L269" s="5" t="b">
        <v>0</v>
      </c>
      <c r="M269" s="5" t="b">
        <v>0</v>
      </c>
      <c r="N269" s="5" t="b">
        <v>1</v>
      </c>
      <c r="O269" s="5" t="b">
        <v>0</v>
      </c>
    </row>
    <row r="270" spans="1:15" ht="15.95" customHeight="1" x14ac:dyDescent="0.25">
      <c r="A270" s="8">
        <v>43500.82167824074</v>
      </c>
      <c r="B270" s="5" t="s">
        <v>2573</v>
      </c>
      <c r="C270" s="5" t="s">
        <v>3191</v>
      </c>
      <c r="D270" s="5"/>
      <c r="E270" s="5" t="s">
        <v>2404</v>
      </c>
      <c r="F270" s="5">
        <v>3.32</v>
      </c>
      <c r="G270" s="5">
        <v>3.8</v>
      </c>
      <c r="H270" s="5">
        <v>3.9</v>
      </c>
      <c r="I270" s="5">
        <v>1</v>
      </c>
      <c r="J270" s="5" t="b">
        <v>0</v>
      </c>
      <c r="K270" s="5" t="b">
        <v>0</v>
      </c>
      <c r="L270" s="5" t="b">
        <v>0</v>
      </c>
      <c r="M270" s="5" t="b">
        <v>0</v>
      </c>
      <c r="N270" s="5" t="b">
        <v>1</v>
      </c>
      <c r="O270" s="5" t="b">
        <v>0</v>
      </c>
    </row>
    <row r="271" spans="1:15" ht="15.95" customHeight="1" x14ac:dyDescent="0.25">
      <c r="A271" s="8">
        <v>43500.822152777779</v>
      </c>
      <c r="B271" s="5" t="s">
        <v>2573</v>
      </c>
      <c r="C271" s="5" t="s">
        <v>3192</v>
      </c>
      <c r="D271" s="5" t="s">
        <v>3193</v>
      </c>
      <c r="E271" s="5">
        <v>0</v>
      </c>
      <c r="F271" s="5">
        <v>3.32</v>
      </c>
      <c r="G271" s="5">
        <v>3.8</v>
      </c>
      <c r="H271" s="5">
        <v>3.9</v>
      </c>
      <c r="I271" s="5">
        <v>1</v>
      </c>
      <c r="J271" s="5" t="b">
        <v>0</v>
      </c>
      <c r="K271" s="5" t="b">
        <v>0</v>
      </c>
      <c r="L271" s="5" t="b">
        <v>0</v>
      </c>
      <c r="M271" s="5" t="b">
        <v>1</v>
      </c>
      <c r="N271" s="5" t="b">
        <v>1</v>
      </c>
      <c r="O271" s="5" t="b">
        <v>0</v>
      </c>
    </row>
    <row r="272" spans="1:15" ht="15.95" customHeight="1" x14ac:dyDescent="0.25">
      <c r="A272" s="8">
        <v>43500.822175925925</v>
      </c>
      <c r="B272" s="5" t="s">
        <v>2573</v>
      </c>
      <c r="C272" s="5" t="s">
        <v>3191</v>
      </c>
      <c r="D272" s="5"/>
      <c r="E272" s="5" t="s">
        <v>2404</v>
      </c>
      <c r="F272" s="5">
        <v>3.32</v>
      </c>
      <c r="G272" s="5">
        <v>3.8</v>
      </c>
      <c r="H272" s="5">
        <v>3.9</v>
      </c>
      <c r="I272" s="5">
        <v>1</v>
      </c>
      <c r="J272" s="5" t="b">
        <v>0</v>
      </c>
      <c r="K272" s="5" t="b">
        <v>0</v>
      </c>
      <c r="L272" s="5" t="b">
        <v>0</v>
      </c>
      <c r="M272" s="5" t="b">
        <v>1</v>
      </c>
      <c r="N272" s="5" t="b">
        <v>1</v>
      </c>
      <c r="O272" s="5" t="b">
        <v>0</v>
      </c>
    </row>
    <row r="273" spans="1:15" ht="15.95" customHeight="1" x14ac:dyDescent="0.25">
      <c r="A273" s="8">
        <v>43500.824374999997</v>
      </c>
      <c r="B273" s="5" t="s">
        <v>2573</v>
      </c>
      <c r="C273" s="5" t="s">
        <v>3192</v>
      </c>
      <c r="D273" s="5" t="s">
        <v>3193</v>
      </c>
      <c r="E273" s="5">
        <v>0</v>
      </c>
      <c r="F273" s="5">
        <v>3.32</v>
      </c>
      <c r="G273" s="5">
        <v>3.8</v>
      </c>
      <c r="H273" s="5">
        <v>3.9</v>
      </c>
      <c r="I273" s="5">
        <v>1</v>
      </c>
      <c r="J273" s="5" t="b">
        <v>0</v>
      </c>
      <c r="K273" s="5" t="b">
        <v>0</v>
      </c>
      <c r="L273" s="5" t="b">
        <v>0</v>
      </c>
      <c r="M273" s="5" t="b">
        <v>1</v>
      </c>
      <c r="N273" s="5" t="b">
        <v>1</v>
      </c>
      <c r="O273" s="5" t="b">
        <v>0</v>
      </c>
    </row>
    <row r="274" spans="1:15" ht="15.95" customHeight="1" x14ac:dyDescent="0.25">
      <c r="A274" s="8">
        <v>43500.82439814815</v>
      </c>
      <c r="B274" s="5" t="s">
        <v>2573</v>
      </c>
      <c r="C274" s="5" t="s">
        <v>3191</v>
      </c>
      <c r="D274" s="5"/>
      <c r="E274" s="5" t="s">
        <v>2404</v>
      </c>
      <c r="F274" s="5">
        <v>3.32</v>
      </c>
      <c r="G274" s="5">
        <v>3.8</v>
      </c>
      <c r="H274" s="5">
        <v>3.9</v>
      </c>
      <c r="I274" s="5">
        <v>1</v>
      </c>
      <c r="J274" s="5" t="b">
        <v>0</v>
      </c>
      <c r="K274" s="5" t="b">
        <v>0</v>
      </c>
      <c r="L274" s="5" t="b">
        <v>0</v>
      </c>
      <c r="M274" s="5" t="b">
        <v>1</v>
      </c>
      <c r="N274" s="5" t="b">
        <v>1</v>
      </c>
      <c r="O274" s="5" t="b">
        <v>0</v>
      </c>
    </row>
    <row r="275" spans="1:15" ht="15.95" customHeight="1" x14ac:dyDescent="0.25">
      <c r="A275" s="8">
        <v>43500.826736111114</v>
      </c>
      <c r="B275" s="5" t="s">
        <v>2573</v>
      </c>
      <c r="C275" s="5" t="s">
        <v>3192</v>
      </c>
      <c r="D275" s="5" t="s">
        <v>3193</v>
      </c>
      <c r="E275" s="5">
        <v>0</v>
      </c>
      <c r="F275" s="5">
        <v>3.32</v>
      </c>
      <c r="G275" s="5">
        <v>3.8</v>
      </c>
      <c r="H275" s="5">
        <v>3.9</v>
      </c>
      <c r="I275" s="5">
        <v>1</v>
      </c>
      <c r="J275" s="5" t="b">
        <v>0</v>
      </c>
      <c r="K275" s="5" t="b">
        <v>0</v>
      </c>
      <c r="L275" s="5" t="b">
        <v>0</v>
      </c>
      <c r="M275" s="5" t="b">
        <v>0</v>
      </c>
      <c r="N275" s="5" t="b">
        <v>1</v>
      </c>
      <c r="O275" s="5" t="b">
        <v>0</v>
      </c>
    </row>
    <row r="276" spans="1:15" ht="15.95" customHeight="1" x14ac:dyDescent="0.25">
      <c r="A276" s="8">
        <v>43500.826770833337</v>
      </c>
      <c r="B276" s="5" t="s">
        <v>2573</v>
      </c>
      <c r="C276" s="5" t="s">
        <v>3191</v>
      </c>
      <c r="D276" s="5"/>
      <c r="E276" s="5" t="s">
        <v>2404</v>
      </c>
      <c r="F276" s="5">
        <v>3.32</v>
      </c>
      <c r="G276" s="5">
        <v>3.8</v>
      </c>
      <c r="H276" s="5">
        <v>3.9</v>
      </c>
      <c r="I276" s="5">
        <v>1</v>
      </c>
      <c r="J276" s="5" t="b">
        <v>0</v>
      </c>
      <c r="K276" s="5" t="b">
        <v>0</v>
      </c>
      <c r="L276" s="5" t="b">
        <v>0</v>
      </c>
      <c r="M276" s="5" t="b">
        <v>0</v>
      </c>
      <c r="N276" s="5" t="b">
        <v>1</v>
      </c>
      <c r="O276" s="5" t="b">
        <v>0</v>
      </c>
    </row>
    <row r="277" spans="1:15" ht="15.95" customHeight="1" x14ac:dyDescent="0.25">
      <c r="A277" s="8">
        <v>43500.827581018515</v>
      </c>
      <c r="B277" s="5" t="s">
        <v>2573</v>
      </c>
      <c r="C277" s="5" t="s">
        <v>3192</v>
      </c>
      <c r="D277" s="5" t="s">
        <v>3193</v>
      </c>
      <c r="E277" s="5">
        <v>0</v>
      </c>
      <c r="F277" s="5">
        <v>3.32</v>
      </c>
      <c r="G277" s="5">
        <v>3.8</v>
      </c>
      <c r="H277" s="5">
        <v>3.9</v>
      </c>
      <c r="I277" s="5">
        <v>1</v>
      </c>
      <c r="J277" s="5" t="b">
        <v>0</v>
      </c>
      <c r="K277" s="5" t="b">
        <v>0</v>
      </c>
      <c r="L277" s="5" t="b">
        <v>0</v>
      </c>
      <c r="M277" s="5" t="b">
        <v>0</v>
      </c>
      <c r="N277" s="5" t="b">
        <v>1</v>
      </c>
      <c r="O277" s="5" t="b">
        <v>0</v>
      </c>
    </row>
    <row r="278" spans="1:15" ht="15.95" customHeight="1" x14ac:dyDescent="0.25">
      <c r="A278" s="8">
        <v>43500.827615740738</v>
      </c>
      <c r="B278" s="5" t="s">
        <v>2573</v>
      </c>
      <c r="C278" s="5" t="s">
        <v>3191</v>
      </c>
      <c r="D278" s="5"/>
      <c r="E278" s="5" t="s">
        <v>2404</v>
      </c>
      <c r="F278" s="5">
        <v>3.32</v>
      </c>
      <c r="G278" s="5">
        <v>3.8</v>
      </c>
      <c r="H278" s="5">
        <v>3.9</v>
      </c>
      <c r="I278" s="5">
        <v>1</v>
      </c>
      <c r="J278" s="5" t="b">
        <v>0</v>
      </c>
      <c r="K278" s="5" t="b">
        <v>0</v>
      </c>
      <c r="L278" s="5" t="b">
        <v>0</v>
      </c>
      <c r="M278" s="5" t="b">
        <v>0</v>
      </c>
      <c r="N278" s="5" t="b">
        <v>1</v>
      </c>
      <c r="O278" s="5" t="b">
        <v>0</v>
      </c>
    </row>
    <row r="279" spans="1:15" ht="15.95" customHeight="1" x14ac:dyDescent="0.25">
      <c r="A279" s="8">
        <v>43500.828310185185</v>
      </c>
      <c r="B279" s="5" t="s">
        <v>2573</v>
      </c>
      <c r="C279" s="5" t="s">
        <v>3192</v>
      </c>
      <c r="D279" s="5" t="s">
        <v>3193</v>
      </c>
      <c r="E279" s="5">
        <v>0</v>
      </c>
      <c r="F279" s="5">
        <v>3.32</v>
      </c>
      <c r="G279" s="5">
        <v>3.8</v>
      </c>
      <c r="H279" s="5">
        <v>3.9</v>
      </c>
      <c r="I279" s="5">
        <v>1</v>
      </c>
      <c r="J279" s="5" t="b">
        <v>0</v>
      </c>
      <c r="K279" s="5" t="b">
        <v>0</v>
      </c>
      <c r="L279" s="5" t="b">
        <v>0</v>
      </c>
      <c r="M279" s="5" t="b">
        <v>0</v>
      </c>
      <c r="N279" s="5" t="b">
        <v>1</v>
      </c>
      <c r="O279" s="5" t="b">
        <v>0</v>
      </c>
    </row>
    <row r="280" spans="1:15" ht="15.95" customHeight="1" x14ac:dyDescent="0.25">
      <c r="A280" s="8">
        <v>43500.828333333331</v>
      </c>
      <c r="B280" s="5" t="s">
        <v>2573</v>
      </c>
      <c r="C280" s="5" t="s">
        <v>3191</v>
      </c>
      <c r="D280" s="5"/>
      <c r="E280" s="5" t="s">
        <v>2404</v>
      </c>
      <c r="F280" s="5">
        <v>3.32</v>
      </c>
      <c r="G280" s="5">
        <v>3.8</v>
      </c>
      <c r="H280" s="5">
        <v>3.9</v>
      </c>
      <c r="I280" s="5">
        <v>1</v>
      </c>
      <c r="J280" s="5" t="b">
        <v>0</v>
      </c>
      <c r="K280" s="5" t="b">
        <v>0</v>
      </c>
      <c r="L280" s="5" t="b">
        <v>0</v>
      </c>
      <c r="M280" s="5" t="b">
        <v>0</v>
      </c>
      <c r="N280" s="5" t="b">
        <v>1</v>
      </c>
      <c r="O280" s="5" t="b">
        <v>0</v>
      </c>
    </row>
    <row r="281" spans="1:15" ht="15.95" customHeight="1" x14ac:dyDescent="0.25">
      <c r="A281" s="8">
        <v>43500.830960648149</v>
      </c>
      <c r="B281" s="5" t="s">
        <v>2573</v>
      </c>
      <c r="C281" s="5" t="s">
        <v>3192</v>
      </c>
      <c r="D281" s="5" t="s">
        <v>3193</v>
      </c>
      <c r="E281" s="5">
        <v>0</v>
      </c>
      <c r="F281" s="5">
        <v>3.32</v>
      </c>
      <c r="G281" s="5">
        <v>3.8</v>
      </c>
      <c r="H281" s="5">
        <v>3.9</v>
      </c>
      <c r="I281" s="5">
        <v>1</v>
      </c>
      <c r="J281" s="5" t="b">
        <v>0</v>
      </c>
      <c r="K281" s="5" t="b">
        <v>0</v>
      </c>
      <c r="L281" s="5" t="b">
        <v>0</v>
      </c>
      <c r="M281" s="5" t="b">
        <v>0</v>
      </c>
      <c r="N281" s="5" t="b">
        <v>1</v>
      </c>
      <c r="O281" s="5" t="b">
        <v>0</v>
      </c>
    </row>
    <row r="282" spans="1:15" ht="15.95" customHeight="1" x14ac:dyDescent="0.25">
      <c r="A282" s="8">
        <v>43500.830983796295</v>
      </c>
      <c r="B282" s="5" t="s">
        <v>2573</v>
      </c>
      <c r="C282" s="5" t="s">
        <v>3191</v>
      </c>
      <c r="D282" s="5"/>
      <c r="E282" s="5" t="s">
        <v>2404</v>
      </c>
      <c r="F282" s="5">
        <v>3.32</v>
      </c>
      <c r="G282" s="5">
        <v>3.8</v>
      </c>
      <c r="H282" s="5">
        <v>3.9</v>
      </c>
      <c r="I282" s="5">
        <v>1</v>
      </c>
      <c r="J282" s="5" t="b">
        <v>0</v>
      </c>
      <c r="K282" s="5" t="b">
        <v>0</v>
      </c>
      <c r="L282" s="5" t="b">
        <v>0</v>
      </c>
      <c r="M282" s="5" t="b">
        <v>0</v>
      </c>
      <c r="N282" s="5" t="b">
        <v>1</v>
      </c>
      <c r="O282" s="5" t="b">
        <v>0</v>
      </c>
    </row>
    <row r="283" spans="1:15" ht="15.95" customHeight="1" x14ac:dyDescent="0.25">
      <c r="A283" s="8">
        <v>43500.833020833335</v>
      </c>
      <c r="B283" s="5" t="s">
        <v>2573</v>
      </c>
      <c r="C283" s="5" t="s">
        <v>3192</v>
      </c>
      <c r="D283" s="5" t="s">
        <v>3193</v>
      </c>
      <c r="E283" s="5">
        <v>0</v>
      </c>
      <c r="F283" s="5">
        <v>3.32</v>
      </c>
      <c r="G283" s="5">
        <v>3.8</v>
      </c>
      <c r="H283" s="5">
        <v>3.9</v>
      </c>
      <c r="I283" s="5">
        <v>1</v>
      </c>
      <c r="J283" s="5" t="b">
        <v>0</v>
      </c>
      <c r="K283" s="5" t="b">
        <v>0</v>
      </c>
      <c r="L283" s="5" t="b">
        <v>0</v>
      </c>
      <c r="M283" s="5" t="b">
        <v>0</v>
      </c>
      <c r="N283" s="5" t="b">
        <v>1</v>
      </c>
      <c r="O283" s="5" t="b">
        <v>0</v>
      </c>
    </row>
    <row r="284" spans="1:15" ht="15.95" customHeight="1" x14ac:dyDescent="0.25">
      <c r="A284" s="8">
        <v>43500.833043981482</v>
      </c>
      <c r="B284" s="5" t="s">
        <v>2573</v>
      </c>
      <c r="C284" s="5" t="s">
        <v>3191</v>
      </c>
      <c r="D284" s="5"/>
      <c r="E284" s="5" t="s">
        <v>2404</v>
      </c>
      <c r="F284" s="5">
        <v>3.32</v>
      </c>
      <c r="G284" s="5">
        <v>3.8</v>
      </c>
      <c r="H284" s="5">
        <v>3.9</v>
      </c>
      <c r="I284" s="5">
        <v>1</v>
      </c>
      <c r="J284" s="5" t="b">
        <v>0</v>
      </c>
      <c r="K284" s="5" t="b">
        <v>0</v>
      </c>
      <c r="L284" s="5" t="b">
        <v>0</v>
      </c>
      <c r="M284" s="5" t="b">
        <v>0</v>
      </c>
      <c r="N284" s="5" t="b">
        <v>1</v>
      </c>
      <c r="O284" s="5" t="b">
        <v>0</v>
      </c>
    </row>
    <row r="285" spans="1:15" ht="15.95" customHeight="1" x14ac:dyDescent="0.25">
      <c r="A285" s="8">
        <v>43500.833553240744</v>
      </c>
      <c r="B285" s="5" t="s">
        <v>2573</v>
      </c>
      <c r="C285" s="5" t="s">
        <v>3192</v>
      </c>
      <c r="D285" s="5" t="s">
        <v>3193</v>
      </c>
      <c r="E285" s="5">
        <v>0</v>
      </c>
      <c r="F285" s="5">
        <v>3.32</v>
      </c>
      <c r="G285" s="5">
        <v>3.8</v>
      </c>
      <c r="H285" s="5">
        <v>3.9</v>
      </c>
      <c r="I285" s="5">
        <v>1</v>
      </c>
      <c r="J285" s="5" t="b">
        <v>0</v>
      </c>
      <c r="K285" s="5" t="b">
        <v>0</v>
      </c>
      <c r="L285" s="5" t="b">
        <v>0</v>
      </c>
      <c r="M285" s="5" t="b">
        <v>0</v>
      </c>
      <c r="N285" s="5" t="b">
        <v>1</v>
      </c>
      <c r="O285" s="5" t="b">
        <v>0</v>
      </c>
    </row>
    <row r="286" spans="1:15" ht="15.95" customHeight="1" x14ac:dyDescent="0.25">
      <c r="A286" s="8">
        <v>43500.833587962959</v>
      </c>
      <c r="B286" s="5" t="s">
        <v>2573</v>
      </c>
      <c r="C286" s="5" t="s">
        <v>3191</v>
      </c>
      <c r="D286" s="5"/>
      <c r="E286" s="5" t="s">
        <v>2404</v>
      </c>
      <c r="F286" s="5">
        <v>3.32</v>
      </c>
      <c r="G286" s="5">
        <v>3.8</v>
      </c>
      <c r="H286" s="5">
        <v>3.9</v>
      </c>
      <c r="I286" s="5">
        <v>1</v>
      </c>
      <c r="J286" s="5" t="b">
        <v>0</v>
      </c>
      <c r="K286" s="5" t="b">
        <v>0</v>
      </c>
      <c r="L286" s="5" t="b">
        <v>0</v>
      </c>
      <c r="M286" s="5" t="b">
        <v>0</v>
      </c>
      <c r="N286" s="5" t="b">
        <v>1</v>
      </c>
      <c r="O286" s="5" t="b">
        <v>0</v>
      </c>
    </row>
    <row r="287" spans="1:15" ht="15.95" customHeight="1" x14ac:dyDescent="0.25">
      <c r="A287" s="8">
        <v>43500.836354166669</v>
      </c>
      <c r="B287" s="5" t="s">
        <v>2573</v>
      </c>
      <c r="C287" s="5" t="s">
        <v>3192</v>
      </c>
      <c r="D287" s="5" t="s">
        <v>3193</v>
      </c>
      <c r="E287" s="5">
        <v>0</v>
      </c>
      <c r="F287" s="5">
        <v>3.32</v>
      </c>
      <c r="G287" s="5">
        <v>3.8</v>
      </c>
      <c r="H287" s="5">
        <v>3.9</v>
      </c>
      <c r="I287" s="5">
        <v>1</v>
      </c>
      <c r="J287" s="5" t="b">
        <v>0</v>
      </c>
      <c r="K287" s="5" t="b">
        <v>0</v>
      </c>
      <c r="L287" s="5" t="b">
        <v>0</v>
      </c>
      <c r="M287" s="5" t="b">
        <v>0</v>
      </c>
      <c r="N287" s="5" t="b">
        <v>1</v>
      </c>
      <c r="O287" s="5" t="b">
        <v>0</v>
      </c>
    </row>
    <row r="288" spans="1:15" ht="15.95" customHeight="1" x14ac:dyDescent="0.25">
      <c r="A288" s="8">
        <v>43500.836377314816</v>
      </c>
      <c r="B288" s="5" t="s">
        <v>2573</v>
      </c>
      <c r="C288" s="5" t="s">
        <v>3191</v>
      </c>
      <c r="D288" s="5"/>
      <c r="E288" s="5" t="s">
        <v>2404</v>
      </c>
      <c r="F288" s="5">
        <v>3.32</v>
      </c>
      <c r="G288" s="5">
        <v>3.8</v>
      </c>
      <c r="H288" s="5">
        <v>3.9</v>
      </c>
      <c r="I288" s="5">
        <v>1</v>
      </c>
      <c r="J288" s="5" t="b">
        <v>0</v>
      </c>
      <c r="K288" s="5" t="b">
        <v>0</v>
      </c>
      <c r="L288" s="5" t="b">
        <v>0</v>
      </c>
      <c r="M288" s="5" t="b">
        <v>0</v>
      </c>
      <c r="N288" s="5" t="b">
        <v>1</v>
      </c>
      <c r="O288" s="5" t="b">
        <v>0</v>
      </c>
    </row>
    <row r="289" spans="1:15" ht="15.95" customHeight="1" x14ac:dyDescent="0.25">
      <c r="A289" s="8">
        <v>43500.838252314818</v>
      </c>
      <c r="B289" s="5" t="s">
        <v>2573</v>
      </c>
      <c r="C289" s="5" t="s">
        <v>3192</v>
      </c>
      <c r="D289" s="5" t="s">
        <v>3193</v>
      </c>
      <c r="E289" s="5">
        <v>0</v>
      </c>
      <c r="F289" s="5">
        <v>3.32</v>
      </c>
      <c r="G289" s="5">
        <v>3.8</v>
      </c>
      <c r="H289" s="5">
        <v>3.9</v>
      </c>
      <c r="I289" s="5">
        <v>1</v>
      </c>
      <c r="J289" s="5" t="b">
        <v>0</v>
      </c>
      <c r="K289" s="5" t="b">
        <v>0</v>
      </c>
      <c r="L289" s="5" t="b">
        <v>0</v>
      </c>
      <c r="M289" s="5" t="b">
        <v>0</v>
      </c>
      <c r="N289" s="5" t="b">
        <v>1</v>
      </c>
      <c r="O289" s="5" t="b">
        <v>0</v>
      </c>
    </row>
    <row r="290" spans="1:15" ht="15.95" customHeight="1" x14ac:dyDescent="0.25">
      <c r="A290" s="8">
        <v>43500.83834490741</v>
      </c>
      <c r="B290" s="5" t="s">
        <v>2573</v>
      </c>
      <c r="C290" s="5" t="s">
        <v>3191</v>
      </c>
      <c r="D290" s="5"/>
      <c r="E290" s="5" t="s">
        <v>2404</v>
      </c>
      <c r="F290" s="5">
        <v>3.32</v>
      </c>
      <c r="G290" s="5">
        <v>3.8</v>
      </c>
      <c r="H290" s="5">
        <v>3.9</v>
      </c>
      <c r="I290" s="5">
        <v>1</v>
      </c>
      <c r="J290" s="5" t="b">
        <v>0</v>
      </c>
      <c r="K290" s="5" t="b">
        <v>0</v>
      </c>
      <c r="L290" s="5" t="b">
        <v>0</v>
      </c>
      <c r="M290" s="5" t="b">
        <v>0</v>
      </c>
      <c r="N290" s="5" t="b">
        <v>1</v>
      </c>
      <c r="O290" s="5" t="b">
        <v>0</v>
      </c>
    </row>
    <row r="291" spans="1:15" ht="15.95" customHeight="1" x14ac:dyDescent="0.25">
      <c r="A291" s="8">
        <v>43500.840300925927</v>
      </c>
      <c r="B291" s="5" t="s">
        <v>2573</v>
      </c>
      <c r="C291" s="5" t="s">
        <v>3192</v>
      </c>
      <c r="D291" s="5" t="s">
        <v>3193</v>
      </c>
      <c r="E291" s="5">
        <v>0</v>
      </c>
      <c r="F291" s="5">
        <v>3.32</v>
      </c>
      <c r="G291" s="5">
        <v>3.8</v>
      </c>
      <c r="H291" s="5">
        <v>3.9</v>
      </c>
      <c r="I291" s="5">
        <v>1</v>
      </c>
      <c r="J291" s="5" t="b">
        <v>0</v>
      </c>
      <c r="K291" s="5" t="b">
        <v>0</v>
      </c>
      <c r="L291" s="5" t="b">
        <v>0</v>
      </c>
      <c r="M291" s="5" t="b">
        <v>0</v>
      </c>
      <c r="N291" s="5" t="b">
        <v>1</v>
      </c>
      <c r="O291" s="5" t="b">
        <v>0</v>
      </c>
    </row>
    <row r="292" spans="1:15" ht="15.95" customHeight="1" x14ac:dyDescent="0.25">
      <c r="A292" s="8">
        <v>43500.840324074074</v>
      </c>
      <c r="B292" s="5" t="s">
        <v>2573</v>
      </c>
      <c r="C292" s="5" t="s">
        <v>3191</v>
      </c>
      <c r="D292" s="5"/>
      <c r="E292" s="5" t="s">
        <v>2404</v>
      </c>
      <c r="F292" s="5">
        <v>3.32</v>
      </c>
      <c r="G292" s="5">
        <v>3.8</v>
      </c>
      <c r="H292" s="5">
        <v>3.9</v>
      </c>
      <c r="I292" s="5">
        <v>1</v>
      </c>
      <c r="J292" s="5" t="b">
        <v>0</v>
      </c>
      <c r="K292" s="5" t="b">
        <v>0</v>
      </c>
      <c r="L292" s="5" t="b">
        <v>0</v>
      </c>
      <c r="M292" s="5" t="b">
        <v>0</v>
      </c>
      <c r="N292" s="5" t="b">
        <v>1</v>
      </c>
      <c r="O292" s="5" t="b">
        <v>0</v>
      </c>
    </row>
    <row r="293" spans="1:15" ht="15.95" customHeight="1" x14ac:dyDescent="0.25">
      <c r="A293" s="8">
        <v>43500.841215277775</v>
      </c>
      <c r="B293" s="5" t="s">
        <v>2573</v>
      </c>
      <c r="C293" s="5" t="s">
        <v>3192</v>
      </c>
      <c r="D293" s="5" t="s">
        <v>3193</v>
      </c>
      <c r="E293" s="5">
        <v>0</v>
      </c>
      <c r="F293" s="5">
        <v>3.32</v>
      </c>
      <c r="G293" s="5">
        <v>3.8</v>
      </c>
      <c r="H293" s="5">
        <v>3.9</v>
      </c>
      <c r="I293" s="5">
        <v>1</v>
      </c>
      <c r="J293" s="5" t="b">
        <v>0</v>
      </c>
      <c r="K293" s="5" t="b">
        <v>0</v>
      </c>
      <c r="L293" s="5" t="b">
        <v>0</v>
      </c>
      <c r="M293" s="5" t="b">
        <v>0</v>
      </c>
      <c r="N293" s="5" t="b">
        <v>1</v>
      </c>
      <c r="O293" s="5" t="b">
        <v>0</v>
      </c>
    </row>
    <row r="294" spans="1:15" ht="15.95" customHeight="1" x14ac:dyDescent="0.25">
      <c r="A294" s="8">
        <v>43500.843009259261</v>
      </c>
      <c r="B294" s="5" t="s">
        <v>2573</v>
      </c>
      <c r="C294" s="5" t="s">
        <v>3192</v>
      </c>
      <c r="D294" s="5" t="s">
        <v>3193</v>
      </c>
      <c r="E294" s="5">
        <v>0</v>
      </c>
      <c r="F294" s="5">
        <v>3.32</v>
      </c>
      <c r="G294" s="5">
        <v>3.8</v>
      </c>
      <c r="H294" s="5">
        <v>3.9</v>
      </c>
      <c r="I294" s="5">
        <v>1</v>
      </c>
      <c r="J294" s="5" t="b">
        <v>0</v>
      </c>
      <c r="K294" s="5" t="b">
        <v>0</v>
      </c>
      <c r="L294" s="5" t="b">
        <v>0</v>
      </c>
      <c r="M294" s="5" t="b">
        <v>0</v>
      </c>
      <c r="N294" s="5" t="b">
        <v>1</v>
      </c>
      <c r="O294" s="5" t="b">
        <v>0</v>
      </c>
    </row>
    <row r="295" spans="1:15" ht="15.95" customHeight="1" x14ac:dyDescent="0.25">
      <c r="A295" s="8">
        <v>43500.843055555553</v>
      </c>
      <c r="B295" s="5" t="s">
        <v>2573</v>
      </c>
      <c r="C295" s="5" t="s">
        <v>3191</v>
      </c>
      <c r="D295" s="5"/>
      <c r="E295" s="5" t="s">
        <v>2404</v>
      </c>
      <c r="F295" s="5">
        <v>3.32</v>
      </c>
      <c r="G295" s="5">
        <v>3.8</v>
      </c>
      <c r="H295" s="5">
        <v>3.9</v>
      </c>
      <c r="I295" s="5">
        <v>1</v>
      </c>
      <c r="J295" s="5" t="b">
        <v>0</v>
      </c>
      <c r="K295" s="5" t="b">
        <v>0</v>
      </c>
      <c r="L295" s="5" t="b">
        <v>0</v>
      </c>
      <c r="M295" s="5" t="b">
        <v>0</v>
      </c>
      <c r="N295" s="5" t="b">
        <v>1</v>
      </c>
      <c r="O295" s="5" t="b">
        <v>0</v>
      </c>
    </row>
    <row r="296" spans="1:15" ht="15.95" customHeight="1" x14ac:dyDescent="0.25">
      <c r="A296" s="8">
        <v>43500.843310185184</v>
      </c>
      <c r="B296" s="5" t="s">
        <v>2573</v>
      </c>
      <c r="C296" s="5" t="s">
        <v>3192</v>
      </c>
      <c r="D296" s="5" t="s">
        <v>3193</v>
      </c>
      <c r="E296" s="5">
        <v>0</v>
      </c>
      <c r="F296" s="5">
        <v>3.32</v>
      </c>
      <c r="G296" s="5">
        <v>3.8</v>
      </c>
      <c r="H296" s="5">
        <v>3.9</v>
      </c>
      <c r="I296" s="5">
        <v>1</v>
      </c>
      <c r="J296" s="5" t="b">
        <v>0</v>
      </c>
      <c r="K296" s="5" t="b">
        <v>0</v>
      </c>
      <c r="L296" s="5" t="b">
        <v>0</v>
      </c>
      <c r="M296" s="5" t="b">
        <v>0</v>
      </c>
      <c r="N296" s="5" t="b">
        <v>1</v>
      </c>
      <c r="O296" s="5" t="b">
        <v>0</v>
      </c>
    </row>
    <row r="297" spans="1:15" ht="15.95" customHeight="1" x14ac:dyDescent="0.25">
      <c r="A297" s="8">
        <v>43500.844143518516</v>
      </c>
      <c r="B297" s="5" t="s">
        <v>2573</v>
      </c>
      <c r="C297" s="5" t="s">
        <v>3192</v>
      </c>
      <c r="D297" s="5" t="s">
        <v>3193</v>
      </c>
      <c r="E297" s="5">
        <v>0</v>
      </c>
      <c r="F297" s="5">
        <v>3.32</v>
      </c>
      <c r="G297" s="5">
        <v>3.8</v>
      </c>
      <c r="H297" s="5">
        <v>3.9</v>
      </c>
      <c r="I297" s="5">
        <v>1</v>
      </c>
      <c r="J297" s="5" t="b">
        <v>0</v>
      </c>
      <c r="K297" s="5" t="b">
        <v>0</v>
      </c>
      <c r="L297" s="5" t="b">
        <v>0</v>
      </c>
      <c r="M297" s="5" t="b">
        <v>0</v>
      </c>
      <c r="N297" s="5" t="b">
        <v>1</v>
      </c>
      <c r="O297" s="5" t="b">
        <v>0</v>
      </c>
    </row>
    <row r="298" spans="1:15" ht="15.95" customHeight="1" x14ac:dyDescent="0.25">
      <c r="A298" s="8">
        <v>43500.844178240739</v>
      </c>
      <c r="B298" s="5" t="s">
        <v>2573</v>
      </c>
      <c r="C298" s="5" t="s">
        <v>3191</v>
      </c>
      <c r="D298" s="5"/>
      <c r="E298" s="5" t="s">
        <v>2404</v>
      </c>
      <c r="F298" s="5">
        <v>3.32</v>
      </c>
      <c r="G298" s="5">
        <v>3.8</v>
      </c>
      <c r="H298" s="5">
        <v>3.9</v>
      </c>
      <c r="I298" s="5">
        <v>1</v>
      </c>
      <c r="J298" s="5" t="b">
        <v>0</v>
      </c>
      <c r="K298" s="5" t="b">
        <v>0</v>
      </c>
      <c r="L298" s="5" t="b">
        <v>0</v>
      </c>
      <c r="M298" s="5" t="b">
        <v>0</v>
      </c>
      <c r="N298" s="5" t="b">
        <v>1</v>
      </c>
      <c r="O298" s="5" t="b">
        <v>0</v>
      </c>
    </row>
    <row r="299" spans="1:15" ht="15.95" customHeight="1" x14ac:dyDescent="0.25">
      <c r="A299" s="8">
        <v>43500.845983796295</v>
      </c>
      <c r="B299" s="5" t="s">
        <v>2573</v>
      </c>
      <c r="C299" s="5" t="s">
        <v>3192</v>
      </c>
      <c r="D299" s="5" t="s">
        <v>3193</v>
      </c>
      <c r="E299" s="5">
        <v>0</v>
      </c>
      <c r="F299" s="5">
        <v>3.32</v>
      </c>
      <c r="G299" s="5">
        <v>3.8</v>
      </c>
      <c r="H299" s="5">
        <v>3.9</v>
      </c>
      <c r="I299" s="5">
        <v>1</v>
      </c>
      <c r="J299" s="5" t="b">
        <v>0</v>
      </c>
      <c r="K299" s="5" t="b">
        <v>0</v>
      </c>
      <c r="L299" s="5" t="b">
        <v>0</v>
      </c>
      <c r="M299" s="5" t="b">
        <v>0</v>
      </c>
      <c r="N299" s="5" t="b">
        <v>1</v>
      </c>
      <c r="O299" s="5" t="b">
        <v>0</v>
      </c>
    </row>
    <row r="300" spans="1:15" ht="15.95" customHeight="1" x14ac:dyDescent="0.25">
      <c r="A300" s="8">
        <v>43500.846006944441</v>
      </c>
      <c r="B300" s="5" t="s">
        <v>2573</v>
      </c>
      <c r="C300" s="5" t="s">
        <v>3191</v>
      </c>
      <c r="D300" s="5"/>
      <c r="E300" s="5" t="s">
        <v>2404</v>
      </c>
      <c r="F300" s="5">
        <v>3.32</v>
      </c>
      <c r="G300" s="5">
        <v>3.8</v>
      </c>
      <c r="H300" s="5">
        <v>3.9</v>
      </c>
      <c r="I300" s="5">
        <v>1</v>
      </c>
      <c r="J300" s="5" t="b">
        <v>0</v>
      </c>
      <c r="K300" s="5" t="b">
        <v>0</v>
      </c>
      <c r="L300" s="5" t="b">
        <v>0</v>
      </c>
      <c r="M300" s="5" t="b">
        <v>0</v>
      </c>
      <c r="N300" s="5" t="b">
        <v>1</v>
      </c>
      <c r="O300" s="5" t="b">
        <v>0</v>
      </c>
    </row>
    <row r="301" spans="1:15" ht="15.95" customHeight="1" x14ac:dyDescent="0.25">
      <c r="A301" s="8">
        <v>43500.846319444441</v>
      </c>
      <c r="B301" s="5" t="s">
        <v>2573</v>
      </c>
      <c r="C301" s="5" t="s">
        <v>3192</v>
      </c>
      <c r="D301" s="5" t="s">
        <v>3193</v>
      </c>
      <c r="E301" s="5">
        <v>0</v>
      </c>
      <c r="F301" s="5">
        <v>3.32</v>
      </c>
      <c r="G301" s="5">
        <v>3.8</v>
      </c>
      <c r="H301" s="5">
        <v>3.9</v>
      </c>
      <c r="I301" s="5">
        <v>1</v>
      </c>
      <c r="J301" s="5" t="b">
        <v>0</v>
      </c>
      <c r="K301" s="5" t="b">
        <v>0</v>
      </c>
      <c r="L301" s="5" t="b">
        <v>0</v>
      </c>
      <c r="M301" s="5" t="b">
        <v>0</v>
      </c>
      <c r="N301" s="5" t="b">
        <v>1</v>
      </c>
      <c r="O301" s="5" t="b">
        <v>0</v>
      </c>
    </row>
    <row r="302" spans="1:15" ht="15.95" customHeight="1" x14ac:dyDescent="0.25">
      <c r="A302" s="8">
        <v>43500.846354166664</v>
      </c>
      <c r="B302" s="5" t="s">
        <v>2573</v>
      </c>
      <c r="C302" s="5" t="s">
        <v>3191</v>
      </c>
      <c r="D302" s="5"/>
      <c r="E302" s="5" t="s">
        <v>2404</v>
      </c>
      <c r="F302" s="5">
        <v>3.32</v>
      </c>
      <c r="G302" s="5">
        <v>3.8</v>
      </c>
      <c r="H302" s="5">
        <v>3.9</v>
      </c>
      <c r="I302" s="5">
        <v>1</v>
      </c>
      <c r="J302" s="5" t="b">
        <v>0</v>
      </c>
      <c r="K302" s="5" t="b">
        <v>0</v>
      </c>
      <c r="L302" s="5" t="b">
        <v>0</v>
      </c>
      <c r="M302" s="5" t="b">
        <v>0</v>
      </c>
      <c r="N302" s="5" t="b">
        <v>1</v>
      </c>
      <c r="O302" s="5" t="b">
        <v>0</v>
      </c>
    </row>
    <row r="303" spans="1:15" ht="15.95" customHeight="1" x14ac:dyDescent="0.25">
      <c r="A303" s="8">
        <v>43500.848726851851</v>
      </c>
      <c r="B303" s="5" t="s">
        <v>2573</v>
      </c>
      <c r="C303" s="5" t="s">
        <v>3192</v>
      </c>
      <c r="D303" s="5" t="s">
        <v>3193</v>
      </c>
      <c r="E303" s="5">
        <v>0</v>
      </c>
      <c r="F303" s="5">
        <v>3.32</v>
      </c>
      <c r="G303" s="5">
        <v>3.8</v>
      </c>
      <c r="H303" s="5">
        <v>3.9</v>
      </c>
      <c r="I303" s="5">
        <v>1</v>
      </c>
      <c r="J303" s="5" t="b">
        <v>0</v>
      </c>
      <c r="K303" s="5" t="b">
        <v>0</v>
      </c>
      <c r="L303" s="5" t="b">
        <v>0</v>
      </c>
      <c r="M303" s="5" t="b">
        <v>0</v>
      </c>
      <c r="N303" s="5" t="b">
        <v>1</v>
      </c>
      <c r="O303" s="5" t="b">
        <v>0</v>
      </c>
    </row>
    <row r="304" spans="1:15" ht="15.95" customHeight="1" x14ac:dyDescent="0.25">
      <c r="A304" s="8">
        <v>43500.848761574074</v>
      </c>
      <c r="B304" s="5" t="s">
        <v>2573</v>
      </c>
      <c r="C304" s="5" t="s">
        <v>3191</v>
      </c>
      <c r="D304" s="5"/>
      <c r="E304" s="5" t="s">
        <v>2404</v>
      </c>
      <c r="F304" s="5">
        <v>3.32</v>
      </c>
      <c r="G304" s="5">
        <v>3.8</v>
      </c>
      <c r="H304" s="5">
        <v>3.9</v>
      </c>
      <c r="I304" s="5">
        <v>1</v>
      </c>
      <c r="J304" s="5" t="b">
        <v>0</v>
      </c>
      <c r="K304" s="5" t="b">
        <v>0</v>
      </c>
      <c r="L304" s="5" t="b">
        <v>0</v>
      </c>
      <c r="M304" s="5" t="b">
        <v>0</v>
      </c>
      <c r="N304" s="5" t="b">
        <v>1</v>
      </c>
      <c r="O304" s="5" t="b">
        <v>0</v>
      </c>
    </row>
    <row r="305" spans="1:15" ht="15.95" customHeight="1" x14ac:dyDescent="0.25">
      <c r="A305" s="8">
        <v>43500.850416666668</v>
      </c>
      <c r="B305" s="5" t="s">
        <v>2573</v>
      </c>
      <c r="C305" s="5" t="s">
        <v>3192</v>
      </c>
      <c r="D305" s="5" t="s">
        <v>3193</v>
      </c>
      <c r="E305" s="5">
        <v>0</v>
      </c>
      <c r="F305" s="5">
        <v>3.32</v>
      </c>
      <c r="G305" s="5">
        <v>3.8</v>
      </c>
      <c r="H305" s="5">
        <v>3.9</v>
      </c>
      <c r="I305" s="5">
        <v>1</v>
      </c>
      <c r="J305" s="5" t="b">
        <v>0</v>
      </c>
      <c r="K305" s="5" t="b">
        <v>0</v>
      </c>
      <c r="L305" s="5" t="b">
        <v>0</v>
      </c>
      <c r="M305" s="5" t="b">
        <v>0</v>
      </c>
      <c r="N305" s="5" t="b">
        <v>1</v>
      </c>
      <c r="O305" s="5" t="b">
        <v>0</v>
      </c>
    </row>
    <row r="306" spans="1:15" ht="15.95" customHeight="1" x14ac:dyDescent="0.25">
      <c r="A306" s="8">
        <v>43500.850451388891</v>
      </c>
      <c r="B306" s="5" t="s">
        <v>2573</v>
      </c>
      <c r="C306" s="5" t="s">
        <v>3191</v>
      </c>
      <c r="D306" s="5"/>
      <c r="E306" s="5" t="s">
        <v>2404</v>
      </c>
      <c r="F306" s="5">
        <v>3.32</v>
      </c>
      <c r="G306" s="5">
        <v>3.8</v>
      </c>
      <c r="H306" s="5">
        <v>3.9</v>
      </c>
      <c r="I306" s="5">
        <v>1</v>
      </c>
      <c r="J306" s="5" t="b">
        <v>0</v>
      </c>
      <c r="K306" s="5" t="b">
        <v>0</v>
      </c>
      <c r="L306" s="5" t="b">
        <v>0</v>
      </c>
      <c r="M306" s="5" t="b">
        <v>0</v>
      </c>
      <c r="N306" s="5" t="b">
        <v>1</v>
      </c>
      <c r="O306" s="5" t="b">
        <v>0</v>
      </c>
    </row>
    <row r="307" spans="1:15" ht="15.95" customHeight="1" x14ac:dyDescent="0.25">
      <c r="A307" s="8">
        <v>43500.851203703707</v>
      </c>
      <c r="B307" s="5" t="s">
        <v>2573</v>
      </c>
      <c r="C307" s="5" t="s">
        <v>3192</v>
      </c>
      <c r="D307" s="5" t="s">
        <v>3193</v>
      </c>
      <c r="E307" s="5">
        <v>0</v>
      </c>
      <c r="F307" s="5">
        <v>3.32</v>
      </c>
      <c r="G307" s="5">
        <v>3.8</v>
      </c>
      <c r="H307" s="5">
        <v>3.9</v>
      </c>
      <c r="I307" s="5">
        <v>1</v>
      </c>
      <c r="J307" s="5" t="b">
        <v>0</v>
      </c>
      <c r="K307" s="5" t="b">
        <v>0</v>
      </c>
      <c r="L307" s="5" t="b">
        <v>0</v>
      </c>
      <c r="M307" s="5" t="b">
        <v>0</v>
      </c>
      <c r="N307" s="5" t="b">
        <v>1</v>
      </c>
      <c r="O307" s="5" t="b">
        <v>0</v>
      </c>
    </row>
    <row r="308" spans="1:15" ht="15.95" customHeight="1" x14ac:dyDescent="0.25">
      <c r="A308" s="8">
        <v>43500.851226851853</v>
      </c>
      <c r="B308" s="5" t="s">
        <v>2573</v>
      </c>
      <c r="C308" s="5" t="s">
        <v>3191</v>
      </c>
      <c r="D308" s="5"/>
      <c r="E308" s="5" t="s">
        <v>2404</v>
      </c>
      <c r="F308" s="5">
        <v>3.32</v>
      </c>
      <c r="G308" s="5">
        <v>3.8</v>
      </c>
      <c r="H308" s="5">
        <v>3.9</v>
      </c>
      <c r="I308" s="5">
        <v>1</v>
      </c>
      <c r="J308" s="5" t="b">
        <v>0</v>
      </c>
      <c r="K308" s="5" t="b">
        <v>0</v>
      </c>
      <c r="L308" s="5" t="b">
        <v>0</v>
      </c>
      <c r="M308" s="5" t="b">
        <v>0</v>
      </c>
      <c r="N308" s="5" t="b">
        <v>1</v>
      </c>
      <c r="O308" s="5" t="b">
        <v>0</v>
      </c>
    </row>
    <row r="309" spans="1:15" ht="15.95" customHeight="1" x14ac:dyDescent="0.25">
      <c r="A309" s="8">
        <v>43500.851504629631</v>
      </c>
      <c r="B309" s="5" t="s">
        <v>2573</v>
      </c>
      <c r="C309" s="5" t="s">
        <v>3192</v>
      </c>
      <c r="D309" s="5" t="s">
        <v>3193</v>
      </c>
      <c r="E309" s="5">
        <v>0</v>
      </c>
      <c r="F309" s="5">
        <v>3.32</v>
      </c>
      <c r="G309" s="5">
        <v>3.8</v>
      </c>
      <c r="H309" s="5">
        <v>3.9</v>
      </c>
      <c r="I309" s="5">
        <v>1</v>
      </c>
      <c r="J309" s="5" t="b">
        <v>0</v>
      </c>
      <c r="K309" s="5" t="b">
        <v>0</v>
      </c>
      <c r="L309" s="5" t="b">
        <v>0</v>
      </c>
      <c r="M309" s="5" t="b">
        <v>0</v>
      </c>
      <c r="N309" s="5" t="b">
        <v>1</v>
      </c>
      <c r="O309" s="5" t="b">
        <v>0</v>
      </c>
    </row>
    <row r="310" spans="1:15" ht="15.95" customHeight="1" x14ac:dyDescent="0.25">
      <c r="A310" s="8">
        <v>43500.851539351854</v>
      </c>
      <c r="B310" s="5" t="s">
        <v>2573</v>
      </c>
      <c r="C310" s="5" t="s">
        <v>3191</v>
      </c>
      <c r="D310" s="5"/>
      <c r="E310" s="5" t="s">
        <v>2404</v>
      </c>
      <c r="F310" s="5">
        <v>3.32</v>
      </c>
      <c r="G310" s="5">
        <v>3.8</v>
      </c>
      <c r="H310" s="5">
        <v>3.9</v>
      </c>
      <c r="I310" s="5">
        <v>1</v>
      </c>
      <c r="J310" s="5" t="b">
        <v>0</v>
      </c>
      <c r="K310" s="5" t="b">
        <v>0</v>
      </c>
      <c r="L310" s="5" t="b">
        <v>0</v>
      </c>
      <c r="M310" s="5" t="b">
        <v>0</v>
      </c>
      <c r="N310" s="5" t="b">
        <v>1</v>
      </c>
      <c r="O310" s="5" t="b">
        <v>0</v>
      </c>
    </row>
    <row r="311" spans="1:15" ht="15.95" customHeight="1" x14ac:dyDescent="0.25">
      <c r="A311" s="8">
        <v>43500.851840277777</v>
      </c>
      <c r="B311" s="5" t="s">
        <v>2573</v>
      </c>
      <c r="C311" s="5" t="s">
        <v>3192</v>
      </c>
      <c r="D311" s="5" t="s">
        <v>3193</v>
      </c>
      <c r="E311" s="5">
        <v>0</v>
      </c>
      <c r="F311" s="5">
        <v>3.32</v>
      </c>
      <c r="G311" s="5">
        <v>3.8</v>
      </c>
      <c r="H311" s="5">
        <v>3.9</v>
      </c>
      <c r="I311" s="5">
        <v>1</v>
      </c>
      <c r="J311" s="5" t="b">
        <v>0</v>
      </c>
      <c r="K311" s="5" t="b">
        <v>0</v>
      </c>
      <c r="L311" s="5" t="b">
        <v>0</v>
      </c>
      <c r="M311" s="5" t="b">
        <v>0</v>
      </c>
      <c r="N311" s="5" t="b">
        <v>1</v>
      </c>
      <c r="O311" s="5" t="b">
        <v>0</v>
      </c>
    </row>
    <row r="312" spans="1:15" ht="15.95" customHeight="1" x14ac:dyDescent="0.25">
      <c r="A312" s="8">
        <v>43500.852476851855</v>
      </c>
      <c r="B312" s="5" t="s">
        <v>2573</v>
      </c>
      <c r="C312" s="5" t="s">
        <v>3191</v>
      </c>
      <c r="D312" s="5"/>
      <c r="E312" s="5" t="s">
        <v>2404</v>
      </c>
      <c r="F312" s="5">
        <v>3.32</v>
      </c>
      <c r="G312" s="5">
        <v>3.8</v>
      </c>
      <c r="H312" s="5">
        <v>3.9</v>
      </c>
      <c r="I312" s="5">
        <v>1</v>
      </c>
      <c r="J312" s="5" t="b">
        <v>0</v>
      </c>
      <c r="K312" s="5" t="b">
        <v>0</v>
      </c>
      <c r="L312" s="5" t="b">
        <v>0</v>
      </c>
      <c r="M312" s="5" t="b">
        <v>0</v>
      </c>
      <c r="N312" s="5" t="b">
        <v>1</v>
      </c>
      <c r="O312" s="5" t="b">
        <v>0</v>
      </c>
    </row>
    <row r="313" spans="1:15" ht="15.95" customHeight="1" x14ac:dyDescent="0.25">
      <c r="A313" s="8">
        <v>43500.858414351853</v>
      </c>
      <c r="B313" s="5" t="s">
        <v>2573</v>
      </c>
      <c r="C313" s="5" t="s">
        <v>3192</v>
      </c>
      <c r="D313" s="5" t="s">
        <v>3193</v>
      </c>
      <c r="E313" s="5">
        <v>0</v>
      </c>
      <c r="F313" s="5">
        <v>3.32</v>
      </c>
      <c r="G313" s="5">
        <v>3.8</v>
      </c>
      <c r="H313" s="5">
        <v>3.9</v>
      </c>
      <c r="I313" s="5">
        <v>1</v>
      </c>
      <c r="J313" s="5" t="b">
        <v>0</v>
      </c>
      <c r="K313" s="5" t="b">
        <v>0</v>
      </c>
      <c r="L313" s="5" t="b">
        <v>0</v>
      </c>
      <c r="M313" s="5" t="b">
        <v>0</v>
      </c>
      <c r="N313" s="5" t="b">
        <v>1</v>
      </c>
      <c r="O313" s="5" t="b">
        <v>0</v>
      </c>
    </row>
    <row r="314" spans="1:15" ht="15.95" customHeight="1" x14ac:dyDescent="0.25">
      <c r="A314" s="8">
        <v>43500.859456018516</v>
      </c>
      <c r="B314" s="5" t="s">
        <v>2573</v>
      </c>
      <c r="C314" s="5" t="s">
        <v>3192</v>
      </c>
      <c r="D314" s="5" t="s">
        <v>3193</v>
      </c>
      <c r="E314" s="5">
        <v>0</v>
      </c>
      <c r="F314" s="5">
        <v>3.32</v>
      </c>
      <c r="G314" s="5">
        <v>3.8</v>
      </c>
      <c r="H314" s="5">
        <v>3.9</v>
      </c>
      <c r="I314" s="5">
        <v>1</v>
      </c>
      <c r="J314" s="5" t="b">
        <v>0</v>
      </c>
      <c r="K314" s="5" t="b">
        <v>0</v>
      </c>
      <c r="L314" s="5" t="b">
        <v>0</v>
      </c>
      <c r="M314" s="5" t="b">
        <v>0</v>
      </c>
      <c r="N314" s="5" t="b">
        <v>1</v>
      </c>
      <c r="O314" s="5" t="b">
        <v>0</v>
      </c>
    </row>
    <row r="315" spans="1:15" ht="15.95" customHeight="1" x14ac:dyDescent="0.25">
      <c r="A315" s="8">
        <v>43500.859560185185</v>
      </c>
      <c r="B315" s="5" t="s">
        <v>2573</v>
      </c>
      <c r="C315" s="5" t="s">
        <v>3191</v>
      </c>
      <c r="D315" s="5"/>
      <c r="E315" s="5" t="s">
        <v>2404</v>
      </c>
      <c r="F315" s="5">
        <v>3.32</v>
      </c>
      <c r="G315" s="5">
        <v>3.8</v>
      </c>
      <c r="H315" s="5">
        <v>3.9</v>
      </c>
      <c r="I315" s="5">
        <v>1</v>
      </c>
      <c r="J315" s="5" t="b">
        <v>0</v>
      </c>
      <c r="K315" s="5" t="b">
        <v>0</v>
      </c>
      <c r="L315" s="5" t="b">
        <v>0</v>
      </c>
      <c r="M315" s="5" t="b">
        <v>0</v>
      </c>
      <c r="N315" s="5" t="b">
        <v>1</v>
      </c>
      <c r="O315" s="5" t="b">
        <v>0</v>
      </c>
    </row>
    <row r="316" spans="1:15" ht="15.95" customHeight="1" x14ac:dyDescent="0.25">
      <c r="A316" s="8">
        <v>43500.85974537037</v>
      </c>
      <c r="B316" s="5" t="s">
        <v>2573</v>
      </c>
      <c r="C316" s="5" t="s">
        <v>3192</v>
      </c>
      <c r="D316" s="5" t="s">
        <v>3193</v>
      </c>
      <c r="E316" s="5">
        <v>0</v>
      </c>
      <c r="F316" s="5">
        <v>3.32</v>
      </c>
      <c r="G316" s="5">
        <v>3.8</v>
      </c>
      <c r="H316" s="5">
        <v>3.9</v>
      </c>
      <c r="I316" s="5">
        <v>1</v>
      </c>
      <c r="J316" s="5" t="b">
        <v>0</v>
      </c>
      <c r="K316" s="5" t="b">
        <v>0</v>
      </c>
      <c r="L316" s="5" t="b">
        <v>0</v>
      </c>
      <c r="M316" s="5" t="b">
        <v>0</v>
      </c>
      <c r="N316" s="5" t="b">
        <v>1</v>
      </c>
      <c r="O316" s="5" t="b">
        <v>0</v>
      </c>
    </row>
    <row r="317" spans="1:15" ht="15.95" customHeight="1" x14ac:dyDescent="0.25">
      <c r="A317" s="8">
        <v>43500.859768518516</v>
      </c>
      <c r="B317" s="5" t="s">
        <v>2573</v>
      </c>
      <c r="C317" s="5" t="s">
        <v>3191</v>
      </c>
      <c r="D317" s="5"/>
      <c r="E317" s="5" t="s">
        <v>2404</v>
      </c>
      <c r="F317" s="5">
        <v>3.32</v>
      </c>
      <c r="G317" s="5">
        <v>3.8</v>
      </c>
      <c r="H317" s="5">
        <v>3.9</v>
      </c>
      <c r="I317" s="5">
        <v>1</v>
      </c>
      <c r="J317" s="5" t="b">
        <v>0</v>
      </c>
      <c r="K317" s="5" t="b">
        <v>0</v>
      </c>
      <c r="L317" s="5" t="b">
        <v>0</v>
      </c>
      <c r="M317" s="5" t="b">
        <v>0</v>
      </c>
      <c r="N317" s="5" t="b">
        <v>1</v>
      </c>
      <c r="O317" s="5" t="b">
        <v>0</v>
      </c>
    </row>
    <row r="318" spans="1:15" ht="15.95" customHeight="1" x14ac:dyDescent="0.25">
      <c r="A318" s="8">
        <v>43500.860590277778</v>
      </c>
      <c r="B318" s="5" t="s">
        <v>2573</v>
      </c>
      <c r="C318" s="5" t="s">
        <v>3192</v>
      </c>
      <c r="D318" s="5" t="s">
        <v>3193</v>
      </c>
      <c r="E318" s="5">
        <v>0</v>
      </c>
      <c r="F318" s="5">
        <v>3.32</v>
      </c>
      <c r="G318" s="5">
        <v>3.8</v>
      </c>
      <c r="H318" s="5">
        <v>3.9</v>
      </c>
      <c r="I318" s="5">
        <v>1</v>
      </c>
      <c r="J318" s="5" t="b">
        <v>0</v>
      </c>
      <c r="K318" s="5" t="b">
        <v>0</v>
      </c>
      <c r="L318" s="5" t="b">
        <v>0</v>
      </c>
      <c r="M318" s="5" t="b">
        <v>0</v>
      </c>
      <c r="N318" s="5" t="b">
        <v>1</v>
      </c>
      <c r="O318" s="5" t="b">
        <v>0</v>
      </c>
    </row>
    <row r="319" spans="1:15" ht="15.95" customHeight="1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</row>
    <row r="320" spans="1:15" ht="15.95" customHeight="1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</row>
    <row r="321" spans="1:15" ht="15.95" customHeight="1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</row>
    <row r="322" spans="1:15" ht="15.95" customHeight="1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</row>
    <row r="323" spans="1:15" ht="15.95" customHeight="1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</row>
    <row r="324" spans="1:15" ht="15.95" customHeight="1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</row>
    <row r="325" spans="1:15" ht="15.95" customHeight="1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</row>
    <row r="326" spans="1:15" ht="15.95" customHeight="1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</row>
    <row r="327" spans="1:15" ht="15.95" customHeight="1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</row>
    <row r="328" spans="1:15" ht="15.95" customHeight="1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</row>
    <row r="329" spans="1:15" ht="15.95" customHeight="1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</row>
    <row r="330" spans="1:15" ht="15.95" customHeight="1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</row>
    <row r="331" spans="1:15" ht="15.95" customHeight="1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</row>
    <row r="332" spans="1:15" ht="15.95" customHeight="1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</row>
    <row r="333" spans="1:15" ht="15.95" customHeight="1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</row>
    <row r="334" spans="1:15" ht="15.95" customHeight="1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</row>
    <row r="335" spans="1:15" ht="15.95" customHeight="1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</row>
    <row r="336" spans="1:15" ht="15.95" customHeight="1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</row>
    <row r="337" spans="1:15" ht="15.95" customHeight="1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</row>
    <row r="338" spans="1:15" ht="15.95" customHeight="1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</row>
    <row r="339" spans="1:15" ht="15.95" customHeight="1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</row>
    <row r="340" spans="1:15" ht="15.95" customHeight="1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</row>
    <row r="341" spans="1:15" ht="15.95" customHeight="1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</row>
    <row r="342" spans="1:15" ht="15.95" customHeight="1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</row>
    <row r="343" spans="1:15" ht="15.95" customHeight="1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</row>
    <row r="344" spans="1:15" ht="15.95" customHeight="1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</row>
    <row r="345" spans="1:15" ht="15.95" customHeight="1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</row>
    <row r="346" spans="1:15" ht="15.95" customHeight="1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</row>
    <row r="347" spans="1:15" ht="15.95" customHeight="1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</row>
    <row r="348" spans="1:15" ht="15.95" customHeight="1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</row>
    <row r="349" spans="1:15" ht="15.95" customHeight="1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</row>
    <row r="350" spans="1:15" ht="15.95" customHeight="1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</row>
    <row r="351" spans="1:15" ht="15.95" customHeight="1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</row>
    <row r="352" spans="1:15" ht="15.95" customHeight="1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</row>
    <row r="353" spans="1:15" ht="15.95" customHeight="1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</row>
    <row r="354" spans="1:15" ht="15.95" customHeight="1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</row>
    <row r="355" spans="1:15" ht="15.95" customHeight="1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</row>
    <row r="356" spans="1:15" ht="15.95" customHeight="1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</row>
    <row r="357" spans="1:15" ht="15.95" customHeight="1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</row>
    <row r="358" spans="1:15" ht="15.95" customHeight="1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</row>
    <row r="359" spans="1:15" ht="15.95" customHeight="1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</row>
    <row r="360" spans="1:15" ht="15.95" customHeight="1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</row>
    <row r="361" spans="1:15" ht="15.95" customHeight="1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</row>
    <row r="362" spans="1:15" ht="15.95" customHeight="1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</row>
    <row r="363" spans="1:15" ht="15.95" customHeight="1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</row>
    <row r="364" spans="1:15" ht="15.95" customHeight="1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</row>
    <row r="365" spans="1:15" ht="15.95" customHeight="1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</row>
    <row r="366" spans="1:15" ht="15.95" customHeight="1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</row>
    <row r="367" spans="1:15" ht="15.95" customHeight="1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</row>
    <row r="368" spans="1:15" ht="15.95" customHeight="1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</row>
    <row r="369" spans="1:15" ht="15.95" customHeight="1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</row>
    <row r="370" spans="1:15" ht="15.95" customHeight="1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</row>
    <row r="371" spans="1:15" ht="15.95" customHeight="1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</row>
    <row r="372" spans="1:15" ht="15.95" customHeight="1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</row>
    <row r="373" spans="1:15" ht="15.95" customHeight="1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</row>
    <row r="374" spans="1:15" ht="15.95" customHeight="1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</row>
    <row r="375" spans="1:15" ht="15.95" customHeight="1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</row>
    <row r="376" spans="1:15" ht="15.95" customHeight="1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</row>
    <row r="377" spans="1:15" ht="15.95" customHeight="1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</row>
    <row r="378" spans="1:15" ht="15.95" customHeight="1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</row>
    <row r="379" spans="1:15" ht="15.95" customHeight="1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</row>
    <row r="380" spans="1:15" ht="15.95" customHeight="1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</row>
    <row r="381" spans="1:15" ht="15.95" customHeight="1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</row>
    <row r="382" spans="1:15" ht="15.95" customHeight="1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</row>
    <row r="383" spans="1:15" ht="15.95" customHeight="1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</row>
    <row r="384" spans="1:15" ht="15.95" customHeight="1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</row>
    <row r="385" spans="1:15" ht="15.95" customHeight="1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</row>
    <row r="386" spans="1:15" ht="15.95" customHeight="1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</row>
    <row r="387" spans="1:15" ht="15.95" customHeight="1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</row>
    <row r="388" spans="1:15" ht="15.95" customHeight="1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</row>
    <row r="389" spans="1:15" ht="15.95" customHeight="1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</row>
    <row r="390" spans="1:15" ht="15.95" customHeight="1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</row>
    <row r="391" spans="1:15" ht="15.95" customHeight="1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</row>
    <row r="392" spans="1:15" ht="15.95" customHeight="1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</row>
    <row r="393" spans="1:15" ht="15.95" customHeight="1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</row>
    <row r="394" spans="1:15" ht="15.95" customHeight="1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</row>
    <row r="395" spans="1:15" ht="15.95" customHeight="1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</row>
    <row r="396" spans="1:15" ht="15.95" customHeight="1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</row>
    <row r="397" spans="1:15" ht="15.95" customHeight="1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</row>
    <row r="398" spans="1:15" ht="15.95" customHeight="1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</row>
    <row r="399" spans="1:15" ht="15.95" customHeight="1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</row>
    <row r="400" spans="1:15" ht="15.95" customHeight="1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</row>
    <row r="401" spans="1:15" ht="15.95" customHeight="1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</row>
    <row r="402" spans="1:15" ht="15.95" customHeight="1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</row>
    <row r="403" spans="1:15" ht="15.95" customHeight="1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</row>
    <row r="404" spans="1:15" ht="15.95" customHeight="1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</row>
    <row r="405" spans="1:15" ht="15.95" customHeight="1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</row>
    <row r="406" spans="1:15" ht="15.95" customHeight="1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</row>
    <row r="407" spans="1:15" ht="15.95" customHeight="1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</row>
    <row r="408" spans="1:15" ht="15.95" customHeight="1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</row>
    <row r="409" spans="1:15" ht="15.95" customHeight="1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</row>
    <row r="410" spans="1:15" ht="15.95" customHeight="1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</row>
    <row r="411" spans="1:15" ht="15.95" customHeight="1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</row>
    <row r="412" spans="1:15" ht="15.95" customHeight="1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</row>
    <row r="413" spans="1:15" ht="15.95" customHeight="1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</row>
    <row r="414" spans="1:15" ht="15.95" customHeight="1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</row>
    <row r="415" spans="1:15" ht="15.95" customHeight="1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</row>
    <row r="416" spans="1:15" ht="15.95" customHeight="1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</row>
    <row r="417" spans="1:15" ht="15.95" customHeight="1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</row>
    <row r="418" spans="1:15" ht="15.95" customHeight="1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</row>
    <row r="419" spans="1:15" ht="15.95" customHeight="1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</row>
    <row r="420" spans="1:15" ht="15.95" customHeight="1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</row>
    <row r="421" spans="1:15" ht="15.95" customHeight="1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</row>
    <row r="422" spans="1:15" ht="15.95" customHeight="1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</row>
    <row r="423" spans="1:15" ht="15.95" customHeight="1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</row>
    <row r="424" spans="1:15" ht="15.95" customHeight="1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</row>
    <row r="425" spans="1:15" ht="15.95" customHeight="1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</row>
    <row r="426" spans="1:15" ht="15.95" customHeight="1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</row>
    <row r="427" spans="1:15" ht="15.95" customHeight="1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</row>
    <row r="428" spans="1:15" ht="15.95" customHeight="1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</row>
    <row r="429" spans="1:15" ht="15.95" customHeight="1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</row>
    <row r="430" spans="1:15" ht="15.95" customHeight="1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</row>
    <row r="431" spans="1:15" ht="15.95" customHeight="1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</row>
    <row r="432" spans="1:15" ht="15.95" customHeight="1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</row>
    <row r="433" spans="1:15" ht="15.95" customHeight="1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</row>
    <row r="434" spans="1:15" ht="15.95" customHeight="1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</row>
    <row r="435" spans="1:15" ht="15.95" customHeight="1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</row>
    <row r="436" spans="1:15" ht="15.95" customHeight="1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</row>
    <row r="437" spans="1:15" ht="15.95" customHeight="1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</row>
    <row r="438" spans="1:15" ht="15.95" customHeight="1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</row>
    <row r="439" spans="1:15" ht="15.95" customHeight="1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</row>
    <row r="440" spans="1:15" ht="15.95" customHeight="1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</row>
    <row r="441" spans="1:15" ht="15.95" customHeight="1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</row>
    <row r="442" spans="1:15" ht="15.95" customHeight="1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</row>
    <row r="443" spans="1:15" ht="15.95" customHeight="1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</row>
    <row r="444" spans="1:15" ht="15.95" customHeight="1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</row>
    <row r="445" spans="1:15" ht="15.95" customHeight="1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</row>
    <row r="446" spans="1:15" ht="15.95" customHeight="1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</row>
    <row r="447" spans="1:15" ht="15.95" customHeight="1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</row>
    <row r="448" spans="1:15" ht="15.95" customHeight="1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</row>
    <row r="449" spans="1:15" ht="15.95" customHeight="1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</row>
    <row r="450" spans="1:15" ht="15.95" customHeight="1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</row>
    <row r="451" spans="1:15" ht="15.95" customHeight="1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</row>
    <row r="452" spans="1:15" ht="15.95" customHeight="1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</row>
    <row r="453" spans="1:15" ht="15.95" customHeight="1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</row>
    <row r="454" spans="1:15" ht="15.95" customHeight="1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</row>
    <row r="455" spans="1:15" ht="15.95" customHeight="1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</row>
    <row r="456" spans="1:15" ht="15.95" customHeight="1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</row>
    <row r="457" spans="1:15" ht="15.95" customHeight="1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</row>
    <row r="458" spans="1:15" ht="15.95" customHeight="1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</row>
    <row r="459" spans="1:15" ht="15.95" customHeight="1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</row>
    <row r="460" spans="1:15" ht="15.95" customHeight="1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</row>
    <row r="461" spans="1:15" ht="15.95" customHeight="1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</row>
    <row r="462" spans="1:15" ht="15.95" customHeight="1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</row>
    <row r="463" spans="1:15" ht="15.95" customHeight="1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</row>
    <row r="464" spans="1:15" ht="15.95" customHeight="1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</row>
    <row r="465" spans="1:15" ht="15.95" customHeight="1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</row>
    <row r="466" spans="1:15" ht="15.95" customHeight="1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</row>
    <row r="467" spans="1:15" ht="15.95" customHeight="1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</row>
    <row r="468" spans="1:15" ht="15.95" customHeight="1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</row>
    <row r="469" spans="1:15" ht="15.95" customHeight="1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</row>
    <row r="470" spans="1:15" ht="15.95" customHeight="1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</row>
    <row r="471" spans="1:15" ht="15.95" customHeight="1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</row>
    <row r="472" spans="1:15" ht="15.95" customHeight="1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</row>
    <row r="473" spans="1:15" ht="15.95" customHeight="1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</row>
    <row r="474" spans="1:15" ht="15.95" customHeight="1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</row>
    <row r="475" spans="1:15" ht="15.95" customHeight="1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</row>
    <row r="476" spans="1:15" ht="15.95" customHeight="1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</row>
    <row r="477" spans="1:15" ht="15.95" customHeight="1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</row>
    <row r="478" spans="1:15" ht="15.95" customHeight="1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</row>
    <row r="479" spans="1:15" ht="15.95" customHeight="1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</row>
    <row r="480" spans="1:15" ht="15.95" customHeight="1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</row>
    <row r="481" spans="1:15" ht="15.95" customHeight="1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</row>
    <row r="482" spans="1:15" ht="15.95" customHeight="1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</row>
    <row r="483" spans="1:15" ht="15.95" customHeight="1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</row>
    <row r="484" spans="1:15" ht="15.95" customHeight="1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</row>
    <row r="485" spans="1:15" ht="15.95" customHeight="1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</row>
    <row r="486" spans="1:15" ht="15.95" customHeight="1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</row>
    <row r="487" spans="1:15" ht="15.95" customHeight="1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</row>
    <row r="488" spans="1:15" ht="15.95" customHeight="1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</row>
    <row r="489" spans="1:15" ht="15.95" customHeight="1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</row>
    <row r="490" spans="1:15" ht="15.95" customHeight="1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</row>
    <row r="491" spans="1:15" ht="15.95" customHeight="1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</row>
    <row r="492" spans="1:15" ht="15.95" customHeight="1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</row>
    <row r="493" spans="1:15" ht="15.95" customHeight="1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</row>
    <row r="494" spans="1:15" ht="15.95" customHeight="1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</row>
    <row r="495" spans="1:15" ht="15.95" customHeight="1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</row>
    <row r="496" spans="1:15" ht="15.95" customHeight="1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</row>
    <row r="497" spans="1:15" ht="15.95" customHeight="1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</row>
    <row r="498" spans="1:15" ht="15.95" customHeight="1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</row>
    <row r="499" spans="1:15" ht="15.95" customHeight="1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</row>
    <row r="500" spans="1:15" ht="15.95" customHeight="1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</row>
    <row r="501" spans="1:15" ht="15.95" customHeight="1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</row>
    <row r="502" spans="1:15" ht="15.95" customHeight="1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</row>
    <row r="503" spans="1:15" ht="15.95" customHeight="1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</row>
    <row r="504" spans="1:15" ht="15.95" customHeight="1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</row>
    <row r="505" spans="1:15" ht="15.95" customHeight="1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</row>
    <row r="506" spans="1:15" ht="15.95" customHeight="1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</row>
    <row r="507" spans="1:15" ht="15.95" customHeight="1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</row>
    <row r="508" spans="1:15" ht="15.95" customHeight="1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</row>
    <row r="509" spans="1:15" ht="15.95" customHeight="1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</row>
    <row r="510" spans="1:15" ht="15.95" customHeight="1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</row>
    <row r="511" spans="1:15" ht="15.95" customHeight="1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</row>
    <row r="512" spans="1:15" ht="15.95" customHeight="1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</row>
    <row r="513" spans="1:15" ht="15.95" customHeight="1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</row>
    <row r="514" spans="1:15" ht="15.95" customHeight="1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</row>
    <row r="515" spans="1:15" ht="15.95" customHeight="1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</row>
    <row r="516" spans="1:15" ht="15.95" customHeight="1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</row>
    <row r="517" spans="1:15" ht="15.95" customHeight="1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</row>
    <row r="518" spans="1:15" ht="15.95" customHeight="1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</row>
    <row r="519" spans="1:15" ht="15.95" customHeight="1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</row>
    <row r="520" spans="1:15" ht="15.95" customHeight="1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</row>
    <row r="521" spans="1:15" ht="15.95" customHeight="1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</row>
    <row r="522" spans="1:15" ht="15.95" customHeight="1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</row>
    <row r="523" spans="1:15" ht="15.95" customHeight="1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</row>
    <row r="524" spans="1:15" ht="15.95" customHeight="1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</row>
    <row r="525" spans="1:15" ht="15.95" customHeight="1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</row>
    <row r="526" spans="1:15" ht="15.95" customHeight="1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</row>
    <row r="527" spans="1:15" ht="15.95" customHeight="1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</row>
    <row r="528" spans="1:15" ht="15.95" customHeight="1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</row>
    <row r="529" spans="1:15" ht="15.95" customHeight="1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</row>
    <row r="530" spans="1:15" ht="15.95" customHeight="1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</row>
    <row r="531" spans="1:15" ht="15.95" customHeight="1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</row>
    <row r="532" spans="1:15" ht="15.95" customHeight="1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</row>
    <row r="533" spans="1:15" ht="15.95" customHeight="1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</row>
    <row r="534" spans="1:15" ht="15.95" customHeight="1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</row>
    <row r="535" spans="1:15" ht="15.95" customHeight="1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</row>
    <row r="536" spans="1:15" ht="15.95" customHeight="1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</row>
    <row r="537" spans="1:15" ht="15.95" customHeight="1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</row>
    <row r="538" spans="1:15" ht="15.95" customHeight="1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</row>
    <row r="539" spans="1:15" ht="15.95" customHeight="1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</row>
    <row r="540" spans="1:15" ht="15.95" customHeight="1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</row>
    <row r="541" spans="1:15" ht="15.95" customHeight="1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</row>
    <row r="542" spans="1:15" ht="15.95" customHeight="1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</row>
    <row r="543" spans="1:15" ht="15.95" customHeight="1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</row>
    <row r="544" spans="1:15" ht="15.95" customHeight="1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</row>
    <row r="545" spans="1:15" ht="15.95" customHeight="1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</row>
    <row r="546" spans="1:15" ht="15.95" customHeight="1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</row>
    <row r="547" spans="1:15" ht="15.95" customHeight="1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</row>
    <row r="548" spans="1:15" ht="15.95" customHeight="1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</row>
    <row r="549" spans="1:15" ht="15.95" customHeight="1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</row>
    <row r="550" spans="1:15" ht="15.95" customHeight="1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</row>
    <row r="551" spans="1:15" ht="15.95" customHeight="1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</row>
    <row r="552" spans="1:15" ht="15.95" customHeight="1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</row>
    <row r="553" spans="1:15" ht="15.95" customHeight="1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</row>
    <row r="554" spans="1:15" ht="15.95" customHeight="1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</row>
    <row r="555" spans="1:15" ht="15.95" customHeight="1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</row>
    <row r="556" spans="1:15" ht="15.95" customHeight="1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</row>
    <row r="557" spans="1:15" ht="15.95" customHeight="1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</row>
    <row r="558" spans="1:15" ht="15.95" customHeight="1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</row>
    <row r="559" spans="1:15" ht="15.95" customHeight="1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</row>
    <row r="560" spans="1:15" ht="15.95" customHeight="1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</row>
    <row r="561" spans="1:15" ht="15.95" customHeight="1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</row>
    <row r="562" spans="1:15" ht="15.95" customHeight="1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</row>
    <row r="563" spans="1:15" ht="15.95" customHeight="1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</row>
    <row r="564" spans="1:15" ht="15.95" customHeight="1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</row>
    <row r="565" spans="1:15" ht="15.95" customHeight="1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</row>
    <row r="566" spans="1:15" ht="15.95" customHeight="1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</row>
    <row r="567" spans="1:15" ht="15.95" customHeight="1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</row>
    <row r="568" spans="1:15" ht="15.95" customHeight="1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</row>
    <row r="569" spans="1:15" ht="15.95" customHeight="1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</row>
    <row r="570" spans="1:15" ht="15.95" customHeight="1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</row>
    <row r="571" spans="1:15" ht="15.95" customHeight="1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</row>
    <row r="572" spans="1:15" ht="15.95" customHeight="1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</row>
    <row r="573" spans="1:15" ht="15.95" customHeight="1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</row>
    <row r="574" spans="1:15" ht="15.95" customHeight="1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</row>
    <row r="575" spans="1:15" ht="15.95" customHeight="1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</row>
    <row r="576" spans="1:15" ht="15.95" customHeight="1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</row>
    <row r="577" spans="1:15" ht="15.95" customHeight="1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</row>
    <row r="578" spans="1:15" ht="15.95" customHeight="1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</row>
    <row r="579" spans="1:15" ht="15.95" customHeight="1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</row>
    <row r="580" spans="1:15" ht="15.95" customHeight="1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</row>
    <row r="581" spans="1:15" ht="15.95" customHeight="1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</row>
    <row r="582" spans="1:15" ht="15.95" customHeight="1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</row>
    <row r="583" spans="1:15" ht="15.95" customHeight="1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</row>
    <row r="584" spans="1:15" ht="15.95" customHeight="1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</row>
    <row r="585" spans="1:15" ht="15.95" customHeight="1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</row>
    <row r="586" spans="1:15" ht="15.95" customHeight="1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</row>
    <row r="587" spans="1:15" ht="15.95" customHeight="1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</row>
    <row r="588" spans="1:15" ht="15.95" customHeight="1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</row>
    <row r="589" spans="1:15" ht="15.95" customHeight="1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</row>
    <row r="590" spans="1:15" ht="15.95" customHeight="1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</row>
    <row r="591" spans="1:15" ht="15.95" customHeight="1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</row>
    <row r="592" spans="1:15" ht="15.95" customHeight="1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</row>
    <row r="593" spans="1:15" ht="15.95" customHeight="1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</row>
    <row r="594" spans="1:15" ht="15.95" customHeight="1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</row>
    <row r="595" spans="1:15" ht="15.95" customHeight="1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</row>
    <row r="596" spans="1:15" ht="15.95" customHeight="1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</row>
    <row r="597" spans="1:15" ht="15.95" customHeight="1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</row>
    <row r="598" spans="1:15" ht="15.95" customHeight="1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</row>
    <row r="599" spans="1:15" ht="15.95" customHeight="1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</row>
    <row r="600" spans="1:15" ht="15.95" customHeight="1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</row>
    <row r="601" spans="1:15" ht="15.95" customHeight="1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</row>
    <row r="602" spans="1:15" ht="15.95" customHeight="1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</row>
    <row r="603" spans="1:15" ht="15.95" customHeight="1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</row>
    <row r="604" spans="1:15" ht="15.95" customHeight="1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</row>
    <row r="605" spans="1:15" ht="15.95" customHeight="1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</row>
    <row r="606" spans="1:15" ht="15.95" customHeight="1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</row>
    <row r="607" spans="1:15" ht="15.95" customHeight="1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</row>
    <row r="608" spans="1:15" ht="15.95" customHeight="1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</row>
    <row r="609" spans="1:15" ht="15.95" customHeight="1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</row>
    <row r="610" spans="1:15" ht="15.95" customHeight="1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</row>
    <row r="611" spans="1:15" ht="15.95" customHeight="1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</row>
    <row r="612" spans="1:15" ht="15.95" customHeight="1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</row>
    <row r="613" spans="1:15" ht="15.95" customHeight="1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</row>
    <row r="614" spans="1:15" ht="15.95" customHeight="1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</row>
    <row r="615" spans="1:15" ht="15.95" customHeight="1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</row>
    <row r="616" spans="1:15" ht="15.95" customHeight="1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</row>
    <row r="617" spans="1:15" ht="15.95" customHeight="1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</row>
    <row r="618" spans="1:15" ht="15.95" customHeight="1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</row>
    <row r="619" spans="1:15" ht="15.95" customHeight="1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</row>
    <row r="620" spans="1:15" ht="15.95" customHeight="1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</row>
    <row r="621" spans="1:15" ht="15.95" customHeight="1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</row>
    <row r="622" spans="1:15" ht="15.95" customHeight="1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</row>
    <row r="623" spans="1:15" ht="15.95" customHeight="1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</row>
    <row r="624" spans="1:15" ht="15.95" customHeight="1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</row>
    <row r="625" spans="1:15" ht="15.95" customHeight="1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</row>
    <row r="626" spans="1:15" ht="15.95" customHeight="1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</row>
    <row r="627" spans="1:15" ht="15.95" customHeight="1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</row>
    <row r="628" spans="1:15" ht="15.95" customHeight="1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</row>
    <row r="629" spans="1:15" ht="15.95" customHeight="1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</row>
    <row r="630" spans="1:15" ht="15.95" customHeight="1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</row>
    <row r="631" spans="1:15" ht="15.95" customHeight="1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</row>
    <row r="632" spans="1:15" ht="15.95" customHeight="1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</row>
    <row r="633" spans="1:15" ht="15.95" customHeight="1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</row>
    <row r="634" spans="1:15" ht="15.95" customHeight="1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</row>
    <row r="635" spans="1:15" ht="15.95" customHeight="1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</row>
    <row r="636" spans="1:15" ht="15.95" customHeight="1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</row>
    <row r="637" spans="1:15" ht="15.95" customHeight="1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</row>
    <row r="638" spans="1:15" ht="15.95" customHeight="1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</row>
    <row r="639" spans="1:15" ht="15.95" customHeight="1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</row>
    <row r="640" spans="1:15" ht="15.95" customHeight="1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</row>
    <row r="641" spans="1:15" ht="15.95" customHeight="1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</row>
    <row r="642" spans="1:15" ht="15.95" customHeight="1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</row>
    <row r="643" spans="1:15" ht="15.95" customHeight="1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</row>
    <row r="644" spans="1:15" ht="15.95" customHeight="1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</row>
    <row r="645" spans="1:15" ht="15.95" customHeight="1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</row>
    <row r="646" spans="1:15" ht="15.95" customHeight="1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</row>
    <row r="647" spans="1:15" ht="15.95" customHeight="1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</row>
    <row r="648" spans="1:15" ht="15.95" customHeight="1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</row>
    <row r="649" spans="1:15" ht="15.95" customHeight="1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</row>
    <row r="650" spans="1:15" ht="15.95" customHeight="1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</row>
    <row r="651" spans="1:15" ht="15.95" customHeight="1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</row>
    <row r="652" spans="1:15" ht="15.95" customHeight="1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</row>
    <row r="653" spans="1:15" ht="15.95" customHeight="1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</row>
    <row r="654" spans="1:15" ht="15.95" customHeight="1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</row>
    <row r="655" spans="1:15" ht="15.95" customHeight="1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</row>
    <row r="656" spans="1:15" ht="15.95" customHeight="1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</row>
    <row r="657" spans="1:15" ht="15.95" customHeight="1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</row>
    <row r="658" spans="1:15" ht="15.95" customHeight="1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</row>
    <row r="659" spans="1:15" ht="15.95" customHeight="1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</row>
    <row r="660" spans="1:15" ht="15.95" customHeight="1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</row>
    <row r="661" spans="1:15" ht="15.95" customHeight="1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</row>
    <row r="662" spans="1:15" ht="15.95" customHeight="1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</row>
    <row r="663" spans="1:15" ht="15.95" customHeight="1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</row>
    <row r="664" spans="1:15" ht="15.95" customHeight="1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</row>
    <row r="665" spans="1:15" ht="15.95" customHeight="1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</row>
    <row r="666" spans="1:15" ht="15.95" customHeight="1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</row>
    <row r="667" spans="1:15" ht="15.95" customHeight="1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</row>
    <row r="668" spans="1:15" ht="15.95" customHeight="1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</row>
    <row r="669" spans="1:15" ht="15.95" customHeight="1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</row>
    <row r="670" spans="1:15" ht="15.95" customHeight="1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</row>
    <row r="671" spans="1:15" ht="15.95" customHeight="1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</row>
    <row r="672" spans="1:15" ht="15.95" customHeight="1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</row>
    <row r="673" spans="1:15" ht="15.95" customHeight="1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</row>
    <row r="674" spans="1:15" ht="15.95" customHeight="1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</row>
    <row r="675" spans="1:15" ht="15.95" customHeight="1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</row>
    <row r="676" spans="1:15" ht="15.95" customHeight="1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</row>
    <row r="677" spans="1:15" ht="15.95" customHeight="1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</row>
    <row r="678" spans="1:15" ht="15.95" customHeight="1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</row>
    <row r="679" spans="1:15" ht="15.95" customHeight="1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</row>
    <row r="680" spans="1:15" ht="15.95" customHeight="1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</row>
    <row r="681" spans="1:15" ht="15.95" customHeight="1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</row>
    <row r="682" spans="1:15" ht="15.95" customHeight="1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</row>
    <row r="683" spans="1:15" ht="15.95" customHeight="1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</row>
    <row r="684" spans="1:15" ht="15.95" customHeight="1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</row>
    <row r="685" spans="1:15" ht="15.95" customHeight="1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</row>
    <row r="686" spans="1:15" ht="15.95" customHeight="1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</row>
    <row r="687" spans="1:15" ht="15.95" customHeight="1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</row>
    <row r="688" spans="1:15" ht="15.95" customHeight="1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</row>
    <row r="689" spans="1:15" ht="15.95" customHeight="1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</row>
    <row r="690" spans="1:15" ht="15.95" customHeight="1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</row>
    <row r="691" spans="1:15" ht="15.95" customHeight="1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</row>
    <row r="692" spans="1:15" ht="15.95" customHeight="1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</row>
    <row r="693" spans="1:15" ht="15.95" customHeight="1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</row>
    <row r="694" spans="1:15" ht="15.95" customHeight="1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</row>
    <row r="695" spans="1:15" ht="15.95" customHeight="1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</row>
    <row r="696" spans="1:15" ht="15.95" customHeight="1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</row>
    <row r="697" spans="1:15" ht="15.95" customHeight="1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</row>
    <row r="698" spans="1:15" ht="15.95" customHeight="1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</row>
    <row r="699" spans="1:15" ht="15.95" customHeight="1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</row>
    <row r="700" spans="1:15" ht="15.95" customHeight="1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</row>
    <row r="701" spans="1:15" ht="15.95" customHeight="1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</row>
    <row r="702" spans="1:15" ht="15.95" customHeight="1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</row>
    <row r="703" spans="1:15" ht="15.95" customHeight="1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</row>
    <row r="704" spans="1:15" ht="15.95" customHeight="1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</row>
    <row r="705" spans="1:15" ht="15.95" customHeight="1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</row>
    <row r="706" spans="1:15" ht="15.95" customHeight="1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</row>
    <row r="707" spans="1:15" ht="15.95" customHeight="1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</row>
    <row r="708" spans="1:15" ht="15.95" customHeight="1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</row>
    <row r="709" spans="1:15" ht="15.95" customHeight="1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</row>
    <row r="710" spans="1:15" ht="15.95" customHeight="1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</row>
    <row r="711" spans="1:15" ht="15.95" customHeight="1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</row>
    <row r="712" spans="1:15" ht="15.95" customHeight="1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</row>
    <row r="713" spans="1:15" ht="15.95" customHeight="1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</row>
    <row r="714" spans="1:15" ht="15.95" customHeight="1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</row>
    <row r="715" spans="1:15" ht="15.95" customHeight="1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</row>
    <row r="716" spans="1:15" ht="15.95" customHeight="1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</row>
    <row r="717" spans="1:15" ht="15.95" customHeight="1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</row>
    <row r="718" spans="1:15" ht="15.95" customHeight="1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</row>
    <row r="719" spans="1:15" ht="15.95" customHeight="1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</row>
    <row r="720" spans="1:15" ht="15.95" customHeight="1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</row>
    <row r="721" spans="1:15" ht="15.95" customHeight="1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</row>
    <row r="722" spans="1:15" ht="15.95" customHeight="1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</row>
    <row r="723" spans="1:15" ht="15.95" customHeight="1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</row>
    <row r="724" spans="1:15" ht="15.95" customHeight="1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</row>
    <row r="725" spans="1:15" ht="15.95" customHeight="1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</row>
    <row r="726" spans="1:15" ht="15.95" customHeight="1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</row>
    <row r="727" spans="1:15" ht="15.95" customHeight="1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</row>
    <row r="728" spans="1:15" ht="15.95" customHeight="1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</row>
    <row r="729" spans="1:15" ht="15.95" customHeight="1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</row>
    <row r="730" spans="1:15" ht="15.95" customHeight="1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</row>
    <row r="731" spans="1:15" ht="15.95" customHeight="1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</row>
    <row r="732" spans="1:15" ht="15.95" customHeight="1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</row>
    <row r="733" spans="1:15" ht="15.95" customHeight="1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</row>
    <row r="734" spans="1:15" ht="15.95" customHeight="1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</row>
    <row r="735" spans="1:15" ht="15.95" customHeight="1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</row>
    <row r="736" spans="1:15" ht="15.95" customHeight="1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</row>
    <row r="737" spans="1:15" ht="15.95" customHeight="1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</row>
    <row r="738" spans="1:15" ht="15.95" customHeight="1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</row>
    <row r="739" spans="1:15" ht="15.95" customHeight="1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</row>
    <row r="740" spans="1:15" ht="15.95" customHeight="1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</row>
    <row r="741" spans="1:15" ht="15.95" customHeight="1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</row>
    <row r="742" spans="1:15" ht="15.95" customHeight="1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</row>
    <row r="743" spans="1:15" ht="15.95" customHeight="1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</row>
    <row r="744" spans="1:15" ht="15.95" customHeight="1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</row>
    <row r="745" spans="1:15" ht="15.95" customHeight="1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</row>
    <row r="746" spans="1:15" ht="15.95" customHeight="1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</row>
    <row r="747" spans="1:15" ht="15.95" customHeight="1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</row>
    <row r="748" spans="1:15" ht="15.95" customHeight="1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</row>
    <row r="749" spans="1:15" ht="15.95" customHeight="1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</row>
    <row r="750" spans="1:15" ht="15.95" customHeight="1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</row>
    <row r="751" spans="1:15" ht="15.95" customHeight="1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</row>
    <row r="752" spans="1:15" ht="15.95" customHeight="1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</row>
    <row r="753" spans="1:15" ht="15.95" customHeight="1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</row>
    <row r="754" spans="1:15" ht="15.95" customHeight="1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</row>
    <row r="755" spans="1:15" ht="15.95" customHeight="1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</row>
    <row r="756" spans="1:15" ht="15.95" customHeight="1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</row>
    <row r="757" spans="1:15" ht="15.95" customHeight="1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</row>
    <row r="758" spans="1:15" ht="15.95" customHeight="1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</row>
    <row r="759" spans="1:15" ht="15.95" customHeight="1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</row>
    <row r="760" spans="1:15" ht="15.95" customHeight="1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</row>
    <row r="761" spans="1:15" ht="15.95" customHeight="1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</row>
    <row r="762" spans="1:15" ht="15.95" customHeight="1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</row>
    <row r="763" spans="1:15" ht="15.95" customHeight="1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</row>
    <row r="764" spans="1:15" ht="15.95" customHeight="1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</row>
    <row r="765" spans="1:15" ht="15.95" customHeight="1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</row>
    <row r="766" spans="1:15" ht="15.95" customHeight="1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</row>
    <row r="767" spans="1:15" ht="15.95" customHeight="1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</row>
    <row r="768" spans="1:15" ht="15.95" customHeight="1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</row>
    <row r="769" spans="1:15" ht="15.95" customHeight="1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</row>
    <row r="770" spans="1:15" ht="15.95" customHeight="1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</row>
    <row r="771" spans="1:15" ht="15.95" customHeight="1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</row>
    <row r="772" spans="1:15" ht="15.95" customHeight="1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</row>
    <row r="773" spans="1:15" ht="15.95" customHeight="1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</row>
    <row r="774" spans="1:15" ht="15.95" customHeight="1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</row>
    <row r="775" spans="1:15" ht="15.95" customHeight="1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</row>
    <row r="776" spans="1:15" ht="15.95" customHeight="1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</row>
    <row r="777" spans="1:15" ht="15.95" customHeight="1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</row>
    <row r="778" spans="1:15" ht="15.95" customHeight="1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</row>
    <row r="779" spans="1:15" ht="15.95" customHeight="1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</row>
    <row r="780" spans="1:15" ht="15.95" customHeight="1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</row>
    <row r="781" spans="1:15" ht="15.95" customHeight="1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</row>
    <row r="782" spans="1:15" ht="15.95" customHeight="1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</row>
    <row r="783" spans="1:15" ht="15.95" customHeight="1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</row>
    <row r="784" spans="1:15" ht="15.95" customHeight="1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</row>
    <row r="785" spans="1:15" ht="15.95" customHeight="1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</row>
    <row r="786" spans="1:15" ht="15.95" customHeight="1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</row>
    <row r="787" spans="1:15" ht="15.95" customHeight="1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</row>
    <row r="788" spans="1:15" ht="15.95" customHeight="1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</row>
    <row r="789" spans="1:15" ht="15.95" customHeight="1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</row>
    <row r="790" spans="1:15" ht="15.95" customHeight="1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</row>
    <row r="791" spans="1:15" ht="15.95" customHeight="1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</row>
    <row r="792" spans="1:15" ht="15.95" customHeight="1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</row>
    <row r="793" spans="1:15" ht="15.95" customHeight="1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</row>
    <row r="794" spans="1:15" ht="15.95" customHeight="1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</row>
    <row r="795" spans="1:15" ht="15.95" customHeight="1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</row>
    <row r="796" spans="1:15" ht="15.95" customHeight="1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</row>
    <row r="797" spans="1:15" ht="15.95" customHeight="1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</row>
    <row r="798" spans="1:15" ht="15.95" customHeight="1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</row>
    <row r="799" spans="1:15" ht="15.95" customHeight="1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</row>
    <row r="800" spans="1:15" ht="15.95" customHeight="1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</row>
    <row r="801" spans="1:15" ht="15.95" customHeight="1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</row>
    <row r="802" spans="1:15" ht="15.95" customHeight="1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</row>
    <row r="803" spans="1:15" ht="15.95" customHeight="1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</row>
    <row r="804" spans="1:15" ht="15.95" customHeight="1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</row>
    <row r="805" spans="1:15" ht="15.95" customHeight="1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</row>
    <row r="806" spans="1:15" ht="15.95" customHeight="1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</row>
    <row r="807" spans="1:15" ht="15.95" customHeight="1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</row>
    <row r="808" spans="1:15" ht="15.95" customHeight="1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</row>
    <row r="809" spans="1:15" ht="15.95" customHeight="1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</row>
    <row r="810" spans="1:15" ht="15.95" customHeight="1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</row>
    <row r="811" spans="1:15" ht="15.95" customHeight="1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</row>
    <row r="812" spans="1:15" ht="15.95" customHeight="1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</row>
    <row r="813" spans="1:15" ht="15.95" customHeight="1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</row>
    <row r="814" spans="1:15" ht="15.95" customHeight="1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</row>
    <row r="815" spans="1:15" ht="15.95" customHeight="1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</row>
    <row r="816" spans="1:15" ht="15.95" customHeight="1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</row>
    <row r="817" spans="1:15" ht="15.95" customHeight="1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</row>
    <row r="818" spans="1:15" ht="15.95" customHeight="1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</row>
    <row r="819" spans="1:15" ht="15.95" customHeight="1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</row>
    <row r="820" spans="1:15" ht="15.95" customHeight="1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</row>
    <row r="821" spans="1:15" ht="15.95" customHeight="1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</row>
    <row r="822" spans="1:15" ht="15.95" customHeight="1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</row>
    <row r="823" spans="1:15" ht="15.95" customHeight="1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</row>
    <row r="824" spans="1:15" ht="15.95" customHeight="1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</row>
    <row r="825" spans="1:15" ht="15.95" customHeight="1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</row>
    <row r="826" spans="1:15" ht="15.95" customHeight="1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</row>
    <row r="827" spans="1:15" ht="15.95" customHeight="1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</row>
    <row r="828" spans="1:15" ht="15.95" customHeight="1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</row>
    <row r="829" spans="1:15" ht="15.95" customHeight="1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</row>
    <row r="830" spans="1:15" ht="15.95" customHeight="1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</row>
    <row r="831" spans="1:15" ht="15.95" customHeight="1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</row>
    <row r="832" spans="1:15" ht="15.95" customHeight="1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</row>
    <row r="833" spans="1:15" ht="15.95" customHeight="1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</row>
    <row r="834" spans="1:15" ht="15.95" customHeight="1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</row>
    <row r="835" spans="1:15" ht="15.95" customHeight="1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</row>
    <row r="836" spans="1:15" ht="15.95" customHeight="1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</row>
    <row r="837" spans="1:15" ht="15.95" customHeight="1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</row>
    <row r="838" spans="1:15" ht="15.95" customHeight="1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</row>
    <row r="839" spans="1:15" ht="15.95" customHeight="1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</row>
    <row r="840" spans="1:15" ht="15.95" customHeight="1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</row>
    <row r="841" spans="1:15" ht="15.95" customHeight="1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</row>
    <row r="842" spans="1:15" ht="15.95" customHeight="1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</row>
    <row r="843" spans="1:15" ht="15.95" customHeight="1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</row>
    <row r="844" spans="1:15" ht="15.95" customHeight="1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</row>
    <row r="845" spans="1:15" ht="15.95" customHeight="1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</row>
    <row r="846" spans="1:15" ht="15.95" customHeight="1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</row>
    <row r="847" spans="1:15" ht="15.95" customHeight="1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</row>
    <row r="848" spans="1:15" ht="15.95" customHeight="1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</row>
    <row r="849" spans="1:15" ht="15.95" customHeight="1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</row>
    <row r="850" spans="1:15" ht="15.95" customHeight="1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</row>
    <row r="851" spans="1:15" ht="15.95" customHeight="1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</row>
    <row r="852" spans="1:15" ht="15.95" customHeight="1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</row>
    <row r="853" spans="1:15" ht="15.95" customHeight="1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</row>
    <row r="854" spans="1:15" ht="15.95" customHeight="1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</row>
    <row r="855" spans="1:15" ht="15.95" customHeight="1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</row>
    <row r="856" spans="1:15" ht="15.95" customHeight="1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</row>
    <row r="857" spans="1:15" ht="15.95" customHeight="1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</row>
    <row r="858" spans="1:15" ht="15.95" customHeight="1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</row>
    <row r="859" spans="1:15" ht="15.95" customHeight="1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</row>
    <row r="860" spans="1:15" ht="15.95" customHeight="1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</row>
    <row r="861" spans="1:15" ht="15.95" customHeight="1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</row>
    <row r="862" spans="1:15" ht="15.95" customHeight="1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</row>
    <row r="863" spans="1:15" ht="15.95" customHeight="1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</row>
    <row r="864" spans="1:15" ht="15.95" customHeight="1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</row>
    <row r="865" spans="1:15" ht="15.95" customHeight="1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</row>
    <row r="866" spans="1:15" ht="15.95" customHeight="1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</row>
    <row r="867" spans="1:15" ht="15.95" customHeight="1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</row>
    <row r="868" spans="1:15" ht="15.95" customHeight="1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</row>
    <row r="869" spans="1:15" ht="15.95" customHeight="1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</row>
    <row r="870" spans="1:15" ht="15.95" customHeight="1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</row>
    <row r="871" spans="1:15" ht="15.95" customHeight="1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</row>
    <row r="872" spans="1:15" ht="15.95" customHeight="1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</row>
    <row r="873" spans="1:15" ht="15.95" customHeight="1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</row>
    <row r="874" spans="1:15" ht="15.95" customHeight="1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</row>
    <row r="875" spans="1:15" ht="15.95" customHeight="1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</row>
    <row r="876" spans="1:15" ht="15.95" customHeight="1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</row>
    <row r="877" spans="1:15" ht="15.95" customHeight="1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</row>
    <row r="878" spans="1:15" ht="15.95" customHeight="1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</row>
    <row r="879" spans="1:15" ht="15.95" customHeight="1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</row>
    <row r="880" spans="1:15" ht="15.95" customHeight="1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</row>
    <row r="881" spans="1:15" ht="15.95" customHeight="1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</row>
    <row r="882" spans="1:15" ht="15.95" customHeight="1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</row>
    <row r="883" spans="1:15" ht="15.95" customHeight="1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</row>
    <row r="884" spans="1:15" ht="15.95" customHeight="1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</row>
    <row r="885" spans="1:15" ht="15.95" customHeight="1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</row>
    <row r="886" spans="1:15" ht="15.95" customHeight="1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</row>
    <row r="887" spans="1:15" ht="15.95" customHeight="1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</row>
    <row r="888" spans="1:15" ht="15.95" customHeight="1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</row>
    <row r="889" spans="1:15" ht="15.95" customHeight="1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</row>
    <row r="890" spans="1:15" ht="15.95" customHeight="1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</row>
    <row r="891" spans="1:15" ht="15.95" customHeight="1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</row>
    <row r="892" spans="1:15" ht="15.95" customHeight="1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</row>
    <row r="893" spans="1:15" ht="15.95" customHeight="1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</row>
    <row r="894" spans="1:15" ht="15.95" customHeight="1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</row>
    <row r="895" spans="1:15" ht="15.95" customHeight="1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</row>
    <row r="896" spans="1:15" ht="15.95" customHeight="1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</row>
    <row r="897" spans="1:15" ht="15.95" customHeight="1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</row>
    <row r="898" spans="1:15" ht="15.95" customHeight="1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</row>
    <row r="899" spans="1:15" ht="15.95" customHeight="1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</row>
    <row r="900" spans="1:15" ht="15.95" customHeight="1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</row>
    <row r="901" spans="1:15" ht="15.95" customHeight="1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</row>
    <row r="902" spans="1:15" ht="15.95" customHeight="1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</row>
    <row r="903" spans="1:15" ht="15.95" customHeight="1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</row>
    <row r="904" spans="1:15" ht="15.95" customHeight="1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</row>
    <row r="905" spans="1:15" ht="15.95" customHeight="1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</row>
    <row r="906" spans="1:15" ht="15.95" customHeight="1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</row>
    <row r="907" spans="1:15" ht="15.95" customHeight="1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</row>
    <row r="908" spans="1:15" ht="15.95" customHeight="1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</row>
    <row r="909" spans="1:15" ht="15.95" customHeight="1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</row>
    <row r="910" spans="1:15" ht="15.95" customHeight="1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</row>
    <row r="911" spans="1:15" ht="15.95" customHeight="1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</row>
    <row r="912" spans="1:15" ht="15.95" customHeight="1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</row>
    <row r="913" spans="1:15" ht="15.95" customHeight="1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</row>
    <row r="914" spans="1:15" ht="15.95" customHeight="1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</row>
    <row r="915" spans="1:15" ht="15.95" customHeight="1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</row>
    <row r="916" spans="1:15" ht="15.95" customHeight="1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</row>
    <row r="917" spans="1:15" ht="15.95" customHeight="1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</row>
    <row r="918" spans="1:15" ht="15.95" customHeight="1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</row>
    <row r="919" spans="1:15" ht="15.95" customHeight="1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</row>
    <row r="920" spans="1:15" ht="15.95" customHeight="1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</row>
    <row r="921" spans="1:15" ht="15.95" customHeight="1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</row>
    <row r="922" spans="1:15" ht="15.95" customHeight="1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</row>
    <row r="923" spans="1:15" ht="15.95" customHeight="1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</row>
    <row r="924" spans="1:15" ht="15.95" customHeight="1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</row>
    <row r="925" spans="1:15" ht="15.95" customHeight="1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</row>
    <row r="926" spans="1:15" ht="15.95" customHeight="1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</row>
    <row r="927" spans="1:15" ht="15.95" customHeight="1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</row>
    <row r="928" spans="1:15" ht="15.95" customHeight="1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</row>
    <row r="929" spans="1:15" ht="15.95" customHeight="1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</row>
    <row r="930" spans="1:15" ht="15.95" customHeight="1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</row>
    <row r="931" spans="1:15" ht="15.95" customHeight="1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</row>
    <row r="932" spans="1:15" ht="15.95" customHeight="1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</row>
    <row r="933" spans="1:15" ht="15.95" customHeight="1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</row>
    <row r="934" spans="1:15" ht="15.95" customHeight="1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</row>
    <row r="935" spans="1:15" ht="15.95" customHeight="1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</row>
    <row r="936" spans="1:15" ht="15.95" customHeight="1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</row>
    <row r="937" spans="1:15" ht="15.95" customHeight="1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</row>
    <row r="938" spans="1:15" ht="15.95" customHeight="1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</row>
    <row r="939" spans="1:15" ht="15.95" customHeight="1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</row>
    <row r="940" spans="1:15" ht="15.95" customHeight="1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</row>
    <row r="941" spans="1:15" ht="15.95" customHeight="1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</row>
    <row r="942" spans="1:15" ht="15.95" customHeight="1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</row>
    <row r="943" spans="1:15" ht="15.95" customHeight="1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</row>
    <row r="944" spans="1:15" ht="15.95" customHeight="1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</row>
    <row r="945" spans="1:15" ht="15.95" customHeight="1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</row>
    <row r="946" spans="1:15" ht="15.95" customHeight="1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</row>
    <row r="947" spans="1:15" ht="15.95" customHeight="1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</row>
    <row r="948" spans="1:15" ht="15.95" customHeight="1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</row>
    <row r="949" spans="1:15" ht="15.95" customHeight="1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</row>
    <row r="950" spans="1:15" ht="15.95" customHeight="1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</row>
    <row r="951" spans="1:15" ht="15.95" customHeight="1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</row>
    <row r="952" spans="1:15" ht="15.95" customHeight="1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</row>
    <row r="953" spans="1:15" ht="15.95" customHeight="1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</row>
    <row r="954" spans="1:15" ht="15.95" customHeight="1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</row>
    <row r="955" spans="1:15" ht="15.95" customHeight="1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</row>
    <row r="956" spans="1:15" ht="15.95" customHeight="1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</row>
    <row r="957" spans="1:15" ht="15.95" customHeight="1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</row>
    <row r="958" spans="1:15" ht="15.95" customHeight="1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</row>
    <row r="959" spans="1:15" ht="15.95" customHeight="1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</row>
    <row r="960" spans="1:15" ht="15.95" customHeight="1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</row>
    <row r="961" spans="1:15" ht="15.95" customHeight="1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</row>
    <row r="962" spans="1:15" ht="15.95" customHeight="1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</row>
    <row r="963" spans="1:15" ht="15.95" customHeight="1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</row>
    <row r="964" spans="1:15" ht="15.95" customHeight="1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</row>
    <row r="965" spans="1:15" ht="15.95" customHeight="1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</row>
    <row r="966" spans="1:15" ht="15.95" customHeight="1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</row>
    <row r="967" spans="1:15" ht="15.95" customHeight="1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</row>
    <row r="968" spans="1:15" ht="15.95" customHeight="1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</row>
    <row r="969" spans="1:15" ht="15.95" customHeight="1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</row>
    <row r="970" spans="1:15" ht="15.95" customHeight="1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</row>
    <row r="971" spans="1:15" ht="15.95" customHeight="1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</row>
    <row r="972" spans="1:15" ht="15.95" customHeight="1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</row>
    <row r="973" spans="1:15" ht="15.95" customHeight="1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</row>
    <row r="974" spans="1:15" ht="15.95" customHeight="1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</row>
    <row r="975" spans="1:15" ht="15.95" customHeight="1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</row>
    <row r="976" spans="1:15" ht="15.95" customHeight="1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</row>
    <row r="977" spans="1:15" ht="15.95" customHeight="1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</row>
    <row r="978" spans="1:15" ht="15.95" customHeight="1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</row>
    <row r="979" spans="1:15" ht="15.95" customHeight="1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</row>
    <row r="980" spans="1:15" ht="15.95" customHeight="1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</row>
    <row r="981" spans="1:15" ht="15.95" customHeight="1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</row>
    <row r="982" spans="1:15" ht="15.95" customHeight="1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</row>
    <row r="983" spans="1:15" ht="15.95" customHeight="1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</row>
    <row r="984" spans="1:15" ht="15.95" customHeight="1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</row>
    <row r="985" spans="1:15" ht="15.95" customHeight="1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</row>
    <row r="986" spans="1:15" ht="15.95" customHeight="1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</row>
    <row r="987" spans="1:15" ht="15.95" customHeight="1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</row>
    <row r="988" spans="1:15" ht="15.95" customHeight="1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</row>
    <row r="989" spans="1:15" ht="15.95" customHeight="1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</row>
    <row r="990" spans="1:15" ht="15.95" customHeight="1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</row>
    <row r="991" spans="1:15" ht="15.95" customHeight="1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</row>
    <row r="992" spans="1:15" ht="15.95" customHeight="1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</row>
    <row r="993" spans="1:15" ht="15.95" customHeight="1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</row>
    <row r="994" spans="1:15" ht="15.95" customHeight="1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</row>
    <row r="995" spans="1:15" ht="15.95" customHeight="1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</row>
    <row r="996" spans="1:15" ht="15.95" customHeight="1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</row>
    <row r="997" spans="1:15" ht="15.95" customHeight="1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</row>
    <row r="998" spans="1:15" ht="15.95" customHeight="1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</row>
    <row r="999" spans="1:15" ht="15.95" customHeight="1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</row>
    <row r="1000" spans="1:15" ht="15.95" customHeight="1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000000"/>
  </sheetPr>
  <dimension ref="A1:C33"/>
  <sheetViews>
    <sheetView workbookViewId="0">
      <selection activeCell="C14" sqref="C14"/>
    </sheetView>
  </sheetViews>
  <sheetFormatPr defaultRowHeight="15" x14ac:dyDescent="0.25"/>
  <cols>
    <col min="1" max="1" width="60.7109375" style="1" customWidth="1"/>
    <col min="2" max="2" width="35.7109375" style="1" customWidth="1"/>
    <col min="3" max="3" width="12.28515625" style="1" customWidth="1"/>
    <col min="4" max="16384" width="9.140625" style="1"/>
  </cols>
  <sheetData>
    <row r="1" spans="1:3" ht="45" x14ac:dyDescent="0.25">
      <c r="A1" s="29" t="s">
        <v>2473</v>
      </c>
      <c r="B1" s="30" t="s">
        <v>2474</v>
      </c>
      <c r="C1" s="31" t="s">
        <v>2475</v>
      </c>
    </row>
    <row r="2" spans="1:3" ht="15.75" thickBot="1" x14ac:dyDescent="0.3">
      <c r="A2" s="4" t="s">
        <v>2572</v>
      </c>
      <c r="B2" s="3" t="s">
        <v>2497</v>
      </c>
      <c r="C2" s="2">
        <v>18</v>
      </c>
    </row>
    <row r="3" spans="1:3" ht="15.75" thickBot="1" x14ac:dyDescent="0.3">
      <c r="A3" s="4" t="s">
        <v>2711</v>
      </c>
      <c r="B3" s="3" t="s">
        <v>2486</v>
      </c>
      <c r="C3" s="2">
        <v>18</v>
      </c>
    </row>
    <row r="4" spans="1:3" x14ac:dyDescent="0.25">
      <c r="A4" s="14"/>
      <c r="B4" s="13"/>
      <c r="C4" s="15"/>
    </row>
    <row r="5" spans="1:3" x14ac:dyDescent="0.25">
      <c r="A5" s="14"/>
      <c r="B5" s="13"/>
      <c r="C5" s="15"/>
    </row>
    <row r="6" spans="1:3" x14ac:dyDescent="0.25">
      <c r="A6" s="14"/>
      <c r="B6" s="13"/>
      <c r="C6" s="15"/>
    </row>
    <row r="7" spans="1:3" x14ac:dyDescent="0.25">
      <c r="A7" s="14"/>
      <c r="B7" s="13"/>
      <c r="C7" s="15"/>
    </row>
    <row r="8" spans="1:3" x14ac:dyDescent="0.25">
      <c r="A8" s="14"/>
      <c r="B8" s="13"/>
      <c r="C8" s="15"/>
    </row>
    <row r="9" spans="1:3" x14ac:dyDescent="0.25">
      <c r="A9" s="14"/>
      <c r="B9" s="13"/>
      <c r="C9" s="15"/>
    </row>
    <row r="10" spans="1:3" x14ac:dyDescent="0.25">
      <c r="A10" s="14"/>
      <c r="B10" s="13"/>
      <c r="C10" s="15"/>
    </row>
    <row r="11" spans="1:3" x14ac:dyDescent="0.25">
      <c r="A11" s="14"/>
      <c r="B11" s="13"/>
      <c r="C11" s="15"/>
    </row>
    <row r="12" spans="1:3" x14ac:dyDescent="0.25">
      <c r="A12" s="14"/>
      <c r="B12" s="13"/>
      <c r="C12" s="15"/>
    </row>
    <row r="13" spans="1:3" x14ac:dyDescent="0.25">
      <c r="A13" s="14"/>
      <c r="B13" s="13"/>
      <c r="C13" s="15"/>
    </row>
    <row r="14" spans="1:3" x14ac:dyDescent="0.25">
      <c r="A14" s="14"/>
      <c r="B14" s="13"/>
      <c r="C14" s="15"/>
    </row>
    <row r="15" spans="1:3" x14ac:dyDescent="0.25">
      <c r="A15" s="14"/>
      <c r="B15" s="13"/>
      <c r="C15" s="15"/>
    </row>
    <row r="16" spans="1:3" x14ac:dyDescent="0.25">
      <c r="A16" s="14"/>
      <c r="B16" s="13"/>
      <c r="C16" s="15"/>
    </row>
    <row r="17" spans="1:3" x14ac:dyDescent="0.25">
      <c r="A17" s="14"/>
      <c r="B17" s="13"/>
      <c r="C17" s="15"/>
    </row>
    <row r="18" spans="1:3" x14ac:dyDescent="0.25">
      <c r="A18" s="14"/>
      <c r="B18" s="13"/>
      <c r="C18" s="15"/>
    </row>
    <row r="19" spans="1:3" x14ac:dyDescent="0.25">
      <c r="A19" s="14"/>
      <c r="B19" s="13"/>
      <c r="C19" s="15"/>
    </row>
    <row r="20" spans="1:3" x14ac:dyDescent="0.25">
      <c r="A20" s="14"/>
      <c r="B20" s="13"/>
      <c r="C20" s="15"/>
    </row>
    <row r="21" spans="1:3" x14ac:dyDescent="0.25">
      <c r="A21" s="14"/>
      <c r="B21" s="13"/>
      <c r="C21" s="15"/>
    </row>
    <row r="22" spans="1:3" x14ac:dyDescent="0.25">
      <c r="A22" s="14"/>
      <c r="B22" s="13"/>
      <c r="C22" s="15"/>
    </row>
    <row r="23" spans="1:3" x14ac:dyDescent="0.25">
      <c r="A23" s="14"/>
      <c r="B23" s="13"/>
      <c r="C23" s="15"/>
    </row>
    <row r="24" spans="1:3" x14ac:dyDescent="0.25">
      <c r="A24" s="14"/>
      <c r="B24" s="13"/>
      <c r="C24" s="15"/>
    </row>
    <row r="25" spans="1:3" x14ac:dyDescent="0.25">
      <c r="A25" s="14"/>
      <c r="B25" s="13"/>
      <c r="C25" s="15"/>
    </row>
    <row r="26" spans="1:3" x14ac:dyDescent="0.25">
      <c r="A26" s="14"/>
      <c r="B26" s="13"/>
      <c r="C26" s="15"/>
    </row>
    <row r="27" spans="1:3" x14ac:dyDescent="0.25">
      <c r="A27" s="14"/>
      <c r="B27" s="13"/>
      <c r="C27" s="15"/>
    </row>
    <row r="28" spans="1:3" x14ac:dyDescent="0.25">
      <c r="A28" s="14"/>
      <c r="B28" s="13"/>
      <c r="C28" s="15"/>
    </row>
    <row r="29" spans="1:3" x14ac:dyDescent="0.25">
      <c r="A29" s="14"/>
      <c r="B29" s="13"/>
      <c r="C29" s="15"/>
    </row>
    <row r="30" spans="1:3" x14ac:dyDescent="0.25">
      <c r="A30" s="14"/>
      <c r="B30" s="13"/>
      <c r="C30" s="15"/>
    </row>
    <row r="31" spans="1:3" x14ac:dyDescent="0.25">
      <c r="A31" s="14"/>
      <c r="B31" s="13"/>
      <c r="C31" s="15"/>
    </row>
    <row r="32" spans="1:3" x14ac:dyDescent="0.25">
      <c r="A32" s="14"/>
      <c r="B32" s="13"/>
      <c r="C32" s="15"/>
    </row>
    <row r="33" spans="1:3" ht="15.75" thickBot="1" x14ac:dyDescent="0.3">
      <c r="A33" s="4"/>
      <c r="B33" s="3"/>
      <c r="C33" s="2"/>
    </row>
  </sheetData>
  <conditionalFormatting sqref="A1:C33">
    <cfRule type="containsText" dxfId="29" priority="1" operator="containsText" text="Добавить">
      <formula>NOT(ISERROR(SEARCH("Добавить",A1)))</formula>
    </cfRule>
    <cfRule type="containsText" dxfId="28" priority="2" operator="containsText" text="Исключить">
      <formula>NOT(ISERROR(SEARCH("Исключить",A1)))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000000"/>
  </sheetPr>
  <dimension ref="A1:U8"/>
  <sheetViews>
    <sheetView workbookViewId="0">
      <selection sqref="A1:A5"/>
    </sheetView>
  </sheetViews>
  <sheetFormatPr defaultRowHeight="15" outlineLevelCol="1" x14ac:dyDescent="0.25"/>
  <cols>
    <col min="1" max="1" width="16.28515625" style="1" customWidth="1"/>
    <col min="2" max="10" width="8.140625" style="1" customWidth="1"/>
    <col min="11" max="12" width="8.140625" style="1" hidden="1" customWidth="1" outlineLevel="1"/>
    <col min="13" max="17" width="0" style="1" hidden="1" customWidth="1" outlineLevel="1"/>
    <col min="18" max="16384" width="9.140625" style="1"/>
  </cols>
  <sheetData>
    <row r="1" spans="1:21" x14ac:dyDescent="0.25">
      <c r="A1" s="141" t="s">
        <v>2862</v>
      </c>
      <c r="B1" s="141" t="s">
        <v>2863</v>
      </c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0"/>
      <c r="S1" s="140"/>
      <c r="T1" s="140"/>
      <c r="U1" s="140"/>
    </row>
    <row r="2" spans="1:21" x14ac:dyDescent="0.25">
      <c r="A2" s="141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0"/>
    </row>
    <row r="3" spans="1:21" x14ac:dyDescent="0.25">
      <c r="A3" s="141"/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</row>
    <row r="4" spans="1:21" x14ac:dyDescent="0.25">
      <c r="A4" s="141"/>
      <c r="B4" s="141"/>
      <c r="C4" s="141"/>
      <c r="D4" s="141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</row>
    <row r="5" spans="1:21" x14ac:dyDescent="0.25">
      <c r="A5" s="141"/>
      <c r="B5" s="141"/>
      <c r="C5" s="141"/>
      <c r="D5" s="141"/>
      <c r="E5" s="141"/>
      <c r="F5" s="141"/>
      <c r="G5" s="141"/>
      <c r="H5" s="141"/>
      <c r="I5" s="141"/>
      <c r="J5" s="141"/>
      <c r="K5" s="141"/>
      <c r="L5" s="141"/>
      <c r="M5" s="141"/>
      <c r="N5" s="141"/>
      <c r="O5" s="141"/>
      <c r="P5" s="141"/>
      <c r="Q5" s="141"/>
    </row>
    <row r="6" spans="1:21" ht="16.5" x14ac:dyDescent="0.25">
      <c r="A6" s="80" t="s">
        <v>3194</v>
      </c>
      <c r="B6" s="82" t="s">
        <v>4</v>
      </c>
      <c r="C6" s="82" t="s">
        <v>4</v>
      </c>
      <c r="D6" s="82">
        <v>270.96999999999997</v>
      </c>
      <c r="E6" s="82">
        <v>60.52</v>
      </c>
      <c r="F6" s="82">
        <v>331.48</v>
      </c>
      <c r="G6" s="82">
        <v>178.54999999999998</v>
      </c>
      <c r="H6" s="82">
        <v>178.54999999999998</v>
      </c>
      <c r="I6" s="82">
        <v>0.08</v>
      </c>
      <c r="J6" s="82">
        <v>0.08</v>
      </c>
      <c r="K6" s="82">
        <v>510.11</v>
      </c>
      <c r="L6" s="82">
        <v>510.11</v>
      </c>
    </row>
    <row r="7" spans="1:21" ht="16.5" x14ac:dyDescent="0.25">
      <c r="A7" s="80" t="s">
        <v>3195</v>
      </c>
      <c r="B7" s="82">
        <v>28.37</v>
      </c>
      <c r="C7" s="82">
        <v>96.2</v>
      </c>
      <c r="D7" s="82">
        <v>201.23</v>
      </c>
      <c r="E7" s="82" t="s">
        <v>4</v>
      </c>
      <c r="F7" s="82">
        <v>325.78999999999996</v>
      </c>
      <c r="G7" s="82">
        <v>468.40999999999997</v>
      </c>
      <c r="H7" s="82">
        <v>468.40999999999997</v>
      </c>
      <c r="I7" s="82">
        <v>0.08</v>
      </c>
      <c r="J7" s="82">
        <v>0.08</v>
      </c>
      <c r="K7" s="82">
        <v>794.27</v>
      </c>
      <c r="L7" s="82">
        <v>794.27</v>
      </c>
    </row>
    <row r="8" spans="1:21" ht="16.5" x14ac:dyDescent="0.25">
      <c r="A8" s="81" t="s">
        <v>3146</v>
      </c>
      <c r="B8" s="83">
        <v>28.37</v>
      </c>
      <c r="C8" s="83">
        <v>96.2</v>
      </c>
      <c r="D8" s="83">
        <v>472.19999999999993</v>
      </c>
      <c r="E8" s="83">
        <v>60.52</v>
      </c>
      <c r="F8" s="83">
        <v>657.27</v>
      </c>
      <c r="G8" s="83">
        <v>646.95999999999992</v>
      </c>
      <c r="H8" s="83">
        <v>646.95999999999992</v>
      </c>
      <c r="I8" s="83">
        <v>0.16</v>
      </c>
      <c r="J8" s="83">
        <v>0.16</v>
      </c>
      <c r="K8" s="83">
        <v>1304.3800000000001</v>
      </c>
      <c r="L8" s="84">
        <v>1304.3800000000001</v>
      </c>
    </row>
  </sheetData>
  <mergeCells count="4">
    <mergeCell ref="R1:R2"/>
    <mergeCell ref="S1:U1"/>
    <mergeCell ref="A1:A5"/>
    <mergeCell ref="B1:Q5"/>
  </mergeCells>
  <conditionalFormatting sqref="A1:U1048576">
    <cfRule type="expression" dxfId="27" priority="1">
      <formula>ISERROR(A1)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errorStyle="warning" allowBlank="1" showInputMessage="1" showErrorMessage="1">
          <x14:formula1>
            <xm:f>'!System'!$AN$1:$AN$6</xm:f>
          </x14:formula1>
          <xm:sqref>G3:G450</xm:sqref>
        </x14:dataValidation>
        <x14:dataValidation type="list" allowBlank="1" showInputMessage="1" showErrorMessage="1">
          <x14:formula1>
            <xm:f>'!System'!$T$1:$AB$1</xm:f>
          </x14:formula1>
          <xm:sqref>J3:J450</xm:sqref>
        </x14:dataValidation>
        <x14:dataValidation type="list" allowBlank="1" showInputMessage="1" showErrorMessage="1">
          <x14:formula1>
            <xm:f>'!System'!$A$1:$R$1</xm:f>
          </x14:formula1>
          <xm:sqref>L3:L450</xm:sqref>
        </x14:dataValidation>
        <x14:dataValidation type="list" allowBlank="1" showInputMessage="1" showErrorMessage="1">
          <x14:formula1>
            <xm:f>'!System'!$AC$1:$AM$1</xm:f>
          </x14:formula1>
          <xm:sqref>O3:O450</xm:sqref>
        </x14:dataValidation>
        <x14:dataValidation type="list" allowBlank="1" showInputMessage="1" showErrorMessage="1">
          <x14:formula1>
            <xm:f>'!System'!$AO$1:$AO$5</xm:f>
          </x14:formula1>
          <xm:sqref>P3:P450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rgb="FF000000"/>
  </sheetPr>
  <dimension ref="A1:AL58"/>
  <sheetViews>
    <sheetView topLeftCell="A34" workbookViewId="0">
      <selection activeCell="M58" sqref="M58"/>
    </sheetView>
  </sheetViews>
  <sheetFormatPr defaultRowHeight="15" x14ac:dyDescent="0.25"/>
  <cols>
    <col min="1" max="1" width="7.85546875" style="1" customWidth="1"/>
    <col min="2" max="2" width="24.5703125" style="1" customWidth="1"/>
    <col min="3" max="3" width="29.42578125" style="1" customWidth="1"/>
    <col min="4" max="36" width="7.85546875" style="1" customWidth="1"/>
    <col min="37" max="37" width="10.28515625" style="1" customWidth="1"/>
    <col min="38" max="38" width="12.7109375" style="1" customWidth="1"/>
    <col min="39" max="16384" width="9.140625" style="1"/>
  </cols>
  <sheetData>
    <row r="1" spans="1:38" ht="16.5" x14ac:dyDescent="0.25">
      <c r="A1" s="96" t="s">
        <v>2734</v>
      </c>
      <c r="B1" s="90" t="s">
        <v>2735</v>
      </c>
      <c r="C1" s="90" t="s">
        <v>2736</v>
      </c>
      <c r="D1" s="92" t="s">
        <v>3030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4"/>
      <c r="AJ1" s="90" t="s">
        <v>2864</v>
      </c>
      <c r="AK1" s="90" t="s">
        <v>2783</v>
      </c>
      <c r="AL1" s="142" t="s">
        <v>2478</v>
      </c>
    </row>
    <row r="2" spans="1:38" ht="16.5" x14ac:dyDescent="0.25">
      <c r="A2" s="97"/>
      <c r="B2" s="91"/>
      <c r="C2" s="91"/>
      <c r="D2" s="56" t="s">
        <v>2784</v>
      </c>
      <c r="E2" s="56" t="s">
        <v>2805</v>
      </c>
      <c r="F2" s="56" t="s">
        <v>2760</v>
      </c>
      <c r="G2" s="56" t="s">
        <v>2802</v>
      </c>
      <c r="H2" s="56" t="s">
        <v>2853</v>
      </c>
      <c r="I2" s="56" t="s">
        <v>2823</v>
      </c>
      <c r="J2" s="56" t="s">
        <v>2808</v>
      </c>
      <c r="K2" s="56" t="s">
        <v>2847</v>
      </c>
      <c r="L2" s="56" t="s">
        <v>2829</v>
      </c>
      <c r="M2" s="56" t="s">
        <v>2838</v>
      </c>
      <c r="N2" s="56" t="s">
        <v>2841</v>
      </c>
      <c r="O2" s="56" t="s">
        <v>2835</v>
      </c>
      <c r="P2" s="56" t="s">
        <v>2850</v>
      </c>
      <c r="Q2" s="56" t="s">
        <v>2799</v>
      </c>
      <c r="R2" s="56" t="s">
        <v>2774</v>
      </c>
      <c r="S2" s="56" t="s">
        <v>2787</v>
      </c>
      <c r="T2" s="56" t="s">
        <v>2911</v>
      </c>
      <c r="U2" s="56" t="s">
        <v>2897</v>
      </c>
      <c r="V2" s="56" t="s">
        <v>2790</v>
      </c>
      <c r="W2" s="56" t="s">
        <v>2908</v>
      </c>
      <c r="X2" s="56" t="s">
        <v>2811</v>
      </c>
      <c r="Y2" s="56" t="s">
        <v>2820</v>
      </c>
      <c r="Z2" s="56" t="s">
        <v>2796</v>
      </c>
      <c r="AA2" s="56" t="s">
        <v>2793</v>
      </c>
      <c r="AB2" s="56" t="s">
        <v>2905</v>
      </c>
      <c r="AC2" s="56" t="s">
        <v>2814</v>
      </c>
      <c r="AD2" s="56" t="s">
        <v>2817</v>
      </c>
      <c r="AE2" s="56" t="s">
        <v>2856</v>
      </c>
      <c r="AF2" s="56" t="s">
        <v>2859</v>
      </c>
      <c r="AG2" s="56" t="s">
        <v>2832</v>
      </c>
      <c r="AH2" s="56" t="s">
        <v>2844</v>
      </c>
      <c r="AI2" s="56" t="s">
        <v>2900</v>
      </c>
      <c r="AJ2" s="91"/>
      <c r="AK2" s="91"/>
      <c r="AL2" s="143"/>
    </row>
    <row r="3" spans="1:38" ht="16.5" x14ac:dyDescent="0.25">
      <c r="A3" s="55">
        <v>1</v>
      </c>
      <c r="B3" s="56" t="s">
        <v>2867</v>
      </c>
      <c r="C3" s="56" t="s">
        <v>2920</v>
      </c>
      <c r="D3" s="56">
        <v>12</v>
      </c>
      <c r="E3" s="56">
        <v>4</v>
      </c>
      <c r="F3" s="56">
        <v>4</v>
      </c>
      <c r="G3" s="56">
        <v>8</v>
      </c>
      <c r="H3" s="56">
        <v>4</v>
      </c>
      <c r="I3" s="56">
        <v>4</v>
      </c>
      <c r="J3" s="56">
        <v>4</v>
      </c>
      <c r="K3" s="56">
        <v>4</v>
      </c>
      <c r="L3" s="56">
        <v>4</v>
      </c>
      <c r="M3" s="56">
        <v>12</v>
      </c>
      <c r="N3" s="56">
        <v>8</v>
      </c>
      <c r="O3" s="56">
        <v>8</v>
      </c>
      <c r="P3" s="56">
        <v>4</v>
      </c>
      <c r="Q3" s="56" t="s">
        <v>4</v>
      </c>
      <c r="R3" s="56" t="s">
        <v>4</v>
      </c>
      <c r="S3" s="56" t="s">
        <v>4</v>
      </c>
      <c r="T3" s="56" t="s">
        <v>4</v>
      </c>
      <c r="U3" s="56" t="s">
        <v>4</v>
      </c>
      <c r="V3" s="56" t="s">
        <v>4</v>
      </c>
      <c r="W3" s="56" t="s">
        <v>4</v>
      </c>
      <c r="X3" s="56" t="s">
        <v>4</v>
      </c>
      <c r="Y3" s="56" t="s">
        <v>4</v>
      </c>
      <c r="Z3" s="56" t="s">
        <v>4</v>
      </c>
      <c r="AA3" s="56" t="s">
        <v>4</v>
      </c>
      <c r="AB3" s="56" t="s">
        <v>4</v>
      </c>
      <c r="AC3" s="56" t="s">
        <v>4</v>
      </c>
      <c r="AD3" s="56" t="s">
        <v>4</v>
      </c>
      <c r="AE3" s="56">
        <v>4</v>
      </c>
      <c r="AF3" s="56">
        <v>4</v>
      </c>
      <c r="AG3" s="56">
        <v>4</v>
      </c>
      <c r="AH3" s="56">
        <v>4</v>
      </c>
      <c r="AI3" s="56" t="s">
        <v>4</v>
      </c>
      <c r="AJ3" s="56">
        <v>96</v>
      </c>
      <c r="AK3" s="56">
        <v>15.13</v>
      </c>
      <c r="AL3" s="57" t="s">
        <v>3031</v>
      </c>
    </row>
    <row r="4" spans="1:38" ht="16.5" x14ac:dyDescent="0.25">
      <c r="A4" s="55" t="s">
        <v>3032</v>
      </c>
      <c r="B4" s="56" t="s">
        <v>2867</v>
      </c>
      <c r="C4" s="56" t="s">
        <v>2920</v>
      </c>
      <c r="D4" s="56" t="s">
        <v>4</v>
      </c>
      <c r="E4" s="56" t="s">
        <v>4</v>
      </c>
      <c r="F4" s="56" t="s">
        <v>4</v>
      </c>
      <c r="G4" s="56" t="s">
        <v>4</v>
      </c>
      <c r="H4" s="56" t="s">
        <v>4</v>
      </c>
      <c r="I4" s="56" t="s">
        <v>4</v>
      </c>
      <c r="J4" s="56" t="s">
        <v>4</v>
      </c>
      <c r="K4" s="56" t="s">
        <v>4</v>
      </c>
      <c r="L4" s="56" t="s">
        <v>4</v>
      </c>
      <c r="M4" s="56" t="s">
        <v>4</v>
      </c>
      <c r="N4" s="56" t="s">
        <v>4</v>
      </c>
      <c r="O4" s="56" t="s">
        <v>4</v>
      </c>
      <c r="P4" s="56" t="s">
        <v>4</v>
      </c>
      <c r="Q4" s="56" t="s">
        <v>4</v>
      </c>
      <c r="R4" s="56" t="s">
        <v>4</v>
      </c>
      <c r="S4" s="56" t="s">
        <v>4</v>
      </c>
      <c r="T4" s="56" t="s">
        <v>4</v>
      </c>
      <c r="U4" s="56" t="s">
        <v>4</v>
      </c>
      <c r="V4" s="56" t="s">
        <v>4</v>
      </c>
      <c r="W4" s="56" t="s">
        <v>4</v>
      </c>
      <c r="X4" s="56" t="s">
        <v>4</v>
      </c>
      <c r="Y4" s="56">
        <v>4</v>
      </c>
      <c r="Z4" s="56" t="s">
        <v>4</v>
      </c>
      <c r="AA4" s="56" t="s">
        <v>4</v>
      </c>
      <c r="AB4" s="56" t="s">
        <v>4</v>
      </c>
      <c r="AC4" s="56" t="s">
        <v>4</v>
      </c>
      <c r="AD4" s="56" t="s">
        <v>4</v>
      </c>
      <c r="AE4" s="56" t="s">
        <v>4</v>
      </c>
      <c r="AF4" s="56" t="s">
        <v>4</v>
      </c>
      <c r="AG4" s="56" t="s">
        <v>4</v>
      </c>
      <c r="AH4" s="56" t="s">
        <v>4</v>
      </c>
      <c r="AI4" s="56" t="s">
        <v>4</v>
      </c>
      <c r="AJ4" s="56">
        <v>4</v>
      </c>
      <c r="AK4" s="56">
        <v>15.13</v>
      </c>
      <c r="AL4" s="57" t="s">
        <v>3033</v>
      </c>
    </row>
    <row r="5" spans="1:38" ht="16.5" x14ac:dyDescent="0.25">
      <c r="A5" s="55" t="s">
        <v>3034</v>
      </c>
      <c r="B5" s="56" t="s">
        <v>2764</v>
      </c>
      <c r="C5" s="56" t="s">
        <v>3035</v>
      </c>
      <c r="D5" s="56">
        <v>792</v>
      </c>
      <c r="E5" s="56">
        <v>265</v>
      </c>
      <c r="F5" s="56">
        <v>247</v>
      </c>
      <c r="G5" s="56">
        <v>494</v>
      </c>
      <c r="H5" s="56">
        <v>246</v>
      </c>
      <c r="I5" s="56">
        <v>247</v>
      </c>
      <c r="J5" s="56">
        <v>263</v>
      </c>
      <c r="K5" s="56">
        <v>242</v>
      </c>
      <c r="L5" s="56">
        <v>261</v>
      </c>
      <c r="M5" s="56">
        <v>789</v>
      </c>
      <c r="N5" s="56">
        <v>530</v>
      </c>
      <c r="O5" s="56">
        <v>528</v>
      </c>
      <c r="P5" s="56">
        <v>244</v>
      </c>
      <c r="Q5" s="56">
        <v>118</v>
      </c>
      <c r="R5" s="56">
        <v>127</v>
      </c>
      <c r="S5" s="56">
        <v>268</v>
      </c>
      <c r="T5" s="56">
        <v>134</v>
      </c>
      <c r="U5" s="56">
        <v>176</v>
      </c>
      <c r="V5" s="56">
        <v>456</v>
      </c>
      <c r="W5" s="56">
        <v>226</v>
      </c>
      <c r="X5" s="56">
        <v>228</v>
      </c>
      <c r="Y5" s="56">
        <v>244</v>
      </c>
      <c r="Z5" s="56">
        <v>621</v>
      </c>
      <c r="AA5" s="56">
        <v>476</v>
      </c>
      <c r="AB5" s="56">
        <v>130</v>
      </c>
      <c r="AC5" s="56">
        <v>232</v>
      </c>
      <c r="AD5" s="56">
        <v>233</v>
      </c>
      <c r="AE5" s="56">
        <v>265</v>
      </c>
      <c r="AF5" s="56">
        <v>262</v>
      </c>
      <c r="AG5" s="56">
        <v>263</v>
      </c>
      <c r="AH5" s="56">
        <v>258</v>
      </c>
      <c r="AI5" s="56">
        <v>176</v>
      </c>
      <c r="AJ5" s="56">
        <v>10041</v>
      </c>
      <c r="AK5" s="56">
        <v>0.73</v>
      </c>
      <c r="AL5" s="57" t="s">
        <v>3036</v>
      </c>
    </row>
    <row r="6" spans="1:38" ht="16.5" x14ac:dyDescent="0.25">
      <c r="A6" s="55">
        <v>3</v>
      </c>
      <c r="B6" s="56" t="s">
        <v>2867</v>
      </c>
      <c r="C6" s="56" t="s">
        <v>2923</v>
      </c>
      <c r="D6" s="56">
        <v>12</v>
      </c>
      <c r="E6" s="56">
        <v>4</v>
      </c>
      <c r="F6" s="56">
        <v>4</v>
      </c>
      <c r="G6" s="56">
        <v>8</v>
      </c>
      <c r="H6" s="56">
        <v>4</v>
      </c>
      <c r="I6" s="56">
        <v>4</v>
      </c>
      <c r="J6" s="56">
        <v>4</v>
      </c>
      <c r="K6" s="56">
        <v>4</v>
      </c>
      <c r="L6" s="56">
        <v>4</v>
      </c>
      <c r="M6" s="56">
        <v>12</v>
      </c>
      <c r="N6" s="56">
        <v>8</v>
      </c>
      <c r="O6" s="56">
        <v>8</v>
      </c>
      <c r="P6" s="56">
        <v>4</v>
      </c>
      <c r="Q6" s="56" t="s">
        <v>4</v>
      </c>
      <c r="R6" s="56" t="s">
        <v>4</v>
      </c>
      <c r="S6" s="56">
        <v>8</v>
      </c>
      <c r="T6" s="56">
        <v>4</v>
      </c>
      <c r="U6" s="56" t="s">
        <v>4</v>
      </c>
      <c r="V6" s="56" t="s">
        <v>4</v>
      </c>
      <c r="W6" s="56" t="s">
        <v>4</v>
      </c>
      <c r="X6" s="56">
        <v>4</v>
      </c>
      <c r="Y6" s="56">
        <v>4</v>
      </c>
      <c r="Z6" s="56" t="s">
        <v>4</v>
      </c>
      <c r="AA6" s="56" t="s">
        <v>4</v>
      </c>
      <c r="AB6" s="56" t="s">
        <v>4</v>
      </c>
      <c r="AC6" s="56">
        <v>4</v>
      </c>
      <c r="AD6" s="56">
        <v>4</v>
      </c>
      <c r="AE6" s="56" t="s">
        <v>4</v>
      </c>
      <c r="AF6" s="56" t="s">
        <v>4</v>
      </c>
      <c r="AG6" s="56" t="s">
        <v>4</v>
      </c>
      <c r="AH6" s="56" t="s">
        <v>4</v>
      </c>
      <c r="AI6" s="56" t="s">
        <v>4</v>
      </c>
      <c r="AJ6" s="56">
        <v>108</v>
      </c>
      <c r="AK6" s="56">
        <v>11.1</v>
      </c>
      <c r="AL6" s="57" t="s">
        <v>3037</v>
      </c>
    </row>
    <row r="7" spans="1:38" ht="16.5" x14ac:dyDescent="0.25">
      <c r="A7" s="55">
        <v>4</v>
      </c>
      <c r="B7" s="56" t="s">
        <v>2867</v>
      </c>
      <c r="C7" s="56" t="s">
        <v>2924</v>
      </c>
      <c r="D7" s="56">
        <v>60</v>
      </c>
      <c r="E7" s="56">
        <v>20</v>
      </c>
      <c r="F7" s="56">
        <v>20</v>
      </c>
      <c r="G7" s="56">
        <v>32</v>
      </c>
      <c r="H7" s="56">
        <v>20</v>
      </c>
      <c r="I7" s="56">
        <v>16</v>
      </c>
      <c r="J7" s="56">
        <v>20</v>
      </c>
      <c r="K7" s="56">
        <v>20</v>
      </c>
      <c r="L7" s="56">
        <v>20</v>
      </c>
      <c r="M7" s="56">
        <v>60</v>
      </c>
      <c r="N7" s="56">
        <v>40</v>
      </c>
      <c r="O7" s="56">
        <v>32</v>
      </c>
      <c r="P7" s="56">
        <v>20</v>
      </c>
      <c r="Q7" s="56">
        <v>16</v>
      </c>
      <c r="R7" s="56" t="s">
        <v>4</v>
      </c>
      <c r="S7" s="56">
        <v>32</v>
      </c>
      <c r="T7" s="56">
        <v>16</v>
      </c>
      <c r="U7" s="56" t="s">
        <v>4</v>
      </c>
      <c r="V7" s="56">
        <v>32</v>
      </c>
      <c r="W7" s="56">
        <v>16</v>
      </c>
      <c r="X7" s="56">
        <v>20</v>
      </c>
      <c r="Y7" s="56">
        <v>20</v>
      </c>
      <c r="Z7" s="56">
        <v>72</v>
      </c>
      <c r="AA7" s="56" t="s">
        <v>4</v>
      </c>
      <c r="AB7" s="56" t="s">
        <v>4</v>
      </c>
      <c r="AC7" s="56">
        <v>20</v>
      </c>
      <c r="AD7" s="56">
        <v>20</v>
      </c>
      <c r="AE7" s="56" t="s">
        <v>4</v>
      </c>
      <c r="AF7" s="56" t="s">
        <v>4</v>
      </c>
      <c r="AG7" s="56">
        <v>16</v>
      </c>
      <c r="AH7" s="56">
        <v>20</v>
      </c>
      <c r="AI7" s="56" t="s">
        <v>4</v>
      </c>
      <c r="AJ7" s="56">
        <v>680</v>
      </c>
      <c r="AK7" s="56">
        <v>9.99</v>
      </c>
      <c r="AL7" s="57" t="s">
        <v>3038</v>
      </c>
    </row>
    <row r="8" spans="1:38" ht="16.5" x14ac:dyDescent="0.25">
      <c r="A8" s="55">
        <v>5</v>
      </c>
      <c r="B8" s="56" t="s">
        <v>2867</v>
      </c>
      <c r="C8" s="56" t="s">
        <v>2925</v>
      </c>
      <c r="D8" s="56">
        <v>12</v>
      </c>
      <c r="E8" s="56">
        <v>4</v>
      </c>
      <c r="F8" s="56" t="s">
        <v>4</v>
      </c>
      <c r="G8" s="56" t="s">
        <v>4</v>
      </c>
      <c r="H8" s="56" t="s">
        <v>4</v>
      </c>
      <c r="I8" s="56" t="s">
        <v>4</v>
      </c>
      <c r="J8" s="56">
        <v>4</v>
      </c>
      <c r="K8" s="56" t="s">
        <v>4</v>
      </c>
      <c r="L8" s="56">
        <v>4</v>
      </c>
      <c r="M8" s="56">
        <v>12</v>
      </c>
      <c r="N8" s="56">
        <v>8</v>
      </c>
      <c r="O8" s="56">
        <v>8</v>
      </c>
      <c r="P8" s="56" t="s">
        <v>4</v>
      </c>
      <c r="Q8" s="56" t="s">
        <v>4</v>
      </c>
      <c r="R8" s="56" t="s">
        <v>4</v>
      </c>
      <c r="S8" s="56">
        <v>8</v>
      </c>
      <c r="T8" s="56">
        <v>4</v>
      </c>
      <c r="U8" s="56" t="s">
        <v>4</v>
      </c>
      <c r="V8" s="56">
        <v>8</v>
      </c>
      <c r="W8" s="56">
        <v>4</v>
      </c>
      <c r="X8" s="56">
        <v>4</v>
      </c>
      <c r="Y8" s="56" t="s">
        <v>4</v>
      </c>
      <c r="Z8" s="56" t="s">
        <v>4</v>
      </c>
      <c r="AA8" s="56" t="s">
        <v>4</v>
      </c>
      <c r="AB8" s="56" t="s">
        <v>4</v>
      </c>
      <c r="AC8" s="56" t="s">
        <v>4</v>
      </c>
      <c r="AD8" s="56" t="s">
        <v>4</v>
      </c>
      <c r="AE8" s="56" t="s">
        <v>4</v>
      </c>
      <c r="AF8" s="56" t="s">
        <v>4</v>
      </c>
      <c r="AG8" s="56" t="s">
        <v>4</v>
      </c>
      <c r="AH8" s="56" t="s">
        <v>4</v>
      </c>
      <c r="AI8" s="56" t="s">
        <v>4</v>
      </c>
      <c r="AJ8" s="56">
        <v>80</v>
      </c>
      <c r="AK8" s="56">
        <v>9.43</v>
      </c>
      <c r="AL8" s="57" t="s">
        <v>3039</v>
      </c>
    </row>
    <row r="9" spans="1:38" ht="16.5" x14ac:dyDescent="0.25">
      <c r="A9" s="55">
        <v>5</v>
      </c>
      <c r="B9" s="56" t="s">
        <v>2867</v>
      </c>
      <c r="C9" s="56" t="s">
        <v>2986</v>
      </c>
      <c r="D9" s="56" t="s">
        <v>4</v>
      </c>
      <c r="E9" s="56" t="s">
        <v>4</v>
      </c>
      <c r="F9" s="56" t="s">
        <v>4</v>
      </c>
      <c r="G9" s="56" t="s">
        <v>4</v>
      </c>
      <c r="H9" s="56" t="s">
        <v>4</v>
      </c>
      <c r="I9" s="56" t="s">
        <v>4</v>
      </c>
      <c r="J9" s="56" t="s">
        <v>4</v>
      </c>
      <c r="K9" s="56" t="s">
        <v>4</v>
      </c>
      <c r="L9" s="56" t="s">
        <v>4</v>
      </c>
      <c r="M9" s="56" t="s">
        <v>4</v>
      </c>
      <c r="N9" s="56" t="s">
        <v>4</v>
      </c>
      <c r="O9" s="56" t="s">
        <v>4</v>
      </c>
      <c r="P9" s="56" t="s">
        <v>4</v>
      </c>
      <c r="Q9" s="56" t="s">
        <v>4</v>
      </c>
      <c r="R9" s="56" t="s">
        <v>4</v>
      </c>
      <c r="S9" s="56" t="s">
        <v>4</v>
      </c>
      <c r="T9" s="56" t="s">
        <v>4</v>
      </c>
      <c r="U9" s="56" t="s">
        <v>4</v>
      </c>
      <c r="V9" s="56" t="s">
        <v>4</v>
      </c>
      <c r="W9" s="56" t="s">
        <v>4</v>
      </c>
      <c r="X9" s="56" t="s">
        <v>4</v>
      </c>
      <c r="Y9" s="56" t="s">
        <v>4</v>
      </c>
      <c r="Z9" s="56" t="s">
        <v>4</v>
      </c>
      <c r="AA9" s="56" t="s">
        <v>4</v>
      </c>
      <c r="AB9" s="56" t="s">
        <v>4</v>
      </c>
      <c r="AC9" s="56" t="s">
        <v>4</v>
      </c>
      <c r="AD9" s="56" t="s">
        <v>4</v>
      </c>
      <c r="AE9" s="56" t="s">
        <v>4</v>
      </c>
      <c r="AF9" s="56" t="s">
        <v>4</v>
      </c>
      <c r="AG9" s="56">
        <v>4</v>
      </c>
      <c r="AH9" s="56" t="s">
        <v>4</v>
      </c>
      <c r="AI9" s="56" t="s">
        <v>4</v>
      </c>
      <c r="AJ9" s="56">
        <v>4</v>
      </c>
      <c r="AK9" s="56">
        <v>9.379999999999999</v>
      </c>
      <c r="AL9" s="57" t="s">
        <v>3040</v>
      </c>
    </row>
    <row r="10" spans="1:38" ht="16.5" x14ac:dyDescent="0.25">
      <c r="A10" s="55">
        <v>6</v>
      </c>
      <c r="B10" s="56" t="s">
        <v>2867</v>
      </c>
      <c r="C10" s="56" t="s">
        <v>2926</v>
      </c>
      <c r="D10" s="56">
        <v>12</v>
      </c>
      <c r="E10" s="56">
        <v>4</v>
      </c>
      <c r="F10" s="56" t="s">
        <v>4</v>
      </c>
      <c r="G10" s="56" t="s">
        <v>4</v>
      </c>
      <c r="H10" s="56" t="s">
        <v>4</v>
      </c>
      <c r="I10" s="56" t="s">
        <v>4</v>
      </c>
      <c r="J10" s="56">
        <v>4</v>
      </c>
      <c r="K10" s="56" t="s">
        <v>4</v>
      </c>
      <c r="L10" s="56">
        <v>4</v>
      </c>
      <c r="M10" s="56" t="s">
        <v>4</v>
      </c>
      <c r="N10" s="56" t="s">
        <v>4</v>
      </c>
      <c r="O10" s="56">
        <v>8</v>
      </c>
      <c r="P10" s="56" t="s">
        <v>4</v>
      </c>
      <c r="Q10" s="56" t="s">
        <v>4</v>
      </c>
      <c r="R10" s="56" t="s">
        <v>4</v>
      </c>
      <c r="S10" s="56">
        <v>8</v>
      </c>
      <c r="T10" s="56">
        <v>4</v>
      </c>
      <c r="U10" s="56" t="s">
        <v>4</v>
      </c>
      <c r="V10" s="56">
        <v>8</v>
      </c>
      <c r="W10" s="56">
        <v>4</v>
      </c>
      <c r="X10" s="56">
        <v>4</v>
      </c>
      <c r="Y10" s="56" t="s">
        <v>4</v>
      </c>
      <c r="Z10" s="56" t="s">
        <v>4</v>
      </c>
      <c r="AA10" s="56" t="s">
        <v>4</v>
      </c>
      <c r="AB10" s="56" t="s">
        <v>4</v>
      </c>
      <c r="AC10" s="56" t="s">
        <v>4</v>
      </c>
      <c r="AD10" s="56" t="s">
        <v>4</v>
      </c>
      <c r="AE10" s="56" t="s">
        <v>4</v>
      </c>
      <c r="AF10" s="56" t="s">
        <v>4</v>
      </c>
      <c r="AG10" s="56" t="s">
        <v>4</v>
      </c>
      <c r="AH10" s="56" t="s">
        <v>4</v>
      </c>
      <c r="AI10" s="56" t="s">
        <v>4</v>
      </c>
      <c r="AJ10" s="56">
        <v>60</v>
      </c>
      <c r="AK10" s="56">
        <v>3.53</v>
      </c>
      <c r="AL10" s="57" t="s">
        <v>3041</v>
      </c>
    </row>
    <row r="11" spans="1:38" ht="16.5" x14ac:dyDescent="0.25">
      <c r="A11" s="55">
        <v>6</v>
      </c>
      <c r="B11" s="56" t="s">
        <v>2867</v>
      </c>
      <c r="C11" s="56" t="s">
        <v>2971</v>
      </c>
      <c r="D11" s="56" t="s">
        <v>4</v>
      </c>
      <c r="E11" s="56" t="s">
        <v>4</v>
      </c>
      <c r="F11" s="56" t="s">
        <v>4</v>
      </c>
      <c r="G11" s="56" t="s">
        <v>4</v>
      </c>
      <c r="H11" s="56" t="s">
        <v>4</v>
      </c>
      <c r="I11" s="56" t="s">
        <v>4</v>
      </c>
      <c r="J11" s="56" t="s">
        <v>4</v>
      </c>
      <c r="K11" s="56" t="s">
        <v>4</v>
      </c>
      <c r="L11" s="56" t="s">
        <v>4</v>
      </c>
      <c r="M11" s="56">
        <v>12</v>
      </c>
      <c r="N11" s="56">
        <v>8</v>
      </c>
      <c r="O11" s="56" t="s">
        <v>4</v>
      </c>
      <c r="P11" s="56" t="s">
        <v>4</v>
      </c>
      <c r="Q11" s="56" t="s">
        <v>4</v>
      </c>
      <c r="R11" s="56" t="s">
        <v>4</v>
      </c>
      <c r="S11" s="56" t="s">
        <v>4</v>
      </c>
      <c r="T11" s="56" t="s">
        <v>4</v>
      </c>
      <c r="U11" s="56" t="s">
        <v>4</v>
      </c>
      <c r="V11" s="56" t="s">
        <v>4</v>
      </c>
      <c r="W11" s="56" t="s">
        <v>4</v>
      </c>
      <c r="X11" s="56" t="s">
        <v>4</v>
      </c>
      <c r="Y11" s="56" t="s">
        <v>4</v>
      </c>
      <c r="Z11" s="56" t="s">
        <v>4</v>
      </c>
      <c r="AA11" s="56" t="s">
        <v>4</v>
      </c>
      <c r="AB11" s="56" t="s">
        <v>4</v>
      </c>
      <c r="AC11" s="56" t="s">
        <v>4</v>
      </c>
      <c r="AD11" s="56" t="s">
        <v>4</v>
      </c>
      <c r="AE11" s="56" t="s">
        <v>4</v>
      </c>
      <c r="AF11" s="56" t="s">
        <v>4</v>
      </c>
      <c r="AG11" s="56" t="s">
        <v>4</v>
      </c>
      <c r="AH11" s="56" t="s">
        <v>4</v>
      </c>
      <c r="AI11" s="56" t="s">
        <v>4</v>
      </c>
      <c r="AJ11" s="56">
        <v>20</v>
      </c>
      <c r="AK11" s="56">
        <v>4.2699999999999996</v>
      </c>
      <c r="AL11" s="57" t="s">
        <v>3042</v>
      </c>
    </row>
    <row r="12" spans="1:38" ht="16.5" x14ac:dyDescent="0.25">
      <c r="A12" s="55">
        <v>7</v>
      </c>
      <c r="B12" s="56" t="s">
        <v>2867</v>
      </c>
      <c r="C12" s="56" t="s">
        <v>2926</v>
      </c>
      <c r="D12" s="56" t="s">
        <v>4</v>
      </c>
      <c r="E12" s="56" t="s">
        <v>4</v>
      </c>
      <c r="F12" s="56" t="s">
        <v>4</v>
      </c>
      <c r="G12" s="56" t="s">
        <v>4</v>
      </c>
      <c r="H12" s="56" t="s">
        <v>4</v>
      </c>
      <c r="I12" s="56" t="s">
        <v>4</v>
      </c>
      <c r="J12" s="56" t="s">
        <v>4</v>
      </c>
      <c r="K12" s="56" t="s">
        <v>4</v>
      </c>
      <c r="L12" s="56">
        <v>4</v>
      </c>
      <c r="M12" s="56" t="s">
        <v>4</v>
      </c>
      <c r="N12" s="56" t="s">
        <v>4</v>
      </c>
      <c r="O12" s="56" t="s">
        <v>4</v>
      </c>
      <c r="P12" s="56" t="s">
        <v>4</v>
      </c>
      <c r="Q12" s="56" t="s">
        <v>4</v>
      </c>
      <c r="R12" s="56" t="s">
        <v>4</v>
      </c>
      <c r="S12" s="56" t="s">
        <v>4</v>
      </c>
      <c r="T12" s="56" t="s">
        <v>4</v>
      </c>
      <c r="U12" s="56" t="s">
        <v>4</v>
      </c>
      <c r="V12" s="56" t="s">
        <v>4</v>
      </c>
      <c r="W12" s="56" t="s">
        <v>4</v>
      </c>
      <c r="X12" s="56" t="s">
        <v>4</v>
      </c>
      <c r="Y12" s="56" t="s">
        <v>4</v>
      </c>
      <c r="Z12" s="56" t="s">
        <v>4</v>
      </c>
      <c r="AA12" s="56" t="s">
        <v>4</v>
      </c>
      <c r="AB12" s="56" t="s">
        <v>4</v>
      </c>
      <c r="AC12" s="56" t="s">
        <v>4</v>
      </c>
      <c r="AD12" s="56" t="s">
        <v>4</v>
      </c>
      <c r="AE12" s="56" t="s">
        <v>4</v>
      </c>
      <c r="AF12" s="56" t="s">
        <v>4</v>
      </c>
      <c r="AG12" s="56" t="s">
        <v>4</v>
      </c>
      <c r="AH12" s="56" t="s">
        <v>4</v>
      </c>
      <c r="AI12" s="56" t="s">
        <v>4</v>
      </c>
      <c r="AJ12" s="56">
        <v>4</v>
      </c>
      <c r="AK12" s="56">
        <v>3.53</v>
      </c>
      <c r="AL12" s="57" t="s">
        <v>3044</v>
      </c>
    </row>
    <row r="13" spans="1:38" ht="16.5" x14ac:dyDescent="0.25">
      <c r="A13" s="55">
        <v>7</v>
      </c>
      <c r="B13" s="56" t="s">
        <v>2867</v>
      </c>
      <c r="C13" s="56" t="s">
        <v>2945</v>
      </c>
      <c r="D13" s="56" t="s">
        <v>4</v>
      </c>
      <c r="E13" s="56" t="s">
        <v>4</v>
      </c>
      <c r="F13" s="56" t="s">
        <v>4</v>
      </c>
      <c r="G13" s="56" t="s">
        <v>4</v>
      </c>
      <c r="H13" s="56" t="s">
        <v>4</v>
      </c>
      <c r="I13" s="56" t="s">
        <v>4</v>
      </c>
      <c r="J13" s="56" t="s">
        <v>4</v>
      </c>
      <c r="K13" s="56" t="s">
        <v>4</v>
      </c>
      <c r="L13" s="56" t="s">
        <v>4</v>
      </c>
      <c r="M13" s="56" t="s">
        <v>4</v>
      </c>
      <c r="N13" s="56" t="s">
        <v>4</v>
      </c>
      <c r="O13" s="56" t="s">
        <v>4</v>
      </c>
      <c r="P13" s="56" t="s">
        <v>4</v>
      </c>
      <c r="Q13" s="56" t="s">
        <v>4</v>
      </c>
      <c r="R13" s="56" t="s">
        <v>4</v>
      </c>
      <c r="S13" s="56" t="s">
        <v>4</v>
      </c>
      <c r="T13" s="56" t="s">
        <v>4</v>
      </c>
      <c r="U13" s="56" t="s">
        <v>4</v>
      </c>
      <c r="V13" s="56">
        <v>16</v>
      </c>
      <c r="W13" s="56">
        <v>8</v>
      </c>
      <c r="X13" s="56" t="s">
        <v>4</v>
      </c>
      <c r="Y13" s="56" t="s">
        <v>4</v>
      </c>
      <c r="Z13" s="56" t="s">
        <v>4</v>
      </c>
      <c r="AA13" s="56" t="s">
        <v>4</v>
      </c>
      <c r="AB13" s="56" t="s">
        <v>4</v>
      </c>
      <c r="AC13" s="56" t="s">
        <v>4</v>
      </c>
      <c r="AD13" s="56" t="s">
        <v>4</v>
      </c>
      <c r="AE13" s="56" t="s">
        <v>4</v>
      </c>
      <c r="AF13" s="56" t="s">
        <v>4</v>
      </c>
      <c r="AG13" s="56" t="s">
        <v>4</v>
      </c>
      <c r="AH13" s="56" t="s">
        <v>4</v>
      </c>
      <c r="AI13" s="56" t="s">
        <v>4</v>
      </c>
      <c r="AJ13" s="56">
        <v>24</v>
      </c>
      <c r="AK13" s="56">
        <v>10.53</v>
      </c>
      <c r="AL13" s="57" t="s">
        <v>3043</v>
      </c>
    </row>
    <row r="14" spans="1:38" ht="16.5" x14ac:dyDescent="0.25">
      <c r="A14" s="55" t="s">
        <v>3045</v>
      </c>
      <c r="B14" s="56" t="s">
        <v>2867</v>
      </c>
      <c r="C14" s="56" t="s">
        <v>3046</v>
      </c>
      <c r="D14" s="56" t="s">
        <v>4</v>
      </c>
      <c r="E14" s="56" t="s">
        <v>4</v>
      </c>
      <c r="F14" s="56" t="s">
        <v>4</v>
      </c>
      <c r="G14" s="56" t="s">
        <v>4</v>
      </c>
      <c r="H14" s="56" t="s">
        <v>4</v>
      </c>
      <c r="I14" s="56" t="s">
        <v>4</v>
      </c>
      <c r="J14" s="56" t="s">
        <v>4</v>
      </c>
      <c r="K14" s="56" t="s">
        <v>4</v>
      </c>
      <c r="L14" s="56" t="s">
        <v>4</v>
      </c>
      <c r="M14" s="56" t="s">
        <v>4</v>
      </c>
      <c r="N14" s="56" t="s">
        <v>4</v>
      </c>
      <c r="O14" s="56" t="s">
        <v>4</v>
      </c>
      <c r="P14" s="56" t="s">
        <v>4</v>
      </c>
      <c r="Q14" s="56" t="s">
        <v>4</v>
      </c>
      <c r="R14" s="56" t="s">
        <v>4</v>
      </c>
      <c r="S14" s="56">
        <v>8</v>
      </c>
      <c r="T14" s="56">
        <v>4</v>
      </c>
      <c r="U14" s="56" t="s">
        <v>4</v>
      </c>
      <c r="V14" s="56" t="s">
        <v>4</v>
      </c>
      <c r="W14" s="56" t="s">
        <v>4</v>
      </c>
      <c r="X14" s="56" t="s">
        <v>4</v>
      </c>
      <c r="Y14" s="56" t="s">
        <v>4</v>
      </c>
      <c r="Z14" s="56" t="s">
        <v>4</v>
      </c>
      <c r="AA14" s="56" t="s">
        <v>4</v>
      </c>
      <c r="AB14" s="56" t="s">
        <v>4</v>
      </c>
      <c r="AC14" s="56" t="s">
        <v>4</v>
      </c>
      <c r="AD14" s="56" t="s">
        <v>4</v>
      </c>
      <c r="AE14" s="56" t="s">
        <v>4</v>
      </c>
      <c r="AF14" s="56" t="s">
        <v>4</v>
      </c>
      <c r="AG14" s="56" t="s">
        <v>4</v>
      </c>
      <c r="AH14" s="56" t="s">
        <v>4</v>
      </c>
      <c r="AI14" s="56" t="s">
        <v>4</v>
      </c>
      <c r="AJ14" s="56">
        <v>12</v>
      </c>
      <c r="AK14" s="56">
        <v>15.16</v>
      </c>
      <c r="AL14" s="57" t="s">
        <v>3047</v>
      </c>
    </row>
    <row r="15" spans="1:38" ht="16.5" x14ac:dyDescent="0.25">
      <c r="A15" s="55" t="s">
        <v>3048</v>
      </c>
      <c r="B15" s="56" t="s">
        <v>2867</v>
      </c>
      <c r="C15" s="56" t="s">
        <v>3049</v>
      </c>
      <c r="D15" s="56" t="s">
        <v>4</v>
      </c>
      <c r="E15" s="56" t="s">
        <v>4</v>
      </c>
      <c r="F15" s="56" t="s">
        <v>4</v>
      </c>
      <c r="G15" s="56" t="s">
        <v>4</v>
      </c>
      <c r="H15" s="56" t="s">
        <v>4</v>
      </c>
      <c r="I15" s="56" t="s">
        <v>4</v>
      </c>
      <c r="J15" s="56" t="s">
        <v>4</v>
      </c>
      <c r="K15" s="56" t="s">
        <v>4</v>
      </c>
      <c r="L15" s="56" t="s">
        <v>4</v>
      </c>
      <c r="M15" s="56" t="s">
        <v>4</v>
      </c>
      <c r="N15" s="56" t="s">
        <v>4</v>
      </c>
      <c r="O15" s="56" t="s">
        <v>4</v>
      </c>
      <c r="P15" s="56" t="s">
        <v>4</v>
      </c>
      <c r="Q15" s="56">
        <v>4</v>
      </c>
      <c r="R15" s="56">
        <v>4</v>
      </c>
      <c r="S15" s="56">
        <v>8</v>
      </c>
      <c r="T15" s="56">
        <v>4</v>
      </c>
      <c r="U15" s="56" t="s">
        <v>4</v>
      </c>
      <c r="V15" s="56" t="s">
        <v>4</v>
      </c>
      <c r="W15" s="56" t="s">
        <v>4</v>
      </c>
      <c r="X15" s="56">
        <v>4</v>
      </c>
      <c r="Y15" s="56">
        <v>4</v>
      </c>
      <c r="Z15" s="56" t="s">
        <v>4</v>
      </c>
      <c r="AA15" s="56" t="s">
        <v>4</v>
      </c>
      <c r="AB15" s="56" t="s">
        <v>4</v>
      </c>
      <c r="AC15" s="56">
        <v>4</v>
      </c>
      <c r="AD15" s="56">
        <v>4</v>
      </c>
      <c r="AE15" s="56" t="s">
        <v>4</v>
      </c>
      <c r="AF15" s="56" t="s">
        <v>4</v>
      </c>
      <c r="AG15" s="56" t="s">
        <v>4</v>
      </c>
      <c r="AH15" s="56" t="s">
        <v>4</v>
      </c>
      <c r="AI15" s="56" t="s">
        <v>4</v>
      </c>
      <c r="AJ15" s="56">
        <v>36</v>
      </c>
      <c r="AK15" s="56">
        <v>9.27</v>
      </c>
      <c r="AL15" s="57" t="s">
        <v>3050</v>
      </c>
    </row>
    <row r="16" spans="1:38" ht="16.5" x14ac:dyDescent="0.25">
      <c r="A16" s="55" t="s">
        <v>3051</v>
      </c>
      <c r="B16" s="56" t="s">
        <v>2764</v>
      </c>
      <c r="C16" s="56" t="s">
        <v>3052</v>
      </c>
      <c r="D16" s="56" t="s">
        <v>4</v>
      </c>
      <c r="E16" s="56" t="s">
        <v>4</v>
      </c>
      <c r="F16" s="56" t="s">
        <v>4</v>
      </c>
      <c r="G16" s="56" t="s">
        <v>4</v>
      </c>
      <c r="H16" s="56" t="s">
        <v>4</v>
      </c>
      <c r="I16" s="56" t="s">
        <v>4</v>
      </c>
      <c r="J16" s="56" t="s">
        <v>4</v>
      </c>
      <c r="K16" s="56" t="s">
        <v>4</v>
      </c>
      <c r="L16" s="56" t="s">
        <v>4</v>
      </c>
      <c r="M16" s="56" t="s">
        <v>4</v>
      </c>
      <c r="N16" s="56" t="s">
        <v>4</v>
      </c>
      <c r="O16" s="56" t="s">
        <v>4</v>
      </c>
      <c r="P16" s="56" t="s">
        <v>4</v>
      </c>
      <c r="Q16" s="56" t="s">
        <v>4</v>
      </c>
      <c r="R16" s="56" t="s">
        <v>4</v>
      </c>
      <c r="S16" s="56">
        <v>74</v>
      </c>
      <c r="T16" s="56">
        <v>37</v>
      </c>
      <c r="U16" s="56" t="s">
        <v>4</v>
      </c>
      <c r="V16" s="56" t="s">
        <v>4</v>
      </c>
      <c r="W16" s="56" t="s">
        <v>4</v>
      </c>
      <c r="X16" s="56" t="s">
        <v>4</v>
      </c>
      <c r="Y16" s="56" t="s">
        <v>4</v>
      </c>
      <c r="Z16" s="56" t="s">
        <v>4</v>
      </c>
      <c r="AA16" s="56" t="s">
        <v>4</v>
      </c>
      <c r="AB16" s="56" t="s">
        <v>4</v>
      </c>
      <c r="AC16" s="56" t="s">
        <v>4</v>
      </c>
      <c r="AD16" s="56" t="s">
        <v>4</v>
      </c>
      <c r="AE16" s="56" t="s">
        <v>4</v>
      </c>
      <c r="AF16" s="56" t="s">
        <v>4</v>
      </c>
      <c r="AG16" s="56" t="s">
        <v>4</v>
      </c>
      <c r="AH16" s="56" t="s">
        <v>4</v>
      </c>
      <c r="AI16" s="56" t="s">
        <v>4</v>
      </c>
      <c r="AJ16" s="56">
        <v>111</v>
      </c>
      <c r="AK16" s="56">
        <v>1.04</v>
      </c>
      <c r="AL16" s="57" t="s">
        <v>3053</v>
      </c>
    </row>
    <row r="17" spans="1:38" ht="16.5" x14ac:dyDescent="0.25">
      <c r="A17" s="55" t="s">
        <v>3054</v>
      </c>
      <c r="B17" s="56" t="s">
        <v>2764</v>
      </c>
      <c r="C17" s="56" t="s">
        <v>3055</v>
      </c>
      <c r="D17" s="56" t="s">
        <v>4</v>
      </c>
      <c r="E17" s="56" t="s">
        <v>4</v>
      </c>
      <c r="F17" s="56" t="s">
        <v>4</v>
      </c>
      <c r="G17" s="56" t="s">
        <v>4</v>
      </c>
      <c r="H17" s="56" t="s">
        <v>4</v>
      </c>
      <c r="I17" s="56" t="s">
        <v>4</v>
      </c>
      <c r="J17" s="56" t="s">
        <v>4</v>
      </c>
      <c r="K17" s="56" t="s">
        <v>4</v>
      </c>
      <c r="L17" s="56" t="s">
        <v>4</v>
      </c>
      <c r="M17" s="56" t="s">
        <v>4</v>
      </c>
      <c r="N17" s="56" t="s">
        <v>4</v>
      </c>
      <c r="O17" s="56" t="s">
        <v>4</v>
      </c>
      <c r="P17" s="56" t="s">
        <v>4</v>
      </c>
      <c r="Q17" s="56" t="s">
        <v>4</v>
      </c>
      <c r="R17" s="56" t="s">
        <v>4</v>
      </c>
      <c r="S17" s="56">
        <v>74</v>
      </c>
      <c r="T17" s="56">
        <v>37</v>
      </c>
      <c r="U17" s="56" t="s">
        <v>4</v>
      </c>
      <c r="V17" s="56" t="s">
        <v>4</v>
      </c>
      <c r="W17" s="56" t="s">
        <v>4</v>
      </c>
      <c r="X17" s="56" t="s">
        <v>4</v>
      </c>
      <c r="Y17" s="56" t="s">
        <v>4</v>
      </c>
      <c r="Z17" s="56" t="s">
        <v>4</v>
      </c>
      <c r="AA17" s="56" t="s">
        <v>4</v>
      </c>
      <c r="AB17" s="56" t="s">
        <v>4</v>
      </c>
      <c r="AC17" s="56" t="s">
        <v>4</v>
      </c>
      <c r="AD17" s="56" t="s">
        <v>4</v>
      </c>
      <c r="AE17" s="56" t="s">
        <v>4</v>
      </c>
      <c r="AF17" s="56" t="s">
        <v>4</v>
      </c>
      <c r="AG17" s="56" t="s">
        <v>4</v>
      </c>
      <c r="AH17" s="56" t="s">
        <v>4</v>
      </c>
      <c r="AI17" s="56" t="s">
        <v>4</v>
      </c>
      <c r="AJ17" s="56">
        <v>111</v>
      </c>
      <c r="AK17" s="56">
        <v>0.78</v>
      </c>
      <c r="AL17" s="57" t="s">
        <v>3056</v>
      </c>
    </row>
    <row r="18" spans="1:38" ht="16.5" x14ac:dyDescent="0.25">
      <c r="A18" s="55" t="s">
        <v>3057</v>
      </c>
      <c r="B18" s="56" t="s">
        <v>2867</v>
      </c>
      <c r="C18" s="56" t="s">
        <v>3060</v>
      </c>
      <c r="D18" s="56" t="s">
        <v>4</v>
      </c>
      <c r="E18" s="56" t="s">
        <v>4</v>
      </c>
      <c r="F18" s="56" t="s">
        <v>4</v>
      </c>
      <c r="G18" s="56" t="s">
        <v>4</v>
      </c>
      <c r="H18" s="56" t="s">
        <v>4</v>
      </c>
      <c r="I18" s="56" t="s">
        <v>4</v>
      </c>
      <c r="J18" s="56" t="s">
        <v>4</v>
      </c>
      <c r="K18" s="56" t="s">
        <v>4</v>
      </c>
      <c r="L18" s="56" t="s">
        <v>4</v>
      </c>
      <c r="M18" s="56" t="s">
        <v>4</v>
      </c>
      <c r="N18" s="56" t="s">
        <v>4</v>
      </c>
      <c r="O18" s="56" t="s">
        <v>4</v>
      </c>
      <c r="P18" s="56" t="s">
        <v>4</v>
      </c>
      <c r="Q18" s="56">
        <v>4</v>
      </c>
      <c r="R18" s="56" t="s">
        <v>4</v>
      </c>
      <c r="S18" s="56" t="s">
        <v>4</v>
      </c>
      <c r="T18" s="56" t="s">
        <v>4</v>
      </c>
      <c r="U18" s="56" t="s">
        <v>4</v>
      </c>
      <c r="V18" s="56" t="s">
        <v>4</v>
      </c>
      <c r="W18" s="56" t="s">
        <v>4</v>
      </c>
      <c r="X18" s="56" t="s">
        <v>4</v>
      </c>
      <c r="Y18" s="56" t="s">
        <v>4</v>
      </c>
      <c r="Z18" s="56" t="s">
        <v>4</v>
      </c>
      <c r="AA18" s="56" t="s">
        <v>4</v>
      </c>
      <c r="AB18" s="56" t="s">
        <v>4</v>
      </c>
      <c r="AC18" s="56" t="s">
        <v>4</v>
      </c>
      <c r="AD18" s="56" t="s">
        <v>4</v>
      </c>
      <c r="AE18" s="56" t="s">
        <v>4</v>
      </c>
      <c r="AF18" s="56" t="s">
        <v>4</v>
      </c>
      <c r="AG18" s="56" t="s">
        <v>4</v>
      </c>
      <c r="AH18" s="56" t="s">
        <v>4</v>
      </c>
      <c r="AI18" s="56" t="s">
        <v>4</v>
      </c>
      <c r="AJ18" s="56">
        <v>4</v>
      </c>
      <c r="AK18" s="56">
        <v>9.43</v>
      </c>
      <c r="AL18" s="57" t="s">
        <v>3061</v>
      </c>
    </row>
    <row r="19" spans="1:38" ht="16.5" x14ac:dyDescent="0.25">
      <c r="A19" s="55" t="s">
        <v>3057</v>
      </c>
      <c r="B19" s="56" t="s">
        <v>2867</v>
      </c>
      <c r="C19" s="56" t="s">
        <v>3058</v>
      </c>
      <c r="D19" s="56" t="s">
        <v>4</v>
      </c>
      <c r="E19" s="56" t="s">
        <v>4</v>
      </c>
      <c r="F19" s="56" t="s">
        <v>4</v>
      </c>
      <c r="G19" s="56" t="s">
        <v>4</v>
      </c>
      <c r="H19" s="56" t="s">
        <v>4</v>
      </c>
      <c r="I19" s="56" t="s">
        <v>4</v>
      </c>
      <c r="J19" s="56" t="s">
        <v>4</v>
      </c>
      <c r="K19" s="56" t="s">
        <v>4</v>
      </c>
      <c r="L19" s="56" t="s">
        <v>4</v>
      </c>
      <c r="M19" s="56" t="s">
        <v>4</v>
      </c>
      <c r="N19" s="56" t="s">
        <v>4</v>
      </c>
      <c r="O19" s="56" t="s">
        <v>4</v>
      </c>
      <c r="P19" s="56" t="s">
        <v>4</v>
      </c>
      <c r="Q19" s="56" t="s">
        <v>4</v>
      </c>
      <c r="R19" s="56" t="s">
        <v>4</v>
      </c>
      <c r="S19" s="56">
        <v>8</v>
      </c>
      <c r="T19" s="56">
        <v>4</v>
      </c>
      <c r="U19" s="56" t="s">
        <v>4</v>
      </c>
      <c r="V19" s="56" t="s">
        <v>4</v>
      </c>
      <c r="W19" s="56" t="s">
        <v>4</v>
      </c>
      <c r="X19" s="56" t="s">
        <v>4</v>
      </c>
      <c r="Y19" s="56" t="s">
        <v>4</v>
      </c>
      <c r="Z19" s="56" t="s">
        <v>4</v>
      </c>
      <c r="AA19" s="56" t="s">
        <v>4</v>
      </c>
      <c r="AB19" s="56" t="s">
        <v>4</v>
      </c>
      <c r="AC19" s="56" t="s">
        <v>4</v>
      </c>
      <c r="AD19" s="56" t="s">
        <v>4</v>
      </c>
      <c r="AE19" s="56" t="s">
        <v>4</v>
      </c>
      <c r="AF19" s="56" t="s">
        <v>4</v>
      </c>
      <c r="AG19" s="56" t="s">
        <v>4</v>
      </c>
      <c r="AH19" s="56" t="s">
        <v>4</v>
      </c>
      <c r="AI19" s="56" t="s">
        <v>4</v>
      </c>
      <c r="AJ19" s="56">
        <v>12</v>
      </c>
      <c r="AK19" s="56">
        <v>8.48</v>
      </c>
      <c r="AL19" s="57" t="s">
        <v>3059</v>
      </c>
    </row>
    <row r="20" spans="1:38" ht="16.5" x14ac:dyDescent="0.25">
      <c r="A20" s="55" t="s">
        <v>3062</v>
      </c>
      <c r="B20" s="56" t="s">
        <v>2764</v>
      </c>
      <c r="C20" s="56" t="s">
        <v>3063</v>
      </c>
      <c r="D20" s="56" t="s">
        <v>4</v>
      </c>
      <c r="E20" s="56" t="s">
        <v>4</v>
      </c>
      <c r="F20" s="56" t="s">
        <v>4</v>
      </c>
      <c r="G20" s="56" t="s">
        <v>4</v>
      </c>
      <c r="H20" s="56" t="s">
        <v>4</v>
      </c>
      <c r="I20" s="56" t="s">
        <v>4</v>
      </c>
      <c r="J20" s="56" t="s">
        <v>4</v>
      </c>
      <c r="K20" s="56" t="s">
        <v>4</v>
      </c>
      <c r="L20" s="56" t="s">
        <v>4</v>
      </c>
      <c r="M20" s="56" t="s">
        <v>4</v>
      </c>
      <c r="N20" s="56" t="s">
        <v>4</v>
      </c>
      <c r="O20" s="56" t="s">
        <v>4</v>
      </c>
      <c r="P20" s="56" t="s">
        <v>4</v>
      </c>
      <c r="Q20" s="56">
        <v>132</v>
      </c>
      <c r="R20" s="56">
        <v>129</v>
      </c>
      <c r="S20" s="56">
        <v>180</v>
      </c>
      <c r="T20" s="56">
        <v>90</v>
      </c>
      <c r="U20" s="56" t="s">
        <v>4</v>
      </c>
      <c r="V20" s="56">
        <v>76</v>
      </c>
      <c r="W20" s="56">
        <v>35</v>
      </c>
      <c r="X20" s="56">
        <v>38</v>
      </c>
      <c r="Y20" s="56" t="s">
        <v>4</v>
      </c>
      <c r="Z20" s="56">
        <v>114</v>
      </c>
      <c r="AA20" s="56" t="s">
        <v>4</v>
      </c>
      <c r="AB20" s="56" t="s">
        <v>4</v>
      </c>
      <c r="AC20" s="56">
        <v>38</v>
      </c>
      <c r="AD20" s="56">
        <v>38</v>
      </c>
      <c r="AE20" s="56" t="s">
        <v>4</v>
      </c>
      <c r="AF20" s="56" t="s">
        <v>4</v>
      </c>
      <c r="AG20" s="56" t="s">
        <v>4</v>
      </c>
      <c r="AH20" s="56" t="s">
        <v>4</v>
      </c>
      <c r="AI20" s="56" t="s">
        <v>4</v>
      </c>
      <c r="AJ20" s="56">
        <v>870</v>
      </c>
      <c r="AK20" s="56">
        <v>0.89</v>
      </c>
      <c r="AL20" s="57" t="s">
        <v>3064</v>
      </c>
    </row>
    <row r="21" spans="1:38" ht="16.5" x14ac:dyDescent="0.25">
      <c r="A21" s="55" t="s">
        <v>3062</v>
      </c>
      <c r="B21" s="56" t="s">
        <v>2764</v>
      </c>
      <c r="C21" s="56" t="s">
        <v>3065</v>
      </c>
      <c r="D21" s="56" t="s">
        <v>4</v>
      </c>
      <c r="E21" s="56" t="s">
        <v>4</v>
      </c>
      <c r="F21" s="56" t="s">
        <v>4</v>
      </c>
      <c r="G21" s="56" t="s">
        <v>4</v>
      </c>
      <c r="H21" s="56" t="s">
        <v>4</v>
      </c>
      <c r="I21" s="56" t="s">
        <v>4</v>
      </c>
      <c r="J21" s="56" t="s">
        <v>4</v>
      </c>
      <c r="K21" s="56" t="s">
        <v>4</v>
      </c>
      <c r="L21" s="56" t="s">
        <v>4</v>
      </c>
      <c r="M21" s="56" t="s">
        <v>4</v>
      </c>
      <c r="N21" s="56" t="s">
        <v>4</v>
      </c>
      <c r="O21" s="56" t="s">
        <v>4</v>
      </c>
      <c r="P21" s="56" t="s">
        <v>4</v>
      </c>
      <c r="Q21" s="56" t="s">
        <v>4</v>
      </c>
      <c r="R21" s="56">
        <v>129</v>
      </c>
      <c r="S21" s="56" t="s">
        <v>4</v>
      </c>
      <c r="T21" s="56" t="s">
        <v>4</v>
      </c>
      <c r="U21" s="56" t="s">
        <v>4</v>
      </c>
      <c r="V21" s="56" t="s">
        <v>4</v>
      </c>
      <c r="W21" s="56" t="s">
        <v>4</v>
      </c>
      <c r="X21" s="56" t="s">
        <v>4</v>
      </c>
      <c r="Y21" s="56" t="s">
        <v>4</v>
      </c>
      <c r="Z21" s="56" t="s">
        <v>4</v>
      </c>
      <c r="AA21" s="56" t="s">
        <v>4</v>
      </c>
      <c r="AB21" s="56" t="s">
        <v>4</v>
      </c>
      <c r="AC21" s="56" t="s">
        <v>4</v>
      </c>
      <c r="AD21" s="56" t="s">
        <v>4</v>
      </c>
      <c r="AE21" s="56" t="s">
        <v>4</v>
      </c>
      <c r="AF21" s="56" t="s">
        <v>4</v>
      </c>
      <c r="AG21" s="56" t="s">
        <v>4</v>
      </c>
      <c r="AH21" s="56" t="s">
        <v>4</v>
      </c>
      <c r="AI21" s="56" t="s">
        <v>4</v>
      </c>
      <c r="AJ21" s="56">
        <v>129</v>
      </c>
      <c r="AK21" s="56">
        <v>0.65</v>
      </c>
      <c r="AL21" s="57" t="s">
        <v>3066</v>
      </c>
    </row>
    <row r="22" spans="1:38" ht="16.5" x14ac:dyDescent="0.25">
      <c r="A22" s="55" t="s">
        <v>3067</v>
      </c>
      <c r="B22" s="56" t="s">
        <v>2764</v>
      </c>
      <c r="C22" s="56" t="s">
        <v>3065</v>
      </c>
      <c r="D22" s="56" t="s">
        <v>4</v>
      </c>
      <c r="E22" s="56" t="s">
        <v>4</v>
      </c>
      <c r="F22" s="56" t="s">
        <v>4</v>
      </c>
      <c r="G22" s="56" t="s">
        <v>4</v>
      </c>
      <c r="H22" s="56" t="s">
        <v>4</v>
      </c>
      <c r="I22" s="56" t="s">
        <v>4</v>
      </c>
      <c r="J22" s="56" t="s">
        <v>4</v>
      </c>
      <c r="K22" s="56" t="s">
        <v>4</v>
      </c>
      <c r="L22" s="56" t="s">
        <v>4</v>
      </c>
      <c r="M22" s="56" t="s">
        <v>4</v>
      </c>
      <c r="N22" s="56" t="s">
        <v>4</v>
      </c>
      <c r="O22" s="56" t="s">
        <v>4</v>
      </c>
      <c r="P22" s="56" t="s">
        <v>4</v>
      </c>
      <c r="Q22" s="56">
        <v>132</v>
      </c>
      <c r="R22" s="56" t="s">
        <v>4</v>
      </c>
      <c r="S22" s="56">
        <v>180</v>
      </c>
      <c r="T22" s="56">
        <v>90</v>
      </c>
      <c r="U22" s="56" t="s">
        <v>4</v>
      </c>
      <c r="V22" s="56">
        <v>76</v>
      </c>
      <c r="W22" s="56">
        <v>35</v>
      </c>
      <c r="X22" s="56">
        <v>38</v>
      </c>
      <c r="Y22" s="56" t="s">
        <v>4</v>
      </c>
      <c r="Z22" s="56">
        <v>114</v>
      </c>
      <c r="AA22" s="56" t="s">
        <v>4</v>
      </c>
      <c r="AB22" s="56" t="s">
        <v>4</v>
      </c>
      <c r="AC22" s="56">
        <v>38</v>
      </c>
      <c r="AD22" s="56">
        <v>38</v>
      </c>
      <c r="AE22" s="56" t="s">
        <v>4</v>
      </c>
      <c r="AF22" s="56" t="s">
        <v>4</v>
      </c>
      <c r="AG22" s="56" t="s">
        <v>4</v>
      </c>
      <c r="AH22" s="56" t="s">
        <v>4</v>
      </c>
      <c r="AI22" s="56" t="s">
        <v>4</v>
      </c>
      <c r="AJ22" s="56">
        <v>741</v>
      </c>
      <c r="AK22" s="56">
        <v>0.65</v>
      </c>
      <c r="AL22" s="57" t="s">
        <v>3068</v>
      </c>
    </row>
    <row r="23" spans="1:38" ht="16.5" x14ac:dyDescent="0.25">
      <c r="A23" s="55" t="s">
        <v>3069</v>
      </c>
      <c r="B23" s="56" t="s">
        <v>2867</v>
      </c>
      <c r="C23" s="56" t="s">
        <v>3070</v>
      </c>
      <c r="D23" s="56" t="s">
        <v>4</v>
      </c>
      <c r="E23" s="56" t="s">
        <v>4</v>
      </c>
      <c r="F23" s="56" t="s">
        <v>4</v>
      </c>
      <c r="G23" s="56" t="s">
        <v>4</v>
      </c>
      <c r="H23" s="56" t="s">
        <v>4</v>
      </c>
      <c r="I23" s="56" t="s">
        <v>4</v>
      </c>
      <c r="J23" s="56" t="s">
        <v>4</v>
      </c>
      <c r="K23" s="56" t="s">
        <v>4</v>
      </c>
      <c r="L23" s="56" t="s">
        <v>4</v>
      </c>
      <c r="M23" s="56" t="s">
        <v>4</v>
      </c>
      <c r="N23" s="56" t="s">
        <v>4</v>
      </c>
      <c r="O23" s="56" t="s">
        <v>4</v>
      </c>
      <c r="P23" s="56" t="s">
        <v>4</v>
      </c>
      <c r="Q23" s="56">
        <v>4</v>
      </c>
      <c r="R23" s="56" t="s">
        <v>4</v>
      </c>
      <c r="S23" s="56">
        <v>8</v>
      </c>
      <c r="T23" s="56">
        <v>4</v>
      </c>
      <c r="U23" s="56" t="s">
        <v>4</v>
      </c>
      <c r="V23" s="56" t="s">
        <v>4</v>
      </c>
      <c r="W23" s="56" t="s">
        <v>4</v>
      </c>
      <c r="X23" s="56" t="s">
        <v>4</v>
      </c>
      <c r="Y23" s="56" t="s">
        <v>4</v>
      </c>
      <c r="Z23" s="56" t="s">
        <v>4</v>
      </c>
      <c r="AA23" s="56" t="s">
        <v>4</v>
      </c>
      <c r="AB23" s="56" t="s">
        <v>4</v>
      </c>
      <c r="AC23" s="56" t="s">
        <v>4</v>
      </c>
      <c r="AD23" s="56" t="s">
        <v>4</v>
      </c>
      <c r="AE23" s="56" t="s">
        <v>4</v>
      </c>
      <c r="AF23" s="56" t="s">
        <v>4</v>
      </c>
      <c r="AG23" s="56" t="s">
        <v>4</v>
      </c>
      <c r="AH23" s="56" t="s">
        <v>4</v>
      </c>
      <c r="AI23" s="56" t="s">
        <v>4</v>
      </c>
      <c r="AJ23" s="56">
        <v>16</v>
      </c>
      <c r="AK23" s="56">
        <v>7.6899999999999995</v>
      </c>
      <c r="AL23" s="57" t="s">
        <v>3071</v>
      </c>
    </row>
    <row r="24" spans="1:38" ht="16.5" x14ac:dyDescent="0.25">
      <c r="A24" s="55" t="s">
        <v>3072</v>
      </c>
      <c r="B24" s="56" t="s">
        <v>2867</v>
      </c>
      <c r="C24" s="56" t="s">
        <v>3073</v>
      </c>
      <c r="D24" s="56" t="s">
        <v>4</v>
      </c>
      <c r="E24" s="56" t="s">
        <v>4</v>
      </c>
      <c r="F24" s="56" t="s">
        <v>4</v>
      </c>
      <c r="G24" s="56" t="s">
        <v>4</v>
      </c>
      <c r="H24" s="56" t="s">
        <v>4</v>
      </c>
      <c r="I24" s="56" t="s">
        <v>4</v>
      </c>
      <c r="J24" s="56" t="s">
        <v>4</v>
      </c>
      <c r="K24" s="56" t="s">
        <v>4</v>
      </c>
      <c r="L24" s="56" t="s">
        <v>4</v>
      </c>
      <c r="M24" s="56" t="s">
        <v>4</v>
      </c>
      <c r="N24" s="56" t="s">
        <v>4</v>
      </c>
      <c r="O24" s="56" t="s">
        <v>4</v>
      </c>
      <c r="P24" s="56" t="s">
        <v>4</v>
      </c>
      <c r="Q24" s="56">
        <v>4</v>
      </c>
      <c r="R24" s="56" t="s">
        <v>4</v>
      </c>
      <c r="S24" s="56">
        <v>8</v>
      </c>
      <c r="T24" s="56">
        <v>4</v>
      </c>
      <c r="U24" s="56" t="s">
        <v>4</v>
      </c>
      <c r="V24" s="56" t="s">
        <v>4</v>
      </c>
      <c r="W24" s="56" t="s">
        <v>4</v>
      </c>
      <c r="X24" s="56" t="s">
        <v>4</v>
      </c>
      <c r="Y24" s="56" t="s">
        <v>4</v>
      </c>
      <c r="Z24" s="56" t="s">
        <v>4</v>
      </c>
      <c r="AA24" s="56" t="s">
        <v>4</v>
      </c>
      <c r="AB24" s="56" t="s">
        <v>4</v>
      </c>
      <c r="AC24" s="56" t="s">
        <v>4</v>
      </c>
      <c r="AD24" s="56" t="s">
        <v>4</v>
      </c>
      <c r="AE24" s="56" t="s">
        <v>4</v>
      </c>
      <c r="AF24" s="56" t="s">
        <v>4</v>
      </c>
      <c r="AG24" s="56" t="s">
        <v>4</v>
      </c>
      <c r="AH24" s="56" t="s">
        <v>4</v>
      </c>
      <c r="AI24" s="56" t="s">
        <v>4</v>
      </c>
      <c r="AJ24" s="56">
        <v>16</v>
      </c>
      <c r="AK24" s="56">
        <v>10.02</v>
      </c>
      <c r="AL24" s="57" t="s">
        <v>3074</v>
      </c>
    </row>
    <row r="25" spans="1:38" ht="16.5" x14ac:dyDescent="0.25">
      <c r="A25" s="55" t="s">
        <v>3075</v>
      </c>
      <c r="B25" s="56" t="s">
        <v>2867</v>
      </c>
      <c r="C25" s="56" t="s">
        <v>3076</v>
      </c>
      <c r="D25" s="56" t="s">
        <v>4</v>
      </c>
      <c r="E25" s="56" t="s">
        <v>4</v>
      </c>
      <c r="F25" s="56" t="s">
        <v>4</v>
      </c>
      <c r="G25" s="56" t="s">
        <v>4</v>
      </c>
      <c r="H25" s="56" t="s">
        <v>4</v>
      </c>
      <c r="I25" s="56" t="s">
        <v>4</v>
      </c>
      <c r="J25" s="56" t="s">
        <v>4</v>
      </c>
      <c r="K25" s="56" t="s">
        <v>4</v>
      </c>
      <c r="L25" s="56" t="s">
        <v>4</v>
      </c>
      <c r="M25" s="56" t="s">
        <v>4</v>
      </c>
      <c r="N25" s="56" t="s">
        <v>4</v>
      </c>
      <c r="O25" s="56" t="s">
        <v>4</v>
      </c>
      <c r="P25" s="56" t="s">
        <v>4</v>
      </c>
      <c r="Q25" s="56">
        <v>4</v>
      </c>
      <c r="R25" s="56" t="s">
        <v>4</v>
      </c>
      <c r="S25" s="56">
        <v>8</v>
      </c>
      <c r="T25" s="56">
        <v>4</v>
      </c>
      <c r="U25" s="56" t="s">
        <v>4</v>
      </c>
      <c r="V25" s="56" t="s">
        <v>4</v>
      </c>
      <c r="W25" s="56" t="s">
        <v>4</v>
      </c>
      <c r="X25" s="56" t="s">
        <v>4</v>
      </c>
      <c r="Y25" s="56" t="s">
        <v>4</v>
      </c>
      <c r="Z25" s="56" t="s">
        <v>4</v>
      </c>
      <c r="AA25" s="56" t="s">
        <v>4</v>
      </c>
      <c r="AB25" s="56" t="s">
        <v>4</v>
      </c>
      <c r="AC25" s="56" t="s">
        <v>4</v>
      </c>
      <c r="AD25" s="56" t="s">
        <v>4</v>
      </c>
      <c r="AE25" s="56" t="s">
        <v>4</v>
      </c>
      <c r="AF25" s="56" t="s">
        <v>4</v>
      </c>
      <c r="AG25" s="56" t="s">
        <v>4</v>
      </c>
      <c r="AH25" s="56" t="s">
        <v>4</v>
      </c>
      <c r="AI25" s="56" t="s">
        <v>4</v>
      </c>
      <c r="AJ25" s="56">
        <v>16</v>
      </c>
      <c r="AK25" s="56">
        <v>6.95</v>
      </c>
      <c r="AL25" s="57" t="s">
        <v>3077</v>
      </c>
    </row>
    <row r="26" spans="1:38" ht="16.5" x14ac:dyDescent="0.25">
      <c r="A26" s="55">
        <v>18</v>
      </c>
      <c r="B26" s="56" t="s">
        <v>2867</v>
      </c>
      <c r="C26" s="56" t="s">
        <v>2983</v>
      </c>
      <c r="D26" s="56" t="s">
        <v>4</v>
      </c>
      <c r="E26" s="56" t="s">
        <v>4</v>
      </c>
      <c r="F26" s="56" t="s">
        <v>4</v>
      </c>
      <c r="G26" s="56" t="s">
        <v>4</v>
      </c>
      <c r="H26" s="56" t="s">
        <v>4</v>
      </c>
      <c r="I26" s="56" t="s">
        <v>4</v>
      </c>
      <c r="J26" s="56" t="s">
        <v>4</v>
      </c>
      <c r="K26" s="56" t="s">
        <v>4</v>
      </c>
      <c r="L26" s="56">
        <v>4</v>
      </c>
      <c r="M26" s="56">
        <v>12</v>
      </c>
      <c r="N26" s="56">
        <v>8</v>
      </c>
      <c r="O26" s="56">
        <v>8</v>
      </c>
      <c r="P26" s="56" t="s">
        <v>4</v>
      </c>
      <c r="Q26" s="56" t="s">
        <v>4</v>
      </c>
      <c r="R26" s="56" t="s">
        <v>4</v>
      </c>
      <c r="S26" s="56" t="s">
        <v>4</v>
      </c>
      <c r="T26" s="56" t="s">
        <v>4</v>
      </c>
      <c r="U26" s="56" t="s">
        <v>4</v>
      </c>
      <c r="V26" s="56" t="s">
        <v>4</v>
      </c>
      <c r="W26" s="56" t="s">
        <v>4</v>
      </c>
      <c r="X26" s="56" t="s">
        <v>4</v>
      </c>
      <c r="Y26" s="56" t="s">
        <v>4</v>
      </c>
      <c r="Z26" s="56" t="s">
        <v>4</v>
      </c>
      <c r="AA26" s="56" t="s">
        <v>4</v>
      </c>
      <c r="AB26" s="56" t="s">
        <v>4</v>
      </c>
      <c r="AC26" s="56" t="s">
        <v>4</v>
      </c>
      <c r="AD26" s="56" t="s">
        <v>4</v>
      </c>
      <c r="AE26" s="56" t="s">
        <v>4</v>
      </c>
      <c r="AF26" s="56" t="s">
        <v>4</v>
      </c>
      <c r="AG26" s="56">
        <v>8</v>
      </c>
      <c r="AH26" s="56">
        <v>8</v>
      </c>
      <c r="AI26" s="56" t="s">
        <v>4</v>
      </c>
      <c r="AJ26" s="56">
        <v>48</v>
      </c>
      <c r="AK26" s="56">
        <v>4.16</v>
      </c>
      <c r="AL26" s="57" t="s">
        <v>3080</v>
      </c>
    </row>
    <row r="27" spans="1:38" ht="16.5" x14ac:dyDescent="0.25">
      <c r="A27" s="55" t="s">
        <v>3078</v>
      </c>
      <c r="B27" s="56" t="s">
        <v>2867</v>
      </c>
      <c r="C27" s="56" t="s">
        <v>2983</v>
      </c>
      <c r="D27" s="56" t="s">
        <v>4</v>
      </c>
      <c r="E27" s="56" t="s">
        <v>4</v>
      </c>
      <c r="F27" s="56" t="s">
        <v>4</v>
      </c>
      <c r="G27" s="56" t="s">
        <v>4</v>
      </c>
      <c r="H27" s="56" t="s">
        <v>4</v>
      </c>
      <c r="I27" s="56" t="s">
        <v>4</v>
      </c>
      <c r="J27" s="56" t="s">
        <v>4</v>
      </c>
      <c r="K27" s="56" t="s">
        <v>4</v>
      </c>
      <c r="L27" s="56" t="s">
        <v>4</v>
      </c>
      <c r="M27" s="56" t="s">
        <v>4</v>
      </c>
      <c r="N27" s="56" t="s">
        <v>4</v>
      </c>
      <c r="O27" s="56" t="s">
        <v>4</v>
      </c>
      <c r="P27" s="56" t="s">
        <v>4</v>
      </c>
      <c r="Q27" s="56" t="s">
        <v>4</v>
      </c>
      <c r="R27" s="56" t="s">
        <v>4</v>
      </c>
      <c r="S27" s="56">
        <v>8</v>
      </c>
      <c r="T27" s="56">
        <v>4</v>
      </c>
      <c r="U27" s="56" t="s">
        <v>4</v>
      </c>
      <c r="V27" s="56" t="s">
        <v>4</v>
      </c>
      <c r="W27" s="56" t="s">
        <v>4</v>
      </c>
      <c r="X27" s="56" t="s">
        <v>4</v>
      </c>
      <c r="Y27" s="56" t="s">
        <v>4</v>
      </c>
      <c r="Z27" s="56" t="s">
        <v>4</v>
      </c>
      <c r="AA27" s="56" t="s">
        <v>4</v>
      </c>
      <c r="AB27" s="56" t="s">
        <v>4</v>
      </c>
      <c r="AC27" s="56">
        <v>8</v>
      </c>
      <c r="AD27" s="56">
        <v>8</v>
      </c>
      <c r="AE27" s="56">
        <v>8</v>
      </c>
      <c r="AF27" s="56">
        <v>8</v>
      </c>
      <c r="AG27" s="56" t="s">
        <v>4</v>
      </c>
      <c r="AH27" s="56" t="s">
        <v>4</v>
      </c>
      <c r="AI27" s="56" t="s">
        <v>4</v>
      </c>
      <c r="AJ27" s="56">
        <v>44</v>
      </c>
      <c r="AK27" s="56">
        <v>4.16</v>
      </c>
      <c r="AL27" s="57" t="s">
        <v>3079</v>
      </c>
    </row>
    <row r="28" spans="1:38" ht="16.5" x14ac:dyDescent="0.25">
      <c r="A28" s="55" t="s">
        <v>3081</v>
      </c>
      <c r="B28" s="56" t="s">
        <v>2867</v>
      </c>
      <c r="C28" s="56" t="s">
        <v>3082</v>
      </c>
      <c r="D28" s="56" t="s">
        <v>4</v>
      </c>
      <c r="E28" s="56" t="s">
        <v>4</v>
      </c>
      <c r="F28" s="56" t="s">
        <v>4</v>
      </c>
      <c r="G28" s="56" t="s">
        <v>4</v>
      </c>
      <c r="H28" s="56" t="s">
        <v>4</v>
      </c>
      <c r="I28" s="56" t="s">
        <v>4</v>
      </c>
      <c r="J28" s="56" t="s">
        <v>4</v>
      </c>
      <c r="K28" s="56" t="s">
        <v>4</v>
      </c>
      <c r="L28" s="56" t="s">
        <v>4</v>
      </c>
      <c r="M28" s="56" t="s">
        <v>4</v>
      </c>
      <c r="N28" s="56" t="s">
        <v>4</v>
      </c>
      <c r="O28" s="56" t="s">
        <v>4</v>
      </c>
      <c r="P28" s="56" t="s">
        <v>4</v>
      </c>
      <c r="Q28" s="56" t="s">
        <v>4</v>
      </c>
      <c r="R28" s="56" t="s">
        <v>4</v>
      </c>
      <c r="S28" s="56" t="s">
        <v>4</v>
      </c>
      <c r="T28" s="56" t="s">
        <v>4</v>
      </c>
      <c r="U28" s="56" t="s">
        <v>4</v>
      </c>
      <c r="V28" s="56">
        <v>8</v>
      </c>
      <c r="W28" s="56">
        <v>4</v>
      </c>
      <c r="X28" s="56">
        <v>4</v>
      </c>
      <c r="Y28" s="56" t="s">
        <v>4</v>
      </c>
      <c r="Z28" s="56">
        <v>12</v>
      </c>
      <c r="AA28" s="56" t="s">
        <v>4</v>
      </c>
      <c r="AB28" s="56" t="s">
        <v>4</v>
      </c>
      <c r="AC28" s="56">
        <v>4</v>
      </c>
      <c r="AD28" s="56">
        <v>4</v>
      </c>
      <c r="AE28" s="56" t="s">
        <v>4</v>
      </c>
      <c r="AF28" s="56" t="s">
        <v>4</v>
      </c>
      <c r="AG28" s="56" t="s">
        <v>4</v>
      </c>
      <c r="AH28" s="56" t="s">
        <v>4</v>
      </c>
      <c r="AI28" s="56" t="s">
        <v>4</v>
      </c>
      <c r="AJ28" s="56">
        <v>36</v>
      </c>
      <c r="AK28" s="56">
        <v>12.53</v>
      </c>
      <c r="AL28" s="57" t="s">
        <v>3083</v>
      </c>
    </row>
    <row r="29" spans="1:38" ht="16.5" x14ac:dyDescent="0.25">
      <c r="A29" s="55">
        <v>20</v>
      </c>
      <c r="B29" s="56" t="s">
        <v>2867</v>
      </c>
      <c r="C29" s="56" t="s">
        <v>2957</v>
      </c>
      <c r="D29" s="56" t="s">
        <v>4</v>
      </c>
      <c r="E29" s="56" t="s">
        <v>4</v>
      </c>
      <c r="F29" s="56" t="s">
        <v>4</v>
      </c>
      <c r="G29" s="56" t="s">
        <v>4</v>
      </c>
      <c r="H29" s="56" t="s">
        <v>4</v>
      </c>
      <c r="I29" s="56" t="s">
        <v>4</v>
      </c>
      <c r="J29" s="56" t="s">
        <v>4</v>
      </c>
      <c r="K29" s="56" t="s">
        <v>4</v>
      </c>
      <c r="L29" s="56" t="s">
        <v>4</v>
      </c>
      <c r="M29" s="56" t="s">
        <v>4</v>
      </c>
      <c r="N29" s="56" t="s">
        <v>4</v>
      </c>
      <c r="O29" s="56" t="s">
        <v>4</v>
      </c>
      <c r="P29" s="56" t="s">
        <v>4</v>
      </c>
      <c r="Q29" s="56">
        <v>4</v>
      </c>
      <c r="R29" s="56">
        <v>4</v>
      </c>
      <c r="S29" s="56" t="s">
        <v>4</v>
      </c>
      <c r="T29" s="56" t="s">
        <v>4</v>
      </c>
      <c r="U29" s="56" t="s">
        <v>4</v>
      </c>
      <c r="V29" s="56" t="s">
        <v>4</v>
      </c>
      <c r="W29" s="56" t="s">
        <v>4</v>
      </c>
      <c r="X29" s="56" t="s">
        <v>4</v>
      </c>
      <c r="Y29" s="56" t="s">
        <v>4</v>
      </c>
      <c r="Z29" s="56" t="s">
        <v>4</v>
      </c>
      <c r="AA29" s="56" t="s">
        <v>4</v>
      </c>
      <c r="AB29" s="56" t="s">
        <v>4</v>
      </c>
      <c r="AC29" s="56" t="s">
        <v>4</v>
      </c>
      <c r="AD29" s="56" t="s">
        <v>4</v>
      </c>
      <c r="AE29" s="56" t="s">
        <v>4</v>
      </c>
      <c r="AF29" s="56" t="s">
        <v>4</v>
      </c>
      <c r="AG29" s="56" t="s">
        <v>4</v>
      </c>
      <c r="AH29" s="56" t="s">
        <v>4</v>
      </c>
      <c r="AI29" s="56">
        <v>5</v>
      </c>
      <c r="AJ29" s="56">
        <v>13</v>
      </c>
      <c r="AK29" s="56">
        <v>12.51</v>
      </c>
      <c r="AL29" s="57" t="s">
        <v>3085</v>
      </c>
    </row>
    <row r="30" spans="1:38" ht="16.5" x14ac:dyDescent="0.25">
      <c r="A30" s="55">
        <v>20</v>
      </c>
      <c r="B30" s="56" t="s">
        <v>2867</v>
      </c>
      <c r="C30" s="56" t="s">
        <v>2920</v>
      </c>
      <c r="D30" s="56" t="s">
        <v>4</v>
      </c>
      <c r="E30" s="56" t="s">
        <v>4</v>
      </c>
      <c r="F30" s="56" t="s">
        <v>4</v>
      </c>
      <c r="G30" s="56" t="s">
        <v>4</v>
      </c>
      <c r="H30" s="56" t="s">
        <v>4</v>
      </c>
      <c r="I30" s="56" t="s">
        <v>4</v>
      </c>
      <c r="J30" s="56" t="s">
        <v>4</v>
      </c>
      <c r="K30" s="56" t="s">
        <v>4</v>
      </c>
      <c r="L30" s="56" t="s">
        <v>4</v>
      </c>
      <c r="M30" s="56" t="s">
        <v>4</v>
      </c>
      <c r="N30" s="56" t="s">
        <v>4</v>
      </c>
      <c r="O30" s="56" t="s">
        <v>4</v>
      </c>
      <c r="P30" s="56" t="s">
        <v>4</v>
      </c>
      <c r="Q30" s="56" t="s">
        <v>4</v>
      </c>
      <c r="R30" s="56" t="s">
        <v>4</v>
      </c>
      <c r="S30" s="56" t="s">
        <v>4</v>
      </c>
      <c r="T30" s="56" t="s">
        <v>4</v>
      </c>
      <c r="U30" s="56" t="s">
        <v>4</v>
      </c>
      <c r="V30" s="56" t="s">
        <v>4</v>
      </c>
      <c r="W30" s="56" t="s">
        <v>4</v>
      </c>
      <c r="X30" s="56" t="s">
        <v>4</v>
      </c>
      <c r="Y30" s="56" t="s">
        <v>4</v>
      </c>
      <c r="Z30" s="56" t="s">
        <v>4</v>
      </c>
      <c r="AA30" s="56">
        <v>28</v>
      </c>
      <c r="AB30" s="56">
        <v>8</v>
      </c>
      <c r="AC30" s="56" t="s">
        <v>4</v>
      </c>
      <c r="AD30" s="56" t="s">
        <v>4</v>
      </c>
      <c r="AE30" s="56" t="s">
        <v>4</v>
      </c>
      <c r="AF30" s="56" t="s">
        <v>4</v>
      </c>
      <c r="AG30" s="56" t="s">
        <v>4</v>
      </c>
      <c r="AH30" s="56" t="s">
        <v>4</v>
      </c>
      <c r="AI30" s="56" t="s">
        <v>4</v>
      </c>
      <c r="AJ30" s="56">
        <v>36</v>
      </c>
      <c r="AK30" s="56">
        <v>15.13</v>
      </c>
      <c r="AL30" s="57" t="s">
        <v>3084</v>
      </c>
    </row>
    <row r="31" spans="1:38" ht="16.5" x14ac:dyDescent="0.25">
      <c r="A31" s="55">
        <v>21</v>
      </c>
      <c r="B31" s="56" t="s">
        <v>2867</v>
      </c>
      <c r="C31" s="56" t="s">
        <v>2949</v>
      </c>
      <c r="D31" s="56" t="s">
        <v>4</v>
      </c>
      <c r="E31" s="56" t="s">
        <v>4</v>
      </c>
      <c r="F31" s="56" t="s">
        <v>4</v>
      </c>
      <c r="G31" s="56" t="s">
        <v>4</v>
      </c>
      <c r="H31" s="56" t="s">
        <v>4</v>
      </c>
      <c r="I31" s="56" t="s">
        <v>4</v>
      </c>
      <c r="J31" s="56" t="s">
        <v>4</v>
      </c>
      <c r="K31" s="56" t="s">
        <v>4</v>
      </c>
      <c r="L31" s="56" t="s">
        <v>4</v>
      </c>
      <c r="M31" s="56" t="s">
        <v>4</v>
      </c>
      <c r="N31" s="56" t="s">
        <v>4</v>
      </c>
      <c r="O31" s="56" t="s">
        <v>4</v>
      </c>
      <c r="P31" s="56" t="s">
        <v>4</v>
      </c>
      <c r="Q31" s="56" t="s">
        <v>4</v>
      </c>
      <c r="R31" s="56" t="s">
        <v>4</v>
      </c>
      <c r="S31" s="56" t="s">
        <v>4</v>
      </c>
      <c r="T31" s="56" t="s">
        <v>4</v>
      </c>
      <c r="U31" s="56" t="s">
        <v>4</v>
      </c>
      <c r="V31" s="56" t="s">
        <v>4</v>
      </c>
      <c r="W31" s="56" t="s">
        <v>4</v>
      </c>
      <c r="X31" s="56" t="s">
        <v>4</v>
      </c>
      <c r="Y31" s="56" t="s">
        <v>4</v>
      </c>
      <c r="Z31" s="56" t="s">
        <v>4</v>
      </c>
      <c r="AA31" s="56">
        <v>28</v>
      </c>
      <c r="AB31" s="56">
        <v>8</v>
      </c>
      <c r="AC31" s="56" t="s">
        <v>4</v>
      </c>
      <c r="AD31" s="56" t="s">
        <v>4</v>
      </c>
      <c r="AE31" s="56" t="s">
        <v>4</v>
      </c>
      <c r="AF31" s="56" t="s">
        <v>4</v>
      </c>
      <c r="AG31" s="56" t="s">
        <v>4</v>
      </c>
      <c r="AH31" s="56" t="s">
        <v>4</v>
      </c>
      <c r="AI31" s="56" t="s">
        <v>4</v>
      </c>
      <c r="AJ31" s="56">
        <v>36</v>
      </c>
      <c r="AK31" s="56">
        <v>8.27</v>
      </c>
      <c r="AL31" s="57" t="s">
        <v>3086</v>
      </c>
    </row>
    <row r="32" spans="1:38" ht="16.5" x14ac:dyDescent="0.25">
      <c r="A32" s="55" t="s">
        <v>3087</v>
      </c>
      <c r="B32" s="56" t="s">
        <v>2867</v>
      </c>
      <c r="C32" s="56" t="s">
        <v>3049</v>
      </c>
      <c r="D32" s="56" t="s">
        <v>4</v>
      </c>
      <c r="E32" s="56" t="s">
        <v>4</v>
      </c>
      <c r="F32" s="56" t="s">
        <v>4</v>
      </c>
      <c r="G32" s="56" t="s">
        <v>4</v>
      </c>
      <c r="H32" s="56" t="s">
        <v>4</v>
      </c>
      <c r="I32" s="56" t="s">
        <v>4</v>
      </c>
      <c r="J32" s="56" t="s">
        <v>4</v>
      </c>
      <c r="K32" s="56" t="s">
        <v>4</v>
      </c>
      <c r="L32" s="56" t="s">
        <v>4</v>
      </c>
      <c r="M32" s="56" t="s">
        <v>4</v>
      </c>
      <c r="N32" s="56" t="s">
        <v>4</v>
      </c>
      <c r="O32" s="56" t="s">
        <v>4</v>
      </c>
      <c r="P32" s="56" t="s">
        <v>4</v>
      </c>
      <c r="Q32" s="56" t="s">
        <v>4</v>
      </c>
      <c r="R32" s="56" t="s">
        <v>4</v>
      </c>
      <c r="S32" s="56" t="s">
        <v>4</v>
      </c>
      <c r="T32" s="56" t="s">
        <v>4</v>
      </c>
      <c r="U32" s="56" t="s">
        <v>4</v>
      </c>
      <c r="V32" s="56">
        <v>8</v>
      </c>
      <c r="W32" s="56">
        <v>4</v>
      </c>
      <c r="X32" s="56" t="s">
        <v>4</v>
      </c>
      <c r="Y32" s="56" t="s">
        <v>4</v>
      </c>
      <c r="Z32" s="56" t="s">
        <v>4</v>
      </c>
      <c r="AA32" s="56" t="s">
        <v>4</v>
      </c>
      <c r="AB32" s="56" t="s">
        <v>4</v>
      </c>
      <c r="AC32" s="56" t="s">
        <v>4</v>
      </c>
      <c r="AD32" s="56" t="s">
        <v>4</v>
      </c>
      <c r="AE32" s="56" t="s">
        <v>4</v>
      </c>
      <c r="AF32" s="56" t="s">
        <v>4</v>
      </c>
      <c r="AG32" s="56" t="s">
        <v>4</v>
      </c>
      <c r="AH32" s="56" t="s">
        <v>4</v>
      </c>
      <c r="AI32" s="56" t="s">
        <v>4</v>
      </c>
      <c r="AJ32" s="56">
        <v>12</v>
      </c>
      <c r="AK32" s="56">
        <v>9.27</v>
      </c>
      <c r="AL32" s="57" t="s">
        <v>3088</v>
      </c>
    </row>
    <row r="33" spans="1:38" ht="16.5" x14ac:dyDescent="0.25">
      <c r="A33" s="55" t="s">
        <v>3087</v>
      </c>
      <c r="B33" s="56" t="s">
        <v>2867</v>
      </c>
      <c r="C33" s="56" t="s">
        <v>3089</v>
      </c>
      <c r="D33" s="56" t="s">
        <v>4</v>
      </c>
      <c r="E33" s="56" t="s">
        <v>4</v>
      </c>
      <c r="F33" s="56" t="s">
        <v>4</v>
      </c>
      <c r="G33" s="56" t="s">
        <v>4</v>
      </c>
      <c r="H33" s="56" t="s">
        <v>4</v>
      </c>
      <c r="I33" s="56" t="s">
        <v>4</v>
      </c>
      <c r="J33" s="56" t="s">
        <v>4</v>
      </c>
      <c r="K33" s="56" t="s">
        <v>4</v>
      </c>
      <c r="L33" s="56" t="s">
        <v>4</v>
      </c>
      <c r="M33" s="56" t="s">
        <v>4</v>
      </c>
      <c r="N33" s="56" t="s">
        <v>4</v>
      </c>
      <c r="O33" s="56" t="s">
        <v>4</v>
      </c>
      <c r="P33" s="56" t="s">
        <v>4</v>
      </c>
      <c r="Q33" s="56" t="s">
        <v>4</v>
      </c>
      <c r="R33" s="56" t="s">
        <v>4</v>
      </c>
      <c r="S33" s="56" t="s">
        <v>4</v>
      </c>
      <c r="T33" s="56" t="s">
        <v>4</v>
      </c>
      <c r="U33" s="56" t="s">
        <v>4</v>
      </c>
      <c r="V33" s="56" t="s">
        <v>4</v>
      </c>
      <c r="W33" s="56" t="s">
        <v>4</v>
      </c>
      <c r="X33" s="56" t="s">
        <v>4</v>
      </c>
      <c r="Y33" s="56" t="s">
        <v>4</v>
      </c>
      <c r="Z33" s="56">
        <v>12</v>
      </c>
      <c r="AA33" s="56" t="s">
        <v>4</v>
      </c>
      <c r="AB33" s="56" t="s">
        <v>4</v>
      </c>
      <c r="AC33" s="56" t="s">
        <v>4</v>
      </c>
      <c r="AD33" s="56" t="s">
        <v>4</v>
      </c>
      <c r="AE33" s="56" t="s">
        <v>4</v>
      </c>
      <c r="AF33" s="56" t="s">
        <v>4</v>
      </c>
      <c r="AG33" s="56" t="s">
        <v>4</v>
      </c>
      <c r="AH33" s="56" t="s">
        <v>4</v>
      </c>
      <c r="AI33" s="56" t="s">
        <v>4</v>
      </c>
      <c r="AJ33" s="56">
        <v>12</v>
      </c>
      <c r="AK33" s="56">
        <v>7.93</v>
      </c>
      <c r="AL33" s="57" t="s">
        <v>3090</v>
      </c>
    </row>
    <row r="34" spans="1:38" ht="16.5" x14ac:dyDescent="0.25">
      <c r="A34" s="55">
        <v>23</v>
      </c>
      <c r="B34" s="56" t="s">
        <v>2867</v>
      </c>
      <c r="C34" s="56" t="s">
        <v>2953</v>
      </c>
      <c r="D34" s="56" t="s">
        <v>4</v>
      </c>
      <c r="E34" s="56" t="s">
        <v>4</v>
      </c>
      <c r="F34" s="56">
        <v>4</v>
      </c>
      <c r="G34" s="56" t="s">
        <v>4</v>
      </c>
      <c r="H34" s="56">
        <v>4</v>
      </c>
      <c r="I34" s="56" t="s">
        <v>4</v>
      </c>
      <c r="J34" s="56" t="s">
        <v>4</v>
      </c>
      <c r="K34" s="56">
        <v>4</v>
      </c>
      <c r="L34" s="56" t="s">
        <v>4</v>
      </c>
      <c r="M34" s="56" t="s">
        <v>4</v>
      </c>
      <c r="N34" s="56" t="s">
        <v>4</v>
      </c>
      <c r="O34" s="56" t="s">
        <v>4</v>
      </c>
      <c r="P34" s="56">
        <v>4</v>
      </c>
      <c r="Q34" s="56">
        <v>4</v>
      </c>
      <c r="R34" s="56" t="s">
        <v>4</v>
      </c>
      <c r="S34" s="56" t="s">
        <v>4</v>
      </c>
      <c r="T34" s="56" t="s">
        <v>4</v>
      </c>
      <c r="U34" s="56" t="s">
        <v>4</v>
      </c>
      <c r="V34" s="56" t="s">
        <v>4</v>
      </c>
      <c r="W34" s="56" t="s">
        <v>4</v>
      </c>
      <c r="X34" s="56" t="s">
        <v>4</v>
      </c>
      <c r="Y34" s="56">
        <v>4</v>
      </c>
      <c r="Z34" s="56">
        <v>12</v>
      </c>
      <c r="AA34" s="56" t="s">
        <v>4</v>
      </c>
      <c r="AB34" s="56" t="s">
        <v>4</v>
      </c>
      <c r="AC34" s="56" t="s">
        <v>4</v>
      </c>
      <c r="AD34" s="56" t="s">
        <v>4</v>
      </c>
      <c r="AE34" s="56" t="s">
        <v>4</v>
      </c>
      <c r="AF34" s="56" t="s">
        <v>4</v>
      </c>
      <c r="AG34" s="56" t="s">
        <v>4</v>
      </c>
      <c r="AH34" s="56" t="s">
        <v>4</v>
      </c>
      <c r="AI34" s="56" t="s">
        <v>4</v>
      </c>
      <c r="AJ34" s="56">
        <v>36</v>
      </c>
      <c r="AK34" s="56">
        <v>6.71</v>
      </c>
      <c r="AL34" s="57" t="s">
        <v>3091</v>
      </c>
    </row>
    <row r="35" spans="1:38" ht="16.5" x14ac:dyDescent="0.25">
      <c r="A35" s="55">
        <v>23</v>
      </c>
      <c r="B35" s="56" t="s">
        <v>2867</v>
      </c>
      <c r="C35" s="56" t="s">
        <v>2925</v>
      </c>
      <c r="D35" s="56" t="s">
        <v>4</v>
      </c>
      <c r="E35" s="56" t="s">
        <v>4</v>
      </c>
      <c r="F35" s="56" t="s">
        <v>4</v>
      </c>
      <c r="G35" s="56" t="s">
        <v>4</v>
      </c>
      <c r="H35" s="56" t="s">
        <v>4</v>
      </c>
      <c r="I35" s="56" t="s">
        <v>4</v>
      </c>
      <c r="J35" s="56" t="s">
        <v>4</v>
      </c>
      <c r="K35" s="56" t="s">
        <v>4</v>
      </c>
      <c r="L35" s="56" t="s">
        <v>4</v>
      </c>
      <c r="M35" s="56" t="s">
        <v>4</v>
      </c>
      <c r="N35" s="56" t="s">
        <v>4</v>
      </c>
      <c r="O35" s="56" t="s">
        <v>4</v>
      </c>
      <c r="P35" s="56" t="s">
        <v>4</v>
      </c>
      <c r="Q35" s="56" t="s">
        <v>4</v>
      </c>
      <c r="R35" s="56">
        <v>4</v>
      </c>
      <c r="S35" s="56" t="s">
        <v>4</v>
      </c>
      <c r="T35" s="56" t="s">
        <v>4</v>
      </c>
      <c r="U35" s="56" t="s">
        <v>4</v>
      </c>
      <c r="V35" s="56" t="s">
        <v>4</v>
      </c>
      <c r="W35" s="56" t="s">
        <v>4</v>
      </c>
      <c r="X35" s="56" t="s">
        <v>4</v>
      </c>
      <c r="Y35" s="56" t="s">
        <v>4</v>
      </c>
      <c r="Z35" s="56" t="s">
        <v>4</v>
      </c>
      <c r="AA35" s="56" t="s">
        <v>4</v>
      </c>
      <c r="AB35" s="56" t="s">
        <v>4</v>
      </c>
      <c r="AC35" s="56" t="s">
        <v>4</v>
      </c>
      <c r="AD35" s="56" t="s">
        <v>4</v>
      </c>
      <c r="AE35" s="56" t="s">
        <v>4</v>
      </c>
      <c r="AF35" s="56" t="s">
        <v>4</v>
      </c>
      <c r="AG35" s="56" t="s">
        <v>4</v>
      </c>
      <c r="AH35" s="56" t="s">
        <v>4</v>
      </c>
      <c r="AI35" s="56" t="s">
        <v>4</v>
      </c>
      <c r="AJ35" s="56">
        <v>4</v>
      </c>
      <c r="AK35" s="56">
        <v>9.43</v>
      </c>
      <c r="AL35" s="57" t="s">
        <v>3061</v>
      </c>
    </row>
    <row r="36" spans="1:38" ht="16.5" x14ac:dyDescent="0.25">
      <c r="A36" s="55">
        <v>24</v>
      </c>
      <c r="B36" s="56" t="s">
        <v>2867</v>
      </c>
      <c r="C36" s="56" t="s">
        <v>2979</v>
      </c>
      <c r="D36" s="56" t="s">
        <v>4</v>
      </c>
      <c r="E36" s="56" t="s">
        <v>4</v>
      </c>
      <c r="F36" s="56" t="s">
        <v>4</v>
      </c>
      <c r="G36" s="56" t="s">
        <v>4</v>
      </c>
      <c r="H36" s="56" t="s">
        <v>4</v>
      </c>
      <c r="I36" s="56" t="s">
        <v>4</v>
      </c>
      <c r="J36" s="56" t="s">
        <v>4</v>
      </c>
      <c r="K36" s="56">
        <v>4</v>
      </c>
      <c r="L36" s="56" t="s">
        <v>4</v>
      </c>
      <c r="M36" s="56" t="s">
        <v>4</v>
      </c>
      <c r="N36" s="56" t="s">
        <v>4</v>
      </c>
      <c r="O36" s="56" t="s">
        <v>4</v>
      </c>
      <c r="P36" s="56">
        <v>4</v>
      </c>
      <c r="Q36" s="56" t="s">
        <v>4</v>
      </c>
      <c r="R36" s="56" t="s">
        <v>4</v>
      </c>
      <c r="S36" s="56" t="s">
        <v>4</v>
      </c>
      <c r="T36" s="56" t="s">
        <v>4</v>
      </c>
      <c r="U36" s="56" t="s">
        <v>4</v>
      </c>
      <c r="V36" s="56" t="s">
        <v>4</v>
      </c>
      <c r="W36" s="56" t="s">
        <v>4</v>
      </c>
      <c r="X36" s="56" t="s">
        <v>4</v>
      </c>
      <c r="Y36" s="56">
        <v>4</v>
      </c>
      <c r="Z36" s="56" t="s">
        <v>4</v>
      </c>
      <c r="AA36" s="56" t="s">
        <v>4</v>
      </c>
      <c r="AB36" s="56" t="s">
        <v>4</v>
      </c>
      <c r="AC36" s="56" t="s">
        <v>4</v>
      </c>
      <c r="AD36" s="56" t="s">
        <v>4</v>
      </c>
      <c r="AE36" s="56" t="s">
        <v>4</v>
      </c>
      <c r="AF36" s="56" t="s">
        <v>4</v>
      </c>
      <c r="AG36" s="56" t="s">
        <v>4</v>
      </c>
      <c r="AH36" s="56" t="s">
        <v>4</v>
      </c>
      <c r="AI36" s="56" t="s">
        <v>4</v>
      </c>
      <c r="AJ36" s="56">
        <v>12</v>
      </c>
      <c r="AK36" s="56">
        <v>6.82</v>
      </c>
      <c r="AL36" s="57" t="s">
        <v>3092</v>
      </c>
    </row>
    <row r="37" spans="1:38" ht="16.5" x14ac:dyDescent="0.25">
      <c r="A37" s="55">
        <v>25</v>
      </c>
      <c r="B37" s="56" t="s">
        <v>2867</v>
      </c>
      <c r="C37" s="56" t="s">
        <v>2960</v>
      </c>
      <c r="D37" s="56" t="s">
        <v>4</v>
      </c>
      <c r="E37" s="56" t="s">
        <v>4</v>
      </c>
      <c r="F37" s="56" t="s">
        <v>4</v>
      </c>
      <c r="G37" s="56">
        <v>8</v>
      </c>
      <c r="H37" s="56" t="s">
        <v>4</v>
      </c>
      <c r="I37" s="56">
        <v>4</v>
      </c>
      <c r="J37" s="56" t="s">
        <v>4</v>
      </c>
      <c r="K37" s="56" t="s">
        <v>4</v>
      </c>
      <c r="L37" s="56" t="s">
        <v>4</v>
      </c>
      <c r="M37" s="56" t="s">
        <v>4</v>
      </c>
      <c r="N37" s="56" t="s">
        <v>4</v>
      </c>
      <c r="O37" s="56" t="s">
        <v>4</v>
      </c>
      <c r="P37" s="56" t="s">
        <v>4</v>
      </c>
      <c r="Q37" s="56" t="s">
        <v>4</v>
      </c>
      <c r="R37" s="56" t="s">
        <v>4</v>
      </c>
      <c r="S37" s="56" t="s">
        <v>4</v>
      </c>
      <c r="T37" s="56" t="s">
        <v>4</v>
      </c>
      <c r="U37" s="56" t="s">
        <v>4</v>
      </c>
      <c r="V37" s="56" t="s">
        <v>4</v>
      </c>
      <c r="W37" s="56" t="s">
        <v>4</v>
      </c>
      <c r="X37" s="56" t="s">
        <v>4</v>
      </c>
      <c r="Y37" s="56" t="s">
        <v>4</v>
      </c>
      <c r="Z37" s="56" t="s">
        <v>4</v>
      </c>
      <c r="AA37" s="56" t="s">
        <v>4</v>
      </c>
      <c r="AB37" s="56" t="s">
        <v>4</v>
      </c>
      <c r="AC37" s="56" t="s">
        <v>4</v>
      </c>
      <c r="AD37" s="56" t="s">
        <v>4</v>
      </c>
      <c r="AE37" s="56" t="s">
        <v>4</v>
      </c>
      <c r="AF37" s="56" t="s">
        <v>4</v>
      </c>
      <c r="AG37" s="56" t="s">
        <v>4</v>
      </c>
      <c r="AH37" s="56" t="s">
        <v>4</v>
      </c>
      <c r="AI37" s="56" t="s">
        <v>4</v>
      </c>
      <c r="AJ37" s="56">
        <v>12</v>
      </c>
      <c r="AK37" s="56">
        <v>8.64</v>
      </c>
      <c r="AL37" s="57" t="s">
        <v>3093</v>
      </c>
    </row>
    <row r="38" spans="1:38" ht="16.5" x14ac:dyDescent="0.25">
      <c r="A38" s="55">
        <v>26</v>
      </c>
      <c r="B38" s="56" t="s">
        <v>2867</v>
      </c>
      <c r="C38" s="56" t="s">
        <v>2961</v>
      </c>
      <c r="D38" s="56" t="s">
        <v>4</v>
      </c>
      <c r="E38" s="56" t="s">
        <v>4</v>
      </c>
      <c r="F38" s="56" t="s">
        <v>4</v>
      </c>
      <c r="G38" s="56">
        <v>8</v>
      </c>
      <c r="H38" s="56" t="s">
        <v>4</v>
      </c>
      <c r="I38" s="56">
        <v>4</v>
      </c>
      <c r="J38" s="56" t="s">
        <v>4</v>
      </c>
      <c r="K38" s="56" t="s">
        <v>4</v>
      </c>
      <c r="L38" s="56" t="s">
        <v>4</v>
      </c>
      <c r="M38" s="56" t="s">
        <v>4</v>
      </c>
      <c r="N38" s="56" t="s">
        <v>4</v>
      </c>
      <c r="O38" s="56" t="s">
        <v>4</v>
      </c>
      <c r="P38" s="56" t="s">
        <v>4</v>
      </c>
      <c r="Q38" s="56" t="s">
        <v>4</v>
      </c>
      <c r="R38" s="56" t="s">
        <v>4</v>
      </c>
      <c r="S38" s="56" t="s">
        <v>4</v>
      </c>
      <c r="T38" s="56" t="s">
        <v>4</v>
      </c>
      <c r="U38" s="56" t="s">
        <v>4</v>
      </c>
      <c r="V38" s="56" t="s">
        <v>4</v>
      </c>
      <c r="W38" s="56" t="s">
        <v>4</v>
      </c>
      <c r="X38" s="56" t="s">
        <v>4</v>
      </c>
      <c r="Y38" s="56" t="s">
        <v>4</v>
      </c>
      <c r="Z38" s="56" t="s">
        <v>4</v>
      </c>
      <c r="AA38" s="56" t="s">
        <v>4</v>
      </c>
      <c r="AB38" s="56" t="s">
        <v>4</v>
      </c>
      <c r="AC38" s="56" t="s">
        <v>4</v>
      </c>
      <c r="AD38" s="56" t="s">
        <v>4</v>
      </c>
      <c r="AE38" s="56" t="s">
        <v>4</v>
      </c>
      <c r="AF38" s="56" t="s">
        <v>4</v>
      </c>
      <c r="AG38" s="56" t="s">
        <v>4</v>
      </c>
      <c r="AH38" s="56" t="s">
        <v>4</v>
      </c>
      <c r="AI38" s="56" t="s">
        <v>4</v>
      </c>
      <c r="AJ38" s="56">
        <v>12</v>
      </c>
      <c r="AK38" s="56">
        <v>8.07</v>
      </c>
      <c r="AL38" s="57" t="s">
        <v>3094</v>
      </c>
    </row>
    <row r="39" spans="1:38" ht="16.5" x14ac:dyDescent="0.25">
      <c r="A39" s="55">
        <v>27</v>
      </c>
      <c r="B39" s="56" t="s">
        <v>2867</v>
      </c>
      <c r="C39" s="56" t="s">
        <v>2970</v>
      </c>
      <c r="D39" s="56" t="s">
        <v>4</v>
      </c>
      <c r="E39" s="56" t="s">
        <v>4</v>
      </c>
      <c r="F39" s="56" t="s">
        <v>4</v>
      </c>
      <c r="G39" s="56" t="s">
        <v>4</v>
      </c>
      <c r="H39" s="56" t="s">
        <v>4</v>
      </c>
      <c r="I39" s="56" t="s">
        <v>4</v>
      </c>
      <c r="J39" s="56" t="s">
        <v>4</v>
      </c>
      <c r="K39" s="56" t="s">
        <v>4</v>
      </c>
      <c r="L39" s="56" t="s">
        <v>4</v>
      </c>
      <c r="M39" s="56" t="s">
        <v>4</v>
      </c>
      <c r="N39" s="56" t="s">
        <v>4</v>
      </c>
      <c r="O39" s="56" t="s">
        <v>4</v>
      </c>
      <c r="P39" s="56" t="s">
        <v>4</v>
      </c>
      <c r="Q39" s="56" t="s">
        <v>4</v>
      </c>
      <c r="R39" s="56" t="s">
        <v>4</v>
      </c>
      <c r="S39" s="56" t="s">
        <v>4</v>
      </c>
      <c r="T39" s="56" t="s">
        <v>4</v>
      </c>
      <c r="U39" s="56" t="s">
        <v>4</v>
      </c>
      <c r="V39" s="56" t="s">
        <v>4</v>
      </c>
      <c r="W39" s="56" t="s">
        <v>4</v>
      </c>
      <c r="X39" s="56" t="s">
        <v>4</v>
      </c>
      <c r="Y39" s="56" t="s">
        <v>4</v>
      </c>
      <c r="Z39" s="56" t="s">
        <v>4</v>
      </c>
      <c r="AA39" s="56" t="s">
        <v>4</v>
      </c>
      <c r="AB39" s="56" t="s">
        <v>4</v>
      </c>
      <c r="AC39" s="56">
        <v>4</v>
      </c>
      <c r="AD39" s="56">
        <v>4</v>
      </c>
      <c r="AE39" s="56">
        <v>4</v>
      </c>
      <c r="AF39" s="56">
        <v>4</v>
      </c>
      <c r="AG39" s="56">
        <v>4</v>
      </c>
      <c r="AH39" s="56">
        <v>4</v>
      </c>
      <c r="AI39" s="56" t="s">
        <v>4</v>
      </c>
      <c r="AJ39" s="56">
        <v>24</v>
      </c>
      <c r="AK39" s="56">
        <v>11.4</v>
      </c>
      <c r="AL39" s="57" t="s">
        <v>3095</v>
      </c>
    </row>
    <row r="40" spans="1:38" ht="16.5" x14ac:dyDescent="0.25">
      <c r="A40" s="55">
        <v>28</v>
      </c>
      <c r="B40" s="56" t="s">
        <v>2867</v>
      </c>
      <c r="C40" s="56" t="s">
        <v>2971</v>
      </c>
      <c r="D40" s="56" t="s">
        <v>4</v>
      </c>
      <c r="E40" s="56" t="s">
        <v>4</v>
      </c>
      <c r="F40" s="56" t="s">
        <v>4</v>
      </c>
      <c r="G40" s="56" t="s">
        <v>4</v>
      </c>
      <c r="H40" s="56" t="s">
        <v>4</v>
      </c>
      <c r="I40" s="56" t="s">
        <v>4</v>
      </c>
      <c r="J40" s="56" t="s">
        <v>4</v>
      </c>
      <c r="K40" s="56" t="s">
        <v>4</v>
      </c>
      <c r="L40" s="56" t="s">
        <v>4</v>
      </c>
      <c r="M40" s="56" t="s">
        <v>4</v>
      </c>
      <c r="N40" s="56" t="s">
        <v>4</v>
      </c>
      <c r="O40" s="56" t="s">
        <v>4</v>
      </c>
      <c r="P40" s="56" t="s">
        <v>4</v>
      </c>
      <c r="Q40" s="56" t="s">
        <v>4</v>
      </c>
      <c r="R40" s="56" t="s">
        <v>4</v>
      </c>
      <c r="S40" s="56" t="s">
        <v>4</v>
      </c>
      <c r="T40" s="56" t="s">
        <v>4</v>
      </c>
      <c r="U40" s="56">
        <v>4</v>
      </c>
      <c r="V40" s="56" t="s">
        <v>4</v>
      </c>
      <c r="W40" s="56" t="s">
        <v>4</v>
      </c>
      <c r="X40" s="56" t="s">
        <v>4</v>
      </c>
      <c r="Y40" s="56" t="s">
        <v>4</v>
      </c>
      <c r="Z40" s="56" t="s">
        <v>4</v>
      </c>
      <c r="AA40" s="56" t="s">
        <v>4</v>
      </c>
      <c r="AB40" s="56" t="s">
        <v>4</v>
      </c>
      <c r="AC40" s="56">
        <v>8</v>
      </c>
      <c r="AD40" s="56">
        <v>8</v>
      </c>
      <c r="AE40" s="56">
        <v>8</v>
      </c>
      <c r="AF40" s="56">
        <v>8</v>
      </c>
      <c r="AG40" s="56">
        <v>8</v>
      </c>
      <c r="AH40" s="56">
        <v>8</v>
      </c>
      <c r="AI40" s="56">
        <v>4</v>
      </c>
      <c r="AJ40" s="56">
        <v>56</v>
      </c>
      <c r="AK40" s="56">
        <v>4.2699999999999996</v>
      </c>
      <c r="AL40" s="57" t="s">
        <v>3096</v>
      </c>
    </row>
    <row r="41" spans="1:38" ht="16.5" x14ac:dyDescent="0.25">
      <c r="A41" s="55">
        <v>29</v>
      </c>
      <c r="B41" s="56" t="s">
        <v>2867</v>
      </c>
      <c r="C41" s="56" t="s">
        <v>2972</v>
      </c>
      <c r="D41" s="56" t="s">
        <v>4</v>
      </c>
      <c r="E41" s="56" t="s">
        <v>4</v>
      </c>
      <c r="F41" s="56" t="s">
        <v>4</v>
      </c>
      <c r="G41" s="56" t="s">
        <v>4</v>
      </c>
      <c r="H41" s="56" t="s">
        <v>4</v>
      </c>
      <c r="I41" s="56" t="s">
        <v>4</v>
      </c>
      <c r="J41" s="56" t="s">
        <v>4</v>
      </c>
      <c r="K41" s="56" t="s">
        <v>4</v>
      </c>
      <c r="L41" s="56" t="s">
        <v>4</v>
      </c>
      <c r="M41" s="56" t="s">
        <v>4</v>
      </c>
      <c r="N41" s="56" t="s">
        <v>4</v>
      </c>
      <c r="O41" s="56" t="s">
        <v>4</v>
      </c>
      <c r="P41" s="56" t="s">
        <v>4</v>
      </c>
      <c r="Q41" s="56" t="s">
        <v>4</v>
      </c>
      <c r="R41" s="56" t="s">
        <v>4</v>
      </c>
      <c r="S41" s="56" t="s">
        <v>4</v>
      </c>
      <c r="T41" s="56" t="s">
        <v>4</v>
      </c>
      <c r="U41" s="56" t="s">
        <v>4</v>
      </c>
      <c r="V41" s="56" t="s">
        <v>4</v>
      </c>
      <c r="W41" s="56" t="s">
        <v>4</v>
      </c>
      <c r="X41" s="56" t="s">
        <v>4</v>
      </c>
      <c r="Y41" s="56" t="s">
        <v>4</v>
      </c>
      <c r="Z41" s="56" t="s">
        <v>4</v>
      </c>
      <c r="AA41" s="56" t="s">
        <v>4</v>
      </c>
      <c r="AB41" s="56" t="s">
        <v>4</v>
      </c>
      <c r="AC41" s="56">
        <v>8</v>
      </c>
      <c r="AD41" s="56">
        <v>8</v>
      </c>
      <c r="AE41" s="56" t="s">
        <v>4</v>
      </c>
      <c r="AF41" s="56" t="s">
        <v>4</v>
      </c>
      <c r="AG41" s="56" t="s">
        <v>4</v>
      </c>
      <c r="AH41" s="56" t="s">
        <v>4</v>
      </c>
      <c r="AI41" s="56" t="s">
        <v>4</v>
      </c>
      <c r="AJ41" s="56">
        <v>16</v>
      </c>
      <c r="AK41" s="56">
        <v>2.8499999999999996</v>
      </c>
      <c r="AL41" s="57" t="s">
        <v>3097</v>
      </c>
    </row>
    <row r="42" spans="1:38" ht="16.5" x14ac:dyDescent="0.25">
      <c r="A42" s="55" t="s">
        <v>3098</v>
      </c>
      <c r="B42" s="56" t="s">
        <v>2764</v>
      </c>
      <c r="C42" s="56" t="s">
        <v>3099</v>
      </c>
      <c r="D42" s="56" t="s">
        <v>4</v>
      </c>
      <c r="E42" s="56" t="s">
        <v>4</v>
      </c>
      <c r="F42" s="56" t="s">
        <v>4</v>
      </c>
      <c r="G42" s="56" t="s">
        <v>4</v>
      </c>
      <c r="H42" s="56" t="s">
        <v>4</v>
      </c>
      <c r="I42" s="56" t="s">
        <v>4</v>
      </c>
      <c r="J42" s="56" t="s">
        <v>4</v>
      </c>
      <c r="K42" s="56" t="s">
        <v>4</v>
      </c>
      <c r="L42" s="56" t="s">
        <v>4</v>
      </c>
      <c r="M42" s="56" t="s">
        <v>4</v>
      </c>
      <c r="N42" s="56" t="s">
        <v>4</v>
      </c>
      <c r="O42" s="56" t="s">
        <v>4</v>
      </c>
      <c r="P42" s="56" t="s">
        <v>4</v>
      </c>
      <c r="Q42" s="56" t="s">
        <v>4</v>
      </c>
      <c r="R42" s="56" t="s">
        <v>4</v>
      </c>
      <c r="S42" s="56" t="s">
        <v>4</v>
      </c>
      <c r="T42" s="56" t="s">
        <v>4</v>
      </c>
      <c r="U42" s="56" t="s">
        <v>4</v>
      </c>
      <c r="V42" s="56" t="s">
        <v>4</v>
      </c>
      <c r="W42" s="56" t="s">
        <v>4</v>
      </c>
      <c r="X42" s="56" t="s">
        <v>4</v>
      </c>
      <c r="Y42" s="56" t="s">
        <v>4</v>
      </c>
      <c r="Z42" s="56" t="s">
        <v>4</v>
      </c>
      <c r="AA42" s="56" t="s">
        <v>4</v>
      </c>
      <c r="AB42" s="56" t="s">
        <v>4</v>
      </c>
      <c r="AC42" s="56">
        <v>20</v>
      </c>
      <c r="AD42" s="56">
        <v>20</v>
      </c>
      <c r="AE42" s="56" t="s">
        <v>4</v>
      </c>
      <c r="AF42" s="56" t="s">
        <v>4</v>
      </c>
      <c r="AG42" s="56" t="s">
        <v>4</v>
      </c>
      <c r="AH42" s="56" t="s">
        <v>4</v>
      </c>
      <c r="AI42" s="56" t="s">
        <v>4</v>
      </c>
      <c r="AJ42" s="56">
        <v>40</v>
      </c>
      <c r="AK42" s="56">
        <v>0.55000000000000004</v>
      </c>
      <c r="AL42" s="57" t="s">
        <v>3100</v>
      </c>
    </row>
    <row r="43" spans="1:38" ht="16.5" x14ac:dyDescent="0.25">
      <c r="A43" s="55">
        <v>31</v>
      </c>
      <c r="B43" s="56" t="s">
        <v>2867</v>
      </c>
      <c r="C43" s="56" t="s">
        <v>2924</v>
      </c>
      <c r="D43" s="56" t="s">
        <v>4</v>
      </c>
      <c r="E43" s="56" t="s">
        <v>4</v>
      </c>
      <c r="F43" s="56" t="s">
        <v>4</v>
      </c>
      <c r="G43" s="56" t="s">
        <v>4</v>
      </c>
      <c r="H43" s="56" t="s">
        <v>4</v>
      </c>
      <c r="I43" s="56" t="s">
        <v>4</v>
      </c>
      <c r="J43" s="56" t="s">
        <v>4</v>
      </c>
      <c r="K43" s="56" t="s">
        <v>4</v>
      </c>
      <c r="L43" s="56" t="s">
        <v>4</v>
      </c>
      <c r="M43" s="56" t="s">
        <v>4</v>
      </c>
      <c r="N43" s="56" t="s">
        <v>4</v>
      </c>
      <c r="O43" s="56" t="s">
        <v>4</v>
      </c>
      <c r="P43" s="56" t="s">
        <v>4</v>
      </c>
      <c r="Q43" s="56" t="s">
        <v>4</v>
      </c>
      <c r="R43" s="56">
        <v>20</v>
      </c>
      <c r="S43" s="56" t="s">
        <v>4</v>
      </c>
      <c r="T43" s="56" t="s">
        <v>4</v>
      </c>
      <c r="U43" s="56" t="s">
        <v>4</v>
      </c>
      <c r="V43" s="56" t="s">
        <v>4</v>
      </c>
      <c r="W43" s="56" t="s">
        <v>4</v>
      </c>
      <c r="X43" s="56" t="s">
        <v>4</v>
      </c>
      <c r="Y43" s="56" t="s">
        <v>4</v>
      </c>
      <c r="Z43" s="56" t="s">
        <v>4</v>
      </c>
      <c r="AA43" s="56" t="s">
        <v>4</v>
      </c>
      <c r="AB43" s="56" t="s">
        <v>4</v>
      </c>
      <c r="AC43" s="56" t="s">
        <v>4</v>
      </c>
      <c r="AD43" s="56" t="s">
        <v>4</v>
      </c>
      <c r="AE43" s="56" t="s">
        <v>4</v>
      </c>
      <c r="AF43" s="56" t="s">
        <v>4</v>
      </c>
      <c r="AG43" s="56" t="s">
        <v>4</v>
      </c>
      <c r="AH43" s="56" t="s">
        <v>4</v>
      </c>
      <c r="AI43" s="56" t="s">
        <v>4</v>
      </c>
      <c r="AJ43" s="56">
        <v>20</v>
      </c>
      <c r="AK43" s="56">
        <v>9.99</v>
      </c>
      <c r="AL43" s="57" t="s">
        <v>3102</v>
      </c>
    </row>
    <row r="44" spans="1:38" ht="16.5" x14ac:dyDescent="0.25">
      <c r="A44" s="55">
        <v>31</v>
      </c>
      <c r="B44" s="56" t="s">
        <v>2867</v>
      </c>
      <c r="C44" s="56" t="s">
        <v>3006</v>
      </c>
      <c r="D44" s="56" t="s">
        <v>4</v>
      </c>
      <c r="E44" s="56" t="s">
        <v>4</v>
      </c>
      <c r="F44" s="56" t="s">
        <v>4</v>
      </c>
      <c r="G44" s="56" t="s">
        <v>4</v>
      </c>
      <c r="H44" s="56" t="s">
        <v>4</v>
      </c>
      <c r="I44" s="56" t="s">
        <v>4</v>
      </c>
      <c r="J44" s="56" t="s">
        <v>4</v>
      </c>
      <c r="K44" s="56" t="s">
        <v>4</v>
      </c>
      <c r="L44" s="56" t="s">
        <v>4</v>
      </c>
      <c r="M44" s="56" t="s">
        <v>4</v>
      </c>
      <c r="N44" s="56" t="s">
        <v>4</v>
      </c>
      <c r="O44" s="56" t="s">
        <v>4</v>
      </c>
      <c r="P44" s="56" t="s">
        <v>4</v>
      </c>
      <c r="Q44" s="56" t="s">
        <v>4</v>
      </c>
      <c r="R44" s="56" t="s">
        <v>4</v>
      </c>
      <c r="S44" s="56" t="s">
        <v>4</v>
      </c>
      <c r="T44" s="56" t="s">
        <v>4</v>
      </c>
      <c r="U44" s="56">
        <v>20</v>
      </c>
      <c r="V44" s="56" t="s">
        <v>4</v>
      </c>
      <c r="W44" s="56" t="s">
        <v>4</v>
      </c>
      <c r="X44" s="56" t="s">
        <v>4</v>
      </c>
      <c r="Y44" s="56" t="s">
        <v>4</v>
      </c>
      <c r="Z44" s="56" t="s">
        <v>4</v>
      </c>
      <c r="AA44" s="56" t="s">
        <v>4</v>
      </c>
      <c r="AB44" s="56" t="s">
        <v>4</v>
      </c>
      <c r="AC44" s="56" t="s">
        <v>4</v>
      </c>
      <c r="AD44" s="56" t="s">
        <v>4</v>
      </c>
      <c r="AE44" s="56">
        <v>16</v>
      </c>
      <c r="AF44" s="56">
        <v>20</v>
      </c>
      <c r="AG44" s="56" t="s">
        <v>4</v>
      </c>
      <c r="AH44" s="56" t="s">
        <v>4</v>
      </c>
      <c r="AI44" s="56">
        <v>20</v>
      </c>
      <c r="AJ44" s="56">
        <v>76</v>
      </c>
      <c r="AK44" s="56">
        <v>12.09</v>
      </c>
      <c r="AL44" s="57" t="s">
        <v>3101</v>
      </c>
    </row>
    <row r="45" spans="1:38" ht="16.5" x14ac:dyDescent="0.25">
      <c r="A45" s="55">
        <v>32</v>
      </c>
      <c r="B45" s="56" t="s">
        <v>2867</v>
      </c>
      <c r="C45" s="56" t="s">
        <v>2987</v>
      </c>
      <c r="D45" s="56" t="s">
        <v>4</v>
      </c>
      <c r="E45" s="56" t="s">
        <v>4</v>
      </c>
      <c r="F45" s="56" t="s">
        <v>4</v>
      </c>
      <c r="G45" s="56" t="s">
        <v>4</v>
      </c>
      <c r="H45" s="56" t="s">
        <v>4</v>
      </c>
      <c r="I45" s="56" t="s">
        <v>4</v>
      </c>
      <c r="J45" s="56" t="s">
        <v>4</v>
      </c>
      <c r="K45" s="56" t="s">
        <v>4</v>
      </c>
      <c r="L45" s="56" t="s">
        <v>4</v>
      </c>
      <c r="M45" s="56" t="s">
        <v>4</v>
      </c>
      <c r="N45" s="56" t="s">
        <v>4</v>
      </c>
      <c r="O45" s="56" t="s">
        <v>4</v>
      </c>
      <c r="P45" s="56" t="s">
        <v>4</v>
      </c>
      <c r="Q45" s="56" t="s">
        <v>4</v>
      </c>
      <c r="R45" s="56" t="s">
        <v>4</v>
      </c>
      <c r="S45" s="56" t="s">
        <v>4</v>
      </c>
      <c r="T45" s="56" t="s">
        <v>4</v>
      </c>
      <c r="U45" s="56">
        <v>4</v>
      </c>
      <c r="V45" s="56" t="s">
        <v>4</v>
      </c>
      <c r="W45" s="56" t="s">
        <v>4</v>
      </c>
      <c r="X45" s="56" t="s">
        <v>4</v>
      </c>
      <c r="Y45" s="56" t="s">
        <v>4</v>
      </c>
      <c r="Z45" s="56" t="s">
        <v>4</v>
      </c>
      <c r="AA45" s="56" t="s">
        <v>4</v>
      </c>
      <c r="AB45" s="56" t="s">
        <v>4</v>
      </c>
      <c r="AC45" s="56" t="s">
        <v>4</v>
      </c>
      <c r="AD45" s="56" t="s">
        <v>4</v>
      </c>
      <c r="AE45" s="56">
        <v>4</v>
      </c>
      <c r="AF45" s="56">
        <v>4</v>
      </c>
      <c r="AG45" s="56">
        <v>4</v>
      </c>
      <c r="AH45" s="56">
        <v>4</v>
      </c>
      <c r="AI45" s="56">
        <v>4</v>
      </c>
      <c r="AJ45" s="56">
        <v>24</v>
      </c>
      <c r="AK45" s="56">
        <v>14.98</v>
      </c>
      <c r="AL45" s="57" t="s">
        <v>3103</v>
      </c>
    </row>
    <row r="46" spans="1:38" ht="16.5" x14ac:dyDescent="0.25">
      <c r="A46" s="55">
        <v>33</v>
      </c>
      <c r="B46" s="56" t="s">
        <v>2867</v>
      </c>
      <c r="C46" s="56" t="s">
        <v>2988</v>
      </c>
      <c r="D46" s="56" t="s">
        <v>4</v>
      </c>
      <c r="E46" s="56" t="s">
        <v>4</v>
      </c>
      <c r="F46" s="56" t="s">
        <v>4</v>
      </c>
      <c r="G46" s="56" t="s">
        <v>4</v>
      </c>
      <c r="H46" s="56" t="s">
        <v>4</v>
      </c>
      <c r="I46" s="56" t="s">
        <v>4</v>
      </c>
      <c r="J46" s="56" t="s">
        <v>4</v>
      </c>
      <c r="K46" s="56" t="s">
        <v>4</v>
      </c>
      <c r="L46" s="56" t="s">
        <v>4</v>
      </c>
      <c r="M46" s="56" t="s">
        <v>4</v>
      </c>
      <c r="N46" s="56" t="s">
        <v>4</v>
      </c>
      <c r="O46" s="56" t="s">
        <v>4</v>
      </c>
      <c r="P46" s="56" t="s">
        <v>4</v>
      </c>
      <c r="Q46" s="56" t="s">
        <v>4</v>
      </c>
      <c r="R46" s="56" t="s">
        <v>4</v>
      </c>
      <c r="S46" s="56" t="s">
        <v>4</v>
      </c>
      <c r="T46" s="56" t="s">
        <v>4</v>
      </c>
      <c r="U46" s="56" t="s">
        <v>4</v>
      </c>
      <c r="V46" s="56" t="s">
        <v>4</v>
      </c>
      <c r="W46" s="56" t="s">
        <v>4</v>
      </c>
      <c r="X46" s="56" t="s">
        <v>4</v>
      </c>
      <c r="Y46" s="56" t="s">
        <v>4</v>
      </c>
      <c r="Z46" s="56" t="s">
        <v>4</v>
      </c>
      <c r="AA46" s="56" t="s">
        <v>4</v>
      </c>
      <c r="AB46" s="56" t="s">
        <v>4</v>
      </c>
      <c r="AC46" s="56" t="s">
        <v>4</v>
      </c>
      <c r="AD46" s="56" t="s">
        <v>4</v>
      </c>
      <c r="AE46" s="56" t="s">
        <v>4</v>
      </c>
      <c r="AF46" s="56" t="s">
        <v>4</v>
      </c>
      <c r="AG46" s="56">
        <v>4</v>
      </c>
      <c r="AH46" s="56" t="s">
        <v>4</v>
      </c>
      <c r="AI46" s="56" t="s">
        <v>4</v>
      </c>
      <c r="AJ46" s="56">
        <v>4</v>
      </c>
      <c r="AK46" s="56">
        <v>10.61</v>
      </c>
      <c r="AL46" s="57" t="s">
        <v>3104</v>
      </c>
    </row>
    <row r="47" spans="1:38" ht="16.5" x14ac:dyDescent="0.25">
      <c r="A47" s="55">
        <v>34</v>
      </c>
      <c r="B47" s="56" t="s">
        <v>2867</v>
      </c>
      <c r="C47" s="56" t="s">
        <v>2923</v>
      </c>
      <c r="D47" s="56" t="s">
        <v>4</v>
      </c>
      <c r="E47" s="56" t="s">
        <v>4</v>
      </c>
      <c r="F47" s="56" t="s">
        <v>4</v>
      </c>
      <c r="G47" s="56" t="s">
        <v>4</v>
      </c>
      <c r="H47" s="56" t="s">
        <v>4</v>
      </c>
      <c r="I47" s="56" t="s">
        <v>4</v>
      </c>
      <c r="J47" s="56" t="s">
        <v>4</v>
      </c>
      <c r="K47" s="56" t="s">
        <v>4</v>
      </c>
      <c r="L47" s="56" t="s">
        <v>4</v>
      </c>
      <c r="M47" s="56" t="s">
        <v>4</v>
      </c>
      <c r="N47" s="56" t="s">
        <v>4</v>
      </c>
      <c r="O47" s="56" t="s">
        <v>4</v>
      </c>
      <c r="P47" s="56" t="s">
        <v>4</v>
      </c>
      <c r="Q47" s="56" t="s">
        <v>4</v>
      </c>
      <c r="R47" s="56">
        <v>4</v>
      </c>
      <c r="S47" s="56" t="s">
        <v>4</v>
      </c>
      <c r="T47" s="56" t="s">
        <v>4</v>
      </c>
      <c r="U47" s="56" t="s">
        <v>4</v>
      </c>
      <c r="V47" s="56" t="s">
        <v>4</v>
      </c>
      <c r="W47" s="56" t="s">
        <v>4</v>
      </c>
      <c r="X47" s="56" t="s">
        <v>4</v>
      </c>
      <c r="Y47" s="56" t="s">
        <v>4</v>
      </c>
      <c r="Z47" s="56" t="s">
        <v>4</v>
      </c>
      <c r="AA47" s="56" t="s">
        <v>4</v>
      </c>
      <c r="AB47" s="56" t="s">
        <v>4</v>
      </c>
      <c r="AC47" s="56" t="s">
        <v>4</v>
      </c>
      <c r="AD47" s="56" t="s">
        <v>4</v>
      </c>
      <c r="AE47" s="56" t="s">
        <v>4</v>
      </c>
      <c r="AF47" s="56" t="s">
        <v>4</v>
      </c>
      <c r="AG47" s="56" t="s">
        <v>4</v>
      </c>
      <c r="AH47" s="56" t="s">
        <v>4</v>
      </c>
      <c r="AI47" s="56" t="s">
        <v>4</v>
      </c>
      <c r="AJ47" s="56">
        <v>4</v>
      </c>
      <c r="AK47" s="56">
        <v>11.1</v>
      </c>
      <c r="AL47" s="57" t="s">
        <v>3106</v>
      </c>
    </row>
    <row r="48" spans="1:38" ht="16.5" x14ac:dyDescent="0.25">
      <c r="A48" s="55">
        <v>34</v>
      </c>
      <c r="B48" s="56" t="s">
        <v>2867</v>
      </c>
      <c r="C48" s="56" t="s">
        <v>2989</v>
      </c>
      <c r="D48" s="56" t="s">
        <v>4</v>
      </c>
      <c r="E48" s="56" t="s">
        <v>4</v>
      </c>
      <c r="F48" s="56" t="s">
        <v>4</v>
      </c>
      <c r="G48" s="56" t="s">
        <v>4</v>
      </c>
      <c r="H48" s="56" t="s">
        <v>4</v>
      </c>
      <c r="I48" s="56" t="s">
        <v>4</v>
      </c>
      <c r="J48" s="56" t="s">
        <v>4</v>
      </c>
      <c r="K48" s="56" t="s">
        <v>4</v>
      </c>
      <c r="L48" s="56" t="s">
        <v>4</v>
      </c>
      <c r="M48" s="56" t="s">
        <v>4</v>
      </c>
      <c r="N48" s="56" t="s">
        <v>4</v>
      </c>
      <c r="O48" s="56" t="s">
        <v>4</v>
      </c>
      <c r="P48" s="56" t="s">
        <v>4</v>
      </c>
      <c r="Q48" s="56" t="s">
        <v>4</v>
      </c>
      <c r="R48" s="56" t="s">
        <v>4</v>
      </c>
      <c r="S48" s="56" t="s">
        <v>4</v>
      </c>
      <c r="T48" s="56" t="s">
        <v>4</v>
      </c>
      <c r="U48" s="56">
        <v>4</v>
      </c>
      <c r="V48" s="56" t="s">
        <v>4</v>
      </c>
      <c r="W48" s="56" t="s">
        <v>4</v>
      </c>
      <c r="X48" s="56" t="s">
        <v>4</v>
      </c>
      <c r="Y48" s="56" t="s">
        <v>4</v>
      </c>
      <c r="Z48" s="56" t="s">
        <v>4</v>
      </c>
      <c r="AA48" s="56" t="s">
        <v>4</v>
      </c>
      <c r="AB48" s="56" t="s">
        <v>4</v>
      </c>
      <c r="AC48" s="56" t="s">
        <v>4</v>
      </c>
      <c r="AD48" s="56" t="s">
        <v>4</v>
      </c>
      <c r="AE48" s="56">
        <v>4</v>
      </c>
      <c r="AF48" s="56">
        <v>4</v>
      </c>
      <c r="AG48" s="56">
        <v>4</v>
      </c>
      <c r="AH48" s="56">
        <v>4</v>
      </c>
      <c r="AI48" s="56">
        <v>4</v>
      </c>
      <c r="AJ48" s="56">
        <v>24</v>
      </c>
      <c r="AK48" s="56">
        <v>13.43</v>
      </c>
      <c r="AL48" s="57" t="s">
        <v>3105</v>
      </c>
    </row>
    <row r="49" spans="1:38" ht="16.5" x14ac:dyDescent="0.25">
      <c r="A49" s="55">
        <v>35</v>
      </c>
      <c r="B49" s="56" t="s">
        <v>2867</v>
      </c>
      <c r="C49" s="56" t="s">
        <v>3007</v>
      </c>
      <c r="D49" s="56" t="s">
        <v>4</v>
      </c>
      <c r="E49" s="56" t="s">
        <v>4</v>
      </c>
      <c r="F49" s="56" t="s">
        <v>4</v>
      </c>
      <c r="G49" s="56" t="s">
        <v>4</v>
      </c>
      <c r="H49" s="56" t="s">
        <v>4</v>
      </c>
      <c r="I49" s="56" t="s">
        <v>4</v>
      </c>
      <c r="J49" s="56" t="s">
        <v>4</v>
      </c>
      <c r="K49" s="56" t="s">
        <v>4</v>
      </c>
      <c r="L49" s="56" t="s">
        <v>4</v>
      </c>
      <c r="M49" s="56" t="s">
        <v>4</v>
      </c>
      <c r="N49" s="56" t="s">
        <v>4</v>
      </c>
      <c r="O49" s="56" t="s">
        <v>4</v>
      </c>
      <c r="P49" s="56" t="s">
        <v>4</v>
      </c>
      <c r="Q49" s="56" t="s">
        <v>4</v>
      </c>
      <c r="R49" s="56" t="s">
        <v>4</v>
      </c>
      <c r="S49" s="56" t="s">
        <v>4</v>
      </c>
      <c r="T49" s="56" t="s">
        <v>4</v>
      </c>
      <c r="U49" s="56" t="s">
        <v>4</v>
      </c>
      <c r="V49" s="56" t="s">
        <v>4</v>
      </c>
      <c r="W49" s="56" t="s">
        <v>4</v>
      </c>
      <c r="X49" s="56" t="s">
        <v>4</v>
      </c>
      <c r="Y49" s="56" t="s">
        <v>4</v>
      </c>
      <c r="Z49" s="56" t="s">
        <v>4</v>
      </c>
      <c r="AA49" s="56" t="s">
        <v>4</v>
      </c>
      <c r="AB49" s="56" t="s">
        <v>4</v>
      </c>
      <c r="AC49" s="56" t="s">
        <v>4</v>
      </c>
      <c r="AD49" s="56" t="s">
        <v>4</v>
      </c>
      <c r="AE49" s="56">
        <v>4</v>
      </c>
      <c r="AF49" s="56" t="s">
        <v>4</v>
      </c>
      <c r="AG49" s="56" t="s">
        <v>4</v>
      </c>
      <c r="AH49" s="56" t="s">
        <v>4</v>
      </c>
      <c r="AI49" s="56" t="s">
        <v>4</v>
      </c>
      <c r="AJ49" s="56">
        <v>4</v>
      </c>
      <c r="AK49" s="56">
        <v>11.34</v>
      </c>
      <c r="AL49" s="57" t="s">
        <v>3107</v>
      </c>
    </row>
    <row r="50" spans="1:38" ht="16.5" x14ac:dyDescent="0.25">
      <c r="A50" s="55" t="s">
        <v>3108</v>
      </c>
      <c r="B50" s="56" t="s">
        <v>2867</v>
      </c>
      <c r="C50" s="56" t="s">
        <v>3109</v>
      </c>
      <c r="D50" s="56" t="s">
        <v>4</v>
      </c>
      <c r="E50" s="56" t="s">
        <v>4</v>
      </c>
      <c r="F50" s="56" t="s">
        <v>4</v>
      </c>
      <c r="G50" s="56" t="s">
        <v>4</v>
      </c>
      <c r="H50" s="56" t="s">
        <v>4</v>
      </c>
      <c r="I50" s="56" t="s">
        <v>4</v>
      </c>
      <c r="J50" s="56" t="s">
        <v>4</v>
      </c>
      <c r="K50" s="56" t="s">
        <v>4</v>
      </c>
      <c r="L50" s="56" t="s">
        <v>4</v>
      </c>
      <c r="M50" s="56" t="s">
        <v>4</v>
      </c>
      <c r="N50" s="56" t="s">
        <v>4</v>
      </c>
      <c r="O50" s="56" t="s">
        <v>4</v>
      </c>
      <c r="P50" s="56" t="s">
        <v>4</v>
      </c>
      <c r="Q50" s="56" t="s">
        <v>4</v>
      </c>
      <c r="R50" s="56" t="s">
        <v>4</v>
      </c>
      <c r="S50" s="56" t="s">
        <v>4</v>
      </c>
      <c r="T50" s="56" t="s">
        <v>4</v>
      </c>
      <c r="U50" s="56" t="s">
        <v>4</v>
      </c>
      <c r="V50" s="56" t="s">
        <v>4</v>
      </c>
      <c r="W50" s="56" t="s">
        <v>4</v>
      </c>
      <c r="X50" s="56" t="s">
        <v>4</v>
      </c>
      <c r="Y50" s="56" t="s">
        <v>4</v>
      </c>
      <c r="Z50" s="56" t="s">
        <v>4</v>
      </c>
      <c r="AA50" s="56" t="s">
        <v>4</v>
      </c>
      <c r="AB50" s="56" t="s">
        <v>4</v>
      </c>
      <c r="AC50" s="56" t="s">
        <v>4</v>
      </c>
      <c r="AD50" s="56" t="s">
        <v>4</v>
      </c>
      <c r="AE50" s="56">
        <v>4</v>
      </c>
      <c r="AF50" s="56">
        <v>4</v>
      </c>
      <c r="AG50" s="56" t="s">
        <v>4</v>
      </c>
      <c r="AH50" s="56" t="s">
        <v>4</v>
      </c>
      <c r="AI50" s="56" t="s">
        <v>4</v>
      </c>
      <c r="AJ50" s="56">
        <v>8</v>
      </c>
      <c r="AK50" s="56">
        <v>7.96</v>
      </c>
      <c r="AL50" s="57" t="s">
        <v>3110</v>
      </c>
    </row>
    <row r="51" spans="1:38" ht="16.5" x14ac:dyDescent="0.25">
      <c r="A51" s="55">
        <v>37</v>
      </c>
      <c r="B51" s="56" t="s">
        <v>2867</v>
      </c>
      <c r="C51" s="56" t="s">
        <v>3013</v>
      </c>
      <c r="D51" s="56" t="s">
        <v>4</v>
      </c>
      <c r="E51" s="56" t="s">
        <v>4</v>
      </c>
      <c r="F51" s="56" t="s">
        <v>4</v>
      </c>
      <c r="G51" s="56" t="s">
        <v>4</v>
      </c>
      <c r="H51" s="56" t="s">
        <v>4</v>
      </c>
      <c r="I51" s="56" t="s">
        <v>4</v>
      </c>
      <c r="J51" s="56" t="s">
        <v>4</v>
      </c>
      <c r="K51" s="56" t="s">
        <v>4</v>
      </c>
      <c r="L51" s="56" t="s">
        <v>4</v>
      </c>
      <c r="M51" s="56" t="s">
        <v>4</v>
      </c>
      <c r="N51" s="56" t="s">
        <v>4</v>
      </c>
      <c r="O51" s="56" t="s">
        <v>4</v>
      </c>
      <c r="P51" s="56" t="s">
        <v>4</v>
      </c>
      <c r="Q51" s="56" t="s">
        <v>4</v>
      </c>
      <c r="R51" s="56" t="s">
        <v>4</v>
      </c>
      <c r="S51" s="56" t="s">
        <v>4</v>
      </c>
      <c r="T51" s="56" t="s">
        <v>4</v>
      </c>
      <c r="U51" s="56">
        <v>8</v>
      </c>
      <c r="V51" s="56" t="s">
        <v>4</v>
      </c>
      <c r="W51" s="56" t="s">
        <v>4</v>
      </c>
      <c r="X51" s="56" t="s">
        <v>4</v>
      </c>
      <c r="Y51" s="56" t="s">
        <v>4</v>
      </c>
      <c r="Z51" s="56" t="s">
        <v>4</v>
      </c>
      <c r="AA51" s="56" t="s">
        <v>4</v>
      </c>
      <c r="AB51" s="56" t="s">
        <v>4</v>
      </c>
      <c r="AC51" s="56" t="s">
        <v>4</v>
      </c>
      <c r="AD51" s="56" t="s">
        <v>4</v>
      </c>
      <c r="AE51" s="56" t="s">
        <v>4</v>
      </c>
      <c r="AF51" s="56" t="s">
        <v>4</v>
      </c>
      <c r="AG51" s="56" t="s">
        <v>4</v>
      </c>
      <c r="AH51" s="56" t="s">
        <v>4</v>
      </c>
      <c r="AI51" s="56" t="s">
        <v>4</v>
      </c>
      <c r="AJ51" s="56">
        <v>8</v>
      </c>
      <c r="AK51" s="56">
        <v>19.540000000000003</v>
      </c>
      <c r="AL51" s="57" t="s">
        <v>3111</v>
      </c>
    </row>
    <row r="52" spans="1:38" ht="16.5" x14ac:dyDescent="0.25">
      <c r="A52" s="55" t="s">
        <v>3112</v>
      </c>
      <c r="B52" s="56" t="s">
        <v>2764</v>
      </c>
      <c r="C52" s="56" t="s">
        <v>3113</v>
      </c>
      <c r="D52" s="56" t="s">
        <v>4</v>
      </c>
      <c r="E52" s="56" t="s">
        <v>4</v>
      </c>
      <c r="F52" s="56" t="s">
        <v>4</v>
      </c>
      <c r="G52" s="56" t="s">
        <v>4</v>
      </c>
      <c r="H52" s="56" t="s">
        <v>4</v>
      </c>
      <c r="I52" s="56" t="s">
        <v>4</v>
      </c>
      <c r="J52" s="56" t="s">
        <v>4</v>
      </c>
      <c r="K52" s="56" t="s">
        <v>4</v>
      </c>
      <c r="L52" s="56" t="s">
        <v>4</v>
      </c>
      <c r="M52" s="56" t="s">
        <v>4</v>
      </c>
      <c r="N52" s="56" t="s">
        <v>4</v>
      </c>
      <c r="O52" s="56" t="s">
        <v>4</v>
      </c>
      <c r="P52" s="56" t="s">
        <v>4</v>
      </c>
      <c r="Q52" s="56" t="s">
        <v>4</v>
      </c>
      <c r="R52" s="56" t="s">
        <v>4</v>
      </c>
      <c r="S52" s="56" t="s">
        <v>4</v>
      </c>
      <c r="T52" s="56" t="s">
        <v>4</v>
      </c>
      <c r="U52" s="56">
        <v>88</v>
      </c>
      <c r="V52" s="56" t="s">
        <v>4</v>
      </c>
      <c r="W52" s="56" t="s">
        <v>4</v>
      </c>
      <c r="X52" s="56" t="s">
        <v>4</v>
      </c>
      <c r="Y52" s="56" t="s">
        <v>4</v>
      </c>
      <c r="Z52" s="56" t="s">
        <v>4</v>
      </c>
      <c r="AA52" s="56" t="s">
        <v>4</v>
      </c>
      <c r="AB52" s="56" t="s">
        <v>4</v>
      </c>
      <c r="AC52" s="56" t="s">
        <v>4</v>
      </c>
      <c r="AD52" s="56" t="s">
        <v>4</v>
      </c>
      <c r="AE52" s="56" t="s">
        <v>4</v>
      </c>
      <c r="AF52" s="56" t="s">
        <v>4</v>
      </c>
      <c r="AG52" s="56" t="s">
        <v>4</v>
      </c>
      <c r="AH52" s="56" t="s">
        <v>4</v>
      </c>
      <c r="AI52" s="56">
        <v>88</v>
      </c>
      <c r="AJ52" s="56">
        <v>176</v>
      </c>
      <c r="AK52" s="56">
        <v>0.74</v>
      </c>
      <c r="AL52" s="57" t="s">
        <v>3114</v>
      </c>
    </row>
    <row r="53" spans="1:38" ht="16.5" x14ac:dyDescent="0.25">
      <c r="A53" s="55" t="s">
        <v>3115</v>
      </c>
      <c r="B53" s="56" t="s">
        <v>2764</v>
      </c>
      <c r="C53" s="56" t="s">
        <v>3116</v>
      </c>
      <c r="D53" s="56" t="s">
        <v>4</v>
      </c>
      <c r="E53" s="56" t="s">
        <v>4</v>
      </c>
      <c r="F53" s="56" t="s">
        <v>4</v>
      </c>
      <c r="G53" s="56" t="s">
        <v>4</v>
      </c>
      <c r="H53" s="56" t="s">
        <v>4</v>
      </c>
      <c r="I53" s="56" t="s">
        <v>4</v>
      </c>
      <c r="J53" s="56" t="s">
        <v>4</v>
      </c>
      <c r="K53" s="56" t="s">
        <v>4</v>
      </c>
      <c r="L53" s="56" t="s">
        <v>4</v>
      </c>
      <c r="M53" s="56" t="s">
        <v>4</v>
      </c>
      <c r="N53" s="56" t="s">
        <v>4</v>
      </c>
      <c r="O53" s="56" t="s">
        <v>4</v>
      </c>
      <c r="P53" s="56" t="s">
        <v>4</v>
      </c>
      <c r="Q53" s="56" t="s">
        <v>4</v>
      </c>
      <c r="R53" s="56" t="s">
        <v>4</v>
      </c>
      <c r="S53" s="56" t="s">
        <v>4</v>
      </c>
      <c r="T53" s="56" t="s">
        <v>4</v>
      </c>
      <c r="U53" s="56">
        <v>88</v>
      </c>
      <c r="V53" s="56" t="s">
        <v>4</v>
      </c>
      <c r="W53" s="56" t="s">
        <v>4</v>
      </c>
      <c r="X53" s="56" t="s">
        <v>4</v>
      </c>
      <c r="Y53" s="56" t="s">
        <v>4</v>
      </c>
      <c r="Z53" s="56" t="s">
        <v>4</v>
      </c>
      <c r="AA53" s="56" t="s">
        <v>4</v>
      </c>
      <c r="AB53" s="56" t="s">
        <v>4</v>
      </c>
      <c r="AC53" s="56" t="s">
        <v>4</v>
      </c>
      <c r="AD53" s="56" t="s">
        <v>4</v>
      </c>
      <c r="AE53" s="56" t="s">
        <v>4</v>
      </c>
      <c r="AF53" s="56" t="s">
        <v>4</v>
      </c>
      <c r="AG53" s="56" t="s">
        <v>4</v>
      </c>
      <c r="AH53" s="56" t="s">
        <v>4</v>
      </c>
      <c r="AI53" s="56">
        <v>88</v>
      </c>
      <c r="AJ53" s="56">
        <v>176</v>
      </c>
      <c r="AK53" s="56">
        <v>0.57000000000000006</v>
      </c>
      <c r="AL53" s="57" t="s">
        <v>3117</v>
      </c>
    </row>
    <row r="54" spans="1:38" ht="16.5" x14ac:dyDescent="0.25">
      <c r="A54" s="55">
        <v>40</v>
      </c>
      <c r="B54" s="56" t="s">
        <v>2867</v>
      </c>
      <c r="C54" s="56" t="s">
        <v>3016</v>
      </c>
      <c r="D54" s="56" t="s">
        <v>4</v>
      </c>
      <c r="E54" s="56" t="s">
        <v>4</v>
      </c>
      <c r="F54" s="56" t="s">
        <v>4</v>
      </c>
      <c r="G54" s="56" t="s">
        <v>4</v>
      </c>
      <c r="H54" s="56" t="s">
        <v>4</v>
      </c>
      <c r="I54" s="56" t="s">
        <v>4</v>
      </c>
      <c r="J54" s="56" t="s">
        <v>4</v>
      </c>
      <c r="K54" s="56" t="s">
        <v>4</v>
      </c>
      <c r="L54" s="56" t="s">
        <v>4</v>
      </c>
      <c r="M54" s="56" t="s">
        <v>4</v>
      </c>
      <c r="N54" s="56" t="s">
        <v>4</v>
      </c>
      <c r="O54" s="56" t="s">
        <v>4</v>
      </c>
      <c r="P54" s="56" t="s">
        <v>4</v>
      </c>
      <c r="Q54" s="56" t="s">
        <v>4</v>
      </c>
      <c r="R54" s="56" t="s">
        <v>4</v>
      </c>
      <c r="S54" s="56" t="s">
        <v>4</v>
      </c>
      <c r="T54" s="56" t="s">
        <v>4</v>
      </c>
      <c r="U54" s="56">
        <v>4</v>
      </c>
      <c r="V54" s="56" t="s">
        <v>4</v>
      </c>
      <c r="W54" s="56" t="s">
        <v>4</v>
      </c>
      <c r="X54" s="56" t="s">
        <v>4</v>
      </c>
      <c r="Y54" s="56" t="s">
        <v>4</v>
      </c>
      <c r="Z54" s="56" t="s">
        <v>4</v>
      </c>
      <c r="AA54" s="56" t="s">
        <v>4</v>
      </c>
      <c r="AB54" s="56" t="s">
        <v>4</v>
      </c>
      <c r="AC54" s="56" t="s">
        <v>4</v>
      </c>
      <c r="AD54" s="56" t="s">
        <v>4</v>
      </c>
      <c r="AE54" s="56" t="s">
        <v>4</v>
      </c>
      <c r="AF54" s="56" t="s">
        <v>4</v>
      </c>
      <c r="AG54" s="56" t="s">
        <v>4</v>
      </c>
      <c r="AH54" s="56" t="s">
        <v>4</v>
      </c>
      <c r="AI54" s="56">
        <v>4</v>
      </c>
      <c r="AJ54" s="56">
        <v>8</v>
      </c>
      <c r="AK54" s="56">
        <v>14.72</v>
      </c>
      <c r="AL54" s="57" t="s">
        <v>3118</v>
      </c>
    </row>
    <row r="55" spans="1:38" ht="16.5" x14ac:dyDescent="0.25">
      <c r="A55" s="55">
        <v>41</v>
      </c>
      <c r="B55" s="56" t="s">
        <v>2867</v>
      </c>
      <c r="C55" s="56" t="s">
        <v>3017</v>
      </c>
      <c r="D55" s="56" t="s">
        <v>4</v>
      </c>
      <c r="E55" s="56" t="s">
        <v>4</v>
      </c>
      <c r="F55" s="56" t="s">
        <v>4</v>
      </c>
      <c r="G55" s="56" t="s">
        <v>4</v>
      </c>
      <c r="H55" s="56" t="s">
        <v>4</v>
      </c>
      <c r="I55" s="56" t="s">
        <v>4</v>
      </c>
      <c r="J55" s="56" t="s">
        <v>4</v>
      </c>
      <c r="K55" s="56" t="s">
        <v>4</v>
      </c>
      <c r="L55" s="56" t="s">
        <v>4</v>
      </c>
      <c r="M55" s="56" t="s">
        <v>4</v>
      </c>
      <c r="N55" s="56" t="s">
        <v>4</v>
      </c>
      <c r="O55" s="56" t="s">
        <v>4</v>
      </c>
      <c r="P55" s="56" t="s">
        <v>4</v>
      </c>
      <c r="Q55" s="56" t="s">
        <v>4</v>
      </c>
      <c r="R55" s="56" t="s">
        <v>4</v>
      </c>
      <c r="S55" s="56" t="s">
        <v>4</v>
      </c>
      <c r="T55" s="56" t="s">
        <v>4</v>
      </c>
      <c r="U55" s="56">
        <v>4</v>
      </c>
      <c r="V55" s="56" t="s">
        <v>4</v>
      </c>
      <c r="W55" s="56" t="s">
        <v>4</v>
      </c>
      <c r="X55" s="56" t="s">
        <v>4</v>
      </c>
      <c r="Y55" s="56" t="s">
        <v>4</v>
      </c>
      <c r="Z55" s="56" t="s">
        <v>4</v>
      </c>
      <c r="AA55" s="56" t="s">
        <v>4</v>
      </c>
      <c r="AB55" s="56" t="s">
        <v>4</v>
      </c>
      <c r="AC55" s="56" t="s">
        <v>4</v>
      </c>
      <c r="AD55" s="56" t="s">
        <v>4</v>
      </c>
      <c r="AE55" s="56" t="s">
        <v>4</v>
      </c>
      <c r="AF55" s="56" t="s">
        <v>4</v>
      </c>
      <c r="AG55" s="56" t="s">
        <v>4</v>
      </c>
      <c r="AH55" s="56" t="s">
        <v>4</v>
      </c>
      <c r="AI55" s="56">
        <v>4</v>
      </c>
      <c r="AJ55" s="56">
        <v>8</v>
      </c>
      <c r="AK55" s="56">
        <v>5.51</v>
      </c>
      <c r="AL55" s="57" t="s">
        <v>3119</v>
      </c>
    </row>
    <row r="56" spans="1:38" ht="16.5" x14ac:dyDescent="0.25">
      <c r="A56" s="55" t="s">
        <v>2479</v>
      </c>
      <c r="B56" s="56" t="s">
        <v>2772</v>
      </c>
      <c r="C56" s="56" t="s">
        <v>3120</v>
      </c>
      <c r="D56" s="56">
        <v>12</v>
      </c>
      <c r="E56" s="56">
        <v>4</v>
      </c>
      <c r="F56" s="56">
        <v>4</v>
      </c>
      <c r="G56" s="56">
        <v>8</v>
      </c>
      <c r="H56" s="56">
        <v>4</v>
      </c>
      <c r="I56" s="56">
        <v>4</v>
      </c>
      <c r="J56" s="56">
        <v>4</v>
      </c>
      <c r="K56" s="56">
        <v>4</v>
      </c>
      <c r="L56" s="56">
        <v>4</v>
      </c>
      <c r="M56" s="56">
        <v>24</v>
      </c>
      <c r="N56" s="56">
        <v>16</v>
      </c>
      <c r="O56" s="56">
        <v>8</v>
      </c>
      <c r="P56" s="56">
        <v>4</v>
      </c>
      <c r="Q56" s="56">
        <v>4</v>
      </c>
      <c r="R56" s="56">
        <v>4</v>
      </c>
      <c r="S56" s="56">
        <v>8</v>
      </c>
      <c r="T56" s="56">
        <v>4</v>
      </c>
      <c r="U56" s="56">
        <v>8</v>
      </c>
      <c r="V56" s="56">
        <v>8</v>
      </c>
      <c r="W56" s="56" t="s">
        <v>4</v>
      </c>
      <c r="X56" s="56">
        <v>4</v>
      </c>
      <c r="Y56" s="56">
        <v>4</v>
      </c>
      <c r="Z56" s="56">
        <v>12</v>
      </c>
      <c r="AA56" s="56">
        <v>28</v>
      </c>
      <c r="AB56" s="56">
        <v>8</v>
      </c>
      <c r="AC56" s="56">
        <v>8</v>
      </c>
      <c r="AD56" s="56">
        <v>8</v>
      </c>
      <c r="AE56" s="56">
        <v>8</v>
      </c>
      <c r="AF56" s="56">
        <v>8</v>
      </c>
      <c r="AG56" s="56">
        <v>8</v>
      </c>
      <c r="AH56" s="56">
        <v>8</v>
      </c>
      <c r="AI56" s="56">
        <v>4</v>
      </c>
      <c r="AJ56" s="56">
        <v>244</v>
      </c>
      <c r="AK56" s="56">
        <v>1.36</v>
      </c>
      <c r="AL56" s="57" t="s">
        <v>3199</v>
      </c>
    </row>
    <row r="57" spans="1:38" ht="16.5" x14ac:dyDescent="0.25">
      <c r="A57" s="55" t="s">
        <v>2479</v>
      </c>
      <c r="B57" s="56" t="s">
        <v>2769</v>
      </c>
      <c r="C57" s="56" t="s">
        <v>2770</v>
      </c>
      <c r="D57" s="56">
        <v>3.6150000000000002</v>
      </c>
      <c r="E57" s="56">
        <v>1.2050000000000001</v>
      </c>
      <c r="F57" s="56">
        <v>1.2050000000000001</v>
      </c>
      <c r="G57" s="56">
        <v>2.41</v>
      </c>
      <c r="H57" s="56">
        <v>1.2050000000000001</v>
      </c>
      <c r="I57" s="56">
        <v>1.2050000000000001</v>
      </c>
      <c r="J57" s="56">
        <v>1.2050000000000001</v>
      </c>
      <c r="K57" s="56">
        <v>1.8925000000000001</v>
      </c>
      <c r="L57" s="56">
        <v>1.7050000000000001</v>
      </c>
      <c r="M57" s="56">
        <v>5.1150000000000002</v>
      </c>
      <c r="N57" s="56">
        <v>3.41</v>
      </c>
      <c r="O57" s="56">
        <v>3.41</v>
      </c>
      <c r="P57" s="56">
        <v>1.7050000000000001</v>
      </c>
      <c r="Q57" s="56">
        <v>2.2077</v>
      </c>
      <c r="R57" s="56">
        <v>1.7050000000000001</v>
      </c>
      <c r="S57" s="56">
        <v>5.6035999999999992</v>
      </c>
      <c r="T57" s="56">
        <v>2.8017999999999996</v>
      </c>
      <c r="U57" s="56">
        <v>1.7050000000000001</v>
      </c>
      <c r="V57" s="56">
        <v>22.184999999999999</v>
      </c>
      <c r="W57" s="56">
        <v>2.1177000000000001</v>
      </c>
      <c r="X57" s="56">
        <v>2.2077</v>
      </c>
      <c r="Y57" s="56">
        <v>1.8925000000000001</v>
      </c>
      <c r="Z57" s="56">
        <v>6.6231</v>
      </c>
      <c r="AA57" s="56">
        <v>11.935</v>
      </c>
      <c r="AB57" s="56">
        <v>3.2850000000000001</v>
      </c>
      <c r="AC57" s="56">
        <v>2.2077</v>
      </c>
      <c r="AD57" s="56">
        <v>2.2077</v>
      </c>
      <c r="AE57" s="56">
        <v>1.7050000000000001</v>
      </c>
      <c r="AF57" s="56">
        <v>1.7050000000000001</v>
      </c>
      <c r="AG57" s="56">
        <v>1.7050000000000001</v>
      </c>
      <c r="AH57" s="56">
        <v>1.7050000000000001</v>
      </c>
      <c r="AI57" s="56">
        <v>1.7050000000000001</v>
      </c>
      <c r="AJ57" s="56">
        <v>106.49699999999999</v>
      </c>
      <c r="AK57" s="56" t="s">
        <v>4</v>
      </c>
      <c r="AL57" s="57" t="s">
        <v>3</v>
      </c>
    </row>
    <row r="58" spans="1:38" ht="17.25" thickBot="1" x14ac:dyDescent="0.3">
      <c r="A58" s="61" t="s">
        <v>2479</v>
      </c>
      <c r="B58" s="62" t="s">
        <v>2769</v>
      </c>
      <c r="C58" s="62" t="s">
        <v>2771</v>
      </c>
      <c r="D58" s="62">
        <v>21.75</v>
      </c>
      <c r="E58" s="62">
        <v>7.25</v>
      </c>
      <c r="F58" s="62">
        <v>6.68</v>
      </c>
      <c r="G58" s="62">
        <v>13.484999999999999</v>
      </c>
      <c r="H58" s="62">
        <v>6.68</v>
      </c>
      <c r="I58" s="62">
        <v>6.7424999999999997</v>
      </c>
      <c r="J58" s="62">
        <v>7.25</v>
      </c>
      <c r="K58" s="62">
        <v>6.6174999999999997</v>
      </c>
      <c r="L58" s="62">
        <v>7.1875</v>
      </c>
      <c r="M58" s="62">
        <v>21.75</v>
      </c>
      <c r="N58" s="62">
        <v>14.625</v>
      </c>
      <c r="O58" s="62">
        <v>14.5</v>
      </c>
      <c r="P58" s="62">
        <v>6.6174999999999997</v>
      </c>
      <c r="Q58" s="62">
        <v>7.8934999999999995</v>
      </c>
      <c r="R58" s="62">
        <v>7.25</v>
      </c>
      <c r="S58" s="62">
        <v>92.094999999999999</v>
      </c>
      <c r="T58" s="62">
        <v>46.047499999999999</v>
      </c>
      <c r="U58" s="62">
        <v>7.25</v>
      </c>
      <c r="V58" s="62">
        <v>14.625</v>
      </c>
      <c r="W58" s="62">
        <v>7.25</v>
      </c>
      <c r="X58" s="62">
        <v>7.3125</v>
      </c>
      <c r="Y58" s="62">
        <v>6.6174999999999997</v>
      </c>
      <c r="Z58" s="62">
        <v>19.8675</v>
      </c>
      <c r="AA58" s="62">
        <v>6.5975000000000001</v>
      </c>
      <c r="AB58" s="62">
        <v>1.885</v>
      </c>
      <c r="AC58" s="62">
        <v>7.25</v>
      </c>
      <c r="AD58" s="62">
        <v>7.25</v>
      </c>
      <c r="AE58" s="62">
        <v>7.3125</v>
      </c>
      <c r="AF58" s="62">
        <v>7.125</v>
      </c>
      <c r="AG58" s="62">
        <v>7.25</v>
      </c>
      <c r="AH58" s="62">
        <v>7.125</v>
      </c>
      <c r="AI58" s="62">
        <v>7.25</v>
      </c>
      <c r="AJ58" s="62">
        <v>416.38850000000002</v>
      </c>
      <c r="AK58" s="62" t="s">
        <v>4</v>
      </c>
      <c r="AL58" s="63" t="s">
        <v>3</v>
      </c>
    </row>
  </sheetData>
  <mergeCells count="7">
    <mergeCell ref="AL1:AL2"/>
    <mergeCell ref="A1:A2"/>
    <mergeCell ref="B1:B2"/>
    <mergeCell ref="C1:C2"/>
    <mergeCell ref="D1:AI1"/>
    <mergeCell ref="AJ1:AJ2"/>
    <mergeCell ref="AK1:AK2"/>
  </mergeCells>
  <conditionalFormatting sqref="A1:AL58">
    <cfRule type="containsText" dxfId="26" priority="1" stopIfTrue="1" operator="containsText" text="С ЛИСТА">
      <formula>NOT(ISERROR(SEARCH("С ЛИСТА",A1)))</formula>
    </cfRule>
    <cfRule type="containsText" dxfId="25" priority="2" stopIfTrue="1" operator="containsText" text="ИЗ ФАЙЛА">
      <formula>NOT(ISERROR(SEARCH("ИЗ ФАЙЛА",A1)))</formula>
    </cfRule>
    <cfRule type="containsText" dxfId="24" priority="3" stopIfTrue="1" operator="containsText" text="!!!">
      <formula>NOT(ISERROR(SEARCH("!!!",A1)))</formula>
    </cfRule>
    <cfRule type="containsText" dxfId="23" priority="4" stopIfTrue="1" operator="containsText" text=" Изделия ">
      <formula>NOT(ISERROR(SEARCH(" Изделия ",A1)))</formula>
    </cfRule>
    <cfRule type="containsText" dxfId="22" priority="5" stopIfTrue="1" operator="containsText" text=" Прокат ">
      <formula>NOT(ISERROR(SEARCH(" Прокат ",A1)))</formula>
    </cfRule>
    <cfRule type="containsText" dxfId="21" priority="6" stopIfTrue="1" operator="containsText" text=" Сборочные единицы ">
      <formula>NOT(ISERROR(SEARCH(" Сборочные единицы ",A1)))</formula>
    </cfRule>
    <cfRule type="containsText" dxfId="20" priority="7" stopIfTrue="1" operator="containsText" text=" Материалы ">
      <formula>NOT(ISERROR(SEARCH(" Материалы ",A1)))</formula>
    </cfRule>
    <cfRule type="containsText" dxfId="19" priority="8" stopIfTrue="1" operator="containsText" text=", на ">
      <formula>NOT(ISERROR(SEARCH(", на ",A1)))</formula>
    </cfRule>
    <cfRule type="containsText" dxfId="18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rgb="FF000000"/>
  </sheetPr>
  <dimension ref="A1:R37"/>
  <sheetViews>
    <sheetView workbookViewId="0">
      <selection activeCell="S17" sqref="S17"/>
    </sheetView>
  </sheetViews>
  <sheetFormatPr defaultRowHeight="15" outlineLevelCol="1" x14ac:dyDescent="0.25"/>
  <cols>
    <col min="1" max="1" width="16.28515625" style="1" customWidth="1"/>
    <col min="2" max="10" width="8.140625" style="1" customWidth="1"/>
    <col min="11" max="12" width="8.140625" style="1" customWidth="1" outlineLevel="1"/>
    <col min="13" max="17" width="8.140625" style="1" hidden="1" customWidth="1" outlineLevel="1"/>
    <col min="18" max="18" width="9.140625" style="1" collapsed="1"/>
    <col min="19" max="16384" width="9.140625" style="1"/>
  </cols>
  <sheetData>
    <row r="1" spans="1:12" ht="22.7" customHeight="1" x14ac:dyDescent="0.25">
      <c r="A1" s="137" t="s">
        <v>2862</v>
      </c>
      <c r="B1" s="138" t="s">
        <v>2863</v>
      </c>
      <c r="C1" s="138"/>
      <c r="D1" s="138"/>
      <c r="E1" s="138"/>
      <c r="F1" s="138"/>
      <c r="G1" s="138"/>
      <c r="H1" s="138"/>
      <c r="I1" s="138"/>
      <c r="J1" s="138"/>
      <c r="K1" s="138"/>
      <c r="L1" s="139" t="s">
        <v>2864</v>
      </c>
    </row>
    <row r="2" spans="1:12" ht="22.7" customHeight="1" x14ac:dyDescent="0.25">
      <c r="A2" s="131"/>
      <c r="B2" s="136" t="s">
        <v>2865</v>
      </c>
      <c r="C2" s="136"/>
      <c r="D2" s="136"/>
      <c r="E2" s="136"/>
      <c r="F2" s="136"/>
      <c r="G2" s="136"/>
      <c r="H2" s="136"/>
      <c r="I2" s="136" t="s">
        <v>2741</v>
      </c>
      <c r="J2" s="136"/>
      <c r="K2" s="136" t="s">
        <v>2864</v>
      </c>
      <c r="L2" s="132"/>
    </row>
    <row r="3" spans="1:12" ht="22.7" customHeight="1" x14ac:dyDescent="0.25">
      <c r="A3" s="131"/>
      <c r="B3" s="136" t="s">
        <v>2</v>
      </c>
      <c r="C3" s="136"/>
      <c r="D3" s="136"/>
      <c r="E3" s="136"/>
      <c r="F3" s="136"/>
      <c r="G3" s="136" t="s">
        <v>1</v>
      </c>
      <c r="H3" s="136"/>
      <c r="I3" s="136" t="s">
        <v>2866</v>
      </c>
      <c r="J3" s="136"/>
      <c r="K3" s="136"/>
      <c r="L3" s="132"/>
    </row>
    <row r="4" spans="1:12" ht="22.7" customHeight="1" x14ac:dyDescent="0.25">
      <c r="A4" s="131"/>
      <c r="B4" s="136" t="s">
        <v>2867</v>
      </c>
      <c r="C4" s="136"/>
      <c r="D4" s="136"/>
      <c r="E4" s="136"/>
      <c r="F4" s="136"/>
      <c r="G4" s="136" t="s">
        <v>2764</v>
      </c>
      <c r="H4" s="136"/>
      <c r="I4" s="136" t="s">
        <v>2772</v>
      </c>
      <c r="J4" s="136"/>
      <c r="K4" s="136"/>
      <c r="L4" s="132"/>
    </row>
    <row r="5" spans="1:12" ht="22.7" customHeight="1" thickBot="1" x14ac:dyDescent="0.3">
      <c r="A5" s="146"/>
      <c r="B5" s="87" t="s">
        <v>3121</v>
      </c>
      <c r="C5" s="87" t="s">
        <v>2868</v>
      </c>
      <c r="D5" s="87" t="s">
        <v>2869</v>
      </c>
      <c r="E5" s="87" t="s">
        <v>3213</v>
      </c>
      <c r="F5" s="87" t="s">
        <v>2864</v>
      </c>
      <c r="G5" s="87" t="s">
        <v>2870</v>
      </c>
      <c r="H5" s="87" t="s">
        <v>2864</v>
      </c>
      <c r="I5" s="87" t="s">
        <v>2339</v>
      </c>
      <c r="J5" s="87" t="s">
        <v>2864</v>
      </c>
      <c r="K5" s="145"/>
      <c r="L5" s="144"/>
    </row>
    <row r="6" spans="1:12" ht="22.7" customHeight="1" x14ac:dyDescent="0.25">
      <c r="A6" s="67" t="s">
        <v>2871</v>
      </c>
      <c r="B6" s="88" t="s">
        <v>4</v>
      </c>
      <c r="C6" s="88">
        <v>887.76</v>
      </c>
      <c r="D6" s="88">
        <v>181.55</v>
      </c>
      <c r="E6" s="88" t="s">
        <v>4</v>
      </c>
      <c r="F6" s="88">
        <v>1069.31</v>
      </c>
      <c r="G6" s="88">
        <v>572.5</v>
      </c>
      <c r="H6" s="88">
        <v>572.5</v>
      </c>
      <c r="I6" s="88">
        <v>16.28</v>
      </c>
      <c r="J6" s="88">
        <v>16.28</v>
      </c>
      <c r="K6" s="88">
        <v>1658.09</v>
      </c>
      <c r="L6" s="89">
        <v>1658.09</v>
      </c>
    </row>
    <row r="7" spans="1:12" ht="22.7" customHeight="1" x14ac:dyDescent="0.25">
      <c r="A7" s="68" t="s">
        <v>3128</v>
      </c>
      <c r="B7" s="64" t="s">
        <v>4</v>
      </c>
      <c r="C7" s="64">
        <v>295.92</v>
      </c>
      <c r="D7" s="64">
        <v>60.52</v>
      </c>
      <c r="E7" s="64" t="s">
        <v>4</v>
      </c>
      <c r="F7" s="64">
        <v>356.44</v>
      </c>
      <c r="G7" s="64">
        <v>191.56</v>
      </c>
      <c r="H7" s="64">
        <v>191.56</v>
      </c>
      <c r="I7" s="64">
        <v>5.43</v>
      </c>
      <c r="J7" s="64">
        <v>5.43</v>
      </c>
      <c r="K7" s="64">
        <v>553.41999999999996</v>
      </c>
      <c r="L7" s="65">
        <v>553.41999999999996</v>
      </c>
    </row>
    <row r="8" spans="1:12" ht="22.7" customHeight="1" x14ac:dyDescent="0.25">
      <c r="A8" s="68" t="s">
        <v>3194</v>
      </c>
      <c r="B8" s="64" t="s">
        <v>4</v>
      </c>
      <c r="C8" s="64">
        <v>270.96999999999997</v>
      </c>
      <c r="D8" s="64">
        <v>60.52</v>
      </c>
      <c r="E8" s="64" t="s">
        <v>4</v>
      </c>
      <c r="F8" s="64">
        <v>331.48</v>
      </c>
      <c r="G8" s="64">
        <v>178.54999999999998</v>
      </c>
      <c r="H8" s="64">
        <v>178.54999999999998</v>
      </c>
      <c r="I8" s="64">
        <v>5.43</v>
      </c>
      <c r="J8" s="64">
        <v>5.43</v>
      </c>
      <c r="K8" s="64">
        <v>515.45000000000005</v>
      </c>
      <c r="L8" s="65">
        <v>515.45000000000005</v>
      </c>
    </row>
    <row r="9" spans="1:12" ht="22.7" customHeight="1" x14ac:dyDescent="0.25">
      <c r="A9" s="68" t="s">
        <v>3127</v>
      </c>
      <c r="B9" s="64" t="s">
        <v>4</v>
      </c>
      <c r="C9" s="64">
        <v>541.92999999999995</v>
      </c>
      <c r="D9" s="64">
        <v>121.04</v>
      </c>
      <c r="E9" s="64" t="s">
        <v>4</v>
      </c>
      <c r="F9" s="64">
        <v>662.96</v>
      </c>
      <c r="G9" s="64">
        <v>357.09</v>
      </c>
      <c r="H9" s="64">
        <v>357.09</v>
      </c>
      <c r="I9" s="64">
        <v>10.86</v>
      </c>
      <c r="J9" s="64">
        <v>10.86</v>
      </c>
      <c r="K9" s="64">
        <v>1030.9000000000001</v>
      </c>
      <c r="L9" s="65">
        <v>1030.9000000000001</v>
      </c>
    </row>
    <row r="10" spans="1:12" ht="22.7" customHeight="1" x14ac:dyDescent="0.25">
      <c r="A10" s="68" t="s">
        <v>3143</v>
      </c>
      <c r="B10" s="64" t="s">
        <v>4</v>
      </c>
      <c r="C10" s="64">
        <v>270.96999999999997</v>
      </c>
      <c r="D10" s="64">
        <v>60.52</v>
      </c>
      <c r="E10" s="64" t="s">
        <v>4</v>
      </c>
      <c r="F10" s="64">
        <v>331.48</v>
      </c>
      <c r="G10" s="64">
        <v>177.82999999999998</v>
      </c>
      <c r="H10" s="64">
        <v>177.82999999999998</v>
      </c>
      <c r="I10" s="64">
        <v>5.43</v>
      </c>
      <c r="J10" s="64">
        <v>5.43</v>
      </c>
      <c r="K10" s="64">
        <v>514.73</v>
      </c>
      <c r="L10" s="65">
        <v>514.73</v>
      </c>
    </row>
    <row r="11" spans="1:12" ht="22.7" customHeight="1" x14ac:dyDescent="0.25">
      <c r="A11" s="68" t="s">
        <v>3134</v>
      </c>
      <c r="B11" s="64" t="s">
        <v>4</v>
      </c>
      <c r="C11" s="64">
        <v>270.96999999999997</v>
      </c>
      <c r="D11" s="64">
        <v>60.52</v>
      </c>
      <c r="E11" s="64" t="s">
        <v>4</v>
      </c>
      <c r="F11" s="64">
        <v>331.48</v>
      </c>
      <c r="G11" s="64">
        <v>178.54999999999998</v>
      </c>
      <c r="H11" s="64">
        <v>178.54999999999998</v>
      </c>
      <c r="I11" s="64">
        <v>5.43</v>
      </c>
      <c r="J11" s="64">
        <v>5.43</v>
      </c>
      <c r="K11" s="64">
        <v>515.45000000000005</v>
      </c>
      <c r="L11" s="65">
        <v>515.45000000000005</v>
      </c>
    </row>
    <row r="12" spans="1:12" ht="22.7" customHeight="1" x14ac:dyDescent="0.25">
      <c r="A12" s="68" t="s">
        <v>3129</v>
      </c>
      <c r="B12" s="64" t="s">
        <v>4</v>
      </c>
      <c r="C12" s="64">
        <v>295.92</v>
      </c>
      <c r="D12" s="64">
        <v>60.52</v>
      </c>
      <c r="E12" s="64" t="s">
        <v>4</v>
      </c>
      <c r="F12" s="64">
        <v>356.44</v>
      </c>
      <c r="G12" s="64">
        <v>190.11</v>
      </c>
      <c r="H12" s="64">
        <v>190.11</v>
      </c>
      <c r="I12" s="64">
        <v>5.43</v>
      </c>
      <c r="J12" s="64">
        <v>5.43</v>
      </c>
      <c r="K12" s="64">
        <v>551.98</v>
      </c>
      <c r="L12" s="65">
        <v>551.98</v>
      </c>
    </row>
    <row r="13" spans="1:12" ht="22.7" customHeight="1" x14ac:dyDescent="0.25">
      <c r="A13" s="68" t="s">
        <v>3141</v>
      </c>
      <c r="B13" s="64">
        <v>27.27</v>
      </c>
      <c r="C13" s="64">
        <v>270.96999999999997</v>
      </c>
      <c r="D13" s="64">
        <v>60.52</v>
      </c>
      <c r="E13" s="64" t="s">
        <v>4</v>
      </c>
      <c r="F13" s="64">
        <v>358.75</v>
      </c>
      <c r="G13" s="64">
        <v>174.93</v>
      </c>
      <c r="H13" s="64">
        <v>174.93</v>
      </c>
      <c r="I13" s="64">
        <v>5.43</v>
      </c>
      <c r="J13" s="64">
        <v>5.43</v>
      </c>
      <c r="K13" s="64">
        <v>539.11</v>
      </c>
      <c r="L13" s="65">
        <v>539.11</v>
      </c>
    </row>
    <row r="14" spans="1:12" ht="22.7" customHeight="1" x14ac:dyDescent="0.25">
      <c r="A14" s="68" t="s">
        <v>3135</v>
      </c>
      <c r="B14" s="64">
        <v>16.610000000000003</v>
      </c>
      <c r="C14" s="64">
        <v>310.02999999999997</v>
      </c>
      <c r="D14" s="64">
        <v>60.52</v>
      </c>
      <c r="E14" s="64" t="s">
        <v>4</v>
      </c>
      <c r="F14" s="64">
        <v>387.15</v>
      </c>
      <c r="G14" s="64">
        <v>188.67</v>
      </c>
      <c r="H14" s="64">
        <v>188.67</v>
      </c>
      <c r="I14" s="64">
        <v>5.43</v>
      </c>
      <c r="J14" s="64">
        <v>5.43</v>
      </c>
      <c r="K14" s="64">
        <v>581.24</v>
      </c>
      <c r="L14" s="65">
        <v>581.24</v>
      </c>
    </row>
    <row r="15" spans="1:12" ht="22.7" customHeight="1" x14ac:dyDescent="0.25">
      <c r="A15" s="68" t="s">
        <v>3138</v>
      </c>
      <c r="B15" s="64">
        <v>49.809999999999995</v>
      </c>
      <c r="C15" s="64">
        <v>845.45</v>
      </c>
      <c r="D15" s="64">
        <v>232.76</v>
      </c>
      <c r="E15" s="64" t="s">
        <v>4</v>
      </c>
      <c r="F15" s="64">
        <v>1128</v>
      </c>
      <c r="G15" s="64">
        <v>570.33000000000004</v>
      </c>
      <c r="H15" s="64">
        <v>570.33000000000004</v>
      </c>
      <c r="I15" s="64">
        <v>32.56</v>
      </c>
      <c r="J15" s="64">
        <v>32.56</v>
      </c>
      <c r="K15" s="64">
        <v>1730.89</v>
      </c>
      <c r="L15" s="65">
        <v>1730.89</v>
      </c>
    </row>
    <row r="16" spans="1:12" ht="22.7" customHeight="1" x14ac:dyDescent="0.25">
      <c r="A16" s="68" t="s">
        <v>3139</v>
      </c>
      <c r="B16" s="64">
        <v>33.21</v>
      </c>
      <c r="C16" s="64">
        <v>563.63</v>
      </c>
      <c r="D16" s="64">
        <v>155.16999999999999</v>
      </c>
      <c r="E16" s="64" t="s">
        <v>4</v>
      </c>
      <c r="F16" s="64">
        <v>752</v>
      </c>
      <c r="G16" s="64">
        <v>383.12</v>
      </c>
      <c r="H16" s="64">
        <v>383.12</v>
      </c>
      <c r="I16" s="64">
        <v>21.71</v>
      </c>
      <c r="J16" s="64">
        <v>21.71</v>
      </c>
      <c r="K16" s="64">
        <v>1156.82</v>
      </c>
      <c r="L16" s="65">
        <v>1156.82</v>
      </c>
    </row>
    <row r="17" spans="1:12" ht="22.7" customHeight="1" x14ac:dyDescent="0.25">
      <c r="A17" s="68" t="s">
        <v>3137</v>
      </c>
      <c r="B17" s="64">
        <v>33.21</v>
      </c>
      <c r="C17" s="64">
        <v>511.95</v>
      </c>
      <c r="D17" s="64">
        <v>121.04</v>
      </c>
      <c r="E17" s="64" t="s">
        <v>4</v>
      </c>
      <c r="F17" s="64">
        <v>666.18</v>
      </c>
      <c r="G17" s="64">
        <v>381.67</v>
      </c>
      <c r="H17" s="64">
        <v>381.67</v>
      </c>
      <c r="I17" s="64">
        <v>10.86</v>
      </c>
      <c r="J17" s="64">
        <v>10.86</v>
      </c>
      <c r="K17" s="64">
        <v>1058.7</v>
      </c>
      <c r="L17" s="65">
        <v>1058.7</v>
      </c>
    </row>
    <row r="18" spans="1:12" ht="22.7" customHeight="1" x14ac:dyDescent="0.25">
      <c r="A18" s="68" t="s">
        <v>3142</v>
      </c>
      <c r="B18" s="64">
        <v>27.27</v>
      </c>
      <c r="C18" s="64">
        <v>270.96999999999997</v>
      </c>
      <c r="D18" s="64">
        <v>60.52</v>
      </c>
      <c r="E18" s="64" t="s">
        <v>4</v>
      </c>
      <c r="F18" s="64">
        <v>358.75</v>
      </c>
      <c r="G18" s="64">
        <v>176.38</v>
      </c>
      <c r="H18" s="64">
        <v>176.38</v>
      </c>
      <c r="I18" s="64">
        <v>5.43</v>
      </c>
      <c r="J18" s="64">
        <v>5.43</v>
      </c>
      <c r="K18" s="64">
        <v>540.54999999999995</v>
      </c>
      <c r="L18" s="65">
        <v>540.54999999999995</v>
      </c>
    </row>
    <row r="19" spans="1:12" ht="22.7" customHeight="1" x14ac:dyDescent="0.25">
      <c r="A19" s="68" t="s">
        <v>3126</v>
      </c>
      <c r="B19" s="64">
        <v>133.25</v>
      </c>
      <c r="C19" s="64">
        <v>276.69</v>
      </c>
      <c r="D19" s="64" t="s">
        <v>4</v>
      </c>
      <c r="E19" s="64" t="s">
        <v>4</v>
      </c>
      <c r="F19" s="64">
        <v>409.94</v>
      </c>
      <c r="G19" s="64">
        <v>286.56</v>
      </c>
      <c r="H19" s="64">
        <v>286.56</v>
      </c>
      <c r="I19" s="64">
        <v>5.43</v>
      </c>
      <c r="J19" s="64">
        <v>5.43</v>
      </c>
      <c r="K19" s="64">
        <v>701.92</v>
      </c>
      <c r="L19" s="65">
        <v>701.92</v>
      </c>
    </row>
    <row r="20" spans="1:12" ht="22.7" customHeight="1" x14ac:dyDescent="0.25">
      <c r="A20" s="68" t="s">
        <v>3195</v>
      </c>
      <c r="B20" s="64">
        <v>37.059999999999995</v>
      </c>
      <c r="C20" s="64">
        <v>331.83</v>
      </c>
      <c r="D20" s="64" t="s">
        <v>4</v>
      </c>
      <c r="E20" s="64" t="s">
        <v>4</v>
      </c>
      <c r="F20" s="64">
        <v>368.88</v>
      </c>
      <c r="G20" s="64">
        <v>288.49</v>
      </c>
      <c r="H20" s="64">
        <v>288.49</v>
      </c>
      <c r="I20" s="64">
        <v>5.43</v>
      </c>
      <c r="J20" s="64">
        <v>5.43</v>
      </c>
      <c r="K20" s="64">
        <v>662.8</v>
      </c>
      <c r="L20" s="65">
        <v>662.8</v>
      </c>
    </row>
    <row r="21" spans="1:12" ht="22.7" customHeight="1" x14ac:dyDescent="0.25">
      <c r="A21" s="68" t="s">
        <v>3122</v>
      </c>
      <c r="B21" s="64">
        <v>292.12</v>
      </c>
      <c r="C21" s="64">
        <v>592.04</v>
      </c>
      <c r="D21" s="64">
        <v>121.27</v>
      </c>
      <c r="E21" s="64" t="s">
        <v>4</v>
      </c>
      <c r="F21" s="64">
        <v>1005.43</v>
      </c>
      <c r="G21" s="64">
        <v>602.04999999999995</v>
      </c>
      <c r="H21" s="64">
        <v>602.04999999999995</v>
      </c>
      <c r="I21" s="64">
        <v>10.86</v>
      </c>
      <c r="J21" s="64">
        <v>10.86</v>
      </c>
      <c r="K21" s="64">
        <v>1618.33</v>
      </c>
      <c r="L21" s="65">
        <v>1618.33</v>
      </c>
    </row>
    <row r="22" spans="1:12" ht="22.7" customHeight="1" x14ac:dyDescent="0.25">
      <c r="A22" s="68" t="s">
        <v>3214</v>
      </c>
      <c r="B22" s="64">
        <v>146.06</v>
      </c>
      <c r="C22" s="64">
        <v>296.02</v>
      </c>
      <c r="D22" s="64">
        <v>60.64</v>
      </c>
      <c r="E22" s="64" t="s">
        <v>4</v>
      </c>
      <c r="F22" s="64">
        <v>502.71999999999997</v>
      </c>
      <c r="G22" s="64">
        <v>301.02999999999997</v>
      </c>
      <c r="H22" s="64">
        <v>301.02999999999997</v>
      </c>
      <c r="I22" s="64">
        <v>5.43</v>
      </c>
      <c r="J22" s="64">
        <v>5.43</v>
      </c>
      <c r="K22" s="64">
        <v>809.17</v>
      </c>
      <c r="L22" s="65">
        <v>809.17</v>
      </c>
    </row>
    <row r="23" spans="1:12" ht="22.7" customHeight="1" x14ac:dyDescent="0.25">
      <c r="A23" s="68" t="s">
        <v>3215</v>
      </c>
      <c r="B23" s="64" t="s">
        <v>4</v>
      </c>
      <c r="C23" s="64" t="s">
        <v>4</v>
      </c>
      <c r="D23" s="64">
        <v>372.40999999999997</v>
      </c>
      <c r="E23" s="64">
        <v>237.2</v>
      </c>
      <c r="F23" s="64">
        <v>609.6</v>
      </c>
      <c r="G23" s="64">
        <v>241.93</v>
      </c>
      <c r="H23" s="64">
        <v>241.93</v>
      </c>
      <c r="I23" s="64">
        <v>10.86</v>
      </c>
      <c r="J23" s="64">
        <v>10.86</v>
      </c>
      <c r="K23" s="64">
        <v>862.38</v>
      </c>
      <c r="L23" s="65">
        <v>862.38</v>
      </c>
    </row>
    <row r="24" spans="1:12" ht="22.7" customHeight="1" x14ac:dyDescent="0.25">
      <c r="A24" s="68" t="s">
        <v>3123</v>
      </c>
      <c r="B24" s="64">
        <v>74.11</v>
      </c>
      <c r="C24" s="64">
        <v>691.87</v>
      </c>
      <c r="D24" s="64" t="s">
        <v>4</v>
      </c>
      <c r="E24" s="64" t="s">
        <v>4</v>
      </c>
      <c r="F24" s="64">
        <v>765.97</v>
      </c>
      <c r="G24" s="64">
        <v>445.5</v>
      </c>
      <c r="H24" s="64">
        <v>445.5</v>
      </c>
      <c r="I24" s="64">
        <v>10.86</v>
      </c>
      <c r="J24" s="64">
        <v>10.86</v>
      </c>
      <c r="K24" s="64">
        <v>1222.32</v>
      </c>
      <c r="L24" s="65">
        <v>1222.32</v>
      </c>
    </row>
    <row r="25" spans="1:12" ht="22.7" customHeight="1" x14ac:dyDescent="0.25">
      <c r="A25" s="68" t="s">
        <v>3216</v>
      </c>
      <c r="B25" s="64">
        <v>37.059999999999995</v>
      </c>
      <c r="C25" s="64">
        <v>345.94</v>
      </c>
      <c r="D25" s="64" t="s">
        <v>4</v>
      </c>
      <c r="E25" s="64" t="s">
        <v>4</v>
      </c>
      <c r="F25" s="64">
        <v>382.99</v>
      </c>
      <c r="G25" s="64">
        <v>216.73</v>
      </c>
      <c r="H25" s="64">
        <v>216.73</v>
      </c>
      <c r="I25" s="64" t="s">
        <v>4</v>
      </c>
      <c r="J25" s="64" t="s">
        <v>4</v>
      </c>
      <c r="K25" s="64">
        <v>599.72</v>
      </c>
      <c r="L25" s="65">
        <v>599.72</v>
      </c>
    </row>
    <row r="26" spans="1:12" ht="22.7" customHeight="1" x14ac:dyDescent="0.25">
      <c r="A26" s="68" t="s">
        <v>3130</v>
      </c>
      <c r="B26" s="64">
        <v>37.059999999999995</v>
      </c>
      <c r="C26" s="64">
        <v>346.03</v>
      </c>
      <c r="D26" s="64" t="s">
        <v>4</v>
      </c>
      <c r="E26" s="64" t="s">
        <v>4</v>
      </c>
      <c r="F26" s="64">
        <v>383.09</v>
      </c>
      <c r="G26" s="64">
        <v>222.75</v>
      </c>
      <c r="H26" s="64">
        <v>222.75</v>
      </c>
      <c r="I26" s="64">
        <v>5.43</v>
      </c>
      <c r="J26" s="64">
        <v>5.43</v>
      </c>
      <c r="K26" s="64">
        <v>611.26</v>
      </c>
      <c r="L26" s="65">
        <v>611.26</v>
      </c>
    </row>
    <row r="27" spans="1:12" ht="22.7" customHeight="1" x14ac:dyDescent="0.25">
      <c r="A27" s="68" t="s">
        <v>3133</v>
      </c>
      <c r="B27" s="64">
        <v>64.319999999999993</v>
      </c>
      <c r="C27" s="64">
        <v>270.96999999999997</v>
      </c>
      <c r="D27" s="64">
        <v>60.52</v>
      </c>
      <c r="E27" s="64" t="s">
        <v>4</v>
      </c>
      <c r="F27" s="64">
        <v>395.8</v>
      </c>
      <c r="G27" s="64">
        <v>176.38</v>
      </c>
      <c r="H27" s="64">
        <v>176.38</v>
      </c>
      <c r="I27" s="64">
        <v>5.43</v>
      </c>
      <c r="J27" s="64">
        <v>5.43</v>
      </c>
      <c r="K27" s="64">
        <v>577.61</v>
      </c>
      <c r="L27" s="65">
        <v>577.61</v>
      </c>
    </row>
    <row r="28" spans="1:12" ht="22.7" customHeight="1" x14ac:dyDescent="0.25">
      <c r="A28" s="68" t="s">
        <v>3125</v>
      </c>
      <c r="B28" s="64">
        <v>95.06</v>
      </c>
      <c r="C28" s="64">
        <v>949.91</v>
      </c>
      <c r="D28" s="64" t="s">
        <v>4</v>
      </c>
      <c r="E28" s="64" t="s">
        <v>4</v>
      </c>
      <c r="F28" s="64">
        <v>1044.97</v>
      </c>
      <c r="G28" s="64">
        <v>622.71</v>
      </c>
      <c r="H28" s="64">
        <v>622.71</v>
      </c>
      <c r="I28" s="64">
        <v>16.28</v>
      </c>
      <c r="J28" s="64">
        <v>16.28</v>
      </c>
      <c r="K28" s="64">
        <v>1683.95</v>
      </c>
      <c r="L28" s="65">
        <v>1683.95</v>
      </c>
    </row>
    <row r="29" spans="1:12" ht="22.7" customHeight="1" x14ac:dyDescent="0.25">
      <c r="A29" s="68" t="s">
        <v>3124</v>
      </c>
      <c r="B29" s="64" t="s">
        <v>4</v>
      </c>
      <c r="C29" s="64" t="s">
        <v>4</v>
      </c>
      <c r="D29" s="64">
        <v>655.04999999999995</v>
      </c>
      <c r="E29" s="64" t="s">
        <v>4</v>
      </c>
      <c r="F29" s="64">
        <v>655.04999999999995</v>
      </c>
      <c r="G29" s="64">
        <v>344.08</v>
      </c>
      <c r="H29" s="64">
        <v>344.08</v>
      </c>
      <c r="I29" s="64">
        <v>37.989999999999995</v>
      </c>
      <c r="J29" s="64">
        <v>37.989999999999995</v>
      </c>
      <c r="K29" s="64">
        <v>1037.1099999999999</v>
      </c>
      <c r="L29" s="65">
        <v>1037.1099999999999</v>
      </c>
    </row>
    <row r="30" spans="1:12" ht="22.7" customHeight="1" x14ac:dyDescent="0.25">
      <c r="A30" s="68" t="s">
        <v>3217</v>
      </c>
      <c r="B30" s="64" t="s">
        <v>4</v>
      </c>
      <c r="C30" s="64" t="s">
        <v>4</v>
      </c>
      <c r="D30" s="64">
        <v>187.16</v>
      </c>
      <c r="E30" s="64" t="s">
        <v>4</v>
      </c>
      <c r="F30" s="64">
        <v>187.16</v>
      </c>
      <c r="G30" s="64">
        <v>93.98</v>
      </c>
      <c r="H30" s="64">
        <v>93.98</v>
      </c>
      <c r="I30" s="64">
        <v>10.86</v>
      </c>
      <c r="J30" s="64">
        <v>10.86</v>
      </c>
      <c r="K30" s="64">
        <v>291.98</v>
      </c>
      <c r="L30" s="65">
        <v>291.98</v>
      </c>
    </row>
    <row r="31" spans="1:12" ht="22.7" customHeight="1" x14ac:dyDescent="0.25">
      <c r="A31" s="68" t="s">
        <v>3131</v>
      </c>
      <c r="B31" s="64">
        <v>92.98</v>
      </c>
      <c r="C31" s="64">
        <v>294.25</v>
      </c>
      <c r="D31" s="64">
        <v>79.740000000000009</v>
      </c>
      <c r="E31" s="64" t="s">
        <v>4</v>
      </c>
      <c r="F31" s="64">
        <v>466.96</v>
      </c>
      <c r="G31" s="64">
        <v>236.63</v>
      </c>
      <c r="H31" s="64">
        <v>236.63</v>
      </c>
      <c r="I31" s="64">
        <v>10.86</v>
      </c>
      <c r="J31" s="64">
        <v>10.86</v>
      </c>
      <c r="K31" s="64">
        <v>714.43</v>
      </c>
      <c r="L31" s="65">
        <v>714.43</v>
      </c>
    </row>
    <row r="32" spans="1:12" ht="22.7" customHeight="1" x14ac:dyDescent="0.25">
      <c r="A32" s="68" t="s">
        <v>3132</v>
      </c>
      <c r="B32" s="64">
        <v>92.98</v>
      </c>
      <c r="C32" s="64">
        <v>294.25</v>
      </c>
      <c r="D32" s="64">
        <v>79.740000000000009</v>
      </c>
      <c r="E32" s="64" t="s">
        <v>4</v>
      </c>
      <c r="F32" s="64">
        <v>466.96</v>
      </c>
      <c r="G32" s="64">
        <v>237.35</v>
      </c>
      <c r="H32" s="64">
        <v>237.35</v>
      </c>
      <c r="I32" s="64">
        <v>10.86</v>
      </c>
      <c r="J32" s="64">
        <v>10.86</v>
      </c>
      <c r="K32" s="64">
        <v>715.15</v>
      </c>
      <c r="L32" s="65">
        <v>715.15</v>
      </c>
    </row>
    <row r="33" spans="1:12" ht="22.7" customHeight="1" x14ac:dyDescent="0.25">
      <c r="A33" s="68" t="s">
        <v>3144</v>
      </c>
      <c r="B33" s="64">
        <v>65.02000000000001</v>
      </c>
      <c r="C33" s="64" t="s">
        <v>4</v>
      </c>
      <c r="D33" s="64">
        <v>492.6</v>
      </c>
      <c r="E33" s="64" t="s">
        <v>4</v>
      </c>
      <c r="F33" s="64">
        <v>557.62</v>
      </c>
      <c r="G33" s="64">
        <v>191.56</v>
      </c>
      <c r="H33" s="64">
        <v>191.56</v>
      </c>
      <c r="I33" s="64">
        <v>10.86</v>
      </c>
      <c r="J33" s="64">
        <v>10.86</v>
      </c>
      <c r="K33" s="64">
        <v>760.02</v>
      </c>
      <c r="L33" s="65">
        <v>760.02</v>
      </c>
    </row>
    <row r="34" spans="1:12" ht="22.7" customHeight="1" x14ac:dyDescent="0.25">
      <c r="A34" s="68" t="s">
        <v>3145</v>
      </c>
      <c r="B34" s="64">
        <v>65.02000000000001</v>
      </c>
      <c r="C34" s="64" t="s">
        <v>4</v>
      </c>
      <c r="D34" s="64">
        <v>495.59</v>
      </c>
      <c r="E34" s="64" t="s">
        <v>4</v>
      </c>
      <c r="F34" s="64">
        <v>560.6</v>
      </c>
      <c r="G34" s="64">
        <v>189.39</v>
      </c>
      <c r="H34" s="64">
        <v>189.39</v>
      </c>
      <c r="I34" s="64">
        <v>10.86</v>
      </c>
      <c r="J34" s="64">
        <v>10.86</v>
      </c>
      <c r="K34" s="64">
        <v>760.84</v>
      </c>
      <c r="L34" s="65">
        <v>760.84</v>
      </c>
    </row>
    <row r="35" spans="1:12" ht="22.7" customHeight="1" x14ac:dyDescent="0.25">
      <c r="A35" s="68" t="s">
        <v>3136</v>
      </c>
      <c r="B35" s="64">
        <v>33.21</v>
      </c>
      <c r="C35" s="64">
        <v>239.7</v>
      </c>
      <c r="D35" s="64">
        <v>253.88</v>
      </c>
      <c r="E35" s="64" t="s">
        <v>4</v>
      </c>
      <c r="F35" s="64">
        <v>526.78</v>
      </c>
      <c r="G35" s="64">
        <v>190.11</v>
      </c>
      <c r="H35" s="64">
        <v>190.11</v>
      </c>
      <c r="I35" s="64">
        <v>10.86</v>
      </c>
      <c r="J35" s="64">
        <v>10.86</v>
      </c>
      <c r="K35" s="64">
        <v>727.74</v>
      </c>
      <c r="L35" s="65">
        <v>727.74</v>
      </c>
    </row>
    <row r="36" spans="1:12" ht="22.7" customHeight="1" x14ac:dyDescent="0.25">
      <c r="A36" s="68" t="s">
        <v>3140</v>
      </c>
      <c r="B36" s="64">
        <v>33.21</v>
      </c>
      <c r="C36" s="64">
        <v>199.75</v>
      </c>
      <c r="D36" s="64">
        <v>253.88</v>
      </c>
      <c r="E36" s="64" t="s">
        <v>4</v>
      </c>
      <c r="F36" s="64">
        <v>486.83</v>
      </c>
      <c r="G36" s="64">
        <v>186.5</v>
      </c>
      <c r="H36" s="64">
        <v>186.5</v>
      </c>
      <c r="I36" s="64">
        <v>10.86</v>
      </c>
      <c r="J36" s="64">
        <v>10.86</v>
      </c>
      <c r="K36" s="64">
        <v>684.18</v>
      </c>
      <c r="L36" s="65">
        <v>684.18</v>
      </c>
    </row>
    <row r="37" spans="1:12" ht="33.75" thickBot="1" x14ac:dyDescent="0.3">
      <c r="A37" s="58" t="s">
        <v>3218</v>
      </c>
      <c r="B37" s="59" t="s">
        <v>4</v>
      </c>
      <c r="C37" s="59">
        <v>62.519999999999996</v>
      </c>
      <c r="D37" s="59">
        <v>372.40999999999997</v>
      </c>
      <c r="E37" s="59">
        <v>80.92</v>
      </c>
      <c r="F37" s="59">
        <v>515.83000000000004</v>
      </c>
      <c r="G37" s="59">
        <v>241.93</v>
      </c>
      <c r="H37" s="59">
        <v>241.93</v>
      </c>
      <c r="I37" s="59">
        <v>5.43</v>
      </c>
      <c r="J37" s="59">
        <v>5.43</v>
      </c>
      <c r="K37" s="59">
        <v>763.18999999999994</v>
      </c>
      <c r="L37" s="60">
        <v>763.18999999999994</v>
      </c>
    </row>
  </sheetData>
  <mergeCells count="12">
    <mergeCell ref="A1:A5"/>
    <mergeCell ref="L1:L5"/>
    <mergeCell ref="K2:K5"/>
    <mergeCell ref="B1:K1"/>
    <mergeCell ref="B2:H2"/>
    <mergeCell ref="I2:J2"/>
    <mergeCell ref="B3:F3"/>
    <mergeCell ref="G3:H3"/>
    <mergeCell ref="I3:J3"/>
    <mergeCell ref="B4:F4"/>
    <mergeCell ref="G4:H4"/>
    <mergeCell ref="I4:J4"/>
  </mergeCells>
  <conditionalFormatting sqref="A1:L5">
    <cfRule type="containsText" dxfId="17" priority="18" stopIfTrue="1" operator="containsText" text="шт.)">
      <formula>NOT(ISERROR(SEARCH("шт.)",A1)))</formula>
    </cfRule>
    <cfRule type="containsText" dxfId="16" priority="17" stopIfTrue="1" operator="containsText" text=", на ">
      <formula>NOT(ISERROR(SEARCH(", на ",A1)))</formula>
    </cfRule>
    <cfRule type="containsText" dxfId="15" priority="16" stopIfTrue="1" operator="containsText" text=" Материалы ">
      <formula>NOT(ISERROR(SEARCH(" Материалы ",A1)))</formula>
    </cfRule>
    <cfRule type="containsText" dxfId="14" priority="15" stopIfTrue="1" operator="containsText" text=" Сборочные единицы ">
      <formula>NOT(ISERROR(SEARCH(" Сборочные единицы ",A1)))</formula>
    </cfRule>
    <cfRule type="containsText" dxfId="13" priority="14" stopIfTrue="1" operator="containsText" text=" Прокат ">
      <formula>NOT(ISERROR(SEARCH(" Прокат ",A1)))</formula>
    </cfRule>
    <cfRule type="containsText" dxfId="12" priority="13" stopIfTrue="1" operator="containsText" text=" Изделия ">
      <formula>NOT(ISERROR(SEARCH(" Изделия ",A1)))</formula>
    </cfRule>
    <cfRule type="containsText" dxfId="11" priority="12" stopIfTrue="1" operator="containsText" text="!!!">
      <formula>NOT(ISERROR(SEARCH("!!!",A1)))</formula>
    </cfRule>
    <cfRule type="containsText" dxfId="10" priority="11" stopIfTrue="1" operator="containsText" text="ИЗ ФАЙЛА">
      <formula>NOT(ISERROR(SEARCH("ИЗ ФАЙЛА",A1)))</formula>
    </cfRule>
    <cfRule type="containsText" dxfId="9" priority="10" stopIfTrue="1" operator="containsText" text="С ЛИСТА">
      <formula>NOT(ISERROR(SEARCH("С ЛИСТА",A1)))</formula>
    </cfRule>
  </conditionalFormatting>
  <conditionalFormatting sqref="A6:L37">
    <cfRule type="containsText" dxfId="8" priority="9" stopIfTrue="1" operator="containsText" text="шт.)">
      <formula>NOT(ISERROR(SEARCH("шт.)",A6)))</formula>
    </cfRule>
    <cfRule type="containsText" dxfId="7" priority="8" stopIfTrue="1" operator="containsText" text=", на ">
      <formula>NOT(ISERROR(SEARCH(", на ",A6)))</formula>
    </cfRule>
    <cfRule type="containsText" dxfId="6" priority="7" stopIfTrue="1" operator="containsText" text=" Материалы ">
      <formula>NOT(ISERROR(SEARCH(" Материалы ",A6)))</formula>
    </cfRule>
    <cfRule type="containsText" dxfId="5" priority="6" stopIfTrue="1" operator="containsText" text=" Сборочные единицы ">
      <formula>NOT(ISERROR(SEARCH(" Сборочные единицы ",A6)))</formula>
    </cfRule>
    <cfRule type="containsText" dxfId="4" priority="5" stopIfTrue="1" operator="containsText" text=" Прокат ">
      <formula>NOT(ISERROR(SEARCH(" Прокат ",A6)))</formula>
    </cfRule>
    <cfRule type="containsText" dxfId="3" priority="4" stopIfTrue="1" operator="containsText" text=" Изделия ">
      <formula>NOT(ISERROR(SEARCH(" Изделия ",A6)))</formula>
    </cfRule>
    <cfRule type="containsText" dxfId="2" priority="3" stopIfTrue="1" operator="containsText" text="!!!">
      <formula>NOT(ISERROR(SEARCH("!!!",A6)))</formula>
    </cfRule>
    <cfRule type="containsText" dxfId="1" priority="2" stopIfTrue="1" operator="containsText" text="ИЗ ФАЙЛА">
      <formula>NOT(ISERROR(SEARCH("ИЗ ФАЙЛА",A6)))</formula>
    </cfRule>
    <cfRule type="containsText" dxfId="0" priority="1" stopIfTrue="1" operator="containsText" text="С ЛИСТА">
      <formula>NOT(ISERROR(SEARCH("С ЛИСТА",A6)))</formula>
    </cfRule>
  </conditionalFormatting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>
    <tabColor rgb="FF000000" tint="1"/>
  </sheetPr>
  <dimension ref="A1:AO806"/>
  <sheetViews>
    <sheetView topLeftCell="A767" workbookViewId="0">
      <selection activeCell="P786" sqref="P786"/>
    </sheetView>
  </sheetViews>
  <sheetFormatPr defaultRowHeight="15" x14ac:dyDescent="0.25"/>
  <sheetData>
    <row r="1" spans="1:41" x14ac:dyDescent="0.25">
      <c r="A1" t="s">
        <v>7</v>
      </c>
      <c r="B1" t="s">
        <v>813</v>
      </c>
      <c r="C1" t="s">
        <v>1145</v>
      </c>
      <c r="D1" t="s">
        <v>1575</v>
      </c>
      <c r="E1" t="s">
        <v>1714</v>
      </c>
      <c r="F1" t="s">
        <v>1753</v>
      </c>
      <c r="G1" t="s">
        <v>1915</v>
      </c>
      <c r="H1" t="s">
        <v>1934</v>
      </c>
      <c r="I1" t="s">
        <v>1965</v>
      </c>
      <c r="J1" t="s">
        <v>1996</v>
      </c>
      <c r="K1" t="s">
        <v>2013</v>
      </c>
      <c r="L1" t="s">
        <v>2021</v>
      </c>
      <c r="M1" t="s">
        <v>2143</v>
      </c>
      <c r="N1" t="s">
        <v>2206</v>
      </c>
      <c r="O1" t="s">
        <v>2321</v>
      </c>
      <c r="P1" t="s">
        <v>5</v>
      </c>
      <c r="Q1" t="s">
        <v>2344</v>
      </c>
      <c r="T1" t="s">
        <v>2</v>
      </c>
      <c r="U1" t="s">
        <v>1</v>
      </c>
      <c r="V1" t="s">
        <v>2348</v>
      </c>
      <c r="W1" t="s">
        <v>2345</v>
      </c>
      <c r="X1" t="s">
        <v>2346</v>
      </c>
      <c r="Y1" t="s">
        <v>2347</v>
      </c>
      <c r="Z1" t="s">
        <v>2349</v>
      </c>
      <c r="AA1" t="s">
        <v>2350</v>
      </c>
      <c r="AC1" t="s">
        <v>2351</v>
      </c>
      <c r="AD1" t="s">
        <v>6</v>
      </c>
      <c r="AE1" t="s">
        <v>2353</v>
      </c>
      <c r="AF1" t="s">
        <v>2354</v>
      </c>
      <c r="AG1" t="s">
        <v>2355</v>
      </c>
      <c r="AH1" t="s">
        <v>2356</v>
      </c>
      <c r="AI1" t="s">
        <v>2357</v>
      </c>
      <c r="AJ1" t="s">
        <v>2359</v>
      </c>
      <c r="AN1" t="s">
        <v>0</v>
      </c>
      <c r="AO1" t="s">
        <v>4</v>
      </c>
    </row>
    <row r="2" spans="1:41" x14ac:dyDescent="0.25">
      <c r="A2" t="s">
        <v>8</v>
      </c>
      <c r="B2" t="s">
        <v>8</v>
      </c>
      <c r="F2" t="s">
        <v>1754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T2">
        <v>4</v>
      </c>
      <c r="U2">
        <v>6</v>
      </c>
      <c r="V2">
        <v>32</v>
      </c>
      <c r="W2">
        <v>6</v>
      </c>
      <c r="X2">
        <v>10</v>
      </c>
      <c r="Y2">
        <v>10</v>
      </c>
      <c r="Z2">
        <v>3</v>
      </c>
      <c r="AA2">
        <v>3</v>
      </c>
      <c r="AC2" t="s">
        <v>2352</v>
      </c>
      <c r="AD2" t="s">
        <v>2352</v>
      </c>
      <c r="AE2" t="s">
        <v>2352</v>
      </c>
      <c r="AF2" t="s">
        <v>2352</v>
      </c>
      <c r="AG2" t="s">
        <v>2352</v>
      </c>
      <c r="AH2" t="s">
        <v>2352</v>
      </c>
      <c r="AI2" t="s">
        <v>2358</v>
      </c>
      <c r="AJ2" t="s">
        <v>2360</v>
      </c>
      <c r="AN2" t="s">
        <v>2361</v>
      </c>
      <c r="AO2" t="s">
        <v>2365</v>
      </c>
    </row>
    <row r="3" spans="1:41" x14ac:dyDescent="0.25">
      <c r="A3" t="s">
        <v>9</v>
      </c>
      <c r="B3" t="s">
        <v>814</v>
      </c>
      <c r="C3" t="s">
        <v>1146</v>
      </c>
      <c r="D3" t="s">
        <v>207</v>
      </c>
      <c r="E3" t="s">
        <v>9</v>
      </c>
      <c r="F3" t="s">
        <v>1755</v>
      </c>
      <c r="G3" t="s">
        <v>1916</v>
      </c>
      <c r="H3" t="s">
        <v>1935</v>
      </c>
      <c r="I3" t="s">
        <v>1966</v>
      </c>
      <c r="J3" t="s">
        <v>1997</v>
      </c>
      <c r="K3" t="s">
        <v>2014</v>
      </c>
      <c r="L3" t="s">
        <v>2022</v>
      </c>
      <c r="M3" t="s">
        <v>2144</v>
      </c>
      <c r="N3" t="s">
        <v>2207</v>
      </c>
      <c r="O3" t="s">
        <v>2322</v>
      </c>
      <c r="P3" t="s">
        <v>2331</v>
      </c>
      <c r="Q3" t="s">
        <v>2331</v>
      </c>
      <c r="T3">
        <v>5</v>
      </c>
      <c r="U3">
        <v>7</v>
      </c>
      <c r="V3">
        <v>36</v>
      </c>
      <c r="W3">
        <v>7</v>
      </c>
      <c r="X3">
        <v>12</v>
      </c>
      <c r="Y3">
        <v>12</v>
      </c>
      <c r="Z3">
        <v>4</v>
      </c>
      <c r="AA3">
        <v>4</v>
      </c>
      <c r="AN3" t="s">
        <v>2362</v>
      </c>
      <c r="AO3" t="s">
        <v>2366</v>
      </c>
    </row>
    <row r="4" spans="1:41" x14ac:dyDescent="0.25">
      <c r="A4" t="s">
        <v>10</v>
      </c>
      <c r="B4" t="s">
        <v>815</v>
      </c>
      <c r="C4" t="s">
        <v>1147</v>
      </c>
      <c r="D4" t="s">
        <v>209</v>
      </c>
      <c r="E4" t="s">
        <v>28</v>
      </c>
      <c r="F4" t="s">
        <v>1756</v>
      </c>
      <c r="G4" t="s">
        <v>1917</v>
      </c>
      <c r="H4" t="s">
        <v>1936</v>
      </c>
      <c r="I4" t="s">
        <v>1967</v>
      </c>
      <c r="J4" t="s">
        <v>1998</v>
      </c>
      <c r="K4" t="s">
        <v>2015</v>
      </c>
      <c r="L4" t="s">
        <v>2023</v>
      </c>
      <c r="M4" t="s">
        <v>2145</v>
      </c>
      <c r="N4" t="s">
        <v>2208</v>
      </c>
      <c r="O4" t="s">
        <v>2036</v>
      </c>
      <c r="P4" t="s">
        <v>2332</v>
      </c>
      <c r="Q4" t="s">
        <v>2332</v>
      </c>
      <c r="T4">
        <v>6</v>
      </c>
      <c r="U4">
        <v>8</v>
      </c>
      <c r="V4">
        <v>40</v>
      </c>
      <c r="W4">
        <v>8</v>
      </c>
      <c r="X4">
        <v>14</v>
      </c>
      <c r="Y4">
        <v>14</v>
      </c>
      <c r="Z4">
        <v>5</v>
      </c>
      <c r="AA4">
        <v>5</v>
      </c>
      <c r="AN4" t="s">
        <v>3</v>
      </c>
      <c r="AO4" t="s">
        <v>2367</v>
      </c>
    </row>
    <row r="5" spans="1:41" x14ac:dyDescent="0.25">
      <c r="A5" t="s">
        <v>11</v>
      </c>
      <c r="B5" t="s">
        <v>816</v>
      </c>
      <c r="C5" t="s">
        <v>1148</v>
      </c>
      <c r="D5" t="s">
        <v>211</v>
      </c>
      <c r="E5" t="s">
        <v>31</v>
      </c>
      <c r="F5" t="s">
        <v>1757</v>
      </c>
      <c r="G5" t="s">
        <v>1918</v>
      </c>
      <c r="H5" t="s">
        <v>1937</v>
      </c>
      <c r="I5" t="s">
        <v>1968</v>
      </c>
      <c r="J5" t="s">
        <v>1999</v>
      </c>
      <c r="K5" t="s">
        <v>2016</v>
      </c>
      <c r="L5" t="s">
        <v>2024</v>
      </c>
      <c r="M5" t="s">
        <v>2146</v>
      </c>
      <c r="N5" t="s">
        <v>2209</v>
      </c>
      <c r="O5" t="s">
        <v>2036</v>
      </c>
      <c r="P5" t="s">
        <v>2333</v>
      </c>
      <c r="Q5" t="s">
        <v>2333</v>
      </c>
      <c r="T5">
        <v>8</v>
      </c>
      <c r="U5">
        <v>10</v>
      </c>
      <c r="V5">
        <v>45</v>
      </c>
      <c r="W5">
        <v>10</v>
      </c>
      <c r="X5">
        <v>16</v>
      </c>
      <c r="Y5">
        <v>16</v>
      </c>
      <c r="AA5">
        <v>6</v>
      </c>
      <c r="AN5" t="s">
        <v>2363</v>
      </c>
      <c r="AO5" t="s">
        <v>2368</v>
      </c>
    </row>
    <row r="6" spans="1:41" x14ac:dyDescent="0.25">
      <c r="A6" t="s">
        <v>12</v>
      </c>
      <c r="B6" t="s">
        <v>817</v>
      </c>
      <c r="C6" t="s">
        <v>1149</v>
      </c>
      <c r="D6" t="s">
        <v>1576</v>
      </c>
      <c r="E6" t="s">
        <v>56</v>
      </c>
      <c r="F6" t="s">
        <v>1758</v>
      </c>
      <c r="G6" t="s">
        <v>1919</v>
      </c>
      <c r="H6" t="s">
        <v>1938</v>
      </c>
      <c r="I6" t="s">
        <v>1969</v>
      </c>
      <c r="J6" t="s">
        <v>2000</v>
      </c>
      <c r="K6" t="s">
        <v>2017</v>
      </c>
      <c r="L6" t="s">
        <v>2025</v>
      </c>
      <c r="M6" t="s">
        <v>2147</v>
      </c>
      <c r="N6" t="s">
        <v>2210</v>
      </c>
      <c r="O6" t="s">
        <v>2044</v>
      </c>
      <c r="P6" t="s">
        <v>2334</v>
      </c>
      <c r="Q6" t="s">
        <v>2334</v>
      </c>
      <c r="T6">
        <v>10</v>
      </c>
      <c r="U6">
        <v>12</v>
      </c>
      <c r="V6">
        <v>50</v>
      </c>
      <c r="W6">
        <v>12</v>
      </c>
      <c r="X6">
        <v>18</v>
      </c>
      <c r="Y6">
        <v>18</v>
      </c>
      <c r="AA6">
        <v>7</v>
      </c>
      <c r="AN6" t="s">
        <v>2364</v>
      </c>
    </row>
    <row r="7" spans="1:41" x14ac:dyDescent="0.25">
      <c r="A7" t="s">
        <v>13</v>
      </c>
      <c r="B7" t="s">
        <v>818</v>
      </c>
      <c r="C7" t="s">
        <v>1150</v>
      </c>
      <c r="D7" t="s">
        <v>1577</v>
      </c>
      <c r="E7" t="s">
        <v>59</v>
      </c>
      <c r="F7" t="s">
        <v>1759</v>
      </c>
      <c r="G7" t="s">
        <v>1920</v>
      </c>
      <c r="H7" t="s">
        <v>1939</v>
      </c>
      <c r="I7" t="s">
        <v>1970</v>
      </c>
      <c r="J7" t="s">
        <v>2001</v>
      </c>
      <c r="K7" t="s">
        <v>2017</v>
      </c>
      <c r="L7" t="s">
        <v>2026</v>
      </c>
      <c r="M7" t="s">
        <v>2148</v>
      </c>
      <c r="N7" t="s">
        <v>2211</v>
      </c>
      <c r="O7" t="s">
        <v>2045</v>
      </c>
      <c r="P7" t="s">
        <v>2335</v>
      </c>
      <c r="Q7" t="s">
        <v>2335</v>
      </c>
      <c r="T7">
        <v>12</v>
      </c>
      <c r="U7">
        <v>14</v>
      </c>
      <c r="V7">
        <v>55</v>
      </c>
      <c r="W7">
        <v>14</v>
      </c>
      <c r="X7">
        <v>20</v>
      </c>
      <c r="Y7">
        <v>20</v>
      </c>
      <c r="AA7">
        <v>8</v>
      </c>
    </row>
    <row r="8" spans="1:41" x14ac:dyDescent="0.25">
      <c r="A8" t="s">
        <v>14</v>
      </c>
      <c r="B8" t="s">
        <v>819</v>
      </c>
      <c r="C8" t="s">
        <v>1151</v>
      </c>
      <c r="D8" t="s">
        <v>1578</v>
      </c>
      <c r="E8" t="s">
        <v>62</v>
      </c>
      <c r="F8" t="s">
        <v>1760</v>
      </c>
      <c r="G8" t="s">
        <v>1921</v>
      </c>
      <c r="H8" t="s">
        <v>1940</v>
      </c>
      <c r="I8" t="s">
        <v>1971</v>
      </c>
      <c r="J8" t="s">
        <v>2002</v>
      </c>
      <c r="K8" t="s">
        <v>2018</v>
      </c>
      <c r="L8" t="s">
        <v>2027</v>
      </c>
      <c r="M8" t="s">
        <v>2149</v>
      </c>
      <c r="N8" t="s">
        <v>2212</v>
      </c>
      <c r="O8" t="s">
        <v>2323</v>
      </c>
      <c r="P8" t="s">
        <v>2336</v>
      </c>
      <c r="Q8" t="s">
        <v>2336</v>
      </c>
      <c r="T8">
        <v>14</v>
      </c>
      <c r="U8">
        <v>16</v>
      </c>
      <c r="V8">
        <v>60</v>
      </c>
      <c r="W8">
        <v>16</v>
      </c>
      <c r="X8">
        <v>22</v>
      </c>
      <c r="Y8">
        <v>22</v>
      </c>
    </row>
    <row r="9" spans="1:41" x14ac:dyDescent="0.25">
      <c r="A9" t="s">
        <v>15</v>
      </c>
      <c r="B9" t="s">
        <v>820</v>
      </c>
      <c r="C9" t="s">
        <v>1152</v>
      </c>
      <c r="D9" t="s">
        <v>1579</v>
      </c>
      <c r="E9" t="s">
        <v>95</v>
      </c>
      <c r="F9" t="s">
        <v>1761</v>
      </c>
      <c r="G9" t="s">
        <v>1922</v>
      </c>
      <c r="H9" t="s">
        <v>1941</v>
      </c>
      <c r="I9" t="s">
        <v>1972</v>
      </c>
      <c r="J9" t="s">
        <v>2003</v>
      </c>
      <c r="K9" t="s">
        <v>2019</v>
      </c>
      <c r="L9" t="s">
        <v>2028</v>
      </c>
      <c r="M9" t="s">
        <v>2150</v>
      </c>
      <c r="N9" t="s">
        <v>2213</v>
      </c>
      <c r="O9" t="s">
        <v>2052</v>
      </c>
      <c r="P9" t="s">
        <v>2337</v>
      </c>
      <c r="Q9" t="s">
        <v>2337</v>
      </c>
      <c r="T9">
        <v>16</v>
      </c>
      <c r="U9">
        <v>18</v>
      </c>
      <c r="V9">
        <v>70</v>
      </c>
      <c r="W9">
        <v>18</v>
      </c>
      <c r="X9">
        <v>25</v>
      </c>
      <c r="Y9">
        <v>25</v>
      </c>
    </row>
    <row r="10" spans="1:41" x14ac:dyDescent="0.25">
      <c r="A10" t="s">
        <v>16</v>
      </c>
      <c r="B10" t="s">
        <v>821</v>
      </c>
      <c r="C10" t="s">
        <v>1153</v>
      </c>
      <c r="D10" t="s">
        <v>1580</v>
      </c>
      <c r="E10" t="s">
        <v>98</v>
      </c>
      <c r="F10" t="s">
        <v>1762</v>
      </c>
      <c r="G10" t="s">
        <v>1923</v>
      </c>
      <c r="H10" t="s">
        <v>1942</v>
      </c>
      <c r="I10" t="s">
        <v>1973</v>
      </c>
      <c r="J10" t="s">
        <v>2004</v>
      </c>
      <c r="K10" t="s">
        <v>2020</v>
      </c>
      <c r="L10" t="s">
        <v>2029</v>
      </c>
      <c r="M10" t="s">
        <v>2151</v>
      </c>
      <c r="N10" t="s">
        <v>2214</v>
      </c>
      <c r="O10" t="s">
        <v>2062</v>
      </c>
      <c r="P10" t="s">
        <v>2338</v>
      </c>
      <c r="Q10" t="s">
        <v>2338</v>
      </c>
      <c r="T10">
        <v>18</v>
      </c>
      <c r="U10">
        <v>20</v>
      </c>
      <c r="V10">
        <v>80</v>
      </c>
      <c r="W10">
        <v>20</v>
      </c>
      <c r="X10">
        <v>28</v>
      </c>
      <c r="Y10">
        <v>28</v>
      </c>
    </row>
    <row r="11" spans="1:41" x14ac:dyDescent="0.25">
      <c r="A11" t="s">
        <v>17</v>
      </c>
      <c r="B11" t="s">
        <v>329</v>
      </c>
      <c r="C11" t="s">
        <v>1154</v>
      </c>
      <c r="D11" t="s">
        <v>1581</v>
      </c>
      <c r="E11" t="s">
        <v>101</v>
      </c>
      <c r="F11" t="s">
        <v>1763</v>
      </c>
      <c r="G11" t="s">
        <v>1924</v>
      </c>
      <c r="H11" t="s">
        <v>1943</v>
      </c>
      <c r="I11" t="s">
        <v>1974</v>
      </c>
      <c r="J11" t="s">
        <v>2005</v>
      </c>
      <c r="L11" t="s">
        <v>2030</v>
      </c>
      <c r="M11" t="s">
        <v>2152</v>
      </c>
      <c r="N11" t="s">
        <v>1808</v>
      </c>
      <c r="O11" t="s">
        <v>2324</v>
      </c>
      <c r="P11" t="s">
        <v>2339</v>
      </c>
      <c r="Q11" t="s">
        <v>2339</v>
      </c>
      <c r="T11">
        <v>20</v>
      </c>
      <c r="U11">
        <v>22</v>
      </c>
      <c r="V11">
        <v>20</v>
      </c>
      <c r="W11">
        <v>22</v>
      </c>
      <c r="X11">
        <v>32</v>
      </c>
      <c r="Y11">
        <v>32</v>
      </c>
    </row>
    <row r="12" spans="1:41" x14ac:dyDescent="0.25">
      <c r="A12" t="s">
        <v>18</v>
      </c>
      <c r="B12" t="s">
        <v>330</v>
      </c>
      <c r="C12" t="s">
        <v>1155</v>
      </c>
      <c r="D12" t="s">
        <v>1582</v>
      </c>
      <c r="E12" t="s">
        <v>103</v>
      </c>
      <c r="F12" t="s">
        <v>1764</v>
      </c>
      <c r="G12" t="s">
        <v>1925</v>
      </c>
      <c r="H12" t="s">
        <v>1944</v>
      </c>
      <c r="I12" t="s">
        <v>1975</v>
      </c>
      <c r="J12" t="s">
        <v>2006</v>
      </c>
      <c r="L12" t="s">
        <v>2031</v>
      </c>
      <c r="M12" t="s">
        <v>2153</v>
      </c>
      <c r="N12" t="s">
        <v>1810</v>
      </c>
      <c r="O12" t="s">
        <v>2325</v>
      </c>
      <c r="P12" t="s">
        <v>2340</v>
      </c>
      <c r="Q12" t="s">
        <v>2340</v>
      </c>
      <c r="T12">
        <v>22</v>
      </c>
      <c r="U12">
        <v>25</v>
      </c>
      <c r="V12">
        <v>22</v>
      </c>
      <c r="W12">
        <v>25</v>
      </c>
    </row>
    <row r="13" spans="1:41" x14ac:dyDescent="0.25">
      <c r="A13" t="s">
        <v>19</v>
      </c>
      <c r="B13" t="s">
        <v>331</v>
      </c>
      <c r="C13" t="s">
        <v>1156</v>
      </c>
      <c r="D13" t="s">
        <v>1583</v>
      </c>
      <c r="E13" t="s">
        <v>1715</v>
      </c>
      <c r="F13" t="s">
        <v>1765</v>
      </c>
      <c r="G13" t="s">
        <v>1926</v>
      </c>
      <c r="H13" t="s">
        <v>1945</v>
      </c>
      <c r="I13" t="s">
        <v>1976</v>
      </c>
      <c r="J13" t="s">
        <v>2007</v>
      </c>
      <c r="L13" t="s">
        <v>2032</v>
      </c>
      <c r="M13" t="s">
        <v>2154</v>
      </c>
      <c r="N13" t="s">
        <v>1818</v>
      </c>
      <c r="O13" t="s">
        <v>2073</v>
      </c>
      <c r="P13" t="s">
        <v>2341</v>
      </c>
      <c r="Q13" t="s">
        <v>2341</v>
      </c>
      <c r="T13">
        <v>25</v>
      </c>
      <c r="U13">
        <v>28</v>
      </c>
      <c r="V13">
        <v>25</v>
      </c>
      <c r="W13">
        <v>28</v>
      </c>
    </row>
    <row r="14" spans="1:41" x14ac:dyDescent="0.25">
      <c r="A14" t="s">
        <v>20</v>
      </c>
      <c r="B14" t="s">
        <v>822</v>
      </c>
      <c r="C14" t="s">
        <v>1157</v>
      </c>
      <c r="D14" t="s">
        <v>1584</v>
      </c>
      <c r="E14" t="s">
        <v>137</v>
      </c>
      <c r="F14" t="s">
        <v>1766</v>
      </c>
      <c r="G14" t="s">
        <v>1927</v>
      </c>
      <c r="H14" t="s">
        <v>1946</v>
      </c>
      <c r="I14" t="s">
        <v>1977</v>
      </c>
      <c r="J14" t="s">
        <v>2008</v>
      </c>
      <c r="L14" t="s">
        <v>2033</v>
      </c>
      <c r="M14" t="s">
        <v>2155</v>
      </c>
      <c r="N14" t="s">
        <v>1819</v>
      </c>
      <c r="O14" t="s">
        <v>2074</v>
      </c>
      <c r="P14" t="s">
        <v>2342</v>
      </c>
      <c r="Q14" t="s">
        <v>2342</v>
      </c>
      <c r="T14">
        <v>28</v>
      </c>
      <c r="U14">
        <v>32</v>
      </c>
      <c r="V14">
        <v>28</v>
      </c>
      <c r="W14">
        <v>32</v>
      </c>
    </row>
    <row r="15" spans="1:41" x14ac:dyDescent="0.25">
      <c r="A15" t="s">
        <v>21</v>
      </c>
      <c r="B15" t="s">
        <v>823</v>
      </c>
      <c r="C15" t="s">
        <v>1158</v>
      </c>
      <c r="D15" t="s">
        <v>1585</v>
      </c>
      <c r="E15" t="s">
        <v>139</v>
      </c>
      <c r="F15" t="s">
        <v>1767</v>
      </c>
      <c r="G15" t="s">
        <v>1928</v>
      </c>
      <c r="H15" t="s">
        <v>1947</v>
      </c>
      <c r="I15" t="s">
        <v>1978</v>
      </c>
      <c r="J15" t="s">
        <v>2009</v>
      </c>
      <c r="L15" t="s">
        <v>2034</v>
      </c>
      <c r="M15" t="s">
        <v>2156</v>
      </c>
      <c r="N15" t="s">
        <v>2215</v>
      </c>
      <c r="O15" t="s">
        <v>2075</v>
      </c>
      <c r="P15" t="s">
        <v>2343</v>
      </c>
      <c r="Q15" t="s">
        <v>2343</v>
      </c>
      <c r="T15">
        <v>32</v>
      </c>
      <c r="U15">
        <v>36</v>
      </c>
      <c r="V15">
        <v>32</v>
      </c>
      <c r="W15">
        <v>36</v>
      </c>
    </row>
    <row r="16" spans="1:41" x14ac:dyDescent="0.25">
      <c r="A16" t="s">
        <v>22</v>
      </c>
      <c r="B16" t="s">
        <v>824</v>
      </c>
      <c r="C16" t="s">
        <v>1159</v>
      </c>
      <c r="D16" t="s">
        <v>1586</v>
      </c>
      <c r="E16" t="s">
        <v>1716</v>
      </c>
      <c r="F16" t="s">
        <v>1768</v>
      </c>
      <c r="G16" t="s">
        <v>1929</v>
      </c>
      <c r="H16" t="s">
        <v>1948</v>
      </c>
      <c r="I16" t="s">
        <v>1979</v>
      </c>
      <c r="J16" t="s">
        <v>2010</v>
      </c>
      <c r="L16" t="s">
        <v>2035</v>
      </c>
      <c r="M16" t="s">
        <v>2157</v>
      </c>
      <c r="N16" t="s">
        <v>2216</v>
      </c>
      <c r="O16" t="s">
        <v>2326</v>
      </c>
      <c r="T16">
        <v>36</v>
      </c>
      <c r="U16">
        <v>40</v>
      </c>
      <c r="V16">
        <v>36</v>
      </c>
      <c r="W16">
        <v>40</v>
      </c>
    </row>
    <row r="17" spans="1:22" x14ac:dyDescent="0.25">
      <c r="A17" t="s">
        <v>23</v>
      </c>
      <c r="B17" t="s">
        <v>825</v>
      </c>
      <c r="C17" t="s">
        <v>1160</v>
      </c>
      <c r="D17" t="s">
        <v>312</v>
      </c>
      <c r="E17" t="s">
        <v>1717</v>
      </c>
      <c r="F17" t="s">
        <v>1769</v>
      </c>
      <c r="G17" t="s">
        <v>1930</v>
      </c>
      <c r="H17" t="s">
        <v>1949</v>
      </c>
      <c r="I17" t="s">
        <v>1980</v>
      </c>
      <c r="J17" t="s">
        <v>2011</v>
      </c>
      <c r="L17" t="s">
        <v>2036</v>
      </c>
      <c r="M17" t="s">
        <v>2158</v>
      </c>
      <c r="N17" t="s">
        <v>2217</v>
      </c>
      <c r="O17" t="s">
        <v>2327</v>
      </c>
      <c r="T17">
        <v>40</v>
      </c>
      <c r="V17">
        <v>40</v>
      </c>
    </row>
    <row r="18" spans="1:22" x14ac:dyDescent="0.25">
      <c r="A18" t="s">
        <v>24</v>
      </c>
      <c r="B18" t="s">
        <v>826</v>
      </c>
      <c r="C18" t="s">
        <v>1161</v>
      </c>
      <c r="D18" t="s">
        <v>314</v>
      </c>
      <c r="E18" t="s">
        <v>1718</v>
      </c>
      <c r="F18" t="s">
        <v>1770</v>
      </c>
      <c r="G18" t="s">
        <v>1931</v>
      </c>
      <c r="H18" t="s">
        <v>1950</v>
      </c>
      <c r="I18" t="s">
        <v>1981</v>
      </c>
      <c r="J18" t="s">
        <v>2012</v>
      </c>
      <c r="L18" t="s">
        <v>2037</v>
      </c>
      <c r="M18" t="s">
        <v>2159</v>
      </c>
      <c r="N18" t="s">
        <v>2218</v>
      </c>
      <c r="O18" t="s">
        <v>2328</v>
      </c>
    </row>
    <row r="19" spans="1:22" x14ac:dyDescent="0.25">
      <c r="A19" t="s">
        <v>25</v>
      </c>
      <c r="B19" t="s">
        <v>827</v>
      </c>
      <c r="C19" t="s">
        <v>1162</v>
      </c>
      <c r="D19" t="s">
        <v>316</v>
      </c>
      <c r="E19" t="s">
        <v>177</v>
      </c>
      <c r="F19" t="s">
        <v>1771</v>
      </c>
      <c r="G19" t="s">
        <v>1932</v>
      </c>
      <c r="H19" t="s">
        <v>1951</v>
      </c>
      <c r="I19" t="s">
        <v>1982</v>
      </c>
      <c r="L19" t="s">
        <v>2038</v>
      </c>
      <c r="M19" t="s">
        <v>2160</v>
      </c>
      <c r="N19" t="s">
        <v>2219</v>
      </c>
      <c r="O19" t="s">
        <v>2086</v>
      </c>
    </row>
    <row r="20" spans="1:22" x14ac:dyDescent="0.25">
      <c r="A20" t="s">
        <v>26</v>
      </c>
      <c r="B20" t="s">
        <v>828</v>
      </c>
      <c r="C20" t="s">
        <v>1163</v>
      </c>
      <c r="D20" t="s">
        <v>318</v>
      </c>
      <c r="E20" t="s">
        <v>179</v>
      </c>
      <c r="F20" t="s">
        <v>1772</v>
      </c>
      <c r="G20" t="s">
        <v>1933</v>
      </c>
      <c r="H20" t="s">
        <v>1952</v>
      </c>
      <c r="I20" t="s">
        <v>1983</v>
      </c>
      <c r="L20" t="s">
        <v>2039</v>
      </c>
      <c r="M20" t="s">
        <v>2161</v>
      </c>
      <c r="N20" t="s">
        <v>2220</v>
      </c>
      <c r="O20" t="s">
        <v>2329</v>
      </c>
    </row>
    <row r="21" spans="1:22" x14ac:dyDescent="0.25">
      <c r="A21" t="s">
        <v>27</v>
      </c>
      <c r="B21" t="s">
        <v>829</v>
      </c>
      <c r="C21" t="s">
        <v>1164</v>
      </c>
      <c r="D21" t="s">
        <v>1587</v>
      </c>
      <c r="E21" t="s">
        <v>181</v>
      </c>
      <c r="F21" t="s">
        <v>1773</v>
      </c>
      <c r="H21" t="s">
        <v>1953</v>
      </c>
      <c r="I21" t="s">
        <v>1984</v>
      </c>
      <c r="L21" t="s">
        <v>2040</v>
      </c>
      <c r="M21" t="s">
        <v>2162</v>
      </c>
      <c r="N21" t="s">
        <v>2221</v>
      </c>
      <c r="O21" t="s">
        <v>2330</v>
      </c>
    </row>
    <row r="22" spans="1:22" x14ac:dyDescent="0.25">
      <c r="A22" t="s">
        <v>28</v>
      </c>
      <c r="B22" t="s">
        <v>830</v>
      </c>
      <c r="C22" t="s">
        <v>1165</v>
      </c>
      <c r="D22" t="s">
        <v>1588</v>
      </c>
      <c r="E22" t="s">
        <v>1719</v>
      </c>
      <c r="F22" t="s">
        <v>1774</v>
      </c>
      <c r="H22" t="s">
        <v>1954</v>
      </c>
      <c r="I22" t="s">
        <v>1985</v>
      </c>
      <c r="L22" t="s">
        <v>2041</v>
      </c>
      <c r="M22" t="s">
        <v>2163</v>
      </c>
      <c r="N22" t="s">
        <v>2222</v>
      </c>
    </row>
    <row r="23" spans="1:22" x14ac:dyDescent="0.25">
      <c r="A23" t="s">
        <v>29</v>
      </c>
      <c r="B23" t="s">
        <v>831</v>
      </c>
      <c r="C23" t="s">
        <v>1166</v>
      </c>
      <c r="D23" t="s">
        <v>1589</v>
      </c>
      <c r="E23" t="s">
        <v>1720</v>
      </c>
      <c r="F23" t="s">
        <v>1775</v>
      </c>
      <c r="H23" t="s">
        <v>1955</v>
      </c>
      <c r="I23" t="s">
        <v>1986</v>
      </c>
      <c r="L23" t="s">
        <v>2042</v>
      </c>
      <c r="M23" t="s">
        <v>2164</v>
      </c>
      <c r="N23" t="s">
        <v>1151</v>
      </c>
    </row>
    <row r="24" spans="1:22" x14ac:dyDescent="0.25">
      <c r="A24" t="s">
        <v>30</v>
      </c>
      <c r="B24" t="s">
        <v>832</v>
      </c>
      <c r="C24" t="s">
        <v>1167</v>
      </c>
      <c r="D24" t="s">
        <v>1590</v>
      </c>
      <c r="E24" t="s">
        <v>1721</v>
      </c>
      <c r="F24" t="s">
        <v>1776</v>
      </c>
      <c r="H24" t="s">
        <v>1956</v>
      </c>
      <c r="I24" t="s">
        <v>1987</v>
      </c>
      <c r="L24" t="s">
        <v>2043</v>
      </c>
      <c r="M24" t="s">
        <v>2165</v>
      </c>
      <c r="N24" t="s">
        <v>1152</v>
      </c>
    </row>
    <row r="25" spans="1:22" x14ac:dyDescent="0.25">
      <c r="A25" t="s">
        <v>31</v>
      </c>
      <c r="B25" t="s">
        <v>833</v>
      </c>
      <c r="C25" t="s">
        <v>1168</v>
      </c>
      <c r="D25" t="s">
        <v>1591</v>
      </c>
      <c r="E25" t="s">
        <v>207</v>
      </c>
      <c r="F25" t="s">
        <v>1777</v>
      </c>
      <c r="H25" t="s">
        <v>1957</v>
      </c>
      <c r="I25" t="s">
        <v>1988</v>
      </c>
      <c r="L25" t="s">
        <v>2044</v>
      </c>
      <c r="M25" t="s">
        <v>2166</v>
      </c>
      <c r="N25" t="s">
        <v>2223</v>
      </c>
    </row>
    <row r="26" spans="1:22" x14ac:dyDescent="0.25">
      <c r="A26" t="s">
        <v>32</v>
      </c>
      <c r="B26" t="s">
        <v>834</v>
      </c>
      <c r="C26" t="s">
        <v>1169</v>
      </c>
      <c r="D26" t="s">
        <v>336</v>
      </c>
      <c r="E26" t="s">
        <v>209</v>
      </c>
      <c r="F26" t="s">
        <v>1778</v>
      </c>
      <c r="H26" t="s">
        <v>1958</v>
      </c>
      <c r="I26" t="s">
        <v>1989</v>
      </c>
      <c r="L26" t="s">
        <v>2045</v>
      </c>
      <c r="M26" t="s">
        <v>2167</v>
      </c>
      <c r="N26" t="s">
        <v>1157</v>
      </c>
    </row>
    <row r="27" spans="1:22" x14ac:dyDescent="0.25">
      <c r="A27" t="s">
        <v>33</v>
      </c>
      <c r="B27" t="s">
        <v>835</v>
      </c>
      <c r="C27" t="s">
        <v>1170</v>
      </c>
      <c r="D27" t="s">
        <v>338</v>
      </c>
      <c r="E27" t="s">
        <v>211</v>
      </c>
      <c r="F27" t="s">
        <v>1779</v>
      </c>
      <c r="H27" t="s">
        <v>1959</v>
      </c>
      <c r="I27" t="s">
        <v>1990</v>
      </c>
      <c r="L27" t="s">
        <v>2046</v>
      </c>
      <c r="M27" t="s">
        <v>2168</v>
      </c>
      <c r="N27" t="s">
        <v>1158</v>
      </c>
    </row>
    <row r="28" spans="1:22" x14ac:dyDescent="0.25">
      <c r="A28" t="s">
        <v>34</v>
      </c>
      <c r="B28" t="s">
        <v>836</v>
      </c>
      <c r="C28" t="s">
        <v>1171</v>
      </c>
      <c r="D28" t="s">
        <v>340</v>
      </c>
      <c r="E28" t="s">
        <v>1576</v>
      </c>
      <c r="F28" t="s">
        <v>1780</v>
      </c>
      <c r="H28" t="s">
        <v>1960</v>
      </c>
      <c r="I28" t="s">
        <v>1991</v>
      </c>
      <c r="L28" t="s">
        <v>2047</v>
      </c>
      <c r="M28" t="s">
        <v>2169</v>
      </c>
      <c r="N28" t="s">
        <v>1159</v>
      </c>
    </row>
    <row r="29" spans="1:22" x14ac:dyDescent="0.25">
      <c r="A29" t="s">
        <v>35</v>
      </c>
      <c r="B29" t="s">
        <v>837</v>
      </c>
      <c r="C29" t="s">
        <v>1172</v>
      </c>
      <c r="D29" t="s">
        <v>342</v>
      </c>
      <c r="E29" t="s">
        <v>1577</v>
      </c>
      <c r="F29" t="s">
        <v>1781</v>
      </c>
      <c r="H29" t="s">
        <v>1961</v>
      </c>
      <c r="I29" t="s">
        <v>1992</v>
      </c>
      <c r="L29" t="s">
        <v>2048</v>
      </c>
      <c r="M29" t="s">
        <v>2170</v>
      </c>
      <c r="N29" t="s">
        <v>1161</v>
      </c>
    </row>
    <row r="30" spans="1:22" x14ac:dyDescent="0.25">
      <c r="A30" t="s">
        <v>36</v>
      </c>
      <c r="B30" t="s">
        <v>838</v>
      </c>
      <c r="C30" t="s">
        <v>1173</v>
      </c>
      <c r="D30" t="s">
        <v>344</v>
      </c>
      <c r="E30" t="s">
        <v>1722</v>
      </c>
      <c r="F30" t="s">
        <v>1782</v>
      </c>
      <c r="H30" t="s">
        <v>1962</v>
      </c>
      <c r="I30" t="s">
        <v>1993</v>
      </c>
      <c r="L30" t="s">
        <v>2049</v>
      </c>
      <c r="M30" t="s">
        <v>2171</v>
      </c>
      <c r="N30" t="s">
        <v>2224</v>
      </c>
    </row>
    <row r="31" spans="1:22" x14ac:dyDescent="0.25">
      <c r="A31" t="s">
        <v>37</v>
      </c>
      <c r="B31" t="s">
        <v>839</v>
      </c>
      <c r="C31" t="s">
        <v>1174</v>
      </c>
      <c r="D31" t="s">
        <v>1592</v>
      </c>
      <c r="E31" t="s">
        <v>1723</v>
      </c>
      <c r="F31" t="s">
        <v>1783</v>
      </c>
      <c r="H31" t="s">
        <v>1963</v>
      </c>
      <c r="I31" t="s">
        <v>1994</v>
      </c>
      <c r="L31" t="s">
        <v>2050</v>
      </c>
      <c r="M31" t="s">
        <v>2172</v>
      </c>
      <c r="N31" t="s">
        <v>2225</v>
      </c>
    </row>
    <row r="32" spans="1:22" x14ac:dyDescent="0.25">
      <c r="A32" t="s">
        <v>38</v>
      </c>
      <c r="B32" t="s">
        <v>840</v>
      </c>
      <c r="C32" t="s">
        <v>1175</v>
      </c>
      <c r="D32" t="s">
        <v>1593</v>
      </c>
      <c r="E32" t="s">
        <v>221</v>
      </c>
      <c r="F32" t="s">
        <v>1784</v>
      </c>
      <c r="H32" t="s">
        <v>1964</v>
      </c>
      <c r="I32" t="s">
        <v>1995</v>
      </c>
      <c r="L32" t="s">
        <v>2051</v>
      </c>
      <c r="M32" t="s">
        <v>2173</v>
      </c>
      <c r="N32" t="s">
        <v>2226</v>
      </c>
    </row>
    <row r="33" spans="1:14" x14ac:dyDescent="0.25">
      <c r="A33" t="s">
        <v>39</v>
      </c>
      <c r="B33" t="s">
        <v>841</v>
      </c>
      <c r="C33" t="s">
        <v>1176</v>
      </c>
      <c r="D33" t="s">
        <v>1594</v>
      </c>
      <c r="E33" t="s">
        <v>1724</v>
      </c>
      <c r="F33" t="s">
        <v>1785</v>
      </c>
      <c r="L33" t="s">
        <v>2052</v>
      </c>
      <c r="M33" t="s">
        <v>2174</v>
      </c>
      <c r="N33" t="s">
        <v>2227</v>
      </c>
    </row>
    <row r="34" spans="1:14" x14ac:dyDescent="0.25">
      <c r="A34" t="s">
        <v>40</v>
      </c>
      <c r="B34" t="s">
        <v>842</v>
      </c>
      <c r="C34" t="s">
        <v>1177</v>
      </c>
      <c r="D34" t="s">
        <v>1595</v>
      </c>
      <c r="E34" t="s">
        <v>1725</v>
      </c>
      <c r="F34" t="s">
        <v>1786</v>
      </c>
      <c r="L34" t="s">
        <v>2053</v>
      </c>
      <c r="M34" t="s">
        <v>2175</v>
      </c>
      <c r="N34" t="s">
        <v>2228</v>
      </c>
    </row>
    <row r="35" spans="1:14" x14ac:dyDescent="0.25">
      <c r="A35" t="s">
        <v>41</v>
      </c>
      <c r="B35" t="s">
        <v>843</v>
      </c>
      <c r="C35" t="s">
        <v>1178</v>
      </c>
      <c r="D35" t="s">
        <v>1596</v>
      </c>
      <c r="E35" t="s">
        <v>1726</v>
      </c>
      <c r="F35" t="s">
        <v>1787</v>
      </c>
      <c r="L35" t="s">
        <v>2054</v>
      </c>
      <c r="M35" t="s">
        <v>2176</v>
      </c>
      <c r="N35" t="s">
        <v>1165</v>
      </c>
    </row>
    <row r="36" spans="1:14" x14ac:dyDescent="0.25">
      <c r="A36" t="s">
        <v>42</v>
      </c>
      <c r="B36" t="s">
        <v>844</v>
      </c>
      <c r="C36" t="s">
        <v>1179</v>
      </c>
      <c r="D36" t="s">
        <v>1597</v>
      </c>
      <c r="E36" t="s">
        <v>1727</v>
      </c>
      <c r="F36" t="s">
        <v>1788</v>
      </c>
      <c r="L36" t="s">
        <v>2055</v>
      </c>
      <c r="M36" t="s">
        <v>2177</v>
      </c>
      <c r="N36" t="s">
        <v>1166</v>
      </c>
    </row>
    <row r="37" spans="1:14" x14ac:dyDescent="0.25">
      <c r="A37" t="s">
        <v>43</v>
      </c>
      <c r="B37" t="s">
        <v>845</v>
      </c>
      <c r="C37" t="s">
        <v>1180</v>
      </c>
      <c r="D37" t="s">
        <v>1598</v>
      </c>
      <c r="E37" t="s">
        <v>241</v>
      </c>
      <c r="F37" t="s">
        <v>1789</v>
      </c>
      <c r="L37" t="s">
        <v>2056</v>
      </c>
      <c r="M37" t="s">
        <v>2178</v>
      </c>
      <c r="N37" t="s">
        <v>2229</v>
      </c>
    </row>
    <row r="38" spans="1:14" x14ac:dyDescent="0.25">
      <c r="A38" t="s">
        <v>44</v>
      </c>
      <c r="B38" t="s">
        <v>846</v>
      </c>
      <c r="C38" t="s">
        <v>1181</v>
      </c>
      <c r="D38" t="s">
        <v>1599</v>
      </c>
      <c r="E38" t="s">
        <v>1728</v>
      </c>
      <c r="F38" t="s">
        <v>1790</v>
      </c>
      <c r="L38" t="s">
        <v>2057</v>
      </c>
      <c r="M38" t="s">
        <v>2179</v>
      </c>
      <c r="N38" t="s">
        <v>2230</v>
      </c>
    </row>
    <row r="39" spans="1:14" x14ac:dyDescent="0.25">
      <c r="A39" t="s">
        <v>45</v>
      </c>
      <c r="B39" t="s">
        <v>847</v>
      </c>
      <c r="C39" t="s">
        <v>1182</v>
      </c>
      <c r="D39" t="s">
        <v>1600</v>
      </c>
      <c r="E39" t="s">
        <v>1729</v>
      </c>
      <c r="F39" t="s">
        <v>1791</v>
      </c>
      <c r="L39" t="s">
        <v>2058</v>
      </c>
      <c r="M39" t="s">
        <v>2180</v>
      </c>
      <c r="N39" t="s">
        <v>2231</v>
      </c>
    </row>
    <row r="40" spans="1:14" x14ac:dyDescent="0.25">
      <c r="A40" t="s">
        <v>46</v>
      </c>
      <c r="B40" t="s">
        <v>848</v>
      </c>
      <c r="C40" t="s">
        <v>1183</v>
      </c>
      <c r="D40" t="s">
        <v>1601</v>
      </c>
      <c r="E40" t="s">
        <v>1730</v>
      </c>
      <c r="F40" t="s">
        <v>1792</v>
      </c>
      <c r="L40" t="s">
        <v>2059</v>
      </c>
      <c r="M40" t="s">
        <v>2181</v>
      </c>
      <c r="N40" t="s">
        <v>1173</v>
      </c>
    </row>
    <row r="41" spans="1:14" x14ac:dyDescent="0.25">
      <c r="A41" t="s">
        <v>47</v>
      </c>
      <c r="B41" t="s">
        <v>849</v>
      </c>
      <c r="C41" t="s">
        <v>1184</v>
      </c>
      <c r="D41" t="s">
        <v>1602</v>
      </c>
      <c r="E41" t="s">
        <v>1731</v>
      </c>
      <c r="F41" t="s">
        <v>1793</v>
      </c>
      <c r="L41" t="s">
        <v>2060</v>
      </c>
      <c r="M41" t="s">
        <v>2182</v>
      </c>
      <c r="N41" t="s">
        <v>1175</v>
      </c>
    </row>
    <row r="42" spans="1:14" x14ac:dyDescent="0.25">
      <c r="A42" t="s">
        <v>48</v>
      </c>
      <c r="B42" t="s">
        <v>850</v>
      </c>
      <c r="C42" t="s">
        <v>1185</v>
      </c>
      <c r="D42" t="s">
        <v>1603</v>
      </c>
      <c r="E42" t="s">
        <v>1732</v>
      </c>
      <c r="F42" t="s">
        <v>1794</v>
      </c>
      <c r="L42" t="s">
        <v>2061</v>
      </c>
      <c r="M42" t="s">
        <v>2183</v>
      </c>
      <c r="N42" t="s">
        <v>2232</v>
      </c>
    </row>
    <row r="43" spans="1:14" x14ac:dyDescent="0.25">
      <c r="A43" t="s">
        <v>49</v>
      </c>
      <c r="B43" t="s">
        <v>851</v>
      </c>
      <c r="C43" t="s">
        <v>1186</v>
      </c>
      <c r="D43" t="s">
        <v>1604</v>
      </c>
      <c r="E43" t="s">
        <v>1733</v>
      </c>
      <c r="F43" t="s">
        <v>1795</v>
      </c>
      <c r="L43" t="s">
        <v>2062</v>
      </c>
      <c r="M43" t="s">
        <v>2184</v>
      </c>
      <c r="N43" t="s">
        <v>2233</v>
      </c>
    </row>
    <row r="44" spans="1:14" x14ac:dyDescent="0.25">
      <c r="A44" t="s">
        <v>50</v>
      </c>
      <c r="B44" t="s">
        <v>852</v>
      </c>
      <c r="C44" t="s">
        <v>1187</v>
      </c>
      <c r="D44" t="s">
        <v>1605</v>
      </c>
      <c r="E44" t="s">
        <v>1580</v>
      </c>
      <c r="F44" t="s">
        <v>1796</v>
      </c>
      <c r="L44" t="s">
        <v>2063</v>
      </c>
      <c r="M44" t="s">
        <v>2185</v>
      </c>
      <c r="N44" t="s">
        <v>2234</v>
      </c>
    </row>
    <row r="45" spans="1:14" x14ac:dyDescent="0.25">
      <c r="A45" t="s">
        <v>51</v>
      </c>
      <c r="B45" t="s">
        <v>853</v>
      </c>
      <c r="C45" t="s">
        <v>1188</v>
      </c>
      <c r="D45" t="s">
        <v>1606</v>
      </c>
      <c r="E45" t="s">
        <v>1581</v>
      </c>
      <c r="F45" t="s">
        <v>1797</v>
      </c>
      <c r="L45" t="s">
        <v>2064</v>
      </c>
      <c r="M45" t="s">
        <v>2186</v>
      </c>
      <c r="N45" t="s">
        <v>2235</v>
      </c>
    </row>
    <row r="46" spans="1:14" x14ac:dyDescent="0.25">
      <c r="A46" t="s">
        <v>52</v>
      </c>
      <c r="B46" t="s">
        <v>854</v>
      </c>
      <c r="C46" t="s">
        <v>1189</v>
      </c>
      <c r="D46" t="s">
        <v>1607</v>
      </c>
      <c r="E46" t="s">
        <v>1582</v>
      </c>
      <c r="F46" t="s">
        <v>1798</v>
      </c>
      <c r="L46" t="s">
        <v>2065</v>
      </c>
      <c r="M46" t="s">
        <v>2187</v>
      </c>
      <c r="N46" t="s">
        <v>2236</v>
      </c>
    </row>
    <row r="47" spans="1:14" x14ac:dyDescent="0.25">
      <c r="A47" t="s">
        <v>53</v>
      </c>
      <c r="B47" t="s">
        <v>855</v>
      </c>
      <c r="C47" t="s">
        <v>1190</v>
      </c>
      <c r="D47" t="s">
        <v>1608</v>
      </c>
      <c r="E47" t="s">
        <v>1584</v>
      </c>
      <c r="F47" t="s">
        <v>1799</v>
      </c>
      <c r="L47" t="s">
        <v>2066</v>
      </c>
      <c r="M47" t="s">
        <v>2188</v>
      </c>
      <c r="N47" t="s">
        <v>2237</v>
      </c>
    </row>
    <row r="48" spans="1:14" x14ac:dyDescent="0.25">
      <c r="A48" t="s">
        <v>54</v>
      </c>
      <c r="B48" t="s">
        <v>856</v>
      </c>
      <c r="C48" t="s">
        <v>1191</v>
      </c>
      <c r="D48" t="s">
        <v>1609</v>
      </c>
      <c r="E48" t="s">
        <v>1586</v>
      </c>
      <c r="F48" t="s">
        <v>1800</v>
      </c>
      <c r="L48" t="s">
        <v>2067</v>
      </c>
      <c r="M48" t="s">
        <v>2189</v>
      </c>
      <c r="N48" t="s">
        <v>2238</v>
      </c>
    </row>
    <row r="49" spans="1:14" x14ac:dyDescent="0.25">
      <c r="A49" t="s">
        <v>55</v>
      </c>
      <c r="B49" t="s">
        <v>857</v>
      </c>
      <c r="C49" t="s">
        <v>1192</v>
      </c>
      <c r="D49" t="s">
        <v>1610</v>
      </c>
      <c r="E49" t="s">
        <v>1734</v>
      </c>
      <c r="F49" t="s">
        <v>1801</v>
      </c>
      <c r="L49" t="s">
        <v>2068</v>
      </c>
      <c r="M49" t="s">
        <v>2190</v>
      </c>
      <c r="N49" t="s">
        <v>2239</v>
      </c>
    </row>
    <row r="50" spans="1:14" x14ac:dyDescent="0.25">
      <c r="A50" t="s">
        <v>56</v>
      </c>
      <c r="B50" t="s">
        <v>858</v>
      </c>
      <c r="C50" t="s">
        <v>1193</v>
      </c>
      <c r="D50" t="s">
        <v>1611</v>
      </c>
      <c r="E50" t="s">
        <v>1735</v>
      </c>
      <c r="F50" t="s">
        <v>1802</v>
      </c>
      <c r="L50" t="s">
        <v>2069</v>
      </c>
      <c r="M50" t="s">
        <v>2191</v>
      </c>
      <c r="N50" t="s">
        <v>2240</v>
      </c>
    </row>
    <row r="51" spans="1:14" x14ac:dyDescent="0.25">
      <c r="A51" t="s">
        <v>57</v>
      </c>
      <c r="B51" t="s">
        <v>859</v>
      </c>
      <c r="C51" t="s">
        <v>1194</v>
      </c>
      <c r="D51" t="s">
        <v>1612</v>
      </c>
      <c r="E51" t="s">
        <v>318</v>
      </c>
      <c r="F51" t="s">
        <v>1803</v>
      </c>
      <c r="L51" t="s">
        <v>2070</v>
      </c>
      <c r="M51" t="s">
        <v>2192</v>
      </c>
      <c r="N51" t="s">
        <v>1858</v>
      </c>
    </row>
    <row r="52" spans="1:14" x14ac:dyDescent="0.25">
      <c r="A52" t="s">
        <v>58</v>
      </c>
      <c r="B52" t="s">
        <v>860</v>
      </c>
      <c r="C52" t="s">
        <v>1195</v>
      </c>
      <c r="D52" t="s">
        <v>1613</v>
      </c>
      <c r="E52" t="s">
        <v>1587</v>
      </c>
      <c r="F52" t="s">
        <v>1804</v>
      </c>
      <c r="L52" t="s">
        <v>2071</v>
      </c>
      <c r="M52" t="s">
        <v>2193</v>
      </c>
      <c r="N52" t="s">
        <v>1184</v>
      </c>
    </row>
    <row r="53" spans="1:14" x14ac:dyDescent="0.25">
      <c r="A53" t="s">
        <v>59</v>
      </c>
      <c r="B53" t="s">
        <v>861</v>
      </c>
      <c r="C53" t="s">
        <v>1196</v>
      </c>
      <c r="D53" t="s">
        <v>1614</v>
      </c>
      <c r="E53" t="s">
        <v>1589</v>
      </c>
      <c r="F53" t="s">
        <v>1805</v>
      </c>
      <c r="L53" t="s">
        <v>2072</v>
      </c>
      <c r="M53" t="s">
        <v>2194</v>
      </c>
      <c r="N53" t="s">
        <v>1186</v>
      </c>
    </row>
    <row r="54" spans="1:14" x14ac:dyDescent="0.25">
      <c r="A54" t="s">
        <v>60</v>
      </c>
      <c r="B54" t="s">
        <v>862</v>
      </c>
      <c r="C54" t="s">
        <v>1197</v>
      </c>
      <c r="D54" t="s">
        <v>1615</v>
      </c>
      <c r="E54" t="s">
        <v>1591</v>
      </c>
      <c r="F54" t="s">
        <v>1806</v>
      </c>
      <c r="L54" t="s">
        <v>2073</v>
      </c>
      <c r="M54" t="s">
        <v>2195</v>
      </c>
      <c r="N54" t="s">
        <v>2241</v>
      </c>
    </row>
    <row r="55" spans="1:14" x14ac:dyDescent="0.25">
      <c r="A55" t="s">
        <v>61</v>
      </c>
      <c r="B55" t="s">
        <v>863</v>
      </c>
      <c r="C55" t="s">
        <v>1198</v>
      </c>
      <c r="D55" t="s">
        <v>1616</v>
      </c>
      <c r="E55" t="s">
        <v>1736</v>
      </c>
      <c r="F55" t="s">
        <v>1807</v>
      </c>
      <c r="L55" t="s">
        <v>2074</v>
      </c>
      <c r="M55" t="s">
        <v>2196</v>
      </c>
      <c r="N55" t="s">
        <v>2242</v>
      </c>
    </row>
    <row r="56" spans="1:14" x14ac:dyDescent="0.25">
      <c r="A56" t="s">
        <v>62</v>
      </c>
      <c r="B56" t="s">
        <v>864</v>
      </c>
      <c r="C56" t="s">
        <v>1199</v>
      </c>
      <c r="D56" t="s">
        <v>1617</v>
      </c>
      <c r="E56" t="s">
        <v>1737</v>
      </c>
      <c r="F56" t="s">
        <v>1808</v>
      </c>
      <c r="L56" t="s">
        <v>2075</v>
      </c>
      <c r="M56" t="s">
        <v>2197</v>
      </c>
      <c r="N56" t="s">
        <v>2243</v>
      </c>
    </row>
    <row r="57" spans="1:14" x14ac:dyDescent="0.25">
      <c r="A57" t="s">
        <v>63</v>
      </c>
      <c r="B57" t="s">
        <v>865</v>
      </c>
      <c r="C57" t="s">
        <v>1200</v>
      </c>
      <c r="D57" t="s">
        <v>1618</v>
      </c>
      <c r="E57" t="s">
        <v>344</v>
      </c>
      <c r="F57" t="s">
        <v>1809</v>
      </c>
      <c r="L57" t="s">
        <v>2076</v>
      </c>
      <c r="M57" t="s">
        <v>2198</v>
      </c>
      <c r="N57" t="s">
        <v>2244</v>
      </c>
    </row>
    <row r="58" spans="1:14" x14ac:dyDescent="0.25">
      <c r="A58" t="s">
        <v>64</v>
      </c>
      <c r="B58" t="s">
        <v>866</v>
      </c>
      <c r="C58" t="s">
        <v>1201</v>
      </c>
      <c r="D58" t="s">
        <v>1619</v>
      </c>
      <c r="E58" t="s">
        <v>1593</v>
      </c>
      <c r="F58" t="s">
        <v>1810</v>
      </c>
      <c r="L58" t="s">
        <v>2077</v>
      </c>
      <c r="M58" t="s">
        <v>2199</v>
      </c>
      <c r="N58" t="s">
        <v>2245</v>
      </c>
    </row>
    <row r="59" spans="1:14" x14ac:dyDescent="0.25">
      <c r="A59" t="s">
        <v>65</v>
      </c>
      <c r="B59" t="s">
        <v>867</v>
      </c>
      <c r="C59" t="s">
        <v>1202</v>
      </c>
      <c r="D59" t="s">
        <v>1620</v>
      </c>
      <c r="E59" t="s">
        <v>1595</v>
      </c>
      <c r="F59" t="s">
        <v>1811</v>
      </c>
      <c r="L59" t="s">
        <v>2078</v>
      </c>
      <c r="M59" t="s">
        <v>2200</v>
      </c>
      <c r="N59" t="s">
        <v>1192</v>
      </c>
    </row>
    <row r="60" spans="1:14" x14ac:dyDescent="0.25">
      <c r="A60" t="s">
        <v>66</v>
      </c>
      <c r="B60" t="s">
        <v>868</v>
      </c>
      <c r="C60" t="s">
        <v>1203</v>
      </c>
      <c r="D60" t="s">
        <v>1621</v>
      </c>
      <c r="E60" t="s">
        <v>1597</v>
      </c>
      <c r="F60" t="s">
        <v>1812</v>
      </c>
      <c r="L60" t="s">
        <v>2079</v>
      </c>
      <c r="M60" t="s">
        <v>2201</v>
      </c>
      <c r="N60" t="s">
        <v>1193</v>
      </c>
    </row>
    <row r="61" spans="1:14" x14ac:dyDescent="0.25">
      <c r="A61" t="s">
        <v>67</v>
      </c>
      <c r="B61" t="s">
        <v>869</v>
      </c>
      <c r="C61" t="s">
        <v>1204</v>
      </c>
      <c r="D61" t="s">
        <v>1622</v>
      </c>
      <c r="E61" t="s">
        <v>1738</v>
      </c>
      <c r="F61" t="s">
        <v>1813</v>
      </c>
      <c r="L61" t="s">
        <v>2080</v>
      </c>
      <c r="M61" t="s">
        <v>2202</v>
      </c>
      <c r="N61" t="s">
        <v>1866</v>
      </c>
    </row>
    <row r="62" spans="1:14" x14ac:dyDescent="0.25">
      <c r="A62" t="s">
        <v>68</v>
      </c>
      <c r="B62" t="s">
        <v>870</v>
      </c>
      <c r="C62" t="s">
        <v>1205</v>
      </c>
      <c r="D62" t="s">
        <v>1623</v>
      </c>
      <c r="E62" t="s">
        <v>1600</v>
      </c>
      <c r="F62" t="s">
        <v>1814</v>
      </c>
      <c r="L62" t="s">
        <v>2081</v>
      </c>
      <c r="M62" t="s">
        <v>2203</v>
      </c>
      <c r="N62" t="s">
        <v>1202</v>
      </c>
    </row>
    <row r="63" spans="1:14" x14ac:dyDescent="0.25">
      <c r="A63" t="s">
        <v>69</v>
      </c>
      <c r="B63" t="s">
        <v>871</v>
      </c>
      <c r="C63" t="s">
        <v>1206</v>
      </c>
      <c r="D63" t="s">
        <v>1624</v>
      </c>
      <c r="E63" t="s">
        <v>1602</v>
      </c>
      <c r="F63" t="s">
        <v>1815</v>
      </c>
      <c r="L63" t="s">
        <v>2082</v>
      </c>
      <c r="M63" t="s">
        <v>2204</v>
      </c>
      <c r="N63" t="s">
        <v>1204</v>
      </c>
    </row>
    <row r="64" spans="1:14" x14ac:dyDescent="0.25">
      <c r="A64" t="s">
        <v>70</v>
      </c>
      <c r="B64" t="s">
        <v>872</v>
      </c>
      <c r="C64" t="s">
        <v>1207</v>
      </c>
      <c r="D64" t="s">
        <v>1625</v>
      </c>
      <c r="E64" t="s">
        <v>1604</v>
      </c>
      <c r="F64" t="s">
        <v>1816</v>
      </c>
      <c r="L64" t="s">
        <v>2083</v>
      </c>
      <c r="M64" t="s">
        <v>2205</v>
      </c>
      <c r="N64" t="s">
        <v>1208</v>
      </c>
    </row>
    <row r="65" spans="1:14" x14ac:dyDescent="0.25">
      <c r="A65" t="s">
        <v>71</v>
      </c>
      <c r="B65" t="s">
        <v>873</v>
      </c>
      <c r="C65" t="s">
        <v>1208</v>
      </c>
      <c r="D65" t="s">
        <v>1626</v>
      </c>
      <c r="E65" t="s">
        <v>1606</v>
      </c>
      <c r="F65" t="s">
        <v>1817</v>
      </c>
      <c r="L65" t="s">
        <v>2084</v>
      </c>
      <c r="N65" t="s">
        <v>2246</v>
      </c>
    </row>
    <row r="66" spans="1:14" x14ac:dyDescent="0.25">
      <c r="A66" t="s">
        <v>72</v>
      </c>
      <c r="B66" t="s">
        <v>874</v>
      </c>
      <c r="C66" t="s">
        <v>1209</v>
      </c>
      <c r="D66" t="s">
        <v>1627</v>
      </c>
      <c r="E66" t="s">
        <v>1608</v>
      </c>
      <c r="F66" t="s">
        <v>1818</v>
      </c>
      <c r="L66" t="s">
        <v>2085</v>
      </c>
      <c r="N66" t="s">
        <v>2247</v>
      </c>
    </row>
    <row r="67" spans="1:14" x14ac:dyDescent="0.25">
      <c r="A67" t="s">
        <v>73</v>
      </c>
      <c r="B67" t="s">
        <v>875</v>
      </c>
      <c r="C67" t="s">
        <v>1210</v>
      </c>
      <c r="D67" t="s">
        <v>1628</v>
      </c>
      <c r="E67" t="s">
        <v>1613</v>
      </c>
      <c r="F67" t="s">
        <v>1819</v>
      </c>
      <c r="L67" t="s">
        <v>2086</v>
      </c>
      <c r="N67" t="s">
        <v>2248</v>
      </c>
    </row>
    <row r="68" spans="1:14" x14ac:dyDescent="0.25">
      <c r="A68" t="s">
        <v>74</v>
      </c>
      <c r="B68" t="s">
        <v>876</v>
      </c>
      <c r="C68" t="s">
        <v>1211</v>
      </c>
      <c r="D68" t="s">
        <v>1629</v>
      </c>
      <c r="E68" t="s">
        <v>1615</v>
      </c>
      <c r="F68" t="s">
        <v>1820</v>
      </c>
      <c r="L68" t="s">
        <v>2087</v>
      </c>
      <c r="N68" t="s">
        <v>2249</v>
      </c>
    </row>
    <row r="69" spans="1:14" x14ac:dyDescent="0.25">
      <c r="A69" t="s">
        <v>75</v>
      </c>
      <c r="B69" t="s">
        <v>877</v>
      </c>
      <c r="C69" t="s">
        <v>1212</v>
      </c>
      <c r="D69" t="s">
        <v>1630</v>
      </c>
      <c r="E69" t="s">
        <v>1617</v>
      </c>
      <c r="F69" t="s">
        <v>1821</v>
      </c>
      <c r="L69" t="s">
        <v>2088</v>
      </c>
      <c r="N69" t="s">
        <v>2250</v>
      </c>
    </row>
    <row r="70" spans="1:14" x14ac:dyDescent="0.25">
      <c r="A70" t="s">
        <v>76</v>
      </c>
      <c r="B70" t="s">
        <v>878</v>
      </c>
      <c r="C70" t="s">
        <v>1213</v>
      </c>
      <c r="D70" t="s">
        <v>1631</v>
      </c>
      <c r="E70" t="s">
        <v>1619</v>
      </c>
      <c r="F70" t="s">
        <v>1822</v>
      </c>
      <c r="L70" t="s">
        <v>2089</v>
      </c>
      <c r="N70" t="s">
        <v>2251</v>
      </c>
    </row>
    <row r="71" spans="1:14" x14ac:dyDescent="0.25">
      <c r="A71" t="s">
        <v>77</v>
      </c>
      <c r="B71" t="s">
        <v>879</v>
      </c>
      <c r="C71" t="s">
        <v>1214</v>
      </c>
      <c r="D71" t="s">
        <v>1632</v>
      </c>
      <c r="E71" t="s">
        <v>1626</v>
      </c>
      <c r="F71" t="s">
        <v>1823</v>
      </c>
      <c r="L71" t="s">
        <v>2090</v>
      </c>
      <c r="N71" t="s">
        <v>2252</v>
      </c>
    </row>
    <row r="72" spans="1:14" x14ac:dyDescent="0.25">
      <c r="A72" t="s">
        <v>78</v>
      </c>
      <c r="B72" t="s">
        <v>880</v>
      </c>
      <c r="C72" t="s">
        <v>1215</v>
      </c>
      <c r="D72" t="s">
        <v>1633</v>
      </c>
      <c r="E72" t="s">
        <v>1628</v>
      </c>
      <c r="F72" t="s">
        <v>1824</v>
      </c>
      <c r="L72" t="s">
        <v>2091</v>
      </c>
      <c r="N72" t="s">
        <v>2253</v>
      </c>
    </row>
    <row r="73" spans="1:14" x14ac:dyDescent="0.25">
      <c r="A73" t="s">
        <v>79</v>
      </c>
      <c r="B73" t="s">
        <v>881</v>
      </c>
      <c r="C73" t="s">
        <v>1216</v>
      </c>
      <c r="D73" t="s">
        <v>1634</v>
      </c>
      <c r="E73" t="s">
        <v>1630</v>
      </c>
      <c r="F73" t="s">
        <v>1825</v>
      </c>
      <c r="L73" t="s">
        <v>2092</v>
      </c>
      <c r="N73" t="s">
        <v>1237</v>
      </c>
    </row>
    <row r="74" spans="1:14" x14ac:dyDescent="0.25">
      <c r="A74" t="s">
        <v>80</v>
      </c>
      <c r="B74" t="s">
        <v>882</v>
      </c>
      <c r="C74" t="s">
        <v>1217</v>
      </c>
      <c r="D74" t="s">
        <v>1635</v>
      </c>
      <c r="E74" t="s">
        <v>1739</v>
      </c>
      <c r="F74" t="s">
        <v>1826</v>
      </c>
      <c r="L74" t="s">
        <v>2093</v>
      </c>
      <c r="N74" t="s">
        <v>1246</v>
      </c>
    </row>
    <row r="75" spans="1:14" x14ac:dyDescent="0.25">
      <c r="A75" t="s">
        <v>81</v>
      </c>
      <c r="B75" t="s">
        <v>883</v>
      </c>
      <c r="C75" t="s">
        <v>1218</v>
      </c>
      <c r="D75" t="s">
        <v>1636</v>
      </c>
      <c r="E75" t="s">
        <v>1740</v>
      </c>
      <c r="F75" t="s">
        <v>1827</v>
      </c>
      <c r="L75" t="s">
        <v>2094</v>
      </c>
      <c r="N75" t="s">
        <v>1248</v>
      </c>
    </row>
    <row r="76" spans="1:14" x14ac:dyDescent="0.25">
      <c r="A76" t="s">
        <v>82</v>
      </c>
      <c r="B76" t="s">
        <v>884</v>
      </c>
      <c r="C76" t="s">
        <v>1219</v>
      </c>
      <c r="D76" t="s">
        <v>1637</v>
      </c>
      <c r="E76" t="s">
        <v>1741</v>
      </c>
      <c r="F76" t="s">
        <v>1828</v>
      </c>
      <c r="L76" t="s">
        <v>2095</v>
      </c>
      <c r="N76" t="s">
        <v>1250</v>
      </c>
    </row>
    <row r="77" spans="1:14" x14ac:dyDescent="0.25">
      <c r="A77" t="s">
        <v>83</v>
      </c>
      <c r="B77" t="s">
        <v>885</v>
      </c>
      <c r="C77" t="s">
        <v>1220</v>
      </c>
      <c r="D77" t="s">
        <v>1638</v>
      </c>
      <c r="E77" t="s">
        <v>1742</v>
      </c>
      <c r="F77" t="s">
        <v>1829</v>
      </c>
      <c r="L77" t="s">
        <v>2096</v>
      </c>
      <c r="N77" t="s">
        <v>1252</v>
      </c>
    </row>
    <row r="78" spans="1:14" x14ac:dyDescent="0.25">
      <c r="A78" t="s">
        <v>84</v>
      </c>
      <c r="B78" t="s">
        <v>886</v>
      </c>
      <c r="C78" t="s">
        <v>1221</v>
      </c>
      <c r="D78" t="s">
        <v>1639</v>
      </c>
      <c r="E78" t="s">
        <v>1743</v>
      </c>
      <c r="F78" t="s">
        <v>1830</v>
      </c>
      <c r="L78" t="s">
        <v>2097</v>
      </c>
      <c r="N78" t="s">
        <v>1255</v>
      </c>
    </row>
    <row r="79" spans="1:14" x14ac:dyDescent="0.25">
      <c r="A79" t="s">
        <v>85</v>
      </c>
      <c r="B79" t="s">
        <v>887</v>
      </c>
      <c r="C79" t="s">
        <v>1222</v>
      </c>
      <c r="D79" t="s">
        <v>1640</v>
      </c>
      <c r="E79" t="s">
        <v>1637</v>
      </c>
      <c r="F79" t="s">
        <v>1831</v>
      </c>
      <c r="L79" t="s">
        <v>2098</v>
      </c>
      <c r="N79" t="s">
        <v>1257</v>
      </c>
    </row>
    <row r="80" spans="1:14" x14ac:dyDescent="0.25">
      <c r="A80" t="s">
        <v>86</v>
      </c>
      <c r="B80" t="s">
        <v>888</v>
      </c>
      <c r="C80" t="s">
        <v>1223</v>
      </c>
      <c r="D80" t="s">
        <v>1641</v>
      </c>
      <c r="E80" t="s">
        <v>1639</v>
      </c>
      <c r="F80" t="s">
        <v>1832</v>
      </c>
      <c r="L80" t="s">
        <v>2099</v>
      </c>
      <c r="N80" t="s">
        <v>2254</v>
      </c>
    </row>
    <row r="81" spans="1:14" x14ac:dyDescent="0.25">
      <c r="A81" t="s">
        <v>87</v>
      </c>
      <c r="B81" t="s">
        <v>889</v>
      </c>
      <c r="C81" t="s">
        <v>1224</v>
      </c>
      <c r="D81" t="s">
        <v>480</v>
      </c>
      <c r="E81" t="s">
        <v>1641</v>
      </c>
      <c r="F81" t="s">
        <v>1833</v>
      </c>
      <c r="L81" t="s">
        <v>2100</v>
      </c>
      <c r="N81" t="s">
        <v>2255</v>
      </c>
    </row>
    <row r="82" spans="1:14" x14ac:dyDescent="0.25">
      <c r="A82" t="s">
        <v>88</v>
      </c>
      <c r="B82" t="s">
        <v>890</v>
      </c>
      <c r="C82" t="s">
        <v>1225</v>
      </c>
      <c r="D82" t="s">
        <v>481</v>
      </c>
      <c r="E82" t="s">
        <v>1744</v>
      </c>
      <c r="F82" t="s">
        <v>1834</v>
      </c>
      <c r="L82" t="s">
        <v>2101</v>
      </c>
      <c r="N82" t="s">
        <v>2256</v>
      </c>
    </row>
    <row r="83" spans="1:14" x14ac:dyDescent="0.25">
      <c r="A83" t="s">
        <v>89</v>
      </c>
      <c r="B83" t="s">
        <v>891</v>
      </c>
      <c r="C83" t="s">
        <v>1226</v>
      </c>
      <c r="D83" t="s">
        <v>482</v>
      </c>
      <c r="E83" t="s">
        <v>1642</v>
      </c>
      <c r="F83" t="s">
        <v>1835</v>
      </c>
      <c r="L83" t="s">
        <v>2102</v>
      </c>
      <c r="N83" t="s">
        <v>2257</v>
      </c>
    </row>
    <row r="84" spans="1:14" x14ac:dyDescent="0.25">
      <c r="A84" t="s">
        <v>90</v>
      </c>
      <c r="B84" t="s">
        <v>892</v>
      </c>
      <c r="C84" t="s">
        <v>1227</v>
      </c>
      <c r="D84" t="s">
        <v>483</v>
      </c>
      <c r="E84" t="s">
        <v>1644</v>
      </c>
      <c r="F84" t="s">
        <v>1836</v>
      </c>
      <c r="L84" t="s">
        <v>2103</v>
      </c>
      <c r="N84" t="s">
        <v>2258</v>
      </c>
    </row>
    <row r="85" spans="1:14" x14ac:dyDescent="0.25">
      <c r="A85" t="s">
        <v>91</v>
      </c>
      <c r="B85" t="s">
        <v>893</v>
      </c>
      <c r="C85" t="s">
        <v>1228</v>
      </c>
      <c r="D85" t="s">
        <v>1642</v>
      </c>
      <c r="E85" t="s">
        <v>1646</v>
      </c>
      <c r="F85" t="s">
        <v>1837</v>
      </c>
      <c r="L85" t="s">
        <v>2104</v>
      </c>
      <c r="N85" t="s">
        <v>2259</v>
      </c>
    </row>
    <row r="86" spans="1:14" x14ac:dyDescent="0.25">
      <c r="A86" t="s">
        <v>92</v>
      </c>
      <c r="B86" t="s">
        <v>894</v>
      </c>
      <c r="C86" t="s">
        <v>1229</v>
      </c>
      <c r="D86" t="s">
        <v>1643</v>
      </c>
      <c r="E86" t="s">
        <v>1745</v>
      </c>
      <c r="F86" t="s">
        <v>1838</v>
      </c>
      <c r="L86" t="s">
        <v>2105</v>
      </c>
      <c r="N86" t="s">
        <v>2260</v>
      </c>
    </row>
    <row r="87" spans="1:14" x14ac:dyDescent="0.25">
      <c r="A87" t="s">
        <v>93</v>
      </c>
      <c r="B87" t="s">
        <v>895</v>
      </c>
      <c r="C87" t="s">
        <v>1230</v>
      </c>
      <c r="D87" t="s">
        <v>1644</v>
      </c>
      <c r="E87" t="s">
        <v>1653</v>
      </c>
      <c r="F87" t="s">
        <v>1839</v>
      </c>
      <c r="L87" t="s">
        <v>2106</v>
      </c>
      <c r="N87" t="s">
        <v>2261</v>
      </c>
    </row>
    <row r="88" spans="1:14" x14ac:dyDescent="0.25">
      <c r="A88" t="s">
        <v>94</v>
      </c>
      <c r="B88" t="s">
        <v>896</v>
      </c>
      <c r="C88" t="s">
        <v>1231</v>
      </c>
      <c r="D88" t="s">
        <v>1645</v>
      </c>
      <c r="E88" t="s">
        <v>1655</v>
      </c>
      <c r="F88" t="s">
        <v>1840</v>
      </c>
      <c r="L88" t="s">
        <v>2107</v>
      </c>
      <c r="N88" t="s">
        <v>2262</v>
      </c>
    </row>
    <row r="89" spans="1:14" x14ac:dyDescent="0.25">
      <c r="A89" t="s">
        <v>95</v>
      </c>
      <c r="B89" t="s">
        <v>897</v>
      </c>
      <c r="C89" t="s">
        <v>1232</v>
      </c>
      <c r="D89" t="s">
        <v>1646</v>
      </c>
      <c r="E89" t="s">
        <v>1746</v>
      </c>
      <c r="F89" t="s">
        <v>1841</v>
      </c>
      <c r="L89" t="s">
        <v>2108</v>
      </c>
      <c r="N89" t="s">
        <v>2263</v>
      </c>
    </row>
    <row r="90" spans="1:14" x14ac:dyDescent="0.25">
      <c r="A90" t="s">
        <v>96</v>
      </c>
      <c r="B90" t="s">
        <v>898</v>
      </c>
      <c r="C90" t="s">
        <v>1233</v>
      </c>
      <c r="D90" t="s">
        <v>1647</v>
      </c>
      <c r="E90" t="s">
        <v>1747</v>
      </c>
      <c r="F90" t="s">
        <v>1842</v>
      </c>
      <c r="L90" t="s">
        <v>2109</v>
      </c>
      <c r="N90" t="s">
        <v>1880</v>
      </c>
    </row>
    <row r="91" spans="1:14" x14ac:dyDescent="0.25">
      <c r="A91" t="s">
        <v>97</v>
      </c>
      <c r="B91" t="s">
        <v>899</v>
      </c>
      <c r="C91" t="s">
        <v>1234</v>
      </c>
      <c r="D91" t="s">
        <v>1648</v>
      </c>
      <c r="E91" t="s">
        <v>1670</v>
      </c>
      <c r="F91" t="s">
        <v>1146</v>
      </c>
      <c r="L91" t="s">
        <v>2110</v>
      </c>
      <c r="N91" t="s">
        <v>1881</v>
      </c>
    </row>
    <row r="92" spans="1:14" x14ac:dyDescent="0.25">
      <c r="A92" t="s">
        <v>98</v>
      </c>
      <c r="B92" t="s">
        <v>900</v>
      </c>
      <c r="C92" t="s">
        <v>1235</v>
      </c>
      <c r="D92" t="s">
        <v>1649</v>
      </c>
      <c r="E92" t="s">
        <v>1672</v>
      </c>
      <c r="F92" t="s">
        <v>1147</v>
      </c>
      <c r="L92" t="s">
        <v>2111</v>
      </c>
      <c r="N92" t="s">
        <v>2264</v>
      </c>
    </row>
    <row r="93" spans="1:14" x14ac:dyDescent="0.25">
      <c r="A93" t="s">
        <v>99</v>
      </c>
      <c r="B93" t="s">
        <v>901</v>
      </c>
      <c r="C93" t="s">
        <v>1236</v>
      </c>
      <c r="D93" t="s">
        <v>1650</v>
      </c>
      <c r="E93" t="s">
        <v>1674</v>
      </c>
      <c r="F93" t="s">
        <v>1148</v>
      </c>
      <c r="L93" t="s">
        <v>2112</v>
      </c>
      <c r="N93" t="s">
        <v>2265</v>
      </c>
    </row>
    <row r="94" spans="1:14" x14ac:dyDescent="0.25">
      <c r="A94" t="s">
        <v>100</v>
      </c>
      <c r="B94" t="s">
        <v>902</v>
      </c>
      <c r="C94" t="s">
        <v>1237</v>
      </c>
      <c r="D94" t="s">
        <v>1651</v>
      </c>
      <c r="E94" t="s">
        <v>1748</v>
      </c>
      <c r="F94" t="s">
        <v>1149</v>
      </c>
      <c r="L94" t="s">
        <v>2113</v>
      </c>
      <c r="N94" t="s">
        <v>2266</v>
      </c>
    </row>
    <row r="95" spans="1:14" x14ac:dyDescent="0.25">
      <c r="A95" t="s">
        <v>101</v>
      </c>
      <c r="B95" t="s">
        <v>903</v>
      </c>
      <c r="C95" t="s">
        <v>1238</v>
      </c>
      <c r="D95" t="s">
        <v>1652</v>
      </c>
      <c r="E95" t="s">
        <v>1749</v>
      </c>
      <c r="F95" t="s">
        <v>1150</v>
      </c>
      <c r="L95" t="s">
        <v>2114</v>
      </c>
      <c r="N95" t="s">
        <v>2267</v>
      </c>
    </row>
    <row r="96" spans="1:14" x14ac:dyDescent="0.25">
      <c r="A96" t="s">
        <v>102</v>
      </c>
      <c r="B96" t="s">
        <v>904</v>
      </c>
      <c r="C96" t="s">
        <v>1239</v>
      </c>
      <c r="D96" t="s">
        <v>1653</v>
      </c>
      <c r="E96" t="s">
        <v>1750</v>
      </c>
      <c r="F96" t="s">
        <v>1151</v>
      </c>
      <c r="L96" t="s">
        <v>2115</v>
      </c>
      <c r="N96" t="s">
        <v>2268</v>
      </c>
    </row>
    <row r="97" spans="1:14" x14ac:dyDescent="0.25">
      <c r="A97" t="s">
        <v>103</v>
      </c>
      <c r="B97" t="s">
        <v>905</v>
      </c>
      <c r="C97" t="s">
        <v>1240</v>
      </c>
      <c r="D97" t="s">
        <v>1654</v>
      </c>
      <c r="E97" t="s">
        <v>1751</v>
      </c>
      <c r="F97" t="s">
        <v>1152</v>
      </c>
      <c r="L97" t="s">
        <v>2116</v>
      </c>
      <c r="N97" t="s">
        <v>1277</v>
      </c>
    </row>
    <row r="98" spans="1:14" x14ac:dyDescent="0.25">
      <c r="A98" t="s">
        <v>104</v>
      </c>
      <c r="B98" t="s">
        <v>906</v>
      </c>
      <c r="C98" t="s">
        <v>1241</v>
      </c>
      <c r="D98" t="s">
        <v>1655</v>
      </c>
      <c r="E98" t="s">
        <v>207</v>
      </c>
      <c r="F98" t="s">
        <v>1153</v>
      </c>
      <c r="L98" t="s">
        <v>2117</v>
      </c>
      <c r="N98" t="s">
        <v>1279</v>
      </c>
    </row>
    <row r="99" spans="1:14" x14ac:dyDescent="0.25">
      <c r="A99" t="s">
        <v>105</v>
      </c>
      <c r="B99" t="s">
        <v>907</v>
      </c>
      <c r="C99" t="s">
        <v>1242</v>
      </c>
      <c r="D99" t="s">
        <v>1656</v>
      </c>
      <c r="E99" t="s">
        <v>1752</v>
      </c>
      <c r="F99" t="s">
        <v>1154</v>
      </c>
      <c r="L99" t="s">
        <v>2118</v>
      </c>
      <c r="N99" t="s">
        <v>2269</v>
      </c>
    </row>
    <row r="100" spans="1:14" x14ac:dyDescent="0.25">
      <c r="A100" t="s">
        <v>106</v>
      </c>
      <c r="B100" t="s">
        <v>908</v>
      </c>
      <c r="C100" t="s">
        <v>1243</v>
      </c>
      <c r="D100" t="s">
        <v>1657</v>
      </c>
      <c r="F100" t="s">
        <v>1155</v>
      </c>
      <c r="L100" t="s">
        <v>2119</v>
      </c>
      <c r="N100" t="s">
        <v>1284</v>
      </c>
    </row>
    <row r="101" spans="1:14" x14ac:dyDescent="0.25">
      <c r="A101" t="s">
        <v>107</v>
      </c>
      <c r="B101" t="s">
        <v>909</v>
      </c>
      <c r="C101" t="s">
        <v>1244</v>
      </c>
      <c r="D101" t="s">
        <v>1658</v>
      </c>
      <c r="F101" t="s">
        <v>1843</v>
      </c>
      <c r="L101" t="s">
        <v>2120</v>
      </c>
      <c r="N101" t="s">
        <v>1286</v>
      </c>
    </row>
    <row r="102" spans="1:14" x14ac:dyDescent="0.25">
      <c r="A102" t="s">
        <v>108</v>
      </c>
      <c r="B102" t="s">
        <v>910</v>
      </c>
      <c r="C102" t="s">
        <v>1245</v>
      </c>
      <c r="D102" t="s">
        <v>1659</v>
      </c>
      <c r="F102" t="s">
        <v>1844</v>
      </c>
      <c r="L102" t="s">
        <v>2121</v>
      </c>
      <c r="N102" t="s">
        <v>2270</v>
      </c>
    </row>
    <row r="103" spans="1:14" x14ac:dyDescent="0.25">
      <c r="A103" t="s">
        <v>109</v>
      </c>
      <c r="B103" t="s">
        <v>911</v>
      </c>
      <c r="C103" t="s">
        <v>1246</v>
      </c>
      <c r="D103" t="s">
        <v>1660</v>
      </c>
      <c r="F103" t="s">
        <v>1845</v>
      </c>
      <c r="L103" t="s">
        <v>2122</v>
      </c>
      <c r="N103" t="s">
        <v>2271</v>
      </c>
    </row>
    <row r="104" spans="1:14" x14ac:dyDescent="0.25">
      <c r="A104" t="s">
        <v>110</v>
      </c>
      <c r="B104" t="s">
        <v>912</v>
      </c>
      <c r="C104" t="s">
        <v>1247</v>
      </c>
      <c r="D104" t="s">
        <v>1661</v>
      </c>
      <c r="F104" t="s">
        <v>1846</v>
      </c>
      <c r="L104" t="s">
        <v>2123</v>
      </c>
      <c r="N104" t="s">
        <v>1291</v>
      </c>
    </row>
    <row r="105" spans="1:14" x14ac:dyDescent="0.25">
      <c r="A105" t="s">
        <v>111</v>
      </c>
      <c r="B105" t="s">
        <v>913</v>
      </c>
      <c r="C105" t="s">
        <v>1248</v>
      </c>
      <c r="D105" t="s">
        <v>1662</v>
      </c>
      <c r="F105" t="s">
        <v>1847</v>
      </c>
      <c r="L105" t="s">
        <v>2124</v>
      </c>
      <c r="N105" t="s">
        <v>1295</v>
      </c>
    </row>
    <row r="106" spans="1:14" x14ac:dyDescent="0.25">
      <c r="A106" t="s">
        <v>112</v>
      </c>
      <c r="B106" t="s">
        <v>914</v>
      </c>
      <c r="C106" t="s">
        <v>1249</v>
      </c>
      <c r="D106" t="s">
        <v>1663</v>
      </c>
      <c r="F106" t="s">
        <v>1157</v>
      </c>
      <c r="L106" t="s">
        <v>2125</v>
      </c>
      <c r="N106" t="s">
        <v>1297</v>
      </c>
    </row>
    <row r="107" spans="1:14" x14ac:dyDescent="0.25">
      <c r="A107" t="s">
        <v>113</v>
      </c>
      <c r="B107" t="s">
        <v>915</v>
      </c>
      <c r="C107" t="s">
        <v>1250</v>
      </c>
      <c r="D107" t="s">
        <v>1664</v>
      </c>
      <c r="F107" t="s">
        <v>1158</v>
      </c>
      <c r="L107" t="s">
        <v>2126</v>
      </c>
      <c r="N107" t="s">
        <v>2272</v>
      </c>
    </row>
    <row r="108" spans="1:14" x14ac:dyDescent="0.25">
      <c r="A108" t="s">
        <v>114</v>
      </c>
      <c r="B108" t="s">
        <v>916</v>
      </c>
      <c r="C108" t="s">
        <v>1251</v>
      </c>
      <c r="D108" t="s">
        <v>546</v>
      </c>
      <c r="F108" t="s">
        <v>1159</v>
      </c>
      <c r="L108" t="s">
        <v>2127</v>
      </c>
      <c r="N108" t="s">
        <v>2273</v>
      </c>
    </row>
    <row r="109" spans="1:14" x14ac:dyDescent="0.25">
      <c r="A109" t="s">
        <v>115</v>
      </c>
      <c r="B109" t="s">
        <v>917</v>
      </c>
      <c r="C109" t="s">
        <v>1252</v>
      </c>
      <c r="D109" t="s">
        <v>1665</v>
      </c>
      <c r="F109" t="s">
        <v>1160</v>
      </c>
      <c r="L109" t="s">
        <v>2128</v>
      </c>
      <c r="N109" t="s">
        <v>1892</v>
      </c>
    </row>
    <row r="110" spans="1:14" x14ac:dyDescent="0.25">
      <c r="A110" t="s">
        <v>116</v>
      </c>
      <c r="B110" t="s">
        <v>918</v>
      </c>
      <c r="C110" t="s">
        <v>1253</v>
      </c>
      <c r="D110" t="s">
        <v>1666</v>
      </c>
      <c r="F110" t="s">
        <v>1161</v>
      </c>
      <c r="L110" t="s">
        <v>2129</v>
      </c>
      <c r="N110" t="s">
        <v>2274</v>
      </c>
    </row>
    <row r="111" spans="1:14" x14ac:dyDescent="0.25">
      <c r="A111" t="s">
        <v>117</v>
      </c>
      <c r="B111" t="s">
        <v>919</v>
      </c>
      <c r="C111" t="s">
        <v>1254</v>
      </c>
      <c r="D111" t="s">
        <v>1667</v>
      </c>
      <c r="F111" t="s">
        <v>1848</v>
      </c>
      <c r="L111" t="s">
        <v>2130</v>
      </c>
      <c r="N111" t="s">
        <v>2275</v>
      </c>
    </row>
    <row r="112" spans="1:14" x14ac:dyDescent="0.25">
      <c r="A112" t="s">
        <v>118</v>
      </c>
      <c r="B112" t="s">
        <v>920</v>
      </c>
      <c r="C112" t="s">
        <v>1255</v>
      </c>
      <c r="D112" t="s">
        <v>1668</v>
      </c>
      <c r="F112" t="s">
        <v>1849</v>
      </c>
      <c r="L112" t="s">
        <v>2131</v>
      </c>
      <c r="N112" t="s">
        <v>2276</v>
      </c>
    </row>
    <row r="113" spans="1:14" x14ac:dyDescent="0.25">
      <c r="A113" t="s">
        <v>119</v>
      </c>
      <c r="B113" t="s">
        <v>921</v>
      </c>
      <c r="C113" t="s">
        <v>1256</v>
      </c>
      <c r="D113" t="s">
        <v>1669</v>
      </c>
      <c r="F113" t="s">
        <v>1850</v>
      </c>
      <c r="L113" t="s">
        <v>2132</v>
      </c>
      <c r="N113" t="s">
        <v>1323</v>
      </c>
    </row>
    <row r="114" spans="1:14" x14ac:dyDescent="0.25">
      <c r="A114" t="s">
        <v>120</v>
      </c>
      <c r="B114" t="s">
        <v>922</v>
      </c>
      <c r="C114" t="s">
        <v>1257</v>
      </c>
      <c r="D114" t="s">
        <v>1670</v>
      </c>
      <c r="F114" t="s">
        <v>1851</v>
      </c>
      <c r="L114" t="s">
        <v>2133</v>
      </c>
      <c r="N114" t="s">
        <v>1327</v>
      </c>
    </row>
    <row r="115" spans="1:14" x14ac:dyDescent="0.25">
      <c r="A115" t="s">
        <v>121</v>
      </c>
      <c r="B115" t="s">
        <v>923</v>
      </c>
      <c r="C115" t="s">
        <v>1258</v>
      </c>
      <c r="D115" t="s">
        <v>1671</v>
      </c>
      <c r="F115" t="s">
        <v>1852</v>
      </c>
      <c r="L115" t="s">
        <v>2134</v>
      </c>
      <c r="N115" t="s">
        <v>2277</v>
      </c>
    </row>
    <row r="116" spans="1:14" x14ac:dyDescent="0.25">
      <c r="A116" t="s">
        <v>122</v>
      </c>
      <c r="B116" t="s">
        <v>924</v>
      </c>
      <c r="C116" t="s">
        <v>1259</v>
      </c>
      <c r="D116" t="s">
        <v>1672</v>
      </c>
      <c r="F116" t="s">
        <v>1165</v>
      </c>
      <c r="L116" t="s">
        <v>2135</v>
      </c>
      <c r="N116" t="s">
        <v>2278</v>
      </c>
    </row>
    <row r="117" spans="1:14" x14ac:dyDescent="0.25">
      <c r="A117" t="s">
        <v>123</v>
      </c>
      <c r="B117" t="s">
        <v>925</v>
      </c>
      <c r="C117" t="s">
        <v>1260</v>
      </c>
      <c r="D117" t="s">
        <v>1673</v>
      </c>
      <c r="F117" t="s">
        <v>1166</v>
      </c>
      <c r="L117" t="s">
        <v>2136</v>
      </c>
      <c r="N117" t="s">
        <v>2279</v>
      </c>
    </row>
    <row r="118" spans="1:14" x14ac:dyDescent="0.25">
      <c r="A118" t="s">
        <v>124</v>
      </c>
      <c r="B118" t="s">
        <v>926</v>
      </c>
      <c r="C118" t="s">
        <v>1261</v>
      </c>
      <c r="D118" t="s">
        <v>1674</v>
      </c>
      <c r="F118" t="s">
        <v>1167</v>
      </c>
      <c r="L118" t="s">
        <v>2137</v>
      </c>
      <c r="N118" t="s">
        <v>2280</v>
      </c>
    </row>
    <row r="119" spans="1:14" x14ac:dyDescent="0.25">
      <c r="A119" t="s">
        <v>125</v>
      </c>
      <c r="B119" t="s">
        <v>927</v>
      </c>
      <c r="C119" t="s">
        <v>1262</v>
      </c>
      <c r="D119" t="s">
        <v>1675</v>
      </c>
      <c r="F119" t="s">
        <v>1168</v>
      </c>
      <c r="L119" t="s">
        <v>2138</v>
      </c>
      <c r="N119" t="s">
        <v>2281</v>
      </c>
    </row>
    <row r="120" spans="1:14" x14ac:dyDescent="0.25">
      <c r="A120" t="s">
        <v>126</v>
      </c>
      <c r="B120" t="s">
        <v>928</v>
      </c>
      <c r="C120" t="s">
        <v>1263</v>
      </c>
      <c r="D120" t="s">
        <v>1676</v>
      </c>
      <c r="F120" t="s">
        <v>1170</v>
      </c>
      <c r="L120" t="s">
        <v>2139</v>
      </c>
      <c r="N120" t="s">
        <v>2282</v>
      </c>
    </row>
    <row r="121" spans="1:14" x14ac:dyDescent="0.25">
      <c r="A121" t="s">
        <v>127</v>
      </c>
      <c r="B121" t="s">
        <v>929</v>
      </c>
      <c r="C121" t="s">
        <v>1264</v>
      </c>
      <c r="D121" t="s">
        <v>1677</v>
      </c>
      <c r="F121" t="s">
        <v>1175</v>
      </c>
      <c r="L121" t="s">
        <v>2140</v>
      </c>
      <c r="N121" t="s">
        <v>2283</v>
      </c>
    </row>
    <row r="122" spans="1:14" x14ac:dyDescent="0.25">
      <c r="A122" t="s">
        <v>128</v>
      </c>
      <c r="B122" t="s">
        <v>930</v>
      </c>
      <c r="C122" t="s">
        <v>1265</v>
      </c>
      <c r="D122" t="s">
        <v>1678</v>
      </c>
      <c r="F122" t="s">
        <v>1176</v>
      </c>
      <c r="L122" t="s">
        <v>2141</v>
      </c>
      <c r="N122" t="s">
        <v>2284</v>
      </c>
    </row>
    <row r="123" spans="1:14" x14ac:dyDescent="0.25">
      <c r="A123" t="s">
        <v>129</v>
      </c>
      <c r="B123" t="s">
        <v>931</v>
      </c>
      <c r="C123" t="s">
        <v>1266</v>
      </c>
      <c r="D123" t="s">
        <v>1679</v>
      </c>
      <c r="F123" t="s">
        <v>1177</v>
      </c>
      <c r="L123" t="s">
        <v>2142</v>
      </c>
      <c r="N123" t="s">
        <v>2285</v>
      </c>
    </row>
    <row r="124" spans="1:14" x14ac:dyDescent="0.25">
      <c r="A124" t="s">
        <v>130</v>
      </c>
      <c r="B124" t="s">
        <v>932</v>
      </c>
      <c r="C124" t="s">
        <v>1267</v>
      </c>
      <c r="D124" t="s">
        <v>1680</v>
      </c>
      <c r="F124" t="s">
        <v>1179</v>
      </c>
      <c r="N124" t="s">
        <v>2286</v>
      </c>
    </row>
    <row r="125" spans="1:14" x14ac:dyDescent="0.25">
      <c r="A125" t="s">
        <v>131</v>
      </c>
      <c r="B125" t="s">
        <v>933</v>
      </c>
      <c r="C125" t="s">
        <v>1268</v>
      </c>
      <c r="D125" t="s">
        <v>1681</v>
      </c>
      <c r="F125" t="s">
        <v>1853</v>
      </c>
      <c r="N125" t="s">
        <v>2287</v>
      </c>
    </row>
    <row r="126" spans="1:14" x14ac:dyDescent="0.25">
      <c r="A126" t="s">
        <v>132</v>
      </c>
      <c r="B126" t="s">
        <v>934</v>
      </c>
      <c r="C126" t="s">
        <v>1269</v>
      </c>
      <c r="D126" t="s">
        <v>1682</v>
      </c>
      <c r="F126" t="s">
        <v>1854</v>
      </c>
      <c r="N126" t="s">
        <v>2288</v>
      </c>
    </row>
    <row r="127" spans="1:14" x14ac:dyDescent="0.25">
      <c r="A127" t="s">
        <v>133</v>
      </c>
      <c r="B127" t="s">
        <v>935</v>
      </c>
      <c r="C127" t="s">
        <v>1270</v>
      </c>
      <c r="D127" t="s">
        <v>1683</v>
      </c>
      <c r="F127" t="s">
        <v>1855</v>
      </c>
      <c r="N127" t="s">
        <v>1332</v>
      </c>
    </row>
    <row r="128" spans="1:14" x14ac:dyDescent="0.25">
      <c r="A128" t="s">
        <v>134</v>
      </c>
      <c r="B128" t="s">
        <v>936</v>
      </c>
      <c r="C128" t="s">
        <v>1271</v>
      </c>
      <c r="D128" t="s">
        <v>1684</v>
      </c>
      <c r="F128" t="s">
        <v>1856</v>
      </c>
      <c r="N128" t="s">
        <v>1334</v>
      </c>
    </row>
    <row r="129" spans="1:14" x14ac:dyDescent="0.25">
      <c r="A129" t="s">
        <v>135</v>
      </c>
      <c r="B129" t="s">
        <v>535</v>
      </c>
      <c r="C129" t="s">
        <v>1272</v>
      </c>
      <c r="D129" t="s">
        <v>1685</v>
      </c>
      <c r="F129" t="s">
        <v>1857</v>
      </c>
      <c r="N129" t="s">
        <v>1336</v>
      </c>
    </row>
    <row r="130" spans="1:14" x14ac:dyDescent="0.25">
      <c r="A130" t="s">
        <v>136</v>
      </c>
      <c r="B130" t="s">
        <v>536</v>
      </c>
      <c r="C130" t="s">
        <v>1273</v>
      </c>
      <c r="D130" t="s">
        <v>1686</v>
      </c>
      <c r="F130" t="s">
        <v>1858</v>
      </c>
      <c r="N130" t="s">
        <v>2289</v>
      </c>
    </row>
    <row r="131" spans="1:14" x14ac:dyDescent="0.25">
      <c r="A131" t="s">
        <v>137</v>
      </c>
      <c r="B131" t="s">
        <v>537</v>
      </c>
      <c r="C131" t="s">
        <v>1274</v>
      </c>
      <c r="D131" t="s">
        <v>1687</v>
      </c>
      <c r="F131" t="s">
        <v>1859</v>
      </c>
      <c r="N131" t="s">
        <v>1343</v>
      </c>
    </row>
    <row r="132" spans="1:14" x14ac:dyDescent="0.25">
      <c r="A132" t="s">
        <v>138</v>
      </c>
      <c r="B132" t="s">
        <v>937</v>
      </c>
      <c r="C132" t="s">
        <v>1275</v>
      </c>
      <c r="D132" t="s">
        <v>1688</v>
      </c>
      <c r="F132" t="s">
        <v>1860</v>
      </c>
      <c r="N132" t="s">
        <v>1350</v>
      </c>
    </row>
    <row r="133" spans="1:14" x14ac:dyDescent="0.25">
      <c r="A133" t="s">
        <v>139</v>
      </c>
      <c r="B133" t="s">
        <v>539</v>
      </c>
      <c r="C133" t="s">
        <v>1276</v>
      </c>
      <c r="D133" t="s">
        <v>1689</v>
      </c>
      <c r="F133" t="s">
        <v>1861</v>
      </c>
      <c r="N133" t="s">
        <v>1352</v>
      </c>
    </row>
    <row r="134" spans="1:14" x14ac:dyDescent="0.25">
      <c r="A134" t="s">
        <v>140</v>
      </c>
      <c r="B134" t="s">
        <v>938</v>
      </c>
      <c r="C134" t="s">
        <v>1277</v>
      </c>
      <c r="D134" t="s">
        <v>1690</v>
      </c>
      <c r="F134" t="s">
        <v>1862</v>
      </c>
      <c r="N134" t="s">
        <v>2290</v>
      </c>
    </row>
    <row r="135" spans="1:14" x14ac:dyDescent="0.25">
      <c r="A135" t="s">
        <v>141</v>
      </c>
      <c r="B135" t="s">
        <v>541</v>
      </c>
      <c r="C135" t="s">
        <v>1278</v>
      </c>
      <c r="D135" t="s">
        <v>1691</v>
      </c>
      <c r="F135" t="s">
        <v>1184</v>
      </c>
      <c r="N135" t="s">
        <v>2291</v>
      </c>
    </row>
    <row r="136" spans="1:14" x14ac:dyDescent="0.25">
      <c r="A136" t="s">
        <v>142</v>
      </c>
      <c r="B136" t="s">
        <v>939</v>
      </c>
      <c r="C136" t="s">
        <v>1279</v>
      </c>
      <c r="D136" t="s">
        <v>1692</v>
      </c>
      <c r="F136" t="s">
        <v>1185</v>
      </c>
      <c r="N136" t="s">
        <v>2292</v>
      </c>
    </row>
    <row r="137" spans="1:14" x14ac:dyDescent="0.25">
      <c r="A137" t="s">
        <v>143</v>
      </c>
      <c r="B137" t="s">
        <v>940</v>
      </c>
      <c r="C137" t="s">
        <v>1280</v>
      </c>
      <c r="D137" t="s">
        <v>1693</v>
      </c>
      <c r="F137" t="s">
        <v>1186</v>
      </c>
      <c r="N137" t="s">
        <v>2293</v>
      </c>
    </row>
    <row r="138" spans="1:14" x14ac:dyDescent="0.25">
      <c r="A138" t="s">
        <v>144</v>
      </c>
      <c r="B138" t="s">
        <v>941</v>
      </c>
      <c r="C138" t="s">
        <v>1281</v>
      </c>
      <c r="D138" t="s">
        <v>1694</v>
      </c>
      <c r="F138" t="s">
        <v>1188</v>
      </c>
      <c r="N138" t="s">
        <v>2294</v>
      </c>
    </row>
    <row r="139" spans="1:14" x14ac:dyDescent="0.25">
      <c r="A139" t="s">
        <v>145</v>
      </c>
      <c r="B139" t="s">
        <v>942</v>
      </c>
      <c r="C139" t="s">
        <v>1282</v>
      </c>
      <c r="D139" t="s">
        <v>1695</v>
      </c>
      <c r="F139" t="s">
        <v>1190</v>
      </c>
      <c r="N139" t="s">
        <v>2295</v>
      </c>
    </row>
    <row r="140" spans="1:14" x14ac:dyDescent="0.25">
      <c r="A140" t="s">
        <v>146</v>
      </c>
      <c r="B140" t="s">
        <v>943</v>
      </c>
      <c r="C140" t="s">
        <v>1283</v>
      </c>
      <c r="D140" t="s">
        <v>1696</v>
      </c>
      <c r="F140" t="s">
        <v>1193</v>
      </c>
      <c r="N140" t="s">
        <v>2296</v>
      </c>
    </row>
    <row r="141" spans="1:14" x14ac:dyDescent="0.25">
      <c r="A141" t="s">
        <v>147</v>
      </c>
      <c r="B141" t="s">
        <v>944</v>
      </c>
      <c r="C141" t="s">
        <v>1284</v>
      </c>
      <c r="D141" t="s">
        <v>1697</v>
      </c>
      <c r="F141" t="s">
        <v>1194</v>
      </c>
      <c r="N141" t="s">
        <v>2297</v>
      </c>
    </row>
    <row r="142" spans="1:14" x14ac:dyDescent="0.25">
      <c r="A142" t="s">
        <v>148</v>
      </c>
      <c r="B142" t="s">
        <v>552</v>
      </c>
      <c r="C142" t="s">
        <v>1285</v>
      </c>
      <c r="D142" t="s">
        <v>1698</v>
      </c>
      <c r="F142" t="s">
        <v>1195</v>
      </c>
      <c r="N142" t="s">
        <v>1373</v>
      </c>
    </row>
    <row r="143" spans="1:14" x14ac:dyDescent="0.25">
      <c r="A143" t="s">
        <v>149</v>
      </c>
      <c r="B143" t="s">
        <v>553</v>
      </c>
      <c r="C143" t="s">
        <v>1286</v>
      </c>
      <c r="D143" t="s">
        <v>1699</v>
      </c>
      <c r="F143" t="s">
        <v>1197</v>
      </c>
      <c r="N143" t="s">
        <v>1375</v>
      </c>
    </row>
    <row r="144" spans="1:14" x14ac:dyDescent="0.25">
      <c r="A144" t="s">
        <v>150</v>
      </c>
      <c r="B144" t="s">
        <v>554</v>
      </c>
      <c r="C144" t="s">
        <v>1287</v>
      </c>
      <c r="D144" t="s">
        <v>1700</v>
      </c>
      <c r="F144" t="s">
        <v>1199</v>
      </c>
      <c r="N144" t="s">
        <v>1377</v>
      </c>
    </row>
    <row r="145" spans="1:14" x14ac:dyDescent="0.25">
      <c r="A145" t="s">
        <v>151</v>
      </c>
      <c r="B145" t="s">
        <v>945</v>
      </c>
      <c r="C145" t="s">
        <v>1288</v>
      </c>
      <c r="D145" t="s">
        <v>1701</v>
      </c>
      <c r="F145" t="s">
        <v>1863</v>
      </c>
      <c r="N145" t="s">
        <v>1384</v>
      </c>
    </row>
    <row r="146" spans="1:14" x14ac:dyDescent="0.25">
      <c r="A146" t="s">
        <v>152</v>
      </c>
      <c r="B146" t="s">
        <v>556</v>
      </c>
      <c r="C146" t="s">
        <v>1289</v>
      </c>
      <c r="D146" t="s">
        <v>1702</v>
      </c>
      <c r="F146" t="s">
        <v>1864</v>
      </c>
      <c r="N146" t="s">
        <v>1386</v>
      </c>
    </row>
    <row r="147" spans="1:14" x14ac:dyDescent="0.25">
      <c r="A147" t="s">
        <v>153</v>
      </c>
      <c r="B147" t="s">
        <v>946</v>
      </c>
      <c r="C147" t="s">
        <v>1290</v>
      </c>
      <c r="D147" t="s">
        <v>1703</v>
      </c>
      <c r="F147" t="s">
        <v>1865</v>
      </c>
      <c r="N147" t="s">
        <v>2298</v>
      </c>
    </row>
    <row r="148" spans="1:14" x14ac:dyDescent="0.25">
      <c r="A148" t="s">
        <v>154</v>
      </c>
      <c r="B148" t="s">
        <v>558</v>
      </c>
      <c r="C148" t="s">
        <v>1291</v>
      </c>
      <c r="D148" t="s">
        <v>1704</v>
      </c>
      <c r="F148" t="s">
        <v>1866</v>
      </c>
      <c r="N148" t="s">
        <v>2299</v>
      </c>
    </row>
    <row r="149" spans="1:14" x14ac:dyDescent="0.25">
      <c r="A149" t="s">
        <v>155</v>
      </c>
      <c r="B149" t="s">
        <v>947</v>
      </c>
      <c r="C149" t="s">
        <v>1292</v>
      </c>
      <c r="D149" t="s">
        <v>1705</v>
      </c>
      <c r="F149" t="s">
        <v>1203</v>
      </c>
      <c r="N149" t="s">
        <v>2300</v>
      </c>
    </row>
    <row r="150" spans="1:14" x14ac:dyDescent="0.25">
      <c r="A150" t="s">
        <v>156</v>
      </c>
      <c r="B150" t="s">
        <v>948</v>
      </c>
      <c r="C150" t="s">
        <v>1293</v>
      </c>
      <c r="D150" t="s">
        <v>1706</v>
      </c>
      <c r="F150" t="s">
        <v>1204</v>
      </c>
      <c r="N150" t="s">
        <v>2301</v>
      </c>
    </row>
    <row r="151" spans="1:14" x14ac:dyDescent="0.25">
      <c r="A151" t="s">
        <v>157</v>
      </c>
      <c r="B151" t="s">
        <v>949</v>
      </c>
      <c r="C151" t="s">
        <v>1294</v>
      </c>
      <c r="D151" t="s">
        <v>1707</v>
      </c>
      <c r="F151" t="s">
        <v>1206</v>
      </c>
      <c r="N151" t="s">
        <v>1407</v>
      </c>
    </row>
    <row r="152" spans="1:14" x14ac:dyDescent="0.25">
      <c r="A152" t="s">
        <v>158</v>
      </c>
      <c r="B152" t="s">
        <v>950</v>
      </c>
      <c r="C152" t="s">
        <v>1295</v>
      </c>
      <c r="D152" t="s">
        <v>1708</v>
      </c>
      <c r="F152" t="s">
        <v>1208</v>
      </c>
      <c r="N152" t="s">
        <v>1409</v>
      </c>
    </row>
    <row r="153" spans="1:14" x14ac:dyDescent="0.25">
      <c r="A153" t="s">
        <v>159</v>
      </c>
      <c r="B153" t="s">
        <v>951</v>
      </c>
      <c r="C153" t="s">
        <v>1296</v>
      </c>
      <c r="D153" t="s">
        <v>1709</v>
      </c>
      <c r="F153" t="s">
        <v>1210</v>
      </c>
      <c r="N153" t="s">
        <v>1411</v>
      </c>
    </row>
    <row r="154" spans="1:14" x14ac:dyDescent="0.25">
      <c r="A154" t="s">
        <v>160</v>
      </c>
      <c r="B154" t="s">
        <v>952</v>
      </c>
      <c r="C154" t="s">
        <v>1297</v>
      </c>
      <c r="D154" t="s">
        <v>1710</v>
      </c>
      <c r="F154" t="s">
        <v>1867</v>
      </c>
      <c r="N154" t="s">
        <v>2302</v>
      </c>
    </row>
    <row r="155" spans="1:14" x14ac:dyDescent="0.25">
      <c r="A155" t="s">
        <v>161</v>
      </c>
      <c r="B155" t="s">
        <v>953</v>
      </c>
      <c r="C155" t="s">
        <v>1298</v>
      </c>
      <c r="D155" t="s">
        <v>1711</v>
      </c>
      <c r="F155" t="s">
        <v>1868</v>
      </c>
      <c r="N155" t="s">
        <v>1420</v>
      </c>
    </row>
    <row r="156" spans="1:14" x14ac:dyDescent="0.25">
      <c r="A156" t="s">
        <v>162</v>
      </c>
      <c r="B156" t="s">
        <v>954</v>
      </c>
      <c r="C156" t="s">
        <v>1299</v>
      </c>
      <c r="D156" t="s">
        <v>1712</v>
      </c>
      <c r="F156" t="s">
        <v>1869</v>
      </c>
      <c r="N156" t="s">
        <v>2303</v>
      </c>
    </row>
    <row r="157" spans="1:14" x14ac:dyDescent="0.25">
      <c r="A157" t="s">
        <v>163</v>
      </c>
      <c r="B157" t="s">
        <v>955</v>
      </c>
      <c r="C157" t="s">
        <v>1300</v>
      </c>
      <c r="D157" t="s">
        <v>1713</v>
      </c>
      <c r="F157" t="s">
        <v>1870</v>
      </c>
      <c r="N157" t="s">
        <v>2304</v>
      </c>
    </row>
    <row r="158" spans="1:14" x14ac:dyDescent="0.25">
      <c r="A158" t="s">
        <v>164</v>
      </c>
      <c r="B158" t="s">
        <v>956</v>
      </c>
      <c r="C158" t="s">
        <v>1301</v>
      </c>
      <c r="F158" t="s">
        <v>1871</v>
      </c>
      <c r="N158" t="s">
        <v>2305</v>
      </c>
    </row>
    <row r="159" spans="1:14" x14ac:dyDescent="0.25">
      <c r="A159" t="s">
        <v>165</v>
      </c>
      <c r="B159" t="s">
        <v>957</v>
      </c>
      <c r="C159" t="s">
        <v>1302</v>
      </c>
      <c r="F159" t="s">
        <v>1231</v>
      </c>
      <c r="N159" t="s">
        <v>2306</v>
      </c>
    </row>
    <row r="160" spans="1:14" x14ac:dyDescent="0.25">
      <c r="A160" t="s">
        <v>166</v>
      </c>
      <c r="B160" t="s">
        <v>958</v>
      </c>
      <c r="C160" t="s">
        <v>1303</v>
      </c>
      <c r="F160" t="s">
        <v>1233</v>
      </c>
      <c r="N160" t="s">
        <v>2307</v>
      </c>
    </row>
    <row r="161" spans="1:14" x14ac:dyDescent="0.25">
      <c r="A161" t="s">
        <v>167</v>
      </c>
      <c r="B161" t="s">
        <v>959</v>
      </c>
      <c r="C161" t="s">
        <v>1304</v>
      </c>
      <c r="F161" t="s">
        <v>1235</v>
      </c>
      <c r="N161" t="s">
        <v>2308</v>
      </c>
    </row>
    <row r="162" spans="1:14" x14ac:dyDescent="0.25">
      <c r="A162" t="s">
        <v>168</v>
      </c>
      <c r="B162" t="s">
        <v>960</v>
      </c>
      <c r="C162" t="s">
        <v>1305</v>
      </c>
      <c r="F162" t="s">
        <v>1236</v>
      </c>
      <c r="N162" t="s">
        <v>2309</v>
      </c>
    </row>
    <row r="163" spans="1:14" x14ac:dyDescent="0.25">
      <c r="A163" t="s">
        <v>169</v>
      </c>
      <c r="B163" t="s">
        <v>961</v>
      </c>
      <c r="C163" t="s">
        <v>1306</v>
      </c>
      <c r="F163" t="s">
        <v>1239</v>
      </c>
      <c r="N163" t="s">
        <v>2310</v>
      </c>
    </row>
    <row r="164" spans="1:14" x14ac:dyDescent="0.25">
      <c r="A164" t="s">
        <v>170</v>
      </c>
      <c r="B164" t="s">
        <v>962</v>
      </c>
      <c r="C164" t="s">
        <v>1307</v>
      </c>
      <c r="F164" t="s">
        <v>1241</v>
      </c>
      <c r="N164" t="s">
        <v>2311</v>
      </c>
    </row>
    <row r="165" spans="1:14" x14ac:dyDescent="0.25">
      <c r="A165" t="s">
        <v>171</v>
      </c>
      <c r="B165" t="s">
        <v>963</v>
      </c>
      <c r="C165" t="s">
        <v>1308</v>
      </c>
      <c r="F165" t="s">
        <v>1243</v>
      </c>
      <c r="N165" t="s">
        <v>2312</v>
      </c>
    </row>
    <row r="166" spans="1:14" x14ac:dyDescent="0.25">
      <c r="A166" t="s">
        <v>172</v>
      </c>
      <c r="B166" t="s">
        <v>964</v>
      </c>
      <c r="C166" t="s">
        <v>1309</v>
      </c>
      <c r="F166" t="s">
        <v>1245</v>
      </c>
      <c r="N166" t="s">
        <v>2313</v>
      </c>
    </row>
    <row r="167" spans="1:14" x14ac:dyDescent="0.25">
      <c r="A167" t="s">
        <v>173</v>
      </c>
      <c r="B167" t="s">
        <v>965</v>
      </c>
      <c r="C167" t="s">
        <v>1310</v>
      </c>
      <c r="F167" t="s">
        <v>1248</v>
      </c>
      <c r="N167" t="s">
        <v>2314</v>
      </c>
    </row>
    <row r="168" spans="1:14" x14ac:dyDescent="0.25">
      <c r="A168" t="s">
        <v>174</v>
      </c>
      <c r="B168" t="s">
        <v>966</v>
      </c>
      <c r="C168" t="s">
        <v>1311</v>
      </c>
      <c r="F168" t="s">
        <v>1250</v>
      </c>
      <c r="N168" t="s">
        <v>2315</v>
      </c>
    </row>
    <row r="169" spans="1:14" x14ac:dyDescent="0.25">
      <c r="A169" t="s">
        <v>175</v>
      </c>
      <c r="B169" t="s">
        <v>967</v>
      </c>
      <c r="C169" t="s">
        <v>1312</v>
      </c>
      <c r="F169" t="s">
        <v>1252</v>
      </c>
      <c r="N169" t="s">
        <v>2316</v>
      </c>
    </row>
    <row r="170" spans="1:14" x14ac:dyDescent="0.25">
      <c r="A170" t="s">
        <v>176</v>
      </c>
      <c r="B170" t="s">
        <v>968</v>
      </c>
      <c r="C170" t="s">
        <v>1313</v>
      </c>
      <c r="F170" t="s">
        <v>1254</v>
      </c>
      <c r="N170" t="s">
        <v>1503</v>
      </c>
    </row>
    <row r="171" spans="1:14" x14ac:dyDescent="0.25">
      <c r="A171" t="s">
        <v>177</v>
      </c>
      <c r="B171" t="s">
        <v>969</v>
      </c>
      <c r="C171" t="s">
        <v>1314</v>
      </c>
      <c r="F171" t="s">
        <v>1872</v>
      </c>
      <c r="N171" t="s">
        <v>2317</v>
      </c>
    </row>
    <row r="172" spans="1:14" x14ac:dyDescent="0.25">
      <c r="A172" t="s">
        <v>178</v>
      </c>
      <c r="B172" t="s">
        <v>970</v>
      </c>
      <c r="C172" t="s">
        <v>1315</v>
      </c>
      <c r="F172" t="s">
        <v>1873</v>
      </c>
      <c r="N172" t="s">
        <v>2318</v>
      </c>
    </row>
    <row r="173" spans="1:14" x14ac:dyDescent="0.25">
      <c r="A173" t="s">
        <v>179</v>
      </c>
      <c r="B173" t="s">
        <v>971</v>
      </c>
      <c r="C173" t="s">
        <v>1316</v>
      </c>
      <c r="F173" t="s">
        <v>1874</v>
      </c>
      <c r="N173" t="s">
        <v>2319</v>
      </c>
    </row>
    <row r="174" spans="1:14" x14ac:dyDescent="0.25">
      <c r="A174" t="s">
        <v>180</v>
      </c>
      <c r="B174" t="s">
        <v>972</v>
      </c>
      <c r="C174" t="s">
        <v>1317</v>
      </c>
      <c r="F174" t="s">
        <v>1875</v>
      </c>
      <c r="N174" t="s">
        <v>2320</v>
      </c>
    </row>
    <row r="175" spans="1:14" x14ac:dyDescent="0.25">
      <c r="A175" t="s">
        <v>181</v>
      </c>
      <c r="B175" t="s">
        <v>973</v>
      </c>
      <c r="C175" t="s">
        <v>1318</v>
      </c>
      <c r="F175" t="s">
        <v>1876</v>
      </c>
    </row>
    <row r="176" spans="1:14" x14ac:dyDescent="0.25">
      <c r="A176" t="s">
        <v>182</v>
      </c>
      <c r="B176" t="s">
        <v>577</v>
      </c>
      <c r="C176" t="s">
        <v>1319</v>
      </c>
      <c r="F176" t="s">
        <v>1877</v>
      </c>
    </row>
    <row r="177" spans="1:6" x14ac:dyDescent="0.25">
      <c r="A177" t="s">
        <v>183</v>
      </c>
      <c r="B177" t="s">
        <v>578</v>
      </c>
      <c r="C177" t="s">
        <v>1320</v>
      </c>
      <c r="F177" t="s">
        <v>1878</v>
      </c>
    </row>
    <row r="178" spans="1:6" x14ac:dyDescent="0.25">
      <c r="A178" t="s">
        <v>184</v>
      </c>
      <c r="B178" t="s">
        <v>579</v>
      </c>
      <c r="C178" t="s">
        <v>1321</v>
      </c>
      <c r="F178" t="s">
        <v>1879</v>
      </c>
    </row>
    <row r="179" spans="1:6" x14ac:dyDescent="0.25">
      <c r="A179" t="s">
        <v>185</v>
      </c>
      <c r="B179" t="s">
        <v>974</v>
      </c>
      <c r="C179" t="s">
        <v>1322</v>
      </c>
      <c r="F179" t="s">
        <v>1880</v>
      </c>
    </row>
    <row r="180" spans="1:6" x14ac:dyDescent="0.25">
      <c r="A180" t="s">
        <v>186</v>
      </c>
      <c r="B180" t="s">
        <v>581</v>
      </c>
      <c r="C180" t="s">
        <v>1323</v>
      </c>
      <c r="F180" t="s">
        <v>1881</v>
      </c>
    </row>
    <row r="181" spans="1:6" x14ac:dyDescent="0.25">
      <c r="A181" t="s">
        <v>187</v>
      </c>
      <c r="B181" t="s">
        <v>975</v>
      </c>
      <c r="C181" t="s">
        <v>1324</v>
      </c>
      <c r="F181" t="s">
        <v>1882</v>
      </c>
    </row>
    <row r="182" spans="1:6" x14ac:dyDescent="0.25">
      <c r="A182" t="s">
        <v>188</v>
      </c>
      <c r="B182" t="s">
        <v>583</v>
      </c>
      <c r="C182" t="s">
        <v>1325</v>
      </c>
      <c r="F182" t="s">
        <v>1883</v>
      </c>
    </row>
    <row r="183" spans="1:6" x14ac:dyDescent="0.25">
      <c r="A183" t="s">
        <v>189</v>
      </c>
      <c r="B183" t="s">
        <v>976</v>
      </c>
      <c r="C183" t="s">
        <v>1326</v>
      </c>
      <c r="F183" t="s">
        <v>1884</v>
      </c>
    </row>
    <row r="184" spans="1:6" x14ac:dyDescent="0.25">
      <c r="A184" t="s">
        <v>190</v>
      </c>
      <c r="B184" t="s">
        <v>977</v>
      </c>
      <c r="C184" t="s">
        <v>1327</v>
      </c>
      <c r="F184" t="s">
        <v>1885</v>
      </c>
    </row>
    <row r="185" spans="1:6" x14ac:dyDescent="0.25">
      <c r="A185" t="s">
        <v>191</v>
      </c>
      <c r="B185" t="s">
        <v>978</v>
      </c>
      <c r="C185" t="s">
        <v>1328</v>
      </c>
      <c r="F185" t="s">
        <v>1886</v>
      </c>
    </row>
    <row r="186" spans="1:6" x14ac:dyDescent="0.25">
      <c r="A186" t="s">
        <v>192</v>
      </c>
      <c r="B186" t="s">
        <v>979</v>
      </c>
      <c r="C186" t="s">
        <v>1329</v>
      </c>
      <c r="F186" t="s">
        <v>1887</v>
      </c>
    </row>
    <row r="187" spans="1:6" x14ac:dyDescent="0.25">
      <c r="A187" t="s">
        <v>193</v>
      </c>
      <c r="B187" t="s">
        <v>980</v>
      </c>
      <c r="C187" t="s">
        <v>1330</v>
      </c>
      <c r="F187" t="s">
        <v>1268</v>
      </c>
    </row>
    <row r="188" spans="1:6" x14ac:dyDescent="0.25">
      <c r="A188" t="s">
        <v>194</v>
      </c>
      <c r="B188" t="s">
        <v>981</v>
      </c>
      <c r="C188" t="s">
        <v>1331</v>
      </c>
      <c r="F188" t="s">
        <v>1270</v>
      </c>
    </row>
    <row r="189" spans="1:6" x14ac:dyDescent="0.25">
      <c r="A189" t="s">
        <v>195</v>
      </c>
      <c r="B189" t="s">
        <v>982</v>
      </c>
      <c r="C189" t="s">
        <v>1332</v>
      </c>
      <c r="F189" t="s">
        <v>1272</v>
      </c>
    </row>
    <row r="190" spans="1:6" x14ac:dyDescent="0.25">
      <c r="A190" t="s">
        <v>196</v>
      </c>
      <c r="B190" t="s">
        <v>983</v>
      </c>
      <c r="C190" t="s">
        <v>1333</v>
      </c>
      <c r="F190" t="s">
        <v>1888</v>
      </c>
    </row>
    <row r="191" spans="1:6" x14ac:dyDescent="0.25">
      <c r="A191" t="s">
        <v>197</v>
      </c>
      <c r="B191" t="s">
        <v>984</v>
      </c>
      <c r="C191" t="s">
        <v>1334</v>
      </c>
      <c r="F191" t="s">
        <v>1277</v>
      </c>
    </row>
    <row r="192" spans="1:6" x14ac:dyDescent="0.25">
      <c r="A192" t="s">
        <v>198</v>
      </c>
      <c r="B192" t="s">
        <v>985</v>
      </c>
      <c r="C192" t="s">
        <v>1335</v>
      </c>
      <c r="F192" t="s">
        <v>1279</v>
      </c>
    </row>
    <row r="193" spans="1:6" x14ac:dyDescent="0.25">
      <c r="A193" t="s">
        <v>199</v>
      </c>
      <c r="B193" t="s">
        <v>986</v>
      </c>
      <c r="C193" t="s">
        <v>1336</v>
      </c>
      <c r="F193" t="s">
        <v>1281</v>
      </c>
    </row>
    <row r="194" spans="1:6" x14ac:dyDescent="0.25">
      <c r="A194" t="s">
        <v>200</v>
      </c>
      <c r="B194" t="s">
        <v>987</v>
      </c>
      <c r="C194" t="s">
        <v>1337</v>
      </c>
      <c r="F194" t="s">
        <v>1889</v>
      </c>
    </row>
    <row r="195" spans="1:6" x14ac:dyDescent="0.25">
      <c r="A195" t="s">
        <v>201</v>
      </c>
      <c r="B195" t="s">
        <v>988</v>
      </c>
      <c r="C195" t="s">
        <v>1338</v>
      </c>
      <c r="F195" t="s">
        <v>1286</v>
      </c>
    </row>
    <row r="196" spans="1:6" x14ac:dyDescent="0.25">
      <c r="A196" t="s">
        <v>202</v>
      </c>
      <c r="B196" t="s">
        <v>989</v>
      </c>
      <c r="C196" t="s">
        <v>1339</v>
      </c>
      <c r="F196" t="s">
        <v>1288</v>
      </c>
    </row>
    <row r="197" spans="1:6" x14ac:dyDescent="0.25">
      <c r="A197" t="s">
        <v>203</v>
      </c>
      <c r="B197" t="s">
        <v>990</v>
      </c>
      <c r="C197" t="s">
        <v>1340</v>
      </c>
      <c r="F197" t="s">
        <v>1290</v>
      </c>
    </row>
    <row r="198" spans="1:6" x14ac:dyDescent="0.25">
      <c r="A198" t="s">
        <v>204</v>
      </c>
      <c r="B198" t="s">
        <v>991</v>
      </c>
      <c r="C198" t="s">
        <v>1341</v>
      </c>
      <c r="F198" t="s">
        <v>1890</v>
      </c>
    </row>
    <row r="199" spans="1:6" x14ac:dyDescent="0.25">
      <c r="A199" t="s">
        <v>205</v>
      </c>
      <c r="B199" t="s">
        <v>992</v>
      </c>
      <c r="C199" t="s">
        <v>1342</v>
      </c>
      <c r="F199" t="s">
        <v>1295</v>
      </c>
    </row>
    <row r="200" spans="1:6" x14ac:dyDescent="0.25">
      <c r="A200" t="s">
        <v>206</v>
      </c>
      <c r="B200" t="s">
        <v>993</v>
      </c>
      <c r="C200" t="s">
        <v>1343</v>
      </c>
      <c r="F200" t="s">
        <v>1297</v>
      </c>
    </row>
    <row r="201" spans="1:6" x14ac:dyDescent="0.25">
      <c r="A201" t="s">
        <v>207</v>
      </c>
      <c r="B201" t="s">
        <v>994</v>
      </c>
      <c r="C201" t="s">
        <v>1344</v>
      </c>
      <c r="F201" t="s">
        <v>1299</v>
      </c>
    </row>
    <row r="202" spans="1:6" x14ac:dyDescent="0.25">
      <c r="A202" t="s">
        <v>208</v>
      </c>
      <c r="B202" t="s">
        <v>995</v>
      </c>
      <c r="C202" t="s">
        <v>1345</v>
      </c>
      <c r="F202" t="s">
        <v>1891</v>
      </c>
    </row>
    <row r="203" spans="1:6" x14ac:dyDescent="0.25">
      <c r="A203" t="s">
        <v>209</v>
      </c>
      <c r="B203" t="s">
        <v>996</v>
      </c>
      <c r="C203" t="s">
        <v>1346</v>
      </c>
      <c r="F203" t="s">
        <v>1892</v>
      </c>
    </row>
    <row r="204" spans="1:6" x14ac:dyDescent="0.25">
      <c r="A204" t="s">
        <v>210</v>
      </c>
      <c r="B204" t="s">
        <v>997</v>
      </c>
      <c r="C204" t="s">
        <v>1347</v>
      </c>
      <c r="F204" t="s">
        <v>1893</v>
      </c>
    </row>
    <row r="205" spans="1:6" x14ac:dyDescent="0.25">
      <c r="A205" t="s">
        <v>211</v>
      </c>
      <c r="B205" t="s">
        <v>998</v>
      </c>
      <c r="C205" t="s">
        <v>1348</v>
      </c>
      <c r="F205" t="s">
        <v>1894</v>
      </c>
    </row>
    <row r="206" spans="1:6" x14ac:dyDescent="0.25">
      <c r="A206" t="s">
        <v>212</v>
      </c>
      <c r="B206" t="s">
        <v>999</v>
      </c>
      <c r="C206" t="s">
        <v>1349</v>
      </c>
      <c r="F206" t="s">
        <v>1895</v>
      </c>
    </row>
    <row r="207" spans="1:6" x14ac:dyDescent="0.25">
      <c r="A207" t="s">
        <v>213</v>
      </c>
      <c r="B207" t="s">
        <v>1000</v>
      </c>
      <c r="C207" t="s">
        <v>1350</v>
      </c>
      <c r="F207" t="s">
        <v>1311</v>
      </c>
    </row>
    <row r="208" spans="1:6" x14ac:dyDescent="0.25">
      <c r="A208" t="s">
        <v>214</v>
      </c>
      <c r="B208" t="s">
        <v>1001</v>
      </c>
      <c r="C208" t="s">
        <v>1351</v>
      </c>
      <c r="F208" t="s">
        <v>1313</v>
      </c>
    </row>
    <row r="209" spans="1:6" x14ac:dyDescent="0.25">
      <c r="A209" t="s">
        <v>215</v>
      </c>
      <c r="B209" t="s">
        <v>1002</v>
      </c>
      <c r="C209" t="s">
        <v>1352</v>
      </c>
      <c r="F209" t="s">
        <v>1315</v>
      </c>
    </row>
    <row r="210" spans="1:6" x14ac:dyDescent="0.25">
      <c r="A210" t="s">
        <v>216</v>
      </c>
      <c r="B210" t="s">
        <v>1003</v>
      </c>
      <c r="C210" t="s">
        <v>1353</v>
      </c>
      <c r="F210" t="s">
        <v>1896</v>
      </c>
    </row>
    <row r="211" spans="1:6" x14ac:dyDescent="0.25">
      <c r="A211" t="s">
        <v>217</v>
      </c>
      <c r="B211" t="s">
        <v>1004</v>
      </c>
      <c r="C211" t="s">
        <v>1354</v>
      </c>
      <c r="F211" t="s">
        <v>1897</v>
      </c>
    </row>
    <row r="212" spans="1:6" x14ac:dyDescent="0.25">
      <c r="A212" t="s">
        <v>218</v>
      </c>
      <c r="B212" t="s">
        <v>1005</v>
      </c>
      <c r="C212" t="s">
        <v>1355</v>
      </c>
      <c r="F212" t="s">
        <v>1898</v>
      </c>
    </row>
    <row r="213" spans="1:6" x14ac:dyDescent="0.25">
      <c r="A213" t="s">
        <v>219</v>
      </c>
      <c r="B213" t="s">
        <v>1006</v>
      </c>
      <c r="C213" t="s">
        <v>1356</v>
      </c>
      <c r="F213" t="s">
        <v>1899</v>
      </c>
    </row>
    <row r="214" spans="1:6" x14ac:dyDescent="0.25">
      <c r="A214" t="s">
        <v>220</v>
      </c>
      <c r="B214" t="s">
        <v>1007</v>
      </c>
      <c r="C214" t="s">
        <v>1357</v>
      </c>
      <c r="F214" t="s">
        <v>1900</v>
      </c>
    </row>
    <row r="215" spans="1:6" x14ac:dyDescent="0.25">
      <c r="A215" t="s">
        <v>221</v>
      </c>
      <c r="B215" t="s">
        <v>1008</v>
      </c>
      <c r="C215" t="s">
        <v>1358</v>
      </c>
      <c r="F215" t="s">
        <v>1901</v>
      </c>
    </row>
    <row r="216" spans="1:6" x14ac:dyDescent="0.25">
      <c r="A216" t="s">
        <v>222</v>
      </c>
      <c r="B216" t="s">
        <v>1009</v>
      </c>
      <c r="C216" t="s">
        <v>1359</v>
      </c>
      <c r="F216" t="s">
        <v>1320</v>
      </c>
    </row>
    <row r="217" spans="1:6" x14ac:dyDescent="0.25">
      <c r="A217" t="s">
        <v>223</v>
      </c>
      <c r="B217" t="s">
        <v>1010</v>
      </c>
      <c r="C217" t="s">
        <v>1360</v>
      </c>
      <c r="F217" t="s">
        <v>1322</v>
      </c>
    </row>
    <row r="218" spans="1:6" x14ac:dyDescent="0.25">
      <c r="A218" t="s">
        <v>224</v>
      </c>
      <c r="B218" t="s">
        <v>1011</v>
      </c>
      <c r="C218" t="s">
        <v>1361</v>
      </c>
      <c r="F218" t="s">
        <v>1902</v>
      </c>
    </row>
    <row r="219" spans="1:6" x14ac:dyDescent="0.25">
      <c r="A219" t="s">
        <v>225</v>
      </c>
      <c r="B219" t="s">
        <v>1012</v>
      </c>
      <c r="C219" t="s">
        <v>1362</v>
      </c>
      <c r="F219" t="s">
        <v>1903</v>
      </c>
    </row>
    <row r="220" spans="1:6" x14ac:dyDescent="0.25">
      <c r="A220" t="s">
        <v>226</v>
      </c>
      <c r="B220" t="s">
        <v>1013</v>
      </c>
      <c r="C220" t="s">
        <v>1363</v>
      </c>
      <c r="F220" t="s">
        <v>1904</v>
      </c>
    </row>
    <row r="221" spans="1:6" x14ac:dyDescent="0.25">
      <c r="A221" t="s">
        <v>227</v>
      </c>
      <c r="B221" t="s">
        <v>1014</v>
      </c>
      <c r="C221" t="s">
        <v>1364</v>
      </c>
      <c r="F221" t="s">
        <v>1379</v>
      </c>
    </row>
    <row r="222" spans="1:6" x14ac:dyDescent="0.25">
      <c r="A222" t="s">
        <v>228</v>
      </c>
      <c r="B222" t="s">
        <v>1015</v>
      </c>
      <c r="C222" t="s">
        <v>1365</v>
      </c>
      <c r="F222" t="s">
        <v>1381</v>
      </c>
    </row>
    <row r="223" spans="1:6" x14ac:dyDescent="0.25">
      <c r="A223" t="s">
        <v>229</v>
      </c>
      <c r="B223" t="s">
        <v>1016</v>
      </c>
      <c r="C223" t="s">
        <v>1366</v>
      </c>
      <c r="F223" t="s">
        <v>1905</v>
      </c>
    </row>
    <row r="224" spans="1:6" x14ac:dyDescent="0.25">
      <c r="A224" t="s">
        <v>230</v>
      </c>
      <c r="B224" t="s">
        <v>1017</v>
      </c>
      <c r="C224" t="s">
        <v>1367</v>
      </c>
      <c r="F224" t="s">
        <v>1906</v>
      </c>
    </row>
    <row r="225" spans="1:6" x14ac:dyDescent="0.25">
      <c r="A225" t="s">
        <v>231</v>
      </c>
      <c r="B225" t="s">
        <v>1018</v>
      </c>
      <c r="C225" t="s">
        <v>1368</v>
      </c>
      <c r="F225" t="s">
        <v>1907</v>
      </c>
    </row>
    <row r="226" spans="1:6" x14ac:dyDescent="0.25">
      <c r="A226" t="s">
        <v>232</v>
      </c>
      <c r="B226" t="s">
        <v>1019</v>
      </c>
      <c r="C226" t="s">
        <v>1369</v>
      </c>
      <c r="F226" t="s">
        <v>1390</v>
      </c>
    </row>
    <row r="227" spans="1:6" x14ac:dyDescent="0.25">
      <c r="A227" t="s">
        <v>233</v>
      </c>
      <c r="B227" t="s">
        <v>1020</v>
      </c>
      <c r="C227" t="s">
        <v>1370</v>
      </c>
      <c r="F227" t="s">
        <v>1908</v>
      </c>
    </row>
    <row r="228" spans="1:6" x14ac:dyDescent="0.25">
      <c r="A228" t="s">
        <v>234</v>
      </c>
      <c r="B228" t="s">
        <v>1021</v>
      </c>
      <c r="C228" t="s">
        <v>1371</v>
      </c>
      <c r="F228" t="s">
        <v>1909</v>
      </c>
    </row>
    <row r="229" spans="1:6" x14ac:dyDescent="0.25">
      <c r="A229" t="s">
        <v>235</v>
      </c>
      <c r="B229" t="s">
        <v>1022</v>
      </c>
      <c r="C229" t="s">
        <v>1372</v>
      </c>
      <c r="F229" t="s">
        <v>1910</v>
      </c>
    </row>
    <row r="230" spans="1:6" x14ac:dyDescent="0.25">
      <c r="A230" t="s">
        <v>236</v>
      </c>
      <c r="B230" t="s">
        <v>1023</v>
      </c>
      <c r="C230" t="s">
        <v>1373</v>
      </c>
      <c r="F230" t="s">
        <v>1911</v>
      </c>
    </row>
    <row r="231" spans="1:6" x14ac:dyDescent="0.25">
      <c r="A231" t="s">
        <v>237</v>
      </c>
      <c r="B231" t="s">
        <v>1024</v>
      </c>
      <c r="C231" t="s">
        <v>1374</v>
      </c>
      <c r="F231" t="s">
        <v>1912</v>
      </c>
    </row>
    <row r="232" spans="1:6" x14ac:dyDescent="0.25">
      <c r="A232" t="s">
        <v>238</v>
      </c>
      <c r="B232" t="s">
        <v>1025</v>
      </c>
      <c r="C232" t="s">
        <v>1375</v>
      </c>
      <c r="F232" t="s">
        <v>1913</v>
      </c>
    </row>
    <row r="233" spans="1:6" x14ac:dyDescent="0.25">
      <c r="A233" t="s">
        <v>239</v>
      </c>
      <c r="B233" t="s">
        <v>1026</v>
      </c>
      <c r="C233" t="s">
        <v>1376</v>
      </c>
      <c r="F233" t="s">
        <v>1914</v>
      </c>
    </row>
    <row r="234" spans="1:6" x14ac:dyDescent="0.25">
      <c r="A234" t="s">
        <v>240</v>
      </c>
      <c r="B234" t="s">
        <v>1027</v>
      </c>
      <c r="C234" t="s">
        <v>1377</v>
      </c>
    </row>
    <row r="235" spans="1:6" x14ac:dyDescent="0.25">
      <c r="A235" t="s">
        <v>241</v>
      </c>
      <c r="B235" t="s">
        <v>1028</v>
      </c>
      <c r="C235" t="s">
        <v>1378</v>
      </c>
    </row>
    <row r="236" spans="1:6" x14ac:dyDescent="0.25">
      <c r="A236" t="s">
        <v>242</v>
      </c>
      <c r="B236" t="s">
        <v>607</v>
      </c>
      <c r="C236" t="s">
        <v>1379</v>
      </c>
    </row>
    <row r="237" spans="1:6" x14ac:dyDescent="0.25">
      <c r="A237" t="s">
        <v>243</v>
      </c>
      <c r="B237" t="s">
        <v>1029</v>
      </c>
      <c r="C237" t="s">
        <v>1380</v>
      </c>
    </row>
    <row r="238" spans="1:6" x14ac:dyDescent="0.25">
      <c r="A238" t="s">
        <v>244</v>
      </c>
      <c r="B238" t="s">
        <v>609</v>
      </c>
      <c r="C238" t="s">
        <v>1381</v>
      </c>
    </row>
    <row r="239" spans="1:6" x14ac:dyDescent="0.25">
      <c r="A239" t="s">
        <v>245</v>
      </c>
      <c r="B239" t="s">
        <v>1030</v>
      </c>
      <c r="C239" t="s">
        <v>1382</v>
      </c>
    </row>
    <row r="240" spans="1:6" x14ac:dyDescent="0.25">
      <c r="A240" t="s">
        <v>246</v>
      </c>
      <c r="B240" t="s">
        <v>1031</v>
      </c>
      <c r="C240" t="s">
        <v>1383</v>
      </c>
    </row>
    <row r="241" spans="1:3" x14ac:dyDescent="0.25">
      <c r="A241" t="s">
        <v>247</v>
      </c>
      <c r="B241" t="s">
        <v>1032</v>
      </c>
      <c r="C241" t="s">
        <v>1384</v>
      </c>
    </row>
    <row r="242" spans="1:3" x14ac:dyDescent="0.25">
      <c r="A242" t="s">
        <v>248</v>
      </c>
      <c r="B242" t="s">
        <v>1033</v>
      </c>
      <c r="C242" t="s">
        <v>1385</v>
      </c>
    </row>
    <row r="243" spans="1:3" x14ac:dyDescent="0.25">
      <c r="A243" t="s">
        <v>249</v>
      </c>
      <c r="B243" t="s">
        <v>1034</v>
      </c>
      <c r="C243" t="s">
        <v>1386</v>
      </c>
    </row>
    <row r="244" spans="1:3" x14ac:dyDescent="0.25">
      <c r="A244" t="s">
        <v>250</v>
      </c>
      <c r="B244" t="s">
        <v>1035</v>
      </c>
      <c r="C244" t="s">
        <v>1387</v>
      </c>
    </row>
    <row r="245" spans="1:3" x14ac:dyDescent="0.25">
      <c r="A245" t="s">
        <v>251</v>
      </c>
      <c r="B245" t="s">
        <v>1036</v>
      </c>
      <c r="C245" t="s">
        <v>1388</v>
      </c>
    </row>
    <row r="246" spans="1:3" x14ac:dyDescent="0.25">
      <c r="A246" t="s">
        <v>252</v>
      </c>
      <c r="B246" t="s">
        <v>1037</v>
      </c>
      <c r="C246" t="s">
        <v>1389</v>
      </c>
    </row>
    <row r="247" spans="1:3" x14ac:dyDescent="0.25">
      <c r="A247" t="s">
        <v>253</v>
      </c>
      <c r="B247" t="s">
        <v>1038</v>
      </c>
      <c r="C247" t="s">
        <v>1390</v>
      </c>
    </row>
    <row r="248" spans="1:3" x14ac:dyDescent="0.25">
      <c r="A248" t="s">
        <v>254</v>
      </c>
      <c r="B248" t="s">
        <v>1039</v>
      </c>
      <c r="C248" t="s">
        <v>1391</v>
      </c>
    </row>
    <row r="249" spans="1:3" x14ac:dyDescent="0.25">
      <c r="A249" t="s">
        <v>255</v>
      </c>
      <c r="B249" t="s">
        <v>1040</v>
      </c>
      <c r="C249" t="s">
        <v>1392</v>
      </c>
    </row>
    <row r="250" spans="1:3" x14ac:dyDescent="0.25">
      <c r="A250" t="s">
        <v>256</v>
      </c>
      <c r="B250" t="s">
        <v>1041</v>
      </c>
      <c r="C250" t="s">
        <v>1393</v>
      </c>
    </row>
    <row r="251" spans="1:3" x14ac:dyDescent="0.25">
      <c r="A251" t="s">
        <v>257</v>
      </c>
      <c r="B251" t="s">
        <v>1042</v>
      </c>
      <c r="C251" t="s">
        <v>1394</v>
      </c>
    </row>
    <row r="252" spans="1:3" x14ac:dyDescent="0.25">
      <c r="A252" t="s">
        <v>258</v>
      </c>
      <c r="B252" t="s">
        <v>1043</v>
      </c>
      <c r="C252" t="s">
        <v>1395</v>
      </c>
    </row>
    <row r="253" spans="1:3" x14ac:dyDescent="0.25">
      <c r="A253" t="s">
        <v>259</v>
      </c>
      <c r="B253" t="s">
        <v>1044</v>
      </c>
      <c r="C253" t="s">
        <v>1396</v>
      </c>
    </row>
    <row r="254" spans="1:3" x14ac:dyDescent="0.25">
      <c r="A254" t="s">
        <v>260</v>
      </c>
      <c r="B254" t="s">
        <v>1045</v>
      </c>
      <c r="C254" t="s">
        <v>1397</v>
      </c>
    </row>
    <row r="255" spans="1:3" x14ac:dyDescent="0.25">
      <c r="A255" t="s">
        <v>261</v>
      </c>
      <c r="B255" t="s">
        <v>1046</v>
      </c>
      <c r="C255" t="s">
        <v>1398</v>
      </c>
    </row>
    <row r="256" spans="1:3" x14ac:dyDescent="0.25">
      <c r="A256" t="s">
        <v>262</v>
      </c>
      <c r="B256" t="s">
        <v>1047</v>
      </c>
      <c r="C256" t="s">
        <v>1399</v>
      </c>
    </row>
    <row r="257" spans="1:3" x14ac:dyDescent="0.25">
      <c r="A257" t="s">
        <v>263</v>
      </c>
      <c r="B257" t="s">
        <v>1048</v>
      </c>
      <c r="C257" t="s">
        <v>1400</v>
      </c>
    </row>
    <row r="258" spans="1:3" x14ac:dyDescent="0.25">
      <c r="A258" t="s">
        <v>264</v>
      </c>
      <c r="B258" t="s">
        <v>1049</v>
      </c>
      <c r="C258" t="s">
        <v>1401</v>
      </c>
    </row>
    <row r="259" spans="1:3" x14ac:dyDescent="0.25">
      <c r="A259" t="s">
        <v>265</v>
      </c>
      <c r="B259" t="s">
        <v>1050</v>
      </c>
      <c r="C259" t="s">
        <v>1402</v>
      </c>
    </row>
    <row r="260" spans="1:3" x14ac:dyDescent="0.25">
      <c r="A260" t="s">
        <v>266</v>
      </c>
      <c r="B260" t="s">
        <v>1051</v>
      </c>
      <c r="C260" t="s">
        <v>1403</v>
      </c>
    </row>
    <row r="261" spans="1:3" x14ac:dyDescent="0.25">
      <c r="A261" t="s">
        <v>267</v>
      </c>
      <c r="B261" t="s">
        <v>1052</v>
      </c>
      <c r="C261" t="s">
        <v>1404</v>
      </c>
    </row>
    <row r="262" spans="1:3" x14ac:dyDescent="0.25">
      <c r="A262" t="s">
        <v>268</v>
      </c>
      <c r="B262" t="s">
        <v>1053</v>
      </c>
      <c r="C262" t="s">
        <v>1405</v>
      </c>
    </row>
    <row r="263" spans="1:3" x14ac:dyDescent="0.25">
      <c r="A263" t="s">
        <v>269</v>
      </c>
      <c r="B263" t="s">
        <v>1054</v>
      </c>
      <c r="C263" t="s">
        <v>1406</v>
      </c>
    </row>
    <row r="264" spans="1:3" x14ac:dyDescent="0.25">
      <c r="A264" t="s">
        <v>270</v>
      </c>
      <c r="B264" t="s">
        <v>1055</v>
      </c>
      <c r="C264" t="s">
        <v>1407</v>
      </c>
    </row>
    <row r="265" spans="1:3" x14ac:dyDescent="0.25">
      <c r="A265" t="s">
        <v>271</v>
      </c>
      <c r="B265" t="s">
        <v>1056</v>
      </c>
      <c r="C265" t="s">
        <v>1408</v>
      </c>
    </row>
    <row r="266" spans="1:3" x14ac:dyDescent="0.25">
      <c r="A266" t="s">
        <v>272</v>
      </c>
      <c r="B266" t="s">
        <v>1057</v>
      </c>
      <c r="C266" t="s">
        <v>1409</v>
      </c>
    </row>
    <row r="267" spans="1:3" x14ac:dyDescent="0.25">
      <c r="A267" t="s">
        <v>273</v>
      </c>
      <c r="B267" t="s">
        <v>1058</v>
      </c>
      <c r="C267" t="s">
        <v>1410</v>
      </c>
    </row>
    <row r="268" spans="1:3" x14ac:dyDescent="0.25">
      <c r="A268" t="s">
        <v>274</v>
      </c>
      <c r="B268" t="s">
        <v>1059</v>
      </c>
      <c r="C268" t="s">
        <v>1411</v>
      </c>
    </row>
    <row r="269" spans="1:3" x14ac:dyDescent="0.25">
      <c r="A269" t="s">
        <v>275</v>
      </c>
      <c r="B269" t="s">
        <v>1060</v>
      </c>
      <c r="C269" t="s">
        <v>1412</v>
      </c>
    </row>
    <row r="270" spans="1:3" x14ac:dyDescent="0.25">
      <c r="A270" t="s">
        <v>276</v>
      </c>
      <c r="B270" t="s">
        <v>1061</v>
      </c>
      <c r="C270" t="s">
        <v>1413</v>
      </c>
    </row>
    <row r="271" spans="1:3" x14ac:dyDescent="0.25">
      <c r="A271" t="s">
        <v>277</v>
      </c>
      <c r="B271" t="s">
        <v>1062</v>
      </c>
      <c r="C271" t="s">
        <v>1414</v>
      </c>
    </row>
    <row r="272" spans="1:3" x14ac:dyDescent="0.25">
      <c r="A272" t="s">
        <v>278</v>
      </c>
      <c r="B272" t="s">
        <v>1063</v>
      </c>
      <c r="C272" t="s">
        <v>1415</v>
      </c>
    </row>
    <row r="273" spans="1:3" x14ac:dyDescent="0.25">
      <c r="A273" t="s">
        <v>279</v>
      </c>
      <c r="B273" t="s">
        <v>1064</v>
      </c>
      <c r="C273" t="s">
        <v>1416</v>
      </c>
    </row>
    <row r="274" spans="1:3" x14ac:dyDescent="0.25">
      <c r="A274" t="s">
        <v>280</v>
      </c>
      <c r="B274" t="s">
        <v>1065</v>
      </c>
      <c r="C274" t="s">
        <v>1417</v>
      </c>
    </row>
    <row r="275" spans="1:3" x14ac:dyDescent="0.25">
      <c r="A275" t="s">
        <v>281</v>
      </c>
      <c r="B275" t="s">
        <v>1066</v>
      </c>
      <c r="C275" t="s">
        <v>1418</v>
      </c>
    </row>
    <row r="276" spans="1:3" x14ac:dyDescent="0.25">
      <c r="A276" t="s">
        <v>282</v>
      </c>
      <c r="B276" t="s">
        <v>1067</v>
      </c>
      <c r="C276" t="s">
        <v>1419</v>
      </c>
    </row>
    <row r="277" spans="1:3" x14ac:dyDescent="0.25">
      <c r="A277" t="s">
        <v>283</v>
      </c>
      <c r="B277" t="s">
        <v>1068</v>
      </c>
      <c r="C277" t="s">
        <v>1420</v>
      </c>
    </row>
    <row r="278" spans="1:3" x14ac:dyDescent="0.25">
      <c r="A278" t="s">
        <v>284</v>
      </c>
      <c r="B278" t="s">
        <v>625</v>
      </c>
      <c r="C278" t="s">
        <v>1421</v>
      </c>
    </row>
    <row r="279" spans="1:3" x14ac:dyDescent="0.25">
      <c r="A279" t="s">
        <v>285</v>
      </c>
      <c r="B279" t="s">
        <v>1069</v>
      </c>
      <c r="C279" t="s">
        <v>1422</v>
      </c>
    </row>
    <row r="280" spans="1:3" x14ac:dyDescent="0.25">
      <c r="A280" t="s">
        <v>286</v>
      </c>
      <c r="B280" t="s">
        <v>627</v>
      </c>
      <c r="C280" t="s">
        <v>1423</v>
      </c>
    </row>
    <row r="281" spans="1:3" x14ac:dyDescent="0.25">
      <c r="A281" t="s">
        <v>287</v>
      </c>
      <c r="B281" t="s">
        <v>1070</v>
      </c>
      <c r="C281" t="s">
        <v>1424</v>
      </c>
    </row>
    <row r="282" spans="1:3" x14ac:dyDescent="0.25">
      <c r="A282" t="s">
        <v>288</v>
      </c>
      <c r="B282" t="s">
        <v>1071</v>
      </c>
      <c r="C282" t="s">
        <v>1425</v>
      </c>
    </row>
    <row r="283" spans="1:3" x14ac:dyDescent="0.25">
      <c r="A283" t="s">
        <v>289</v>
      </c>
      <c r="B283" t="s">
        <v>1072</v>
      </c>
      <c r="C283" t="s">
        <v>1426</v>
      </c>
    </row>
    <row r="284" spans="1:3" x14ac:dyDescent="0.25">
      <c r="A284" t="s">
        <v>290</v>
      </c>
      <c r="B284" t="s">
        <v>1073</v>
      </c>
      <c r="C284" t="s">
        <v>1427</v>
      </c>
    </row>
    <row r="285" spans="1:3" x14ac:dyDescent="0.25">
      <c r="A285" t="s">
        <v>291</v>
      </c>
      <c r="B285" t="s">
        <v>1074</v>
      </c>
      <c r="C285" t="s">
        <v>1428</v>
      </c>
    </row>
    <row r="286" spans="1:3" x14ac:dyDescent="0.25">
      <c r="A286" t="s">
        <v>292</v>
      </c>
      <c r="B286" t="s">
        <v>1075</v>
      </c>
      <c r="C286" t="s">
        <v>1429</v>
      </c>
    </row>
    <row r="287" spans="1:3" x14ac:dyDescent="0.25">
      <c r="A287" t="s">
        <v>293</v>
      </c>
      <c r="B287" t="s">
        <v>1076</v>
      </c>
      <c r="C287" t="s">
        <v>1430</v>
      </c>
    </row>
    <row r="288" spans="1:3" x14ac:dyDescent="0.25">
      <c r="A288" t="s">
        <v>294</v>
      </c>
      <c r="B288" t="s">
        <v>1077</v>
      </c>
      <c r="C288" t="s">
        <v>1431</v>
      </c>
    </row>
    <row r="289" spans="1:3" x14ac:dyDescent="0.25">
      <c r="A289" t="s">
        <v>295</v>
      </c>
      <c r="B289" t="s">
        <v>1078</v>
      </c>
      <c r="C289" t="s">
        <v>1432</v>
      </c>
    </row>
    <row r="290" spans="1:3" x14ac:dyDescent="0.25">
      <c r="A290" t="s">
        <v>296</v>
      </c>
      <c r="B290" t="s">
        <v>1079</v>
      </c>
      <c r="C290" t="s">
        <v>1433</v>
      </c>
    </row>
    <row r="291" spans="1:3" x14ac:dyDescent="0.25">
      <c r="A291" t="s">
        <v>297</v>
      </c>
      <c r="B291" t="s">
        <v>1080</v>
      </c>
      <c r="C291" t="s">
        <v>1434</v>
      </c>
    </row>
    <row r="292" spans="1:3" x14ac:dyDescent="0.25">
      <c r="A292" t="s">
        <v>298</v>
      </c>
      <c r="B292" t="s">
        <v>1081</v>
      </c>
      <c r="C292" t="s">
        <v>1435</v>
      </c>
    </row>
    <row r="293" spans="1:3" x14ac:dyDescent="0.25">
      <c r="A293" t="s">
        <v>299</v>
      </c>
      <c r="B293" t="s">
        <v>1082</v>
      </c>
      <c r="C293" t="s">
        <v>1436</v>
      </c>
    </row>
    <row r="294" spans="1:3" x14ac:dyDescent="0.25">
      <c r="A294" t="s">
        <v>300</v>
      </c>
      <c r="B294" t="s">
        <v>1083</v>
      </c>
      <c r="C294" t="s">
        <v>1437</v>
      </c>
    </row>
    <row r="295" spans="1:3" x14ac:dyDescent="0.25">
      <c r="A295" t="s">
        <v>301</v>
      </c>
      <c r="B295" t="s">
        <v>1084</v>
      </c>
      <c r="C295" t="s">
        <v>1438</v>
      </c>
    </row>
    <row r="296" spans="1:3" x14ac:dyDescent="0.25">
      <c r="A296" t="s">
        <v>302</v>
      </c>
      <c r="B296" t="s">
        <v>1085</v>
      </c>
      <c r="C296" t="s">
        <v>1439</v>
      </c>
    </row>
    <row r="297" spans="1:3" x14ac:dyDescent="0.25">
      <c r="A297" t="s">
        <v>303</v>
      </c>
      <c r="B297" t="s">
        <v>1086</v>
      </c>
      <c r="C297" t="s">
        <v>1440</v>
      </c>
    </row>
    <row r="298" spans="1:3" x14ac:dyDescent="0.25">
      <c r="A298" t="s">
        <v>304</v>
      </c>
      <c r="B298" t="s">
        <v>1087</v>
      </c>
      <c r="C298" t="s">
        <v>1441</v>
      </c>
    </row>
    <row r="299" spans="1:3" x14ac:dyDescent="0.25">
      <c r="A299" t="s">
        <v>305</v>
      </c>
      <c r="B299" t="s">
        <v>1088</v>
      </c>
      <c r="C299" t="s">
        <v>1442</v>
      </c>
    </row>
    <row r="300" spans="1:3" x14ac:dyDescent="0.25">
      <c r="A300" t="s">
        <v>306</v>
      </c>
      <c r="B300" t="s">
        <v>1089</v>
      </c>
      <c r="C300" t="s">
        <v>1443</v>
      </c>
    </row>
    <row r="301" spans="1:3" x14ac:dyDescent="0.25">
      <c r="A301" t="s">
        <v>307</v>
      </c>
      <c r="B301" t="s">
        <v>1090</v>
      </c>
      <c r="C301" t="s">
        <v>1444</v>
      </c>
    </row>
    <row r="302" spans="1:3" x14ac:dyDescent="0.25">
      <c r="A302" t="s">
        <v>308</v>
      </c>
      <c r="B302" t="s">
        <v>1091</v>
      </c>
      <c r="C302" t="s">
        <v>1445</v>
      </c>
    </row>
    <row r="303" spans="1:3" x14ac:dyDescent="0.25">
      <c r="A303" t="s">
        <v>309</v>
      </c>
      <c r="B303" t="s">
        <v>1092</v>
      </c>
      <c r="C303" t="s">
        <v>1446</v>
      </c>
    </row>
    <row r="304" spans="1:3" x14ac:dyDescent="0.25">
      <c r="A304" t="s">
        <v>310</v>
      </c>
      <c r="B304" t="s">
        <v>1093</v>
      </c>
      <c r="C304" t="s">
        <v>1447</v>
      </c>
    </row>
    <row r="305" spans="1:3" x14ac:dyDescent="0.25">
      <c r="A305" t="s">
        <v>311</v>
      </c>
      <c r="B305" t="s">
        <v>1094</v>
      </c>
      <c r="C305" t="s">
        <v>1448</v>
      </c>
    </row>
    <row r="306" spans="1:3" x14ac:dyDescent="0.25">
      <c r="A306" t="s">
        <v>312</v>
      </c>
      <c r="B306" t="s">
        <v>1095</v>
      </c>
      <c r="C306" t="s">
        <v>1449</v>
      </c>
    </row>
    <row r="307" spans="1:3" x14ac:dyDescent="0.25">
      <c r="A307" t="s">
        <v>313</v>
      </c>
      <c r="B307" t="s">
        <v>1096</v>
      </c>
      <c r="C307" t="s">
        <v>1450</v>
      </c>
    </row>
    <row r="308" spans="1:3" x14ac:dyDescent="0.25">
      <c r="A308" t="s">
        <v>314</v>
      </c>
      <c r="B308" t="s">
        <v>1097</v>
      </c>
      <c r="C308" t="s">
        <v>1451</v>
      </c>
    </row>
    <row r="309" spans="1:3" x14ac:dyDescent="0.25">
      <c r="A309" t="s">
        <v>315</v>
      </c>
      <c r="B309" t="s">
        <v>1098</v>
      </c>
      <c r="C309" t="s">
        <v>1452</v>
      </c>
    </row>
    <row r="310" spans="1:3" x14ac:dyDescent="0.25">
      <c r="A310" t="s">
        <v>316</v>
      </c>
      <c r="B310" t="s">
        <v>1099</v>
      </c>
      <c r="C310" t="s">
        <v>1453</v>
      </c>
    </row>
    <row r="311" spans="1:3" x14ac:dyDescent="0.25">
      <c r="A311" t="s">
        <v>317</v>
      </c>
      <c r="B311" t="s">
        <v>1100</v>
      </c>
      <c r="C311" t="s">
        <v>1454</v>
      </c>
    </row>
    <row r="312" spans="1:3" x14ac:dyDescent="0.25">
      <c r="A312" t="s">
        <v>318</v>
      </c>
      <c r="B312" t="s">
        <v>1101</v>
      </c>
      <c r="C312" t="s">
        <v>1455</v>
      </c>
    </row>
    <row r="313" spans="1:3" x14ac:dyDescent="0.25">
      <c r="A313" t="s">
        <v>319</v>
      </c>
      <c r="B313" t="s">
        <v>1102</v>
      </c>
      <c r="C313" t="s">
        <v>1456</v>
      </c>
    </row>
    <row r="314" spans="1:3" x14ac:dyDescent="0.25">
      <c r="A314" t="s">
        <v>320</v>
      </c>
      <c r="B314" t="s">
        <v>1103</v>
      </c>
      <c r="C314" t="s">
        <v>1457</v>
      </c>
    </row>
    <row r="315" spans="1:3" x14ac:dyDescent="0.25">
      <c r="A315" t="s">
        <v>321</v>
      </c>
      <c r="B315" t="s">
        <v>1104</v>
      </c>
      <c r="C315" t="s">
        <v>1458</v>
      </c>
    </row>
    <row r="316" spans="1:3" x14ac:dyDescent="0.25">
      <c r="A316" t="s">
        <v>322</v>
      </c>
      <c r="B316" t="s">
        <v>1105</v>
      </c>
      <c r="C316" t="s">
        <v>1459</v>
      </c>
    </row>
    <row r="317" spans="1:3" x14ac:dyDescent="0.25">
      <c r="A317" t="s">
        <v>323</v>
      </c>
      <c r="B317" t="s">
        <v>1106</v>
      </c>
      <c r="C317" t="s">
        <v>1460</v>
      </c>
    </row>
    <row r="318" spans="1:3" x14ac:dyDescent="0.25">
      <c r="A318" t="s">
        <v>324</v>
      </c>
      <c r="B318" t="s">
        <v>1107</v>
      </c>
      <c r="C318" t="s">
        <v>1461</v>
      </c>
    </row>
    <row r="319" spans="1:3" x14ac:dyDescent="0.25">
      <c r="A319" t="s">
        <v>325</v>
      </c>
      <c r="B319" t="s">
        <v>1108</v>
      </c>
      <c r="C319" t="s">
        <v>1462</v>
      </c>
    </row>
    <row r="320" spans="1:3" x14ac:dyDescent="0.25">
      <c r="A320" t="s">
        <v>326</v>
      </c>
      <c r="B320" t="s">
        <v>1109</v>
      </c>
      <c r="C320" t="s">
        <v>1463</v>
      </c>
    </row>
    <row r="321" spans="1:3" x14ac:dyDescent="0.25">
      <c r="A321" t="s">
        <v>327</v>
      </c>
      <c r="B321" t="s">
        <v>1110</v>
      </c>
      <c r="C321" t="s">
        <v>1464</v>
      </c>
    </row>
    <row r="322" spans="1:3" x14ac:dyDescent="0.25">
      <c r="A322" t="s">
        <v>328</v>
      </c>
      <c r="B322" t="s">
        <v>1111</v>
      </c>
      <c r="C322" t="s">
        <v>1465</v>
      </c>
    </row>
    <row r="323" spans="1:3" x14ac:dyDescent="0.25">
      <c r="A323" t="s">
        <v>329</v>
      </c>
      <c r="B323" t="s">
        <v>1112</v>
      </c>
      <c r="C323" t="s">
        <v>1466</v>
      </c>
    </row>
    <row r="324" spans="1:3" x14ac:dyDescent="0.25">
      <c r="A324" t="s">
        <v>330</v>
      </c>
      <c r="B324" t="s">
        <v>1113</v>
      </c>
      <c r="C324" t="s">
        <v>1467</v>
      </c>
    </row>
    <row r="325" spans="1:3" x14ac:dyDescent="0.25">
      <c r="A325" t="s">
        <v>331</v>
      </c>
      <c r="B325" t="s">
        <v>1114</v>
      </c>
      <c r="C325" t="s">
        <v>1468</v>
      </c>
    </row>
    <row r="326" spans="1:3" x14ac:dyDescent="0.25">
      <c r="A326" t="s">
        <v>332</v>
      </c>
      <c r="B326" t="s">
        <v>1115</v>
      </c>
      <c r="C326" t="s">
        <v>1469</v>
      </c>
    </row>
    <row r="327" spans="1:3" x14ac:dyDescent="0.25">
      <c r="A327" t="s">
        <v>333</v>
      </c>
      <c r="B327" t="s">
        <v>1116</v>
      </c>
      <c r="C327" t="s">
        <v>1470</v>
      </c>
    </row>
    <row r="328" spans="1:3" x14ac:dyDescent="0.25">
      <c r="A328" t="s">
        <v>334</v>
      </c>
      <c r="B328" t="s">
        <v>1117</v>
      </c>
      <c r="C328" t="s">
        <v>1471</v>
      </c>
    </row>
    <row r="329" spans="1:3" x14ac:dyDescent="0.25">
      <c r="A329" t="s">
        <v>335</v>
      </c>
      <c r="B329" t="s">
        <v>1118</v>
      </c>
      <c r="C329" t="s">
        <v>1472</v>
      </c>
    </row>
    <row r="330" spans="1:3" x14ac:dyDescent="0.25">
      <c r="A330" t="s">
        <v>336</v>
      </c>
      <c r="B330" t="s">
        <v>1119</v>
      </c>
      <c r="C330" t="s">
        <v>1473</v>
      </c>
    </row>
    <row r="331" spans="1:3" x14ac:dyDescent="0.25">
      <c r="A331" t="s">
        <v>337</v>
      </c>
      <c r="B331" t="s">
        <v>1120</v>
      </c>
      <c r="C331" t="s">
        <v>1474</v>
      </c>
    </row>
    <row r="332" spans="1:3" x14ac:dyDescent="0.25">
      <c r="A332" t="s">
        <v>338</v>
      </c>
      <c r="B332" t="s">
        <v>1121</v>
      </c>
      <c r="C332" t="s">
        <v>1475</v>
      </c>
    </row>
    <row r="333" spans="1:3" x14ac:dyDescent="0.25">
      <c r="A333" t="s">
        <v>339</v>
      </c>
      <c r="B333" t="s">
        <v>1122</v>
      </c>
      <c r="C333" t="s">
        <v>1476</v>
      </c>
    </row>
    <row r="334" spans="1:3" x14ac:dyDescent="0.25">
      <c r="A334" t="s">
        <v>340</v>
      </c>
      <c r="B334" t="s">
        <v>1123</v>
      </c>
      <c r="C334" t="s">
        <v>1477</v>
      </c>
    </row>
    <row r="335" spans="1:3" x14ac:dyDescent="0.25">
      <c r="A335" t="s">
        <v>341</v>
      </c>
      <c r="B335" t="s">
        <v>1124</v>
      </c>
      <c r="C335" t="s">
        <v>1478</v>
      </c>
    </row>
    <row r="336" spans="1:3" x14ac:dyDescent="0.25">
      <c r="A336" t="s">
        <v>342</v>
      </c>
      <c r="B336" t="s">
        <v>1125</v>
      </c>
      <c r="C336" t="s">
        <v>1479</v>
      </c>
    </row>
    <row r="337" spans="1:3" x14ac:dyDescent="0.25">
      <c r="A337" t="s">
        <v>343</v>
      </c>
      <c r="B337" t="s">
        <v>1126</v>
      </c>
      <c r="C337" t="s">
        <v>1480</v>
      </c>
    </row>
    <row r="338" spans="1:3" x14ac:dyDescent="0.25">
      <c r="A338" t="s">
        <v>344</v>
      </c>
      <c r="B338" t="s">
        <v>1127</v>
      </c>
      <c r="C338" t="s">
        <v>1481</v>
      </c>
    </row>
    <row r="339" spans="1:3" x14ac:dyDescent="0.25">
      <c r="A339" t="s">
        <v>345</v>
      </c>
      <c r="B339" t="s">
        <v>1128</v>
      </c>
      <c r="C339" t="s">
        <v>1482</v>
      </c>
    </row>
    <row r="340" spans="1:3" x14ac:dyDescent="0.25">
      <c r="A340" t="s">
        <v>346</v>
      </c>
      <c r="B340" t="s">
        <v>1129</v>
      </c>
      <c r="C340" t="s">
        <v>1483</v>
      </c>
    </row>
    <row r="341" spans="1:3" x14ac:dyDescent="0.25">
      <c r="A341" t="s">
        <v>347</v>
      </c>
      <c r="B341" t="s">
        <v>1130</v>
      </c>
      <c r="C341" t="s">
        <v>1484</v>
      </c>
    </row>
    <row r="342" spans="1:3" x14ac:dyDescent="0.25">
      <c r="A342" t="s">
        <v>348</v>
      </c>
      <c r="B342" t="s">
        <v>1131</v>
      </c>
      <c r="C342" t="s">
        <v>1485</v>
      </c>
    </row>
    <row r="343" spans="1:3" x14ac:dyDescent="0.25">
      <c r="A343" t="s">
        <v>349</v>
      </c>
      <c r="B343" t="s">
        <v>1132</v>
      </c>
      <c r="C343" t="s">
        <v>1486</v>
      </c>
    </row>
    <row r="344" spans="1:3" x14ac:dyDescent="0.25">
      <c r="A344" t="s">
        <v>350</v>
      </c>
      <c r="B344" t="s">
        <v>1133</v>
      </c>
      <c r="C344" t="s">
        <v>1487</v>
      </c>
    </row>
    <row r="345" spans="1:3" x14ac:dyDescent="0.25">
      <c r="A345" t="s">
        <v>351</v>
      </c>
      <c r="B345" t="s">
        <v>1134</v>
      </c>
      <c r="C345" t="s">
        <v>1488</v>
      </c>
    </row>
    <row r="346" spans="1:3" x14ac:dyDescent="0.25">
      <c r="A346" t="s">
        <v>352</v>
      </c>
      <c r="B346" t="s">
        <v>1135</v>
      </c>
      <c r="C346" t="s">
        <v>1489</v>
      </c>
    </row>
    <row r="347" spans="1:3" x14ac:dyDescent="0.25">
      <c r="A347" t="s">
        <v>353</v>
      </c>
      <c r="B347" t="s">
        <v>1136</v>
      </c>
      <c r="C347" t="s">
        <v>1490</v>
      </c>
    </row>
    <row r="348" spans="1:3" x14ac:dyDescent="0.25">
      <c r="A348" t="s">
        <v>354</v>
      </c>
      <c r="B348" t="s">
        <v>1137</v>
      </c>
      <c r="C348" t="s">
        <v>1491</v>
      </c>
    </row>
    <row r="349" spans="1:3" x14ac:dyDescent="0.25">
      <c r="A349" t="s">
        <v>355</v>
      </c>
      <c r="B349" t="s">
        <v>1138</v>
      </c>
      <c r="C349" t="s">
        <v>1492</v>
      </c>
    </row>
    <row r="350" spans="1:3" x14ac:dyDescent="0.25">
      <c r="A350" t="s">
        <v>356</v>
      </c>
      <c r="B350" t="s">
        <v>1139</v>
      </c>
      <c r="C350" t="s">
        <v>1493</v>
      </c>
    </row>
    <row r="351" spans="1:3" x14ac:dyDescent="0.25">
      <c r="A351" t="s">
        <v>357</v>
      </c>
      <c r="B351" t="s">
        <v>1140</v>
      </c>
      <c r="C351" t="s">
        <v>1494</v>
      </c>
    </row>
    <row r="352" spans="1:3" x14ac:dyDescent="0.25">
      <c r="A352" t="s">
        <v>358</v>
      </c>
      <c r="B352" t="s">
        <v>1141</v>
      </c>
      <c r="C352" t="s">
        <v>1495</v>
      </c>
    </row>
    <row r="353" spans="1:3" x14ac:dyDescent="0.25">
      <c r="A353" t="s">
        <v>359</v>
      </c>
      <c r="B353" t="s">
        <v>1142</v>
      </c>
      <c r="C353" t="s">
        <v>1496</v>
      </c>
    </row>
    <row r="354" spans="1:3" x14ac:dyDescent="0.25">
      <c r="A354" t="s">
        <v>360</v>
      </c>
      <c r="B354" t="s">
        <v>1143</v>
      </c>
      <c r="C354" t="s">
        <v>1497</v>
      </c>
    </row>
    <row r="355" spans="1:3" x14ac:dyDescent="0.25">
      <c r="A355" t="s">
        <v>361</v>
      </c>
      <c r="B355" t="s">
        <v>1144</v>
      </c>
      <c r="C355" t="s">
        <v>1498</v>
      </c>
    </row>
    <row r="356" spans="1:3" x14ac:dyDescent="0.25">
      <c r="A356" t="s">
        <v>362</v>
      </c>
      <c r="C356" t="s">
        <v>1499</v>
      </c>
    </row>
    <row r="357" spans="1:3" x14ac:dyDescent="0.25">
      <c r="A357" t="s">
        <v>363</v>
      </c>
      <c r="C357" t="s">
        <v>1500</v>
      </c>
    </row>
    <row r="358" spans="1:3" x14ac:dyDescent="0.25">
      <c r="A358" t="s">
        <v>364</v>
      </c>
      <c r="C358" t="s">
        <v>1501</v>
      </c>
    </row>
    <row r="359" spans="1:3" x14ac:dyDescent="0.25">
      <c r="A359" t="s">
        <v>365</v>
      </c>
      <c r="C359" t="s">
        <v>1502</v>
      </c>
    </row>
    <row r="360" spans="1:3" x14ac:dyDescent="0.25">
      <c r="A360" t="s">
        <v>366</v>
      </c>
      <c r="C360" t="s">
        <v>1503</v>
      </c>
    </row>
    <row r="361" spans="1:3" x14ac:dyDescent="0.25">
      <c r="A361" t="s">
        <v>367</v>
      </c>
      <c r="C361" t="s">
        <v>1504</v>
      </c>
    </row>
    <row r="362" spans="1:3" x14ac:dyDescent="0.25">
      <c r="A362" t="s">
        <v>368</v>
      </c>
      <c r="C362" t="s">
        <v>1505</v>
      </c>
    </row>
    <row r="363" spans="1:3" x14ac:dyDescent="0.25">
      <c r="A363" t="s">
        <v>369</v>
      </c>
      <c r="C363" t="s">
        <v>1506</v>
      </c>
    </row>
    <row r="364" spans="1:3" x14ac:dyDescent="0.25">
      <c r="A364" t="s">
        <v>370</v>
      </c>
      <c r="C364" t="s">
        <v>1507</v>
      </c>
    </row>
    <row r="365" spans="1:3" x14ac:dyDescent="0.25">
      <c r="A365" t="s">
        <v>371</v>
      </c>
      <c r="C365" t="s">
        <v>1508</v>
      </c>
    </row>
    <row r="366" spans="1:3" x14ac:dyDescent="0.25">
      <c r="A366" t="s">
        <v>372</v>
      </c>
      <c r="C366" t="s">
        <v>1509</v>
      </c>
    </row>
    <row r="367" spans="1:3" x14ac:dyDescent="0.25">
      <c r="A367" t="s">
        <v>373</v>
      </c>
      <c r="C367" t="s">
        <v>1510</v>
      </c>
    </row>
    <row r="368" spans="1:3" x14ac:dyDescent="0.25">
      <c r="A368" t="s">
        <v>374</v>
      </c>
      <c r="C368" t="s">
        <v>1511</v>
      </c>
    </row>
    <row r="369" spans="1:3" x14ac:dyDescent="0.25">
      <c r="A369" t="s">
        <v>375</v>
      </c>
      <c r="C369" t="s">
        <v>1512</v>
      </c>
    </row>
    <row r="370" spans="1:3" x14ac:dyDescent="0.25">
      <c r="A370" t="s">
        <v>376</v>
      </c>
      <c r="C370" t="s">
        <v>1513</v>
      </c>
    </row>
    <row r="371" spans="1:3" x14ac:dyDescent="0.25">
      <c r="A371" t="s">
        <v>377</v>
      </c>
      <c r="C371" t="s">
        <v>1514</v>
      </c>
    </row>
    <row r="372" spans="1:3" x14ac:dyDescent="0.25">
      <c r="A372" t="s">
        <v>378</v>
      </c>
      <c r="C372" t="s">
        <v>1515</v>
      </c>
    </row>
    <row r="373" spans="1:3" x14ac:dyDescent="0.25">
      <c r="A373" t="s">
        <v>379</v>
      </c>
      <c r="C373" t="s">
        <v>1516</v>
      </c>
    </row>
    <row r="374" spans="1:3" x14ac:dyDescent="0.25">
      <c r="A374" t="s">
        <v>380</v>
      </c>
      <c r="C374" t="s">
        <v>1517</v>
      </c>
    </row>
    <row r="375" spans="1:3" x14ac:dyDescent="0.25">
      <c r="A375" t="s">
        <v>381</v>
      </c>
      <c r="C375" t="s">
        <v>1518</v>
      </c>
    </row>
    <row r="376" spans="1:3" x14ac:dyDescent="0.25">
      <c r="A376" t="s">
        <v>382</v>
      </c>
      <c r="C376" t="s">
        <v>1519</v>
      </c>
    </row>
    <row r="377" spans="1:3" x14ac:dyDescent="0.25">
      <c r="A377" t="s">
        <v>383</v>
      </c>
      <c r="C377" t="s">
        <v>1520</v>
      </c>
    </row>
    <row r="378" spans="1:3" x14ac:dyDescent="0.25">
      <c r="A378" t="s">
        <v>384</v>
      </c>
      <c r="C378" t="s">
        <v>1521</v>
      </c>
    </row>
    <row r="379" spans="1:3" x14ac:dyDescent="0.25">
      <c r="A379" t="s">
        <v>385</v>
      </c>
      <c r="C379" t="s">
        <v>1522</v>
      </c>
    </row>
    <row r="380" spans="1:3" x14ac:dyDescent="0.25">
      <c r="A380" t="s">
        <v>386</v>
      </c>
      <c r="C380" t="s">
        <v>1523</v>
      </c>
    </row>
    <row r="381" spans="1:3" x14ac:dyDescent="0.25">
      <c r="A381" t="s">
        <v>387</v>
      </c>
      <c r="C381" t="s">
        <v>1524</v>
      </c>
    </row>
    <row r="382" spans="1:3" x14ac:dyDescent="0.25">
      <c r="A382" t="s">
        <v>388</v>
      </c>
      <c r="C382" t="s">
        <v>1525</v>
      </c>
    </row>
    <row r="383" spans="1:3" x14ac:dyDescent="0.25">
      <c r="A383" t="s">
        <v>389</v>
      </c>
      <c r="C383" t="s">
        <v>1526</v>
      </c>
    </row>
    <row r="384" spans="1:3" x14ac:dyDescent="0.25">
      <c r="A384" t="s">
        <v>390</v>
      </c>
      <c r="C384" t="s">
        <v>1527</v>
      </c>
    </row>
    <row r="385" spans="1:3" x14ac:dyDescent="0.25">
      <c r="A385" t="s">
        <v>391</v>
      </c>
      <c r="C385" t="s">
        <v>1528</v>
      </c>
    </row>
    <row r="386" spans="1:3" x14ac:dyDescent="0.25">
      <c r="A386" t="s">
        <v>392</v>
      </c>
      <c r="C386" t="s">
        <v>1529</v>
      </c>
    </row>
    <row r="387" spans="1:3" x14ac:dyDescent="0.25">
      <c r="A387" t="s">
        <v>393</v>
      </c>
      <c r="C387" t="s">
        <v>1530</v>
      </c>
    </row>
    <row r="388" spans="1:3" x14ac:dyDescent="0.25">
      <c r="A388" t="s">
        <v>394</v>
      </c>
      <c r="C388" t="s">
        <v>1531</v>
      </c>
    </row>
    <row r="389" spans="1:3" x14ac:dyDescent="0.25">
      <c r="A389" t="s">
        <v>395</v>
      </c>
      <c r="C389" t="s">
        <v>1532</v>
      </c>
    </row>
    <row r="390" spans="1:3" x14ac:dyDescent="0.25">
      <c r="A390" t="s">
        <v>396</v>
      </c>
      <c r="C390" t="s">
        <v>1533</v>
      </c>
    </row>
    <row r="391" spans="1:3" x14ac:dyDescent="0.25">
      <c r="A391" t="s">
        <v>397</v>
      </c>
      <c r="C391" t="s">
        <v>1534</v>
      </c>
    </row>
    <row r="392" spans="1:3" x14ac:dyDescent="0.25">
      <c r="A392" t="s">
        <v>398</v>
      </c>
      <c r="C392" t="s">
        <v>1535</v>
      </c>
    </row>
    <row r="393" spans="1:3" x14ac:dyDescent="0.25">
      <c r="A393" t="s">
        <v>399</v>
      </c>
      <c r="C393" t="s">
        <v>1536</v>
      </c>
    </row>
    <row r="394" spans="1:3" x14ac:dyDescent="0.25">
      <c r="A394" t="s">
        <v>400</v>
      </c>
      <c r="C394" t="s">
        <v>1537</v>
      </c>
    </row>
    <row r="395" spans="1:3" x14ac:dyDescent="0.25">
      <c r="A395" t="s">
        <v>401</v>
      </c>
      <c r="C395" t="s">
        <v>1538</v>
      </c>
    </row>
    <row r="396" spans="1:3" x14ac:dyDescent="0.25">
      <c r="A396" t="s">
        <v>402</v>
      </c>
      <c r="C396" t="s">
        <v>1539</v>
      </c>
    </row>
    <row r="397" spans="1:3" x14ac:dyDescent="0.25">
      <c r="A397" t="s">
        <v>403</v>
      </c>
      <c r="C397" t="s">
        <v>1540</v>
      </c>
    </row>
    <row r="398" spans="1:3" x14ac:dyDescent="0.25">
      <c r="A398" t="s">
        <v>404</v>
      </c>
      <c r="C398" t="s">
        <v>1541</v>
      </c>
    </row>
    <row r="399" spans="1:3" x14ac:dyDescent="0.25">
      <c r="A399" t="s">
        <v>405</v>
      </c>
      <c r="C399" t="s">
        <v>1542</v>
      </c>
    </row>
    <row r="400" spans="1:3" x14ac:dyDescent="0.25">
      <c r="A400" t="s">
        <v>406</v>
      </c>
      <c r="C400" t="s">
        <v>1543</v>
      </c>
    </row>
    <row r="401" spans="1:3" x14ac:dyDescent="0.25">
      <c r="A401" t="s">
        <v>407</v>
      </c>
      <c r="C401" t="s">
        <v>1544</v>
      </c>
    </row>
    <row r="402" spans="1:3" x14ac:dyDescent="0.25">
      <c r="A402" t="s">
        <v>408</v>
      </c>
      <c r="C402" t="s">
        <v>1545</v>
      </c>
    </row>
    <row r="403" spans="1:3" x14ac:dyDescent="0.25">
      <c r="A403" t="s">
        <v>409</v>
      </c>
      <c r="C403" t="s">
        <v>1546</v>
      </c>
    </row>
    <row r="404" spans="1:3" x14ac:dyDescent="0.25">
      <c r="A404" t="s">
        <v>410</v>
      </c>
      <c r="C404" t="s">
        <v>1547</v>
      </c>
    </row>
    <row r="405" spans="1:3" x14ac:dyDescent="0.25">
      <c r="A405" t="s">
        <v>411</v>
      </c>
      <c r="C405" t="s">
        <v>1548</v>
      </c>
    </row>
    <row r="406" spans="1:3" x14ac:dyDescent="0.25">
      <c r="A406" t="s">
        <v>412</v>
      </c>
      <c r="C406" t="s">
        <v>1549</v>
      </c>
    </row>
    <row r="407" spans="1:3" x14ac:dyDescent="0.25">
      <c r="A407" t="s">
        <v>413</v>
      </c>
      <c r="C407" t="s">
        <v>1550</v>
      </c>
    </row>
    <row r="408" spans="1:3" x14ac:dyDescent="0.25">
      <c r="A408" t="s">
        <v>414</v>
      </c>
      <c r="C408" t="s">
        <v>1551</v>
      </c>
    </row>
    <row r="409" spans="1:3" x14ac:dyDescent="0.25">
      <c r="A409" t="s">
        <v>415</v>
      </c>
      <c r="C409" t="s">
        <v>1552</v>
      </c>
    </row>
    <row r="410" spans="1:3" x14ac:dyDescent="0.25">
      <c r="A410" t="s">
        <v>416</v>
      </c>
      <c r="C410" t="s">
        <v>1553</v>
      </c>
    </row>
    <row r="411" spans="1:3" x14ac:dyDescent="0.25">
      <c r="A411" t="s">
        <v>417</v>
      </c>
      <c r="C411" t="s">
        <v>1554</v>
      </c>
    </row>
    <row r="412" spans="1:3" x14ac:dyDescent="0.25">
      <c r="A412" t="s">
        <v>418</v>
      </c>
      <c r="C412" t="s">
        <v>1555</v>
      </c>
    </row>
    <row r="413" spans="1:3" x14ac:dyDescent="0.25">
      <c r="A413" t="s">
        <v>419</v>
      </c>
      <c r="C413" t="s">
        <v>1556</v>
      </c>
    </row>
    <row r="414" spans="1:3" x14ac:dyDescent="0.25">
      <c r="A414" t="s">
        <v>420</v>
      </c>
      <c r="C414" t="s">
        <v>1557</v>
      </c>
    </row>
    <row r="415" spans="1:3" x14ac:dyDescent="0.25">
      <c r="A415" t="s">
        <v>421</v>
      </c>
      <c r="C415" t="s">
        <v>1558</v>
      </c>
    </row>
    <row r="416" spans="1:3" x14ac:dyDescent="0.25">
      <c r="A416" t="s">
        <v>422</v>
      </c>
      <c r="C416" t="s">
        <v>1559</v>
      </c>
    </row>
    <row r="417" spans="1:3" x14ac:dyDescent="0.25">
      <c r="A417" t="s">
        <v>423</v>
      </c>
      <c r="C417" t="s">
        <v>1560</v>
      </c>
    </row>
    <row r="418" spans="1:3" x14ac:dyDescent="0.25">
      <c r="A418" t="s">
        <v>424</v>
      </c>
      <c r="C418" t="s">
        <v>1561</v>
      </c>
    </row>
    <row r="419" spans="1:3" x14ac:dyDescent="0.25">
      <c r="A419" t="s">
        <v>425</v>
      </c>
      <c r="C419" t="s">
        <v>1562</v>
      </c>
    </row>
    <row r="420" spans="1:3" x14ac:dyDescent="0.25">
      <c r="A420" t="s">
        <v>426</v>
      </c>
      <c r="C420" t="s">
        <v>1563</v>
      </c>
    </row>
    <row r="421" spans="1:3" x14ac:dyDescent="0.25">
      <c r="A421" t="s">
        <v>427</v>
      </c>
      <c r="C421" t="s">
        <v>1564</v>
      </c>
    </row>
    <row r="422" spans="1:3" x14ac:dyDescent="0.25">
      <c r="A422" t="s">
        <v>428</v>
      </c>
      <c r="C422" t="s">
        <v>1565</v>
      </c>
    </row>
    <row r="423" spans="1:3" x14ac:dyDescent="0.25">
      <c r="A423" t="s">
        <v>429</v>
      </c>
      <c r="C423" t="s">
        <v>1566</v>
      </c>
    </row>
    <row r="424" spans="1:3" x14ac:dyDescent="0.25">
      <c r="A424" t="s">
        <v>430</v>
      </c>
      <c r="C424" t="s">
        <v>1567</v>
      </c>
    </row>
    <row r="425" spans="1:3" x14ac:dyDescent="0.25">
      <c r="A425" t="s">
        <v>431</v>
      </c>
      <c r="C425" t="s">
        <v>1568</v>
      </c>
    </row>
    <row r="426" spans="1:3" x14ac:dyDescent="0.25">
      <c r="A426" t="s">
        <v>432</v>
      </c>
      <c r="C426" t="s">
        <v>1569</v>
      </c>
    </row>
    <row r="427" spans="1:3" x14ac:dyDescent="0.25">
      <c r="A427" t="s">
        <v>433</v>
      </c>
      <c r="C427" t="s">
        <v>1570</v>
      </c>
    </row>
    <row r="428" spans="1:3" x14ac:dyDescent="0.25">
      <c r="A428" t="s">
        <v>434</v>
      </c>
      <c r="C428" t="s">
        <v>1571</v>
      </c>
    </row>
    <row r="429" spans="1:3" x14ac:dyDescent="0.25">
      <c r="A429" t="s">
        <v>435</v>
      </c>
      <c r="C429" t="s">
        <v>1572</v>
      </c>
    </row>
    <row r="430" spans="1:3" x14ac:dyDescent="0.25">
      <c r="A430" t="s">
        <v>436</v>
      </c>
      <c r="C430" t="s">
        <v>1573</v>
      </c>
    </row>
    <row r="431" spans="1:3" x14ac:dyDescent="0.25">
      <c r="A431" t="s">
        <v>437</v>
      </c>
      <c r="C431" t="s">
        <v>1574</v>
      </c>
    </row>
    <row r="432" spans="1:3" x14ac:dyDescent="0.25">
      <c r="A432" t="s">
        <v>438</v>
      </c>
    </row>
    <row r="433" spans="1:1" x14ac:dyDescent="0.25">
      <c r="A433" t="s">
        <v>439</v>
      </c>
    </row>
    <row r="434" spans="1:1" x14ac:dyDescent="0.25">
      <c r="A434" t="s">
        <v>440</v>
      </c>
    </row>
    <row r="435" spans="1:1" x14ac:dyDescent="0.25">
      <c r="A435" t="s">
        <v>441</v>
      </c>
    </row>
    <row r="436" spans="1:1" x14ac:dyDescent="0.25">
      <c r="A436" t="s">
        <v>442</v>
      </c>
    </row>
    <row r="437" spans="1:1" x14ac:dyDescent="0.25">
      <c r="A437" t="s">
        <v>443</v>
      </c>
    </row>
    <row r="438" spans="1:1" x14ac:dyDescent="0.25">
      <c r="A438" t="s">
        <v>444</v>
      </c>
    </row>
    <row r="439" spans="1:1" x14ac:dyDescent="0.25">
      <c r="A439" t="s">
        <v>445</v>
      </c>
    </row>
    <row r="440" spans="1:1" x14ac:dyDescent="0.25">
      <c r="A440" t="s">
        <v>446</v>
      </c>
    </row>
    <row r="441" spans="1:1" x14ac:dyDescent="0.25">
      <c r="A441" t="s">
        <v>447</v>
      </c>
    </row>
    <row r="442" spans="1:1" x14ac:dyDescent="0.25">
      <c r="A442" t="s">
        <v>448</v>
      </c>
    </row>
    <row r="443" spans="1:1" x14ac:dyDescent="0.25">
      <c r="A443" t="s">
        <v>449</v>
      </c>
    </row>
    <row r="444" spans="1:1" x14ac:dyDescent="0.25">
      <c r="A444" t="s">
        <v>450</v>
      </c>
    </row>
    <row r="445" spans="1:1" x14ac:dyDescent="0.25">
      <c r="A445" t="s">
        <v>451</v>
      </c>
    </row>
    <row r="446" spans="1:1" x14ac:dyDescent="0.25">
      <c r="A446" t="s">
        <v>452</v>
      </c>
    </row>
    <row r="447" spans="1:1" x14ac:dyDescent="0.25">
      <c r="A447" t="s">
        <v>453</v>
      </c>
    </row>
    <row r="448" spans="1:1" x14ac:dyDescent="0.25">
      <c r="A448" t="s">
        <v>454</v>
      </c>
    </row>
    <row r="449" spans="1:1" x14ac:dyDescent="0.25">
      <c r="A449" t="s">
        <v>455</v>
      </c>
    </row>
    <row r="450" spans="1:1" x14ac:dyDescent="0.25">
      <c r="A450" t="s">
        <v>456</v>
      </c>
    </row>
    <row r="451" spans="1:1" x14ac:dyDescent="0.25">
      <c r="A451" t="s">
        <v>457</v>
      </c>
    </row>
    <row r="452" spans="1:1" x14ac:dyDescent="0.25">
      <c r="A452" t="s">
        <v>458</v>
      </c>
    </row>
    <row r="453" spans="1:1" x14ac:dyDescent="0.25">
      <c r="A453" t="s">
        <v>459</v>
      </c>
    </row>
    <row r="454" spans="1:1" x14ac:dyDescent="0.25">
      <c r="A454" t="s">
        <v>460</v>
      </c>
    </row>
    <row r="455" spans="1:1" x14ac:dyDescent="0.25">
      <c r="A455" t="s">
        <v>461</v>
      </c>
    </row>
    <row r="456" spans="1:1" x14ac:dyDescent="0.25">
      <c r="A456" t="s">
        <v>462</v>
      </c>
    </row>
    <row r="457" spans="1:1" x14ac:dyDescent="0.25">
      <c r="A457" t="s">
        <v>463</v>
      </c>
    </row>
    <row r="458" spans="1:1" x14ac:dyDescent="0.25">
      <c r="A458" t="s">
        <v>464</v>
      </c>
    </row>
    <row r="459" spans="1:1" x14ac:dyDescent="0.25">
      <c r="A459" t="s">
        <v>465</v>
      </c>
    </row>
    <row r="460" spans="1:1" x14ac:dyDescent="0.25">
      <c r="A460" t="s">
        <v>466</v>
      </c>
    </row>
    <row r="461" spans="1:1" x14ac:dyDescent="0.25">
      <c r="A461" t="s">
        <v>467</v>
      </c>
    </row>
    <row r="462" spans="1:1" x14ac:dyDescent="0.25">
      <c r="A462" t="s">
        <v>468</v>
      </c>
    </row>
    <row r="463" spans="1:1" x14ac:dyDescent="0.25">
      <c r="A463" t="s">
        <v>469</v>
      </c>
    </row>
    <row r="464" spans="1:1" x14ac:dyDescent="0.25">
      <c r="A464" t="s">
        <v>470</v>
      </c>
    </row>
    <row r="465" spans="1:1" x14ac:dyDescent="0.25">
      <c r="A465" t="s">
        <v>471</v>
      </c>
    </row>
    <row r="466" spans="1:1" x14ac:dyDescent="0.25">
      <c r="A466" t="s">
        <v>472</v>
      </c>
    </row>
    <row r="467" spans="1:1" x14ac:dyDescent="0.25">
      <c r="A467" t="s">
        <v>473</v>
      </c>
    </row>
    <row r="468" spans="1:1" x14ac:dyDescent="0.25">
      <c r="A468" t="s">
        <v>474</v>
      </c>
    </row>
    <row r="469" spans="1:1" x14ac:dyDescent="0.25">
      <c r="A469" t="s">
        <v>475</v>
      </c>
    </row>
    <row r="470" spans="1:1" x14ac:dyDescent="0.25">
      <c r="A470" t="s">
        <v>476</v>
      </c>
    </row>
    <row r="471" spans="1:1" x14ac:dyDescent="0.25">
      <c r="A471" t="s">
        <v>477</v>
      </c>
    </row>
    <row r="472" spans="1:1" x14ac:dyDescent="0.25">
      <c r="A472" t="s">
        <v>478</v>
      </c>
    </row>
    <row r="473" spans="1:1" x14ac:dyDescent="0.25">
      <c r="A473" t="s">
        <v>479</v>
      </c>
    </row>
    <row r="474" spans="1:1" x14ac:dyDescent="0.25">
      <c r="A474" t="s">
        <v>480</v>
      </c>
    </row>
    <row r="475" spans="1:1" x14ac:dyDescent="0.25">
      <c r="A475" t="s">
        <v>481</v>
      </c>
    </row>
    <row r="476" spans="1:1" x14ac:dyDescent="0.25">
      <c r="A476" t="s">
        <v>482</v>
      </c>
    </row>
    <row r="477" spans="1:1" x14ac:dyDescent="0.25">
      <c r="A477" t="s">
        <v>483</v>
      </c>
    </row>
    <row r="478" spans="1:1" x14ac:dyDescent="0.25">
      <c r="A478" t="s">
        <v>484</v>
      </c>
    </row>
    <row r="479" spans="1:1" x14ac:dyDescent="0.25">
      <c r="A479" t="s">
        <v>485</v>
      </c>
    </row>
    <row r="480" spans="1:1" x14ac:dyDescent="0.25">
      <c r="A480" t="s">
        <v>486</v>
      </c>
    </row>
    <row r="481" spans="1:1" x14ac:dyDescent="0.25">
      <c r="A481" t="s">
        <v>487</v>
      </c>
    </row>
    <row r="482" spans="1:1" x14ac:dyDescent="0.25">
      <c r="A482" t="s">
        <v>488</v>
      </c>
    </row>
    <row r="483" spans="1:1" x14ac:dyDescent="0.25">
      <c r="A483" t="s">
        <v>489</v>
      </c>
    </row>
    <row r="484" spans="1:1" x14ac:dyDescent="0.25">
      <c r="A484" t="s">
        <v>490</v>
      </c>
    </row>
    <row r="485" spans="1:1" x14ac:dyDescent="0.25">
      <c r="A485" t="s">
        <v>491</v>
      </c>
    </row>
    <row r="486" spans="1:1" x14ac:dyDescent="0.25">
      <c r="A486" t="s">
        <v>492</v>
      </c>
    </row>
    <row r="487" spans="1:1" x14ac:dyDescent="0.25">
      <c r="A487" t="s">
        <v>493</v>
      </c>
    </row>
    <row r="488" spans="1:1" x14ac:dyDescent="0.25">
      <c r="A488" t="s">
        <v>494</v>
      </c>
    </row>
    <row r="489" spans="1:1" x14ac:dyDescent="0.25">
      <c r="A489" t="s">
        <v>495</v>
      </c>
    </row>
    <row r="490" spans="1:1" x14ac:dyDescent="0.25">
      <c r="A490" t="s">
        <v>496</v>
      </c>
    </row>
    <row r="491" spans="1:1" x14ac:dyDescent="0.25">
      <c r="A491" t="s">
        <v>497</v>
      </c>
    </row>
    <row r="492" spans="1:1" x14ac:dyDescent="0.25">
      <c r="A492" t="s">
        <v>498</v>
      </c>
    </row>
    <row r="493" spans="1:1" x14ac:dyDescent="0.25">
      <c r="A493" t="s">
        <v>499</v>
      </c>
    </row>
    <row r="494" spans="1:1" x14ac:dyDescent="0.25">
      <c r="A494" t="s">
        <v>500</v>
      </c>
    </row>
    <row r="495" spans="1:1" x14ac:dyDescent="0.25">
      <c r="A495" t="s">
        <v>501</v>
      </c>
    </row>
    <row r="496" spans="1:1" x14ac:dyDescent="0.25">
      <c r="A496" t="s">
        <v>502</v>
      </c>
    </row>
    <row r="497" spans="1:1" x14ac:dyDescent="0.25">
      <c r="A497" t="s">
        <v>503</v>
      </c>
    </row>
    <row r="498" spans="1:1" x14ac:dyDescent="0.25">
      <c r="A498" t="s">
        <v>504</v>
      </c>
    </row>
    <row r="499" spans="1:1" x14ac:dyDescent="0.25">
      <c r="A499" t="s">
        <v>505</v>
      </c>
    </row>
    <row r="500" spans="1:1" x14ac:dyDescent="0.25">
      <c r="A500" t="s">
        <v>506</v>
      </c>
    </row>
    <row r="501" spans="1:1" x14ac:dyDescent="0.25">
      <c r="A501" t="s">
        <v>507</v>
      </c>
    </row>
    <row r="502" spans="1:1" x14ac:dyDescent="0.25">
      <c r="A502" t="s">
        <v>508</v>
      </c>
    </row>
    <row r="503" spans="1:1" x14ac:dyDescent="0.25">
      <c r="A503" t="s">
        <v>509</v>
      </c>
    </row>
    <row r="504" spans="1:1" x14ac:dyDescent="0.25">
      <c r="A504" t="s">
        <v>510</v>
      </c>
    </row>
    <row r="505" spans="1:1" x14ac:dyDescent="0.25">
      <c r="A505" t="s">
        <v>511</v>
      </c>
    </row>
    <row r="506" spans="1:1" x14ac:dyDescent="0.25">
      <c r="A506" t="s">
        <v>512</v>
      </c>
    </row>
    <row r="507" spans="1:1" x14ac:dyDescent="0.25">
      <c r="A507" t="s">
        <v>513</v>
      </c>
    </row>
    <row r="508" spans="1:1" x14ac:dyDescent="0.25">
      <c r="A508" t="s">
        <v>514</v>
      </c>
    </row>
    <row r="509" spans="1:1" x14ac:dyDescent="0.25">
      <c r="A509" t="s">
        <v>515</v>
      </c>
    </row>
    <row r="510" spans="1:1" x14ac:dyDescent="0.25">
      <c r="A510" t="s">
        <v>516</v>
      </c>
    </row>
    <row r="511" spans="1:1" x14ac:dyDescent="0.25">
      <c r="A511" t="s">
        <v>517</v>
      </c>
    </row>
    <row r="512" spans="1:1" x14ac:dyDescent="0.25">
      <c r="A512" t="s">
        <v>518</v>
      </c>
    </row>
    <row r="513" spans="1:1" x14ac:dyDescent="0.25">
      <c r="A513" t="s">
        <v>519</v>
      </c>
    </row>
    <row r="514" spans="1:1" x14ac:dyDescent="0.25">
      <c r="A514" t="s">
        <v>520</v>
      </c>
    </row>
    <row r="515" spans="1:1" x14ac:dyDescent="0.25">
      <c r="A515" t="s">
        <v>521</v>
      </c>
    </row>
    <row r="516" spans="1:1" x14ac:dyDescent="0.25">
      <c r="A516" t="s">
        <v>522</v>
      </c>
    </row>
    <row r="517" spans="1:1" x14ac:dyDescent="0.25">
      <c r="A517" t="s">
        <v>523</v>
      </c>
    </row>
    <row r="518" spans="1:1" x14ac:dyDescent="0.25">
      <c r="A518" t="s">
        <v>524</v>
      </c>
    </row>
    <row r="519" spans="1:1" x14ac:dyDescent="0.25">
      <c r="A519" t="s">
        <v>525</v>
      </c>
    </row>
    <row r="520" spans="1:1" x14ac:dyDescent="0.25">
      <c r="A520" t="s">
        <v>526</v>
      </c>
    </row>
    <row r="521" spans="1:1" x14ac:dyDescent="0.25">
      <c r="A521" t="s">
        <v>527</v>
      </c>
    </row>
    <row r="522" spans="1:1" x14ac:dyDescent="0.25">
      <c r="A522" t="s">
        <v>528</v>
      </c>
    </row>
    <row r="523" spans="1:1" x14ac:dyDescent="0.25">
      <c r="A523" t="s">
        <v>529</v>
      </c>
    </row>
    <row r="524" spans="1:1" x14ac:dyDescent="0.25">
      <c r="A524" t="s">
        <v>530</v>
      </c>
    </row>
    <row r="525" spans="1:1" x14ac:dyDescent="0.25">
      <c r="A525" t="s">
        <v>531</v>
      </c>
    </row>
    <row r="526" spans="1:1" x14ac:dyDescent="0.25">
      <c r="A526" t="s">
        <v>532</v>
      </c>
    </row>
    <row r="527" spans="1:1" x14ac:dyDescent="0.25">
      <c r="A527" t="s">
        <v>533</v>
      </c>
    </row>
    <row r="528" spans="1:1" x14ac:dyDescent="0.25">
      <c r="A528" t="s">
        <v>534</v>
      </c>
    </row>
    <row r="529" spans="1:1" x14ac:dyDescent="0.25">
      <c r="A529" t="s">
        <v>535</v>
      </c>
    </row>
    <row r="530" spans="1:1" x14ac:dyDescent="0.25">
      <c r="A530" t="s">
        <v>536</v>
      </c>
    </row>
    <row r="531" spans="1:1" x14ac:dyDescent="0.25">
      <c r="A531" t="s">
        <v>537</v>
      </c>
    </row>
    <row r="532" spans="1:1" x14ac:dyDescent="0.25">
      <c r="A532" t="s">
        <v>538</v>
      </c>
    </row>
    <row r="533" spans="1:1" x14ac:dyDescent="0.25">
      <c r="A533" t="s">
        <v>539</v>
      </c>
    </row>
    <row r="534" spans="1:1" x14ac:dyDescent="0.25">
      <c r="A534" t="s">
        <v>540</v>
      </c>
    </row>
    <row r="535" spans="1:1" x14ac:dyDescent="0.25">
      <c r="A535" t="s">
        <v>541</v>
      </c>
    </row>
    <row r="536" spans="1:1" x14ac:dyDescent="0.25">
      <c r="A536" t="s">
        <v>542</v>
      </c>
    </row>
    <row r="537" spans="1:1" x14ac:dyDescent="0.25">
      <c r="A537" t="s">
        <v>543</v>
      </c>
    </row>
    <row r="538" spans="1:1" x14ac:dyDescent="0.25">
      <c r="A538" t="s">
        <v>544</v>
      </c>
    </row>
    <row r="539" spans="1:1" x14ac:dyDescent="0.25">
      <c r="A539" t="s">
        <v>545</v>
      </c>
    </row>
    <row r="540" spans="1:1" x14ac:dyDescent="0.25">
      <c r="A540" t="s">
        <v>546</v>
      </c>
    </row>
    <row r="541" spans="1:1" x14ac:dyDescent="0.25">
      <c r="A541" t="s">
        <v>547</v>
      </c>
    </row>
    <row r="542" spans="1:1" x14ac:dyDescent="0.25">
      <c r="A542" t="s">
        <v>548</v>
      </c>
    </row>
    <row r="543" spans="1:1" x14ac:dyDescent="0.25">
      <c r="A543" t="s">
        <v>549</v>
      </c>
    </row>
    <row r="544" spans="1:1" x14ac:dyDescent="0.25">
      <c r="A544" t="s">
        <v>550</v>
      </c>
    </row>
    <row r="545" spans="1:1" x14ac:dyDescent="0.25">
      <c r="A545" t="s">
        <v>551</v>
      </c>
    </row>
    <row r="546" spans="1:1" x14ac:dyDescent="0.25">
      <c r="A546" t="s">
        <v>552</v>
      </c>
    </row>
    <row r="547" spans="1:1" x14ac:dyDescent="0.25">
      <c r="A547" t="s">
        <v>553</v>
      </c>
    </row>
    <row r="548" spans="1:1" x14ac:dyDescent="0.25">
      <c r="A548" t="s">
        <v>554</v>
      </c>
    </row>
    <row r="549" spans="1:1" x14ac:dyDescent="0.25">
      <c r="A549" t="s">
        <v>555</v>
      </c>
    </row>
    <row r="550" spans="1:1" x14ac:dyDescent="0.25">
      <c r="A550" t="s">
        <v>556</v>
      </c>
    </row>
    <row r="551" spans="1:1" x14ac:dyDescent="0.25">
      <c r="A551" t="s">
        <v>557</v>
      </c>
    </row>
    <row r="552" spans="1:1" x14ac:dyDescent="0.25">
      <c r="A552" t="s">
        <v>558</v>
      </c>
    </row>
    <row r="553" spans="1:1" x14ac:dyDescent="0.25">
      <c r="A553" t="s">
        <v>559</v>
      </c>
    </row>
    <row r="554" spans="1:1" x14ac:dyDescent="0.25">
      <c r="A554" t="s">
        <v>560</v>
      </c>
    </row>
    <row r="555" spans="1:1" x14ac:dyDescent="0.25">
      <c r="A555" t="s">
        <v>561</v>
      </c>
    </row>
    <row r="556" spans="1:1" x14ac:dyDescent="0.25">
      <c r="A556" t="s">
        <v>562</v>
      </c>
    </row>
    <row r="557" spans="1:1" x14ac:dyDescent="0.25">
      <c r="A557" t="s">
        <v>563</v>
      </c>
    </row>
    <row r="558" spans="1:1" x14ac:dyDescent="0.25">
      <c r="A558" t="s">
        <v>564</v>
      </c>
    </row>
    <row r="559" spans="1:1" x14ac:dyDescent="0.25">
      <c r="A559" t="s">
        <v>565</v>
      </c>
    </row>
    <row r="560" spans="1:1" x14ac:dyDescent="0.25">
      <c r="A560" t="s">
        <v>566</v>
      </c>
    </row>
    <row r="561" spans="1:1" x14ac:dyDescent="0.25">
      <c r="A561" t="s">
        <v>567</v>
      </c>
    </row>
    <row r="562" spans="1:1" x14ac:dyDescent="0.25">
      <c r="A562" t="s">
        <v>568</v>
      </c>
    </row>
    <row r="563" spans="1:1" x14ac:dyDescent="0.25">
      <c r="A563" t="s">
        <v>569</v>
      </c>
    </row>
    <row r="564" spans="1:1" x14ac:dyDescent="0.25">
      <c r="A564" t="s">
        <v>570</v>
      </c>
    </row>
    <row r="565" spans="1:1" x14ac:dyDescent="0.25">
      <c r="A565" t="s">
        <v>571</v>
      </c>
    </row>
    <row r="566" spans="1:1" x14ac:dyDescent="0.25">
      <c r="A566" t="s">
        <v>572</v>
      </c>
    </row>
    <row r="567" spans="1:1" x14ac:dyDescent="0.25">
      <c r="A567" t="s">
        <v>573</v>
      </c>
    </row>
    <row r="568" spans="1:1" x14ac:dyDescent="0.25">
      <c r="A568" t="s">
        <v>574</v>
      </c>
    </row>
    <row r="569" spans="1:1" x14ac:dyDescent="0.25">
      <c r="A569" t="s">
        <v>575</v>
      </c>
    </row>
    <row r="570" spans="1:1" x14ac:dyDescent="0.25">
      <c r="A570" t="s">
        <v>576</v>
      </c>
    </row>
    <row r="571" spans="1:1" x14ac:dyDescent="0.25">
      <c r="A571" t="s">
        <v>577</v>
      </c>
    </row>
    <row r="572" spans="1:1" x14ac:dyDescent="0.25">
      <c r="A572" t="s">
        <v>578</v>
      </c>
    </row>
    <row r="573" spans="1:1" x14ac:dyDescent="0.25">
      <c r="A573" t="s">
        <v>579</v>
      </c>
    </row>
    <row r="574" spans="1:1" x14ac:dyDescent="0.25">
      <c r="A574" t="s">
        <v>580</v>
      </c>
    </row>
    <row r="575" spans="1:1" x14ac:dyDescent="0.25">
      <c r="A575" t="s">
        <v>581</v>
      </c>
    </row>
    <row r="576" spans="1:1" x14ac:dyDescent="0.25">
      <c r="A576" t="s">
        <v>582</v>
      </c>
    </row>
    <row r="577" spans="1:1" x14ac:dyDescent="0.25">
      <c r="A577" t="s">
        <v>583</v>
      </c>
    </row>
    <row r="578" spans="1:1" x14ac:dyDescent="0.25">
      <c r="A578" t="s">
        <v>584</v>
      </c>
    </row>
    <row r="579" spans="1:1" x14ac:dyDescent="0.25">
      <c r="A579" t="s">
        <v>585</v>
      </c>
    </row>
    <row r="580" spans="1:1" x14ac:dyDescent="0.25">
      <c r="A580" t="s">
        <v>586</v>
      </c>
    </row>
    <row r="581" spans="1:1" x14ac:dyDescent="0.25">
      <c r="A581" t="s">
        <v>587</v>
      </c>
    </row>
    <row r="582" spans="1:1" x14ac:dyDescent="0.25">
      <c r="A582" t="s">
        <v>588</v>
      </c>
    </row>
    <row r="583" spans="1:1" x14ac:dyDescent="0.25">
      <c r="A583" t="s">
        <v>589</v>
      </c>
    </row>
    <row r="584" spans="1:1" x14ac:dyDescent="0.25">
      <c r="A584" t="s">
        <v>590</v>
      </c>
    </row>
    <row r="585" spans="1:1" x14ac:dyDescent="0.25">
      <c r="A585" t="s">
        <v>591</v>
      </c>
    </row>
    <row r="586" spans="1:1" x14ac:dyDescent="0.25">
      <c r="A586" t="s">
        <v>592</v>
      </c>
    </row>
    <row r="587" spans="1:1" x14ac:dyDescent="0.25">
      <c r="A587" t="s">
        <v>593</v>
      </c>
    </row>
    <row r="588" spans="1:1" x14ac:dyDescent="0.25">
      <c r="A588" t="s">
        <v>594</v>
      </c>
    </row>
    <row r="589" spans="1:1" x14ac:dyDescent="0.25">
      <c r="A589" t="s">
        <v>595</v>
      </c>
    </row>
    <row r="590" spans="1:1" x14ac:dyDescent="0.25">
      <c r="A590" t="s">
        <v>596</v>
      </c>
    </row>
    <row r="591" spans="1:1" x14ac:dyDescent="0.25">
      <c r="A591" t="s">
        <v>597</v>
      </c>
    </row>
    <row r="592" spans="1:1" x14ac:dyDescent="0.25">
      <c r="A592" t="s">
        <v>598</v>
      </c>
    </row>
    <row r="593" spans="1:1" x14ac:dyDescent="0.25">
      <c r="A593" t="s">
        <v>599</v>
      </c>
    </row>
    <row r="594" spans="1:1" x14ac:dyDescent="0.25">
      <c r="A594" t="s">
        <v>600</v>
      </c>
    </row>
    <row r="595" spans="1:1" x14ac:dyDescent="0.25">
      <c r="A595" t="s">
        <v>601</v>
      </c>
    </row>
    <row r="596" spans="1:1" x14ac:dyDescent="0.25">
      <c r="A596" t="s">
        <v>602</v>
      </c>
    </row>
    <row r="597" spans="1:1" x14ac:dyDescent="0.25">
      <c r="A597" t="s">
        <v>603</v>
      </c>
    </row>
    <row r="598" spans="1:1" x14ac:dyDescent="0.25">
      <c r="A598" t="s">
        <v>604</v>
      </c>
    </row>
    <row r="599" spans="1:1" x14ac:dyDescent="0.25">
      <c r="A599" t="s">
        <v>605</v>
      </c>
    </row>
    <row r="600" spans="1:1" x14ac:dyDescent="0.25">
      <c r="A600" t="s">
        <v>606</v>
      </c>
    </row>
    <row r="601" spans="1:1" x14ac:dyDescent="0.25">
      <c r="A601" t="s">
        <v>607</v>
      </c>
    </row>
    <row r="602" spans="1:1" x14ac:dyDescent="0.25">
      <c r="A602" t="s">
        <v>608</v>
      </c>
    </row>
    <row r="603" spans="1:1" x14ac:dyDescent="0.25">
      <c r="A603" t="s">
        <v>609</v>
      </c>
    </row>
    <row r="604" spans="1:1" x14ac:dyDescent="0.25">
      <c r="A604" t="s">
        <v>610</v>
      </c>
    </row>
    <row r="605" spans="1:1" x14ac:dyDescent="0.25">
      <c r="A605" t="s">
        <v>611</v>
      </c>
    </row>
    <row r="606" spans="1:1" x14ac:dyDescent="0.25">
      <c r="A606" t="s">
        <v>612</v>
      </c>
    </row>
    <row r="607" spans="1:1" x14ac:dyDescent="0.25">
      <c r="A607" t="s">
        <v>613</v>
      </c>
    </row>
    <row r="608" spans="1:1" x14ac:dyDescent="0.25">
      <c r="A608" t="s">
        <v>614</v>
      </c>
    </row>
    <row r="609" spans="1:1" x14ac:dyDescent="0.25">
      <c r="A609" t="s">
        <v>615</v>
      </c>
    </row>
    <row r="610" spans="1:1" x14ac:dyDescent="0.25">
      <c r="A610" t="s">
        <v>616</v>
      </c>
    </row>
    <row r="611" spans="1:1" x14ac:dyDescent="0.25">
      <c r="A611" t="s">
        <v>617</v>
      </c>
    </row>
    <row r="612" spans="1:1" x14ac:dyDescent="0.25">
      <c r="A612" t="s">
        <v>618</v>
      </c>
    </row>
    <row r="613" spans="1:1" x14ac:dyDescent="0.25">
      <c r="A613" t="s">
        <v>619</v>
      </c>
    </row>
    <row r="614" spans="1:1" x14ac:dyDescent="0.25">
      <c r="A614" t="s">
        <v>620</v>
      </c>
    </row>
    <row r="615" spans="1:1" x14ac:dyDescent="0.25">
      <c r="A615" t="s">
        <v>621</v>
      </c>
    </row>
    <row r="616" spans="1:1" x14ac:dyDescent="0.25">
      <c r="A616" t="s">
        <v>622</v>
      </c>
    </row>
    <row r="617" spans="1:1" x14ac:dyDescent="0.25">
      <c r="A617" t="s">
        <v>623</v>
      </c>
    </row>
    <row r="618" spans="1:1" x14ac:dyDescent="0.25">
      <c r="A618" t="s">
        <v>624</v>
      </c>
    </row>
    <row r="619" spans="1:1" x14ac:dyDescent="0.25">
      <c r="A619" t="s">
        <v>625</v>
      </c>
    </row>
    <row r="620" spans="1:1" x14ac:dyDescent="0.25">
      <c r="A620" t="s">
        <v>626</v>
      </c>
    </row>
    <row r="621" spans="1:1" x14ac:dyDescent="0.25">
      <c r="A621" t="s">
        <v>627</v>
      </c>
    </row>
    <row r="622" spans="1:1" x14ac:dyDescent="0.25">
      <c r="A622" t="s">
        <v>628</v>
      </c>
    </row>
    <row r="623" spans="1:1" x14ac:dyDescent="0.25">
      <c r="A623" t="s">
        <v>629</v>
      </c>
    </row>
    <row r="624" spans="1:1" x14ac:dyDescent="0.25">
      <c r="A624" t="s">
        <v>630</v>
      </c>
    </row>
    <row r="625" spans="1:1" x14ac:dyDescent="0.25">
      <c r="A625" t="s">
        <v>631</v>
      </c>
    </row>
    <row r="626" spans="1:1" x14ac:dyDescent="0.25">
      <c r="A626" t="s">
        <v>632</v>
      </c>
    </row>
    <row r="627" spans="1:1" x14ac:dyDescent="0.25">
      <c r="A627" t="s">
        <v>633</v>
      </c>
    </row>
    <row r="628" spans="1:1" x14ac:dyDescent="0.25">
      <c r="A628" t="s">
        <v>634</v>
      </c>
    </row>
    <row r="629" spans="1:1" x14ac:dyDescent="0.25">
      <c r="A629" t="s">
        <v>635</v>
      </c>
    </row>
    <row r="630" spans="1:1" x14ac:dyDescent="0.25">
      <c r="A630" t="s">
        <v>636</v>
      </c>
    </row>
    <row r="631" spans="1:1" x14ac:dyDescent="0.25">
      <c r="A631" t="s">
        <v>637</v>
      </c>
    </row>
    <row r="632" spans="1:1" x14ac:dyDescent="0.25">
      <c r="A632" t="s">
        <v>638</v>
      </c>
    </row>
    <row r="633" spans="1:1" x14ac:dyDescent="0.25">
      <c r="A633" t="s">
        <v>639</v>
      </c>
    </row>
    <row r="634" spans="1:1" x14ac:dyDescent="0.25">
      <c r="A634" t="s">
        <v>640</v>
      </c>
    </row>
    <row r="635" spans="1:1" x14ac:dyDescent="0.25">
      <c r="A635" t="s">
        <v>641</v>
      </c>
    </row>
    <row r="636" spans="1:1" x14ac:dyDescent="0.25">
      <c r="A636" t="s">
        <v>642</v>
      </c>
    </row>
    <row r="637" spans="1:1" x14ac:dyDescent="0.25">
      <c r="A637" t="s">
        <v>643</v>
      </c>
    </row>
    <row r="638" spans="1:1" x14ac:dyDescent="0.25">
      <c r="A638" t="s">
        <v>644</v>
      </c>
    </row>
    <row r="639" spans="1:1" x14ac:dyDescent="0.25">
      <c r="A639" t="s">
        <v>645</v>
      </c>
    </row>
    <row r="640" spans="1:1" x14ac:dyDescent="0.25">
      <c r="A640" t="s">
        <v>646</v>
      </c>
    </row>
    <row r="641" spans="1:1" x14ac:dyDescent="0.25">
      <c r="A641" t="s">
        <v>647</v>
      </c>
    </row>
    <row r="642" spans="1:1" x14ac:dyDescent="0.25">
      <c r="A642" t="s">
        <v>648</v>
      </c>
    </row>
    <row r="643" spans="1:1" x14ac:dyDescent="0.25">
      <c r="A643" t="s">
        <v>649</v>
      </c>
    </row>
    <row r="644" spans="1:1" x14ac:dyDescent="0.25">
      <c r="A644" t="s">
        <v>650</v>
      </c>
    </row>
    <row r="645" spans="1:1" x14ac:dyDescent="0.25">
      <c r="A645" t="s">
        <v>651</v>
      </c>
    </row>
    <row r="646" spans="1:1" x14ac:dyDescent="0.25">
      <c r="A646" t="s">
        <v>652</v>
      </c>
    </row>
    <row r="647" spans="1:1" x14ac:dyDescent="0.25">
      <c r="A647" t="s">
        <v>653</v>
      </c>
    </row>
    <row r="648" spans="1:1" x14ac:dyDescent="0.25">
      <c r="A648" t="s">
        <v>654</v>
      </c>
    </row>
    <row r="649" spans="1:1" x14ac:dyDescent="0.25">
      <c r="A649" t="s">
        <v>655</v>
      </c>
    </row>
    <row r="650" spans="1:1" x14ac:dyDescent="0.25">
      <c r="A650" t="s">
        <v>656</v>
      </c>
    </row>
    <row r="651" spans="1:1" x14ac:dyDescent="0.25">
      <c r="A651" t="s">
        <v>657</v>
      </c>
    </row>
    <row r="652" spans="1:1" x14ac:dyDescent="0.25">
      <c r="A652" t="s">
        <v>658</v>
      </c>
    </row>
    <row r="653" spans="1:1" x14ac:dyDescent="0.25">
      <c r="A653" t="s">
        <v>659</v>
      </c>
    </row>
    <row r="654" spans="1:1" x14ac:dyDescent="0.25">
      <c r="A654" t="s">
        <v>660</v>
      </c>
    </row>
    <row r="655" spans="1:1" x14ac:dyDescent="0.25">
      <c r="A655" t="s">
        <v>661</v>
      </c>
    </row>
    <row r="656" spans="1:1" x14ac:dyDescent="0.25">
      <c r="A656" t="s">
        <v>662</v>
      </c>
    </row>
    <row r="657" spans="1:1" x14ac:dyDescent="0.25">
      <c r="A657" t="s">
        <v>663</v>
      </c>
    </row>
    <row r="658" spans="1:1" x14ac:dyDescent="0.25">
      <c r="A658" t="s">
        <v>664</v>
      </c>
    </row>
    <row r="659" spans="1:1" x14ac:dyDescent="0.25">
      <c r="A659" t="s">
        <v>665</v>
      </c>
    </row>
    <row r="660" spans="1:1" x14ac:dyDescent="0.25">
      <c r="A660" t="s">
        <v>666</v>
      </c>
    </row>
    <row r="661" spans="1:1" x14ac:dyDescent="0.25">
      <c r="A661" t="s">
        <v>667</v>
      </c>
    </row>
    <row r="662" spans="1:1" x14ac:dyDescent="0.25">
      <c r="A662" t="s">
        <v>668</v>
      </c>
    </row>
    <row r="663" spans="1:1" x14ac:dyDescent="0.25">
      <c r="A663" t="s">
        <v>669</v>
      </c>
    </row>
    <row r="664" spans="1:1" x14ac:dyDescent="0.25">
      <c r="A664" t="s">
        <v>670</v>
      </c>
    </row>
    <row r="665" spans="1:1" x14ac:dyDescent="0.25">
      <c r="A665" t="s">
        <v>671</v>
      </c>
    </row>
    <row r="666" spans="1:1" x14ac:dyDescent="0.25">
      <c r="A666" t="s">
        <v>672</v>
      </c>
    </row>
    <row r="667" spans="1:1" x14ac:dyDescent="0.25">
      <c r="A667" t="s">
        <v>673</v>
      </c>
    </row>
    <row r="668" spans="1:1" x14ac:dyDescent="0.25">
      <c r="A668" t="s">
        <v>674</v>
      </c>
    </row>
    <row r="669" spans="1:1" x14ac:dyDescent="0.25">
      <c r="A669" t="s">
        <v>675</v>
      </c>
    </row>
    <row r="670" spans="1:1" x14ac:dyDescent="0.25">
      <c r="A670" t="s">
        <v>676</v>
      </c>
    </row>
    <row r="671" spans="1:1" x14ac:dyDescent="0.25">
      <c r="A671" t="s">
        <v>677</v>
      </c>
    </row>
    <row r="672" spans="1:1" x14ac:dyDescent="0.25">
      <c r="A672" t="s">
        <v>678</v>
      </c>
    </row>
    <row r="673" spans="1:1" x14ac:dyDescent="0.25">
      <c r="A673" t="s">
        <v>679</v>
      </c>
    </row>
    <row r="674" spans="1:1" x14ac:dyDescent="0.25">
      <c r="A674" t="s">
        <v>680</v>
      </c>
    </row>
    <row r="675" spans="1:1" x14ac:dyDescent="0.25">
      <c r="A675" t="s">
        <v>681</v>
      </c>
    </row>
    <row r="676" spans="1:1" x14ac:dyDescent="0.25">
      <c r="A676" t="s">
        <v>682</v>
      </c>
    </row>
    <row r="677" spans="1:1" x14ac:dyDescent="0.25">
      <c r="A677" t="s">
        <v>683</v>
      </c>
    </row>
    <row r="678" spans="1:1" x14ac:dyDescent="0.25">
      <c r="A678" t="s">
        <v>684</v>
      </c>
    </row>
    <row r="679" spans="1:1" x14ac:dyDescent="0.25">
      <c r="A679" t="s">
        <v>685</v>
      </c>
    </row>
    <row r="680" spans="1:1" x14ac:dyDescent="0.25">
      <c r="A680" t="s">
        <v>686</v>
      </c>
    </row>
    <row r="681" spans="1:1" x14ac:dyDescent="0.25">
      <c r="A681" t="s">
        <v>687</v>
      </c>
    </row>
    <row r="682" spans="1:1" x14ac:dyDescent="0.25">
      <c r="A682" t="s">
        <v>688</v>
      </c>
    </row>
    <row r="683" spans="1:1" x14ac:dyDescent="0.25">
      <c r="A683" t="s">
        <v>689</v>
      </c>
    </row>
    <row r="684" spans="1:1" x14ac:dyDescent="0.25">
      <c r="A684" t="s">
        <v>690</v>
      </c>
    </row>
    <row r="685" spans="1:1" x14ac:dyDescent="0.25">
      <c r="A685" t="s">
        <v>691</v>
      </c>
    </row>
    <row r="686" spans="1:1" x14ac:dyDescent="0.25">
      <c r="A686" t="s">
        <v>692</v>
      </c>
    </row>
    <row r="687" spans="1:1" x14ac:dyDescent="0.25">
      <c r="A687" t="s">
        <v>693</v>
      </c>
    </row>
    <row r="688" spans="1:1" x14ac:dyDescent="0.25">
      <c r="A688" t="s">
        <v>694</v>
      </c>
    </row>
    <row r="689" spans="1:1" x14ac:dyDescent="0.25">
      <c r="A689" t="s">
        <v>695</v>
      </c>
    </row>
    <row r="690" spans="1:1" x14ac:dyDescent="0.25">
      <c r="A690" t="s">
        <v>696</v>
      </c>
    </row>
    <row r="691" spans="1:1" x14ac:dyDescent="0.25">
      <c r="A691" t="s">
        <v>697</v>
      </c>
    </row>
    <row r="692" spans="1:1" x14ac:dyDescent="0.25">
      <c r="A692" t="s">
        <v>698</v>
      </c>
    </row>
    <row r="693" spans="1:1" x14ac:dyDescent="0.25">
      <c r="A693" t="s">
        <v>699</v>
      </c>
    </row>
    <row r="694" spans="1:1" x14ac:dyDescent="0.25">
      <c r="A694" t="s">
        <v>700</v>
      </c>
    </row>
    <row r="695" spans="1:1" x14ac:dyDescent="0.25">
      <c r="A695" t="s">
        <v>701</v>
      </c>
    </row>
    <row r="696" spans="1:1" x14ac:dyDescent="0.25">
      <c r="A696" t="s">
        <v>702</v>
      </c>
    </row>
    <row r="697" spans="1:1" x14ac:dyDescent="0.25">
      <c r="A697" t="s">
        <v>703</v>
      </c>
    </row>
    <row r="698" spans="1:1" x14ac:dyDescent="0.25">
      <c r="A698" t="s">
        <v>704</v>
      </c>
    </row>
    <row r="699" spans="1:1" x14ac:dyDescent="0.25">
      <c r="A699" t="s">
        <v>705</v>
      </c>
    </row>
    <row r="700" spans="1:1" x14ac:dyDescent="0.25">
      <c r="A700" t="s">
        <v>706</v>
      </c>
    </row>
    <row r="701" spans="1:1" x14ac:dyDescent="0.25">
      <c r="A701" t="s">
        <v>707</v>
      </c>
    </row>
    <row r="702" spans="1:1" x14ac:dyDescent="0.25">
      <c r="A702" t="s">
        <v>708</v>
      </c>
    </row>
    <row r="703" spans="1:1" x14ac:dyDescent="0.25">
      <c r="A703" t="s">
        <v>709</v>
      </c>
    </row>
    <row r="704" spans="1:1" x14ac:dyDescent="0.25">
      <c r="A704" t="s">
        <v>710</v>
      </c>
    </row>
    <row r="705" spans="1:1" x14ac:dyDescent="0.25">
      <c r="A705" t="s">
        <v>711</v>
      </c>
    </row>
    <row r="706" spans="1:1" x14ac:dyDescent="0.25">
      <c r="A706" t="s">
        <v>712</v>
      </c>
    </row>
    <row r="707" spans="1:1" x14ac:dyDescent="0.25">
      <c r="A707" t="s">
        <v>713</v>
      </c>
    </row>
    <row r="708" spans="1:1" x14ac:dyDescent="0.25">
      <c r="A708" t="s">
        <v>714</v>
      </c>
    </row>
    <row r="709" spans="1:1" x14ac:dyDescent="0.25">
      <c r="A709" t="s">
        <v>715</v>
      </c>
    </row>
    <row r="710" spans="1:1" x14ac:dyDescent="0.25">
      <c r="A710" t="s">
        <v>716</v>
      </c>
    </row>
    <row r="711" spans="1:1" x14ac:dyDescent="0.25">
      <c r="A711" t="s">
        <v>717</v>
      </c>
    </row>
    <row r="712" spans="1:1" x14ac:dyDescent="0.25">
      <c r="A712" t="s">
        <v>718</v>
      </c>
    </row>
    <row r="713" spans="1:1" x14ac:dyDescent="0.25">
      <c r="A713" t="s">
        <v>719</v>
      </c>
    </row>
    <row r="714" spans="1:1" x14ac:dyDescent="0.25">
      <c r="A714" t="s">
        <v>720</v>
      </c>
    </row>
    <row r="715" spans="1:1" x14ac:dyDescent="0.25">
      <c r="A715" t="s">
        <v>721</v>
      </c>
    </row>
    <row r="716" spans="1:1" x14ac:dyDescent="0.25">
      <c r="A716" t="s">
        <v>722</v>
      </c>
    </row>
    <row r="717" spans="1:1" x14ac:dyDescent="0.25">
      <c r="A717" t="s">
        <v>723</v>
      </c>
    </row>
    <row r="718" spans="1:1" x14ac:dyDescent="0.25">
      <c r="A718" t="s">
        <v>724</v>
      </c>
    </row>
    <row r="719" spans="1:1" x14ac:dyDescent="0.25">
      <c r="A719" t="s">
        <v>725</v>
      </c>
    </row>
    <row r="720" spans="1:1" x14ac:dyDescent="0.25">
      <c r="A720" t="s">
        <v>726</v>
      </c>
    </row>
    <row r="721" spans="1:1" x14ac:dyDescent="0.25">
      <c r="A721" t="s">
        <v>727</v>
      </c>
    </row>
    <row r="722" spans="1:1" x14ac:dyDescent="0.25">
      <c r="A722" t="s">
        <v>728</v>
      </c>
    </row>
    <row r="723" spans="1:1" x14ac:dyDescent="0.25">
      <c r="A723" t="s">
        <v>729</v>
      </c>
    </row>
    <row r="724" spans="1:1" x14ac:dyDescent="0.25">
      <c r="A724" t="s">
        <v>730</v>
      </c>
    </row>
    <row r="725" spans="1:1" x14ac:dyDescent="0.25">
      <c r="A725" t="s">
        <v>731</v>
      </c>
    </row>
    <row r="726" spans="1:1" x14ac:dyDescent="0.25">
      <c r="A726" t="s">
        <v>732</v>
      </c>
    </row>
    <row r="727" spans="1:1" x14ac:dyDescent="0.25">
      <c r="A727" t="s">
        <v>733</v>
      </c>
    </row>
    <row r="728" spans="1:1" x14ac:dyDescent="0.25">
      <c r="A728" t="s">
        <v>734</v>
      </c>
    </row>
    <row r="729" spans="1:1" x14ac:dyDescent="0.25">
      <c r="A729" t="s">
        <v>735</v>
      </c>
    </row>
    <row r="730" spans="1:1" x14ac:dyDescent="0.25">
      <c r="A730" t="s">
        <v>736</v>
      </c>
    </row>
    <row r="731" spans="1:1" x14ac:dyDescent="0.25">
      <c r="A731" t="s">
        <v>737</v>
      </c>
    </row>
    <row r="732" spans="1:1" x14ac:dyDescent="0.25">
      <c r="A732" t="s">
        <v>738</v>
      </c>
    </row>
    <row r="733" spans="1:1" x14ac:dyDescent="0.25">
      <c r="A733" t="s">
        <v>739</v>
      </c>
    </row>
    <row r="734" spans="1:1" x14ac:dyDescent="0.25">
      <c r="A734" t="s">
        <v>740</v>
      </c>
    </row>
    <row r="735" spans="1:1" x14ac:dyDescent="0.25">
      <c r="A735" t="s">
        <v>741</v>
      </c>
    </row>
    <row r="736" spans="1:1" x14ac:dyDescent="0.25">
      <c r="A736" t="s">
        <v>742</v>
      </c>
    </row>
    <row r="737" spans="1:1" x14ac:dyDescent="0.25">
      <c r="A737" t="s">
        <v>743</v>
      </c>
    </row>
    <row r="738" spans="1:1" x14ac:dyDescent="0.25">
      <c r="A738" t="s">
        <v>744</v>
      </c>
    </row>
    <row r="739" spans="1:1" x14ac:dyDescent="0.25">
      <c r="A739" t="s">
        <v>745</v>
      </c>
    </row>
    <row r="740" spans="1:1" x14ac:dyDescent="0.25">
      <c r="A740" t="s">
        <v>746</v>
      </c>
    </row>
    <row r="741" spans="1:1" x14ac:dyDescent="0.25">
      <c r="A741" t="s">
        <v>747</v>
      </c>
    </row>
    <row r="742" spans="1:1" x14ac:dyDescent="0.25">
      <c r="A742" t="s">
        <v>748</v>
      </c>
    </row>
    <row r="743" spans="1:1" x14ac:dyDescent="0.25">
      <c r="A743" t="s">
        <v>749</v>
      </c>
    </row>
    <row r="744" spans="1:1" x14ac:dyDescent="0.25">
      <c r="A744" t="s">
        <v>750</v>
      </c>
    </row>
    <row r="745" spans="1:1" x14ac:dyDescent="0.25">
      <c r="A745" t="s">
        <v>751</v>
      </c>
    </row>
    <row r="746" spans="1:1" x14ac:dyDescent="0.25">
      <c r="A746" t="s">
        <v>752</v>
      </c>
    </row>
    <row r="747" spans="1:1" x14ac:dyDescent="0.25">
      <c r="A747" t="s">
        <v>753</v>
      </c>
    </row>
    <row r="748" spans="1:1" x14ac:dyDescent="0.25">
      <c r="A748" t="s">
        <v>754</v>
      </c>
    </row>
    <row r="749" spans="1:1" x14ac:dyDescent="0.25">
      <c r="A749" t="s">
        <v>755</v>
      </c>
    </row>
    <row r="750" spans="1:1" x14ac:dyDescent="0.25">
      <c r="A750" t="s">
        <v>756</v>
      </c>
    </row>
    <row r="751" spans="1:1" x14ac:dyDescent="0.25">
      <c r="A751" t="s">
        <v>757</v>
      </c>
    </row>
    <row r="752" spans="1:1" x14ac:dyDescent="0.25">
      <c r="A752" t="s">
        <v>758</v>
      </c>
    </row>
    <row r="753" spans="1:1" x14ac:dyDescent="0.25">
      <c r="A753" t="s">
        <v>759</v>
      </c>
    </row>
    <row r="754" spans="1:1" x14ac:dyDescent="0.25">
      <c r="A754" t="s">
        <v>760</v>
      </c>
    </row>
    <row r="755" spans="1:1" x14ac:dyDescent="0.25">
      <c r="A755" t="s">
        <v>761</v>
      </c>
    </row>
    <row r="756" spans="1:1" x14ac:dyDescent="0.25">
      <c r="A756" t="s">
        <v>762</v>
      </c>
    </row>
    <row r="757" spans="1:1" x14ac:dyDescent="0.25">
      <c r="A757" t="s">
        <v>763</v>
      </c>
    </row>
    <row r="758" spans="1:1" x14ac:dyDescent="0.25">
      <c r="A758" t="s">
        <v>764</v>
      </c>
    </row>
    <row r="759" spans="1:1" x14ac:dyDescent="0.25">
      <c r="A759" t="s">
        <v>765</v>
      </c>
    </row>
    <row r="760" spans="1:1" x14ac:dyDescent="0.25">
      <c r="A760" t="s">
        <v>766</v>
      </c>
    </row>
    <row r="761" spans="1:1" x14ac:dyDescent="0.25">
      <c r="A761" t="s">
        <v>767</v>
      </c>
    </row>
    <row r="762" spans="1:1" x14ac:dyDescent="0.25">
      <c r="A762" t="s">
        <v>768</v>
      </c>
    </row>
    <row r="763" spans="1:1" x14ac:dyDescent="0.25">
      <c r="A763" t="s">
        <v>769</v>
      </c>
    </row>
    <row r="764" spans="1:1" x14ac:dyDescent="0.25">
      <c r="A764" t="s">
        <v>770</v>
      </c>
    </row>
    <row r="765" spans="1:1" x14ac:dyDescent="0.25">
      <c r="A765" t="s">
        <v>771</v>
      </c>
    </row>
    <row r="766" spans="1:1" x14ac:dyDescent="0.25">
      <c r="A766" t="s">
        <v>772</v>
      </c>
    </row>
    <row r="767" spans="1:1" x14ac:dyDescent="0.25">
      <c r="A767" t="s">
        <v>773</v>
      </c>
    </row>
    <row r="768" spans="1:1" x14ac:dyDescent="0.25">
      <c r="A768" t="s">
        <v>774</v>
      </c>
    </row>
    <row r="769" spans="1:1" x14ac:dyDescent="0.25">
      <c r="A769" t="s">
        <v>775</v>
      </c>
    </row>
    <row r="770" spans="1:1" x14ac:dyDescent="0.25">
      <c r="A770" t="s">
        <v>776</v>
      </c>
    </row>
    <row r="771" spans="1:1" x14ac:dyDescent="0.25">
      <c r="A771" t="s">
        <v>777</v>
      </c>
    </row>
    <row r="772" spans="1:1" x14ac:dyDescent="0.25">
      <c r="A772" t="s">
        <v>778</v>
      </c>
    </row>
    <row r="773" spans="1:1" x14ac:dyDescent="0.25">
      <c r="A773" t="s">
        <v>779</v>
      </c>
    </row>
    <row r="774" spans="1:1" x14ac:dyDescent="0.25">
      <c r="A774" t="s">
        <v>780</v>
      </c>
    </row>
    <row r="775" spans="1:1" x14ac:dyDescent="0.25">
      <c r="A775" t="s">
        <v>781</v>
      </c>
    </row>
    <row r="776" spans="1:1" x14ac:dyDescent="0.25">
      <c r="A776" t="s">
        <v>782</v>
      </c>
    </row>
    <row r="777" spans="1:1" x14ac:dyDescent="0.25">
      <c r="A777" t="s">
        <v>783</v>
      </c>
    </row>
    <row r="778" spans="1:1" x14ac:dyDescent="0.25">
      <c r="A778" t="s">
        <v>784</v>
      </c>
    </row>
    <row r="779" spans="1:1" x14ac:dyDescent="0.25">
      <c r="A779" t="s">
        <v>785</v>
      </c>
    </row>
    <row r="780" spans="1:1" x14ac:dyDescent="0.25">
      <c r="A780" t="s">
        <v>786</v>
      </c>
    </row>
    <row r="781" spans="1:1" x14ac:dyDescent="0.25">
      <c r="A781" t="s">
        <v>787</v>
      </c>
    </row>
    <row r="782" spans="1:1" x14ac:dyDescent="0.25">
      <c r="A782" t="s">
        <v>788</v>
      </c>
    </row>
    <row r="783" spans="1:1" x14ac:dyDescent="0.25">
      <c r="A783" t="s">
        <v>789</v>
      </c>
    </row>
    <row r="784" spans="1:1" x14ac:dyDescent="0.25">
      <c r="A784" t="s">
        <v>790</v>
      </c>
    </row>
    <row r="785" spans="1:1" x14ac:dyDescent="0.25">
      <c r="A785" t="s">
        <v>791</v>
      </c>
    </row>
    <row r="786" spans="1:1" x14ac:dyDescent="0.25">
      <c r="A786" t="s">
        <v>792</v>
      </c>
    </row>
    <row r="787" spans="1:1" x14ac:dyDescent="0.25">
      <c r="A787" t="s">
        <v>793</v>
      </c>
    </row>
    <row r="788" spans="1:1" x14ac:dyDescent="0.25">
      <c r="A788" t="s">
        <v>794</v>
      </c>
    </row>
    <row r="789" spans="1:1" x14ac:dyDescent="0.25">
      <c r="A789" t="s">
        <v>795</v>
      </c>
    </row>
    <row r="790" spans="1:1" x14ac:dyDescent="0.25">
      <c r="A790" t="s">
        <v>796</v>
      </c>
    </row>
    <row r="791" spans="1:1" x14ac:dyDescent="0.25">
      <c r="A791" t="s">
        <v>797</v>
      </c>
    </row>
    <row r="792" spans="1:1" x14ac:dyDescent="0.25">
      <c r="A792" t="s">
        <v>798</v>
      </c>
    </row>
    <row r="793" spans="1:1" x14ac:dyDescent="0.25">
      <c r="A793" t="s">
        <v>799</v>
      </c>
    </row>
    <row r="794" spans="1:1" x14ac:dyDescent="0.25">
      <c r="A794" t="s">
        <v>800</v>
      </c>
    </row>
    <row r="795" spans="1:1" x14ac:dyDescent="0.25">
      <c r="A795" t="s">
        <v>801</v>
      </c>
    </row>
    <row r="796" spans="1:1" x14ac:dyDescent="0.25">
      <c r="A796" t="s">
        <v>802</v>
      </c>
    </row>
    <row r="797" spans="1:1" x14ac:dyDescent="0.25">
      <c r="A797" t="s">
        <v>803</v>
      </c>
    </row>
    <row r="798" spans="1:1" x14ac:dyDescent="0.25">
      <c r="A798" t="s">
        <v>804</v>
      </c>
    </row>
    <row r="799" spans="1:1" x14ac:dyDescent="0.25">
      <c r="A799" t="s">
        <v>805</v>
      </c>
    </row>
    <row r="800" spans="1:1" x14ac:dyDescent="0.25">
      <c r="A800" t="s">
        <v>806</v>
      </c>
    </row>
    <row r="801" spans="1:1" x14ac:dyDescent="0.25">
      <c r="A801" t="s">
        <v>807</v>
      </c>
    </row>
    <row r="802" spans="1:1" x14ac:dyDescent="0.25">
      <c r="A802" t="s">
        <v>808</v>
      </c>
    </row>
    <row r="803" spans="1:1" x14ac:dyDescent="0.25">
      <c r="A803" t="s">
        <v>809</v>
      </c>
    </row>
    <row r="804" spans="1:1" x14ac:dyDescent="0.25">
      <c r="A804" t="s">
        <v>810</v>
      </c>
    </row>
    <row r="805" spans="1:1" x14ac:dyDescent="0.25">
      <c r="A805" t="s">
        <v>811</v>
      </c>
    </row>
    <row r="806" spans="1:1" x14ac:dyDescent="0.25">
      <c r="A806" t="s">
        <v>812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26</vt:i4>
      </vt:variant>
      <vt:variant>
        <vt:lpstr>Именованные диапазоны</vt:lpstr>
      </vt:variant>
      <vt:variant>
        <vt:i4>2</vt:i4>
      </vt:variant>
    </vt:vector>
  </HeadingPairs>
  <TitlesOfParts>
    <vt:vector size="28" baseType="lpstr">
      <vt:lpstr>|Содержание|</vt:lpstr>
      <vt:lpstr>Км1234_спец</vt:lpstr>
      <vt:lpstr>мость отделки-Чердак+29.100_вед</vt:lpstr>
      <vt:lpstr>Км1234_норм</vt:lpstr>
      <vt:lpstr>Км(2)_спец</vt:lpstr>
      <vt:lpstr>Ведомость отделки-Тест_вед</vt:lpstr>
      <vt:lpstr>Ведомость отделки-7 +24.750_вед</vt:lpstr>
      <vt:lpstr>Ведомость отделки-6 +20.700_вед</vt:lpstr>
      <vt:lpstr>Ведомость отделки-5 +16.650_вед</vt:lpstr>
      <vt:lpstr>Ведомость отделки--4.290_вед</vt:lpstr>
      <vt:lpstr>Ведомость отделки-4 +12.600_вед</vt:lpstr>
      <vt:lpstr>Ведомость отделки-3 +8.550_вед</vt:lpstr>
      <vt:lpstr>Ведомость отделки-2 +4.500_вед</vt:lpstr>
      <vt:lpstr>Ведомость отделки-1 0.000_вед</vt:lpstr>
      <vt:lpstr>Ведомость отделки_правила</vt:lpstr>
      <vt:lpstr>Км1234_гр</vt:lpstr>
      <vt:lpstr>Км1234</vt:lpstr>
      <vt:lpstr>Км1_кж</vt:lpstr>
      <vt:lpstr>Км1 2 3 4</vt:lpstr>
      <vt:lpstr>Из архикада плиты</vt:lpstr>
      <vt:lpstr>|Лог|</vt:lpstr>
      <vt:lpstr>Ведомость отделки_разб</vt:lpstr>
      <vt:lpstr>Км(2)_кж</vt:lpstr>
      <vt:lpstr>Км1234_грс</vt:lpstr>
      <vt:lpstr>Км1234_кж</vt:lpstr>
      <vt:lpstr>!System</vt:lpstr>
      <vt:lpstr>'Из архикада плиты'!КЖ_сист_ЖБ_Плиты</vt:lpstr>
      <vt:lpstr>'Ведомость отделки-Тест_вед'!Область_печати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2019-01-31T13:30:09Z</cp:lastPrinted>
  <dcterms:created xsi:type="dcterms:W3CDTF">2014-07-19T16:57:30Z</dcterms:created>
  <dcterms:modified xsi:type="dcterms:W3CDTF">2019-02-04T17:41:05Z</dcterms:modified>
</cp:coreProperties>
</file>