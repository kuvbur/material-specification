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3"/>
  </bookViews>
  <sheets>
    <sheet name="|Содержание|" sheetId="661" r:id="rId1"/>
    <sheet name="КЖ_спец" sheetId="938" r:id="rId2"/>
    <sheet name="КЖ_норм" sheetId="941" r:id="rId3"/>
    <sheet name="Изделия_спец.И" sheetId="939" r:id="rId4"/>
    <sheet name="Ведомость отделки_правила" sheetId="926" r:id="rId5"/>
    <sheet name="Ведомость отделки_вед" sheetId="927" r:id="rId6"/>
    <sheet name="|Лог|" sheetId="885" state="hidden" r:id="rId7"/>
    <sheet name="КЖ" sheetId="942" r:id="rId8"/>
    <sheet name="КЖ_кж" sheetId="940" r:id="rId9"/>
    <sheet name="!System" sheetId="932" state="hidden" r:id="rId10"/>
  </sheets>
  <functionGroups builtInGroupCount="18"/>
  <externalReferences>
    <externalReference r:id="rId11"/>
  </externalReferences>
  <calcPr calcId="162913"/>
</workbook>
</file>

<file path=xl/calcChain.xml><?xml version="1.0" encoding="utf-8"?>
<calcChain xmlns="http://schemas.openxmlformats.org/spreadsheetml/2006/main">
  <c r="E26" i="938" l="1"/>
  <c r="D23" i="938"/>
  <c r="B5" i="939" l="1"/>
  <c r="D5" i="939" s="1"/>
  <c r="D20" i="938" s="1"/>
  <c r="A6" i="939"/>
  <c r="A7" i="939"/>
  <c r="B10" i="939"/>
  <c r="D10" i="939"/>
  <c r="D83" i="938" s="1"/>
  <c r="A11" i="939"/>
  <c r="A12" i="939"/>
  <c r="B15" i="939"/>
  <c r="D15" i="939" s="1"/>
  <c r="D50" i="938" s="1"/>
  <c r="A16" i="939"/>
  <c r="A17" i="939"/>
  <c r="B21" i="939"/>
  <c r="D21" i="939" s="1"/>
  <c r="D19" i="938" s="1"/>
  <c r="A22" i="939"/>
  <c r="A23" i="939"/>
  <c r="B26" i="939"/>
  <c r="D26" i="939"/>
  <c r="A27" i="939"/>
  <c r="A28" i="939"/>
  <c r="B31" i="939"/>
  <c r="B60" i="938" s="1"/>
  <c r="D31" i="939"/>
  <c r="D60" i="938" s="1"/>
  <c r="A32" i="939"/>
  <c r="A33" i="939"/>
  <c r="B37" i="939"/>
  <c r="A38" i="939"/>
  <c r="A39" i="939"/>
  <c r="B42" i="939"/>
  <c r="A43" i="939"/>
  <c r="K43" i="939"/>
  <c r="A44" i="939"/>
  <c r="E5" i="938"/>
  <c r="E6" i="938"/>
  <c r="E4" i="938" s="1"/>
  <c r="E23" i="938" s="1"/>
  <c r="E7" i="938"/>
  <c r="E8" i="938"/>
  <c r="E9" i="938"/>
  <c r="A13" i="938"/>
  <c r="A12" i="938" s="1"/>
  <c r="D13" i="938"/>
  <c r="H16" i="938"/>
  <c r="H17" i="938"/>
  <c r="H18" i="938"/>
  <c r="B19" i="938"/>
  <c r="C19" i="938"/>
  <c r="B20" i="938"/>
  <c r="C20" i="938"/>
  <c r="E21" i="938"/>
  <c r="E22" i="938"/>
  <c r="E27" i="938"/>
  <c r="E28" i="938"/>
  <c r="E39" i="938" s="1"/>
  <c r="E29" i="938"/>
  <c r="A32" i="938"/>
  <c r="A33" i="938" s="1"/>
  <c r="A34" i="938" s="1"/>
  <c r="A35" i="938" s="1"/>
  <c r="A36" i="938" s="1"/>
  <c r="A37" i="938" s="1"/>
  <c r="A38" i="938" s="1"/>
  <c r="A39" i="938" s="1"/>
  <c r="D32" i="938"/>
  <c r="H33" i="938"/>
  <c r="H34" i="938"/>
  <c r="B36" i="938"/>
  <c r="C36" i="938"/>
  <c r="D36" i="938"/>
  <c r="E37" i="938"/>
  <c r="D39" i="938"/>
  <c r="E42" i="938"/>
  <c r="E52" i="938" s="1"/>
  <c r="E43" i="938"/>
  <c r="E44" i="938"/>
  <c r="A46" i="938"/>
  <c r="A45" i="938" s="1"/>
  <c r="D46" i="938"/>
  <c r="C50" i="938"/>
  <c r="E50" i="938"/>
  <c r="E51" i="938"/>
  <c r="D52" i="938"/>
  <c r="E55" i="938"/>
  <c r="E62" i="938" s="1"/>
  <c r="A59" i="938"/>
  <c r="A58" i="938" s="1"/>
  <c r="D59" i="938"/>
  <c r="C60" i="938"/>
  <c r="E60" i="938"/>
  <c r="E61" i="938"/>
  <c r="D62" i="938"/>
  <c r="E63" i="938"/>
  <c r="E66" i="938"/>
  <c r="E71" i="938" s="1"/>
  <c r="A70" i="938"/>
  <c r="A69" i="938" s="1"/>
  <c r="D70" i="938"/>
  <c r="D71" i="938"/>
  <c r="E77" i="938"/>
  <c r="E74" i="938" s="1"/>
  <c r="E89" i="938" s="1"/>
  <c r="A79" i="938"/>
  <c r="A78" i="938" s="1"/>
  <c r="D79" i="938"/>
  <c r="E81" i="938"/>
  <c r="E82" i="938"/>
  <c r="B83" i="938"/>
  <c r="C83" i="938"/>
  <c r="B84" i="938"/>
  <c r="C84" i="938"/>
  <c r="D84" i="938"/>
  <c r="E84" i="938"/>
  <c r="E85" i="938"/>
  <c r="E87" i="938"/>
  <c r="E86" i="938" s="1"/>
  <c r="D89" i="938"/>
  <c r="E93" i="938"/>
  <c r="E100" i="938" s="1"/>
  <c r="E95" i="938"/>
  <c r="E92" i="938" s="1"/>
  <c r="E105" i="938" s="1"/>
  <c r="A98" i="938"/>
  <c r="A97" i="938" s="1"/>
  <c r="D98" i="938"/>
  <c r="B100" i="938"/>
  <c r="C100" i="938"/>
  <c r="D100" i="938"/>
  <c r="B101" i="938"/>
  <c r="C101" i="938"/>
  <c r="D101" i="938"/>
  <c r="D105" i="938"/>
  <c r="E111" i="938"/>
  <c r="E108" i="938" s="1"/>
  <c r="E122" i="938" s="1"/>
  <c r="A114" i="938"/>
  <c r="A115" i="938" s="1"/>
  <c r="A116" i="938" s="1"/>
  <c r="A117" i="938" s="1"/>
  <c r="A118" i="938" s="1"/>
  <c r="A119" i="938" s="1"/>
  <c r="A120" i="938" s="1"/>
  <c r="A121" i="938" s="1"/>
  <c r="A122" i="938" s="1"/>
  <c r="D114" i="938"/>
  <c r="B117" i="938"/>
  <c r="C117" i="938"/>
  <c r="D117" i="938"/>
  <c r="E117" i="938"/>
  <c r="B118" i="938"/>
  <c r="C118" i="938"/>
  <c r="D118" i="938"/>
  <c r="E118" i="938"/>
  <c r="D122" i="938"/>
  <c r="H80" i="938"/>
  <c r="H47" i="938"/>
  <c r="E83" i="938" l="1"/>
  <c r="A31" i="938"/>
  <c r="C31" i="938" s="1"/>
  <c r="A71" i="938"/>
  <c r="A14" i="938"/>
  <c r="A15" i="938" s="1"/>
  <c r="A16" i="938" s="1"/>
  <c r="A17" i="938" s="1"/>
  <c r="A18" i="938" s="1"/>
  <c r="A19" i="938" s="1"/>
  <c r="A20" i="938" s="1"/>
  <c r="A21" i="938" s="1"/>
  <c r="A22" i="938" s="1"/>
  <c r="A23" i="938" s="1"/>
  <c r="A99" i="938"/>
  <c r="A100" i="938" s="1"/>
  <c r="A101" i="938" s="1"/>
  <c r="A102" i="938" s="1"/>
  <c r="A103" i="938" s="1"/>
  <c r="A104" i="938" s="1"/>
  <c r="A105" i="938" s="1"/>
  <c r="A47" i="938"/>
  <c r="A48" i="938" s="1"/>
  <c r="A49" i="938" s="1"/>
  <c r="A50" i="938" s="1"/>
  <c r="A51" i="938" s="1"/>
  <c r="A52" i="938" s="1"/>
  <c r="E88" i="938"/>
  <c r="A80" i="938"/>
  <c r="A81" i="938" s="1"/>
  <c r="A82" i="938" s="1"/>
  <c r="A83" i="938" s="1"/>
  <c r="A84" i="938" s="1"/>
  <c r="A85" i="938" s="1"/>
  <c r="A86" i="938" s="1"/>
  <c r="A87" i="938" s="1"/>
  <c r="A88" i="938" s="1"/>
  <c r="A89" i="938" s="1"/>
  <c r="A60" i="938"/>
  <c r="A61" i="938" s="1"/>
  <c r="A62" i="938" s="1"/>
  <c r="A63" i="938" s="1"/>
  <c r="A113" i="938"/>
  <c r="A112" i="938" s="1"/>
  <c r="A111" i="938" s="1"/>
  <c r="B50" i="938"/>
  <c r="C78" i="938"/>
  <c r="A77" i="938"/>
  <c r="A68" i="938"/>
  <c r="C69" i="938"/>
  <c r="A11" i="938"/>
  <c r="C12" i="938"/>
  <c r="A96" i="938"/>
  <c r="C97" i="938"/>
  <c r="A57" i="938"/>
  <c r="C58" i="938"/>
  <c r="A44" i="938"/>
  <c r="C45" i="938"/>
  <c r="E104" i="938"/>
  <c r="E20" i="938"/>
  <c r="E121" i="938"/>
  <c r="E101" i="938"/>
  <c r="E38" i="938"/>
  <c r="H99" i="938"/>
  <c r="H14" i="938"/>
  <c r="H115" i="938"/>
  <c r="A30" i="938" l="1"/>
  <c r="C30" i="938" s="1"/>
  <c r="C113" i="938"/>
  <c r="A110" i="938"/>
  <c r="A109" i="938" s="1"/>
  <c r="C111" i="938"/>
  <c r="C112" i="938"/>
  <c r="A76" i="938"/>
  <c r="C77" i="938"/>
  <c r="C11" i="938"/>
  <c r="C7" i="938" s="1"/>
  <c r="A10" i="938"/>
  <c r="C96" i="938"/>
  <c r="A95" i="938"/>
  <c r="C68" i="938"/>
  <c r="A67" i="938"/>
  <c r="C44" i="938"/>
  <c r="A43" i="938"/>
  <c r="A56" i="938"/>
  <c r="C57" i="938"/>
  <c r="A29" i="938" l="1"/>
  <c r="A28" i="938" s="1"/>
  <c r="A27" i="938" s="1"/>
  <c r="A26" i="938" s="1"/>
  <c r="C110" i="938"/>
  <c r="C43" i="938"/>
  <c r="A42" i="938"/>
  <c r="C67" i="938"/>
  <c r="A66" i="938"/>
  <c r="A94" i="938"/>
  <c r="C95" i="938"/>
  <c r="A75" i="938"/>
  <c r="C76" i="938"/>
  <c r="A9" i="938"/>
  <c r="C10" i="938"/>
  <c r="A55" i="938"/>
  <c r="C56" i="938"/>
  <c r="A108" i="938"/>
  <c r="C109" i="938"/>
  <c r="C29" i="938" l="1"/>
  <c r="C28" i="938" s="1"/>
  <c r="C27" i="938" s="1"/>
  <c r="C9" i="938"/>
  <c r="C6" i="938" s="1"/>
  <c r="A8" i="938"/>
  <c r="C75" i="938"/>
  <c r="A74" i="938"/>
  <c r="C94" i="938"/>
  <c r="A93" i="938"/>
  <c r="A92" i="938" l="1"/>
  <c r="C93" i="938"/>
  <c r="A7" i="938"/>
  <c r="A6" i="938" s="1"/>
  <c r="A5" i="938" s="1"/>
  <c r="A4" i="938" s="1"/>
  <c r="C8" i="938"/>
</calcChain>
</file>

<file path=xl/comments1.xml><?xml version="1.0" encoding="utf-8"?>
<comments xmlns="http://schemas.openxmlformats.org/spreadsheetml/2006/main">
  <authors>
    <author>admin</author>
  </authors>
  <commentList>
    <comment ref="E14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4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4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<sst xmlns="http://schemas.openxmlformats.org/spreadsheetml/2006/main" count="12895" uniqueCount="3140">
  <si>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</si>
  <si>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</si>
  <si>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</si>
  <si>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</si>
  <si>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</si>
  <si>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</si>
  <si>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</si>
  <si>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</si>
  <si>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</si>
  <si>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</si>
  <si>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</si>
  <si>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</si>
  <si>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</si>
  <si>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</si>
  <si>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</si>
  <si>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</si>
  <si>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</si>
  <si>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</si>
  <si>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</si>
  <si>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</si>
  <si>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</si>
  <si>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</si>
  <si>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</si>
  <si>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</si>
  <si>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</si>
  <si>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</si>
  <si>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</si>
  <si>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</si>
  <si>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</si>
  <si>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</si>
  <si>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</si>
  <si>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</si>
  <si>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</si>
  <si>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</si>
  <si>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</si>
  <si>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</si>
  <si>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</si>
  <si>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</si>
  <si>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</si>
  <si>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</si>
  <si>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</si>
  <si>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</si>
  <si>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</si>
  <si>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</si>
  <si>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</si>
  <si>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</si>
  <si>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</si>
  <si>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</si>
  <si>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</si>
  <si>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</si>
  <si>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</si>
  <si>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</si>
  <si>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</si>
  <si>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</si>
  <si>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</si>
  <si>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</si>
  <si>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</si>
  <si>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</si>
  <si>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</si>
  <si>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</si>
  <si>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</si>
  <si>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</si>
  <si>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</si>
  <si>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</si>
  <si>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</si>
  <si>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</si>
  <si>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</si>
  <si>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</si>
  <si>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</si>
  <si>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</si>
  <si>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</si>
  <si>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</si>
  <si>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</si>
  <si>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</si>
  <si>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</si>
  <si>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</si>
  <si>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</si>
  <si>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</si>
  <si>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</si>
  <si>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</si>
  <si>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</si>
  <si>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</si>
  <si>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</si>
  <si>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</si>
  <si>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</si>
  <si>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</si>
  <si>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</si>
  <si>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</si>
  <si>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</si>
  <si>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</si>
  <si>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</si>
  <si>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</si>
  <si>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</si>
  <si>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</si>
  <si>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</si>
  <si>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</si>
  <si>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</si>
  <si>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</si>
  <si>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</si>
  <si>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</si>
  <si>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</si>
  <si>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</si>
  <si>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</si>
  <si>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</si>
  <si>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</si>
  <si>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</si>
  <si>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</si>
  <si>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</si>
  <si>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</si>
  <si>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</si>
  <si>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</si>
  <si>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</si>
  <si>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</si>
  <si>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</si>
  <si>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</si>
  <si>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</si>
  <si>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</si>
  <si>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</si>
  <si>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</si>
  <si>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</si>
  <si>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</si>
  <si>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</si>
  <si>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</si>
  <si>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</si>
  <si>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</si>
  <si>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</si>
  <si>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</si>
  <si>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</si>
  <si>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</si>
  <si>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</si>
  <si>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</si>
  <si>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</si>
  <si>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</si>
  <si>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</si>
  <si>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</si>
  <si>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</si>
  <si>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</si>
  <si>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</si>
  <si>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</si>
  <si>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</si>
  <si>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</si>
  <si>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</si>
  <si>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</si>
  <si>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</si>
  <si>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</si>
  <si>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</si>
  <si>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</si>
  <si>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</si>
  <si>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</si>
  <si>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</si>
  <si>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</si>
  <si>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</si>
  <si>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</si>
  <si>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</si>
  <si>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</si>
  <si>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</si>
  <si>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</si>
  <si>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</si>
  <si>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</si>
  <si>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</si>
  <si>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</si>
  <si>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</si>
  <si>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</si>
  <si>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</si>
  <si>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</si>
  <si>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</si>
  <si>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</si>
  <si>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</si>
  <si>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</si>
  <si>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</si>
  <si>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</si>
  <si>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</si>
  <si>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</si>
  <si>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</si>
  <si>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</si>
  <si>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</si>
  <si>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</si>
  <si>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</si>
  <si>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</si>
  <si>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</si>
  <si>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</si>
  <si>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</si>
  <si>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</si>
  <si>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</si>
  <si>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</si>
  <si>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</si>
  <si>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</si>
  <si>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</si>
  <si>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</si>
  <si>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</si>
  <si>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</si>
  <si>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</si>
  <si>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</si>
  <si>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</si>
  <si>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</si>
  <si>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</si>
  <si>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</si>
  <si>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</si>
  <si>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</si>
  <si>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</si>
  <si>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</si>
  <si>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</si>
  <si>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</si>
  <si>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</si>
  <si>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</si>
  <si>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</si>
  <si>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</si>
  <si>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</si>
  <si>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</si>
  <si>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</si>
  <si>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</si>
  <si>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</si>
  <si>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</si>
  <si>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</si>
  <si>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</si>
  <si>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</si>
  <si>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</si>
  <si>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</si>
  <si>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</si>
  <si>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</si>
  <si>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</si>
  <si>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</si>
  <si>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</si>
  <si>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</si>
  <si>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</si>
  <si>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</si>
  <si>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</si>
  <si>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</si>
  <si>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</si>
  <si>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</si>
  <si>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</si>
  <si>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</si>
  <si>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</si>
  <si>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</si>
  <si>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</si>
  <si>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</si>
  <si>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</si>
  <si>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</si>
  <si>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</si>
  <si>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</si>
  <si>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</si>
  <si>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</si>
  <si>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</si>
  <si>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</si>
  <si>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</si>
  <si>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</si>
  <si>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</si>
  <si>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</si>
  <si>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</si>
  <si>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</si>
  <si>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</si>
  <si>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</si>
  <si>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</si>
  <si>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</si>
  <si>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</si>
  <si>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</si>
  <si>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</si>
  <si>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</si>
  <si>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</si>
  <si>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</si>
  <si>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</si>
  <si>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</si>
  <si>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</si>
  <si>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</si>
  <si>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</si>
  <si>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</si>
  <si>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</si>
  <si>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</si>
  <si>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</si>
  <si>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</si>
  <si>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</si>
  <si>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</si>
  <si>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</si>
  <si>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</si>
  <si>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</si>
  <si>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</si>
  <si>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</si>
  <si>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</si>
  <si>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</si>
  <si>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</si>
  <si>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</si>
  <si>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</si>
  <si>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</si>
  <si>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</si>
  <si>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</si>
  <si>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</si>
  <si>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</si>
  <si>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</si>
  <si>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</si>
  <si>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</si>
  <si>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</si>
  <si>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</si>
  <si>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</si>
  <si>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</si>
  <si>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</si>
  <si>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</si>
  <si>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</si>
  <si>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</si>
  <si>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</si>
  <si>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</si>
  <si>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</si>
  <si>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</si>
  <si>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</si>
  <si>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</si>
  <si>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</si>
  <si>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</si>
  <si>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</si>
  <si>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</si>
  <si>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</si>
  <si>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</si>
  <si>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</si>
  <si>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</si>
  <si>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</si>
  <si>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</si>
  <si>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</si>
  <si>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</si>
  <si>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</si>
  <si>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</si>
  <si>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</si>
  <si>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</si>
  <si>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</si>
  <si>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</si>
  <si>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</si>
  <si>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</si>
  <si>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</si>
  <si>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</si>
  <si>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</si>
  <si>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</si>
  <si>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</si>
  <si>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</si>
  <si>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</si>
  <si>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</si>
  <si>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</si>
  <si>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</si>
  <si>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</si>
  <si>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</si>
  <si>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</si>
  <si>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</si>
  <si>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</si>
  <si>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</si>
  <si>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</si>
  <si>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</si>
  <si>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</si>
  <si>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</si>
  <si>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</si>
  <si>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</si>
  <si>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</si>
  <si>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</si>
  <si>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</si>
  <si>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</si>
  <si>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</si>
  <si>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</si>
  <si>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</si>
  <si>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</si>
  <si>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</si>
  <si>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</si>
  <si>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</si>
  <si>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</si>
  <si>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</si>
  <si>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</si>
  <si>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</si>
  <si>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</si>
  <si>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</si>
  <si>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</si>
  <si>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</si>
  <si>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</si>
  <si>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</si>
  <si>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</si>
  <si>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</si>
  <si>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</si>
  <si>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</si>
  <si>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</si>
  <si>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</si>
  <si>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</si>
  <si>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</si>
  <si>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</si>
  <si>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</si>
  <si>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</si>
  <si>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</si>
  <si>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</si>
  <si>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</si>
  <si>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</si>
  <si>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</si>
  <si>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</si>
  <si>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</si>
  <si>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</si>
  <si>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</si>
  <si>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</si>
  <si>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</si>
  <si>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</si>
  <si>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</si>
  <si>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</si>
  <si>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</si>
  <si>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</si>
  <si>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</si>
  <si>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</si>
  <si>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</si>
  <si>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</si>
  <si>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</si>
  <si>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</si>
  <si>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</si>
  <si>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</si>
  <si>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</si>
  <si>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</si>
  <si>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</si>
  <si>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</si>
  <si>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</si>
  <si>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</si>
  <si>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</si>
  <si>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</si>
  <si>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</si>
  <si>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</si>
  <si>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</si>
  <si>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</si>
  <si>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</si>
  <si>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</si>
  <si>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</si>
  <si>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</si>
  <si>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</si>
  <si>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</si>
  <si>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</si>
  <si>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</si>
  <si>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</si>
  <si>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</si>
  <si>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</si>
  <si>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</si>
  <si>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</si>
  <si>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</si>
  <si>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</si>
  <si>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</si>
  <si>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</si>
  <si>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</si>
  <si>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</si>
  <si>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</si>
  <si>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</si>
  <si>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</si>
  <si>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</si>
  <si>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</si>
  <si>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</si>
  <si>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</si>
  <si>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</si>
  <si>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</si>
  <si>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</si>
  <si>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</si>
  <si>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</si>
  <si>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</si>
  <si>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</si>
  <si>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</si>
  <si>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</si>
  <si>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</si>
  <si>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</si>
  <si>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</si>
  <si>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</si>
  <si>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</si>
  <si>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</si>
  <si>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</si>
  <si>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</si>
  <si>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</si>
  <si>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</si>
  <si>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</si>
  <si>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</si>
  <si>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</si>
  <si>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</si>
  <si>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</si>
  <si>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</si>
  <si>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</si>
  <si>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</si>
  <si>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</si>
  <si>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</si>
  <si>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</si>
  <si>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</si>
  <si>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</si>
  <si>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</si>
  <si>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</si>
  <si>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</si>
  <si>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</si>
  <si>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</si>
  <si>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</si>
  <si>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</si>
  <si>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</si>
  <si>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</si>
  <si>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</si>
  <si>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</si>
  <si>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</si>
  <si>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</si>
  <si>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</si>
  <si>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</si>
  <si>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</si>
  <si>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</si>
  <si>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</si>
  <si>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</si>
  <si>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</si>
  <si>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</si>
  <si>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</si>
  <si>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</si>
  <si>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</si>
  <si>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</si>
  <si>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</si>
  <si>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</si>
  <si>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</si>
  <si>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</si>
  <si>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</si>
  <si>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</si>
  <si>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</si>
  <si>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</si>
  <si>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</si>
  <si>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</si>
  <si>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</si>
  <si>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</si>
  <si>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</si>
  <si>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</si>
  <si>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</si>
  <si>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</si>
  <si>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</si>
  <si>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</si>
  <si>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</si>
  <si>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</si>
  <si>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</si>
  <si>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</si>
  <si>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</si>
  <si>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</si>
  <si>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</si>
  <si>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</si>
  <si>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</si>
  <si>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</si>
  <si>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</si>
  <si>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</si>
  <si>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</si>
  <si>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</si>
  <si>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</si>
  <si>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</si>
  <si>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</si>
  <si>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</si>
  <si>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</si>
  <si>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</si>
  <si>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</si>
  <si>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</si>
  <si>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</si>
  <si>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</si>
  <si>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</si>
  <si>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</si>
  <si>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</si>
  <si>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</si>
  <si>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</si>
  <si>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</si>
  <si>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</si>
  <si>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</si>
  <si>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</si>
  <si>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</si>
  <si>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</si>
  <si>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</si>
  <si>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</si>
  <si>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</si>
  <si>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</si>
  <si>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</si>
  <si>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</si>
  <si>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</si>
  <si>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</si>
  <si>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</si>
  <si>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</si>
  <si>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</si>
  <si>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</si>
  <si>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</si>
  <si>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</si>
  <si>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</si>
  <si>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</si>
  <si>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</si>
  <si>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</si>
  <si>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</si>
  <si>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</si>
  <si>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</si>
  <si>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</si>
  <si>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</si>
  <si>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</si>
  <si>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</si>
  <si>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</si>
  <si>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</si>
  <si>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</si>
  <si>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</si>
  <si>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</si>
  <si>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</si>
  <si>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</si>
  <si>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</si>
  <si>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</si>
  <si>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</si>
  <si>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</si>
  <si>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</si>
  <si>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</si>
  <si>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</si>
  <si>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</si>
  <si>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</si>
  <si>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</si>
  <si>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</si>
  <si>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</si>
  <si>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</si>
  <si>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</si>
  <si>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</si>
  <si>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</si>
  <si>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</si>
  <si>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</si>
  <si>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</si>
  <si>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</si>
  <si>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</si>
  <si>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</si>
  <si>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</si>
  <si>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</si>
  <si>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</si>
  <si>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</si>
  <si>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</si>
  <si>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</si>
  <si>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</si>
  <si>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</si>
  <si>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</si>
  <si>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</si>
  <si>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</si>
  <si>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</si>
  <si>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</si>
  <si>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</si>
  <si>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</si>
  <si>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</si>
  <si>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</si>
  <si>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</si>
  <si>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</si>
  <si>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</si>
  <si>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</si>
  <si>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</si>
  <si>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</si>
  <si>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</si>
  <si>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</si>
  <si>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</si>
  <si>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</si>
  <si>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</si>
  <si>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</si>
  <si>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</si>
  <si>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</si>
  <si>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</si>
  <si>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</si>
  <si>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</si>
  <si>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</si>
  <si>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</si>
  <si>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</si>
  <si>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</si>
  <si>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</si>
  <si>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</si>
  <si>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</si>
  <si>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</si>
  <si>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</si>
  <si>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</si>
  <si>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</si>
  <si>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</si>
  <si>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</si>
  <si>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</si>
  <si>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</si>
  <si>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</si>
  <si>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</si>
  <si>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</si>
  <si>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</si>
  <si>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</si>
  <si>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</si>
  <si>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</si>
  <si>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</si>
  <si>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</si>
  <si>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</si>
  <si>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</si>
  <si>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</si>
  <si>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</si>
  <si>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</si>
  <si>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</si>
  <si>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</si>
  <si>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</si>
  <si>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</si>
  <si>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</si>
  <si>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</si>
  <si>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</si>
  <si>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</si>
  <si>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</si>
  <si>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</si>
  <si>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</si>
  <si>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</si>
  <si>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</si>
  <si>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</si>
  <si>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</si>
  <si>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</si>
  <si>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</si>
  <si>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</si>
  <si>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</si>
  <si>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</si>
  <si>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</si>
  <si>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</si>
  <si>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</si>
  <si>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</si>
  <si>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</si>
  <si>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</si>
  <si>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</si>
  <si>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</si>
  <si>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</si>
  <si>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</si>
  <si>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</si>
  <si>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</si>
  <si>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</si>
  <si>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</si>
  <si>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</si>
  <si>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</si>
  <si>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</si>
  <si>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</si>
  <si>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</si>
  <si>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</si>
  <si>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</si>
  <si>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</si>
  <si>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</si>
  <si>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</si>
  <si>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</si>
  <si>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</si>
  <si>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</si>
  <si>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</si>
  <si>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</si>
  <si>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</si>
  <si>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</si>
  <si>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</si>
  <si>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</si>
  <si>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</si>
  <si>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</si>
  <si>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</si>
  <si>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</si>
  <si>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</si>
  <si>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</si>
  <si>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</si>
  <si>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</si>
  <si>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</si>
  <si>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</si>
  <si>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</si>
  <si>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</si>
  <si>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</si>
  <si>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</si>
  <si>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</si>
  <si>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</si>
  <si>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</si>
  <si>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</si>
  <si>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</si>
  <si>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</si>
  <si>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</si>
  <si>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</si>
  <si>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</si>
  <si>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</si>
  <si>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</si>
  <si>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</si>
  <si>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</si>
  <si>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</si>
  <si>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</si>
  <si>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</si>
  <si>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</si>
  <si>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</si>
  <si>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</si>
  <si>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</si>
  <si>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</si>
  <si>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</si>
  <si>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</si>
  <si>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</si>
  <si>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</si>
  <si>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</si>
  <si>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</si>
  <si>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</si>
  <si>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</si>
  <si>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</si>
  <si>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</si>
  <si>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</si>
  <si>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</si>
  <si>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</si>
  <si>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</si>
  <si>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</si>
  <si>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</si>
  <si>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</si>
  <si>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</si>
  <si>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</si>
  <si>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</si>
  <si>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</si>
  <si>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</si>
  <si>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</si>
  <si>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</si>
  <si>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</si>
  <si>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</si>
  <si>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</si>
  <si>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</si>
  <si>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</si>
  <si>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</si>
  <si>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</si>
  <si>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</si>
  <si>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</si>
  <si>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</si>
  <si>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</si>
  <si>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</si>
  <si>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</si>
  <si>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</si>
  <si>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</si>
  <si>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</si>
  <si>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</si>
  <si>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</si>
  <si>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</si>
  <si>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</si>
  <si>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</si>
  <si>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</si>
  <si>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</si>
  <si>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</si>
  <si>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</si>
  <si>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</si>
  <si>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</si>
  <si>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</si>
  <si>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</si>
  <si>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</si>
  <si>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</si>
  <si>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</si>
  <si>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</si>
  <si>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</si>
  <si>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</si>
  <si>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</si>
  <si>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</si>
  <si>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</si>
  <si>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</si>
  <si>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</si>
  <si>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</si>
  <si>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</si>
  <si>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</si>
  <si>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</si>
  <si>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</si>
  <si>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</si>
  <si>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</si>
  <si>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</si>
  <si>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</si>
  <si>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</si>
  <si>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</si>
  <si>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</si>
  <si>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</si>
  <si>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</si>
  <si>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</si>
  <si>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</si>
  <si>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</si>
  <si>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</si>
  <si>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</si>
  <si>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</si>
  <si>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</si>
  <si>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</si>
  <si>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</si>
  <si>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</si>
  <si>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</si>
  <si>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</si>
  <si>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</si>
  <si>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</si>
  <si>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</si>
  <si>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</si>
  <si>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</si>
  <si>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</si>
  <si>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</si>
  <si>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</si>
  <si>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</si>
  <si>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</si>
  <si>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</si>
  <si>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</si>
  <si>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</si>
  <si>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</si>
  <si>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</si>
  <si>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</si>
  <si>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</si>
  <si>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</si>
  <si>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</si>
  <si>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</si>
  <si>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</si>
  <si>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</si>
  <si>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</si>
  <si>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</si>
  <si>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</si>
  <si>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</si>
  <si>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</si>
  <si>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</si>
  <si>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</si>
  <si>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</si>
  <si>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</si>
  <si>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</si>
  <si>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</si>
  <si>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</si>
  <si>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</si>
  <si>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</si>
  <si>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</si>
  <si>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</si>
  <si>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</si>
  <si>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</si>
  <si>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</si>
  <si>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</si>
  <si>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</si>
  <si>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</si>
  <si>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</si>
  <si>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</si>
  <si>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</si>
  <si>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</si>
  <si>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</si>
  <si>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</si>
  <si>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</si>
  <si>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</si>
  <si>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</si>
  <si>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</si>
  <si>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</si>
  <si>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</si>
  <si>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</si>
  <si>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</si>
  <si>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</si>
  <si>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</si>
  <si>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</si>
  <si>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</si>
  <si>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</si>
  <si>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</si>
  <si>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</si>
  <si>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</si>
  <si>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</si>
  <si>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</si>
  <si>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</si>
  <si>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</si>
  <si>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</si>
  <si>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</si>
  <si>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</si>
  <si>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</si>
  <si>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</si>
  <si>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</si>
  <si>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</si>
  <si>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</si>
  <si>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</si>
  <si>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</si>
  <si>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</si>
  <si>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</si>
  <si>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</si>
  <si>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</si>
  <si>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</si>
  <si>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</si>
  <si>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</si>
  <si>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</si>
  <si>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</si>
  <si>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</si>
  <si>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</si>
  <si>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</si>
  <si>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</si>
  <si>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</si>
  <si>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</si>
  <si>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</si>
  <si>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</si>
  <si>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</si>
  <si>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</si>
  <si>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</si>
  <si>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</si>
  <si>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</si>
  <si>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</si>
  <si>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</si>
  <si>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</si>
  <si>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</si>
  <si>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</si>
  <si>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</si>
  <si>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</si>
  <si>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</si>
  <si>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</si>
  <si>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</si>
  <si>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</si>
  <si>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</si>
  <si>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</si>
  <si>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</si>
  <si>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</si>
  <si>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</si>
  <si>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</si>
  <si>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</si>
  <si>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</si>
  <si>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</si>
  <si>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</si>
  <si>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</si>
  <si>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</si>
  <si>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</si>
  <si>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</si>
  <si>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</si>
  <si>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</si>
  <si>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</si>
  <si>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</si>
  <si>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</si>
  <si>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</si>
  <si>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</si>
  <si>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</si>
  <si>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</si>
  <si>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</si>
  <si>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</si>
  <si>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</si>
  <si>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</si>
  <si>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</si>
  <si>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</si>
  <si>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</si>
  <si>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</si>
  <si>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</si>
  <si>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</si>
  <si>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</si>
  <si>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</si>
  <si>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</si>
  <si>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</si>
  <si>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</si>
  <si>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</si>
  <si>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</si>
  <si>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</si>
  <si>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</si>
  <si>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</si>
  <si>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</si>
  <si>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</si>
  <si>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</si>
  <si>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</si>
  <si>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</si>
  <si>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</si>
  <si>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</si>
  <si>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</si>
  <si>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</si>
  <si>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</si>
  <si>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</si>
  <si>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</si>
  <si>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</si>
  <si>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</si>
  <si>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</si>
  <si>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</si>
  <si>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</si>
  <si>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</si>
  <si>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</si>
  <si>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</si>
  <si>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</si>
  <si>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</si>
  <si>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</si>
  <si>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</si>
  <si>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</si>
  <si>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</si>
  <si>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</si>
  <si>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</si>
  <si>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</si>
  <si>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</si>
  <si>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</si>
  <si>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</si>
  <si>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</si>
  <si>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</si>
  <si>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</si>
  <si>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</si>
  <si>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</si>
  <si>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</si>
  <si>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</si>
  <si>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</si>
  <si>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</si>
  <si>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</si>
  <si>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</si>
  <si>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</si>
  <si>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</si>
  <si>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</si>
  <si>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</si>
  <si>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</si>
  <si>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</si>
  <si>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</si>
  <si>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</si>
  <si>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</si>
  <si>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</si>
  <si>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</si>
  <si>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</si>
  <si>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</si>
  <si>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</si>
  <si>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</si>
  <si>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</si>
  <si>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</si>
  <si>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</si>
  <si>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</si>
  <si>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</si>
  <si>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</si>
  <si>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</si>
  <si>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</si>
  <si>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</si>
  <si>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</si>
  <si>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</si>
  <si>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</si>
  <si>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</si>
  <si>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</si>
  <si>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</si>
  <si>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</si>
  <si>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</si>
  <si>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</si>
  <si>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</si>
  <si>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</si>
  <si>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</si>
  <si>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</si>
  <si>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</si>
  <si>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</si>
  <si>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</si>
  <si>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</si>
  <si>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</si>
  <si>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</si>
  <si>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</si>
  <si>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</si>
  <si>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</si>
  <si>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</si>
  <si>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</si>
  <si>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</si>
  <si>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</si>
  <si>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</si>
  <si>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</si>
  <si>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</si>
  <si>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</si>
  <si>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</si>
  <si>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</si>
  <si>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</si>
  <si>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</si>
  <si>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</si>
  <si>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</si>
  <si>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</si>
  <si>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</si>
  <si>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</si>
  <si>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</si>
  <si>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</si>
  <si>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</si>
  <si>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</si>
  <si>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</si>
  <si>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</si>
  <si>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</si>
  <si>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</si>
  <si>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</si>
  <si>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</si>
  <si>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</si>
  <si>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</si>
  <si>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</si>
  <si>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</si>
  <si>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</si>
  <si>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</si>
  <si>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</si>
  <si>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</si>
  <si>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</si>
  <si>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</si>
  <si>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</si>
  <si>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</si>
  <si>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</si>
  <si>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</si>
  <si>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</si>
  <si>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</si>
  <si>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</si>
  <si>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</si>
  <si>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</si>
  <si>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</si>
  <si>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</si>
  <si>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</si>
  <si>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</si>
  <si>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</si>
  <si>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</si>
  <si>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</si>
  <si>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</si>
  <si>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</si>
  <si>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</si>
  <si>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</si>
  <si>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</si>
  <si>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</si>
  <si>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</si>
  <si>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</si>
  <si>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</si>
  <si>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</si>
  <si>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</si>
  <si>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</si>
  <si>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</si>
  <si>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</si>
  <si>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</si>
  <si>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</si>
  <si>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</si>
  <si>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</si>
  <si>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</si>
  <si>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</si>
  <si>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</si>
  <si>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</si>
  <si>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</si>
  <si>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</si>
  <si>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</si>
  <si>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</si>
  <si>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</si>
  <si>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</si>
  <si>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</si>
  <si>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</si>
  <si>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</si>
  <si>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</si>
  <si>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</si>
  <si>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</si>
  <si>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</si>
  <si>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</si>
  <si>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</si>
  <si>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</si>
  <si>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</si>
  <si>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</si>
  <si>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</si>
  <si>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</si>
  <si>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</si>
  <si>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</si>
  <si>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</si>
  <si>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</si>
  <si>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</si>
  <si>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</si>
  <si>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</si>
  <si>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</si>
  <si>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</si>
  <si>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</si>
  <si>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</si>
  <si>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</si>
  <si>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</si>
  <si>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</si>
  <si>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</si>
  <si>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</si>
  <si>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</si>
  <si>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</si>
  <si>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</si>
  <si>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</si>
  <si>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</si>
  <si>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</si>
  <si>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</si>
  <si>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</si>
  <si>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</si>
  <si>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</si>
  <si>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</si>
  <si>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</si>
  <si>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</si>
  <si>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</si>
  <si>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</si>
  <si>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</si>
  <si>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</si>
  <si>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</si>
  <si>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</si>
  <si>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</si>
  <si>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</si>
  <si>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</si>
  <si>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</si>
  <si>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</si>
  <si>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</si>
  <si>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</si>
  <si>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</si>
  <si>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</si>
  <si>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</si>
  <si>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</si>
  <si>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</si>
  <si>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</si>
  <si>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</si>
  <si>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</si>
  <si>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</si>
  <si>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</si>
  <si>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</si>
  <si>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</si>
  <si>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</si>
  <si>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</si>
  <si>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</si>
  <si>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</si>
  <si>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</si>
  <si>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</si>
  <si>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</si>
  <si>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</si>
  <si>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</si>
  <si>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</si>
  <si>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</si>
  <si>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</si>
  <si>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</si>
  <si>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</si>
  <si>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</si>
  <si>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</si>
  <si>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</si>
  <si>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</si>
  <si>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</si>
  <si>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</si>
  <si>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</si>
  <si>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</si>
  <si>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</si>
  <si>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</si>
  <si>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</si>
  <si>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</si>
  <si>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</si>
  <si>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</si>
  <si>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</si>
  <si>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</si>
  <si>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</si>
  <si>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</si>
  <si>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</si>
  <si>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</si>
  <si>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</si>
  <si>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</si>
  <si>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</si>
  <si>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</si>
  <si>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</si>
  <si>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</si>
  <si>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</si>
  <si>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</si>
  <si>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</si>
  <si>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</si>
  <si>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</si>
  <si>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</si>
  <si>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</si>
  <si>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</si>
  <si>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</si>
  <si>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</si>
  <si>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</si>
  <si>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</si>
  <si>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</si>
  <si>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</si>
  <si>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</si>
  <si>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</si>
  <si>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</si>
  <si>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</si>
  <si>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</si>
  <si>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</si>
  <si>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</si>
  <si>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</si>
  <si>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</si>
  <si>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</si>
  <si>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</si>
  <si>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</si>
  <si>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</si>
  <si>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</si>
  <si>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</si>
  <si>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</si>
  <si>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</si>
  <si>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</si>
  <si>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</si>
  <si>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</si>
  <si>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</si>
  <si>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</si>
  <si>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</si>
  <si>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</si>
  <si>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</si>
  <si>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</si>
  <si>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</si>
  <si>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</si>
  <si>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</si>
  <si>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</si>
  <si>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</si>
  <si>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</si>
  <si>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</si>
  <si>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</si>
  <si>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</si>
  <si>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</si>
  <si>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</si>
  <si>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</si>
  <si>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</si>
  <si>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</si>
  <si>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</si>
  <si>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</si>
  <si>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</si>
  <si>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</si>
  <si>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</si>
  <si>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</si>
  <si>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</si>
  <si>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</si>
  <si>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</si>
  <si>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</si>
  <si>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</si>
  <si>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</si>
  <si>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</si>
  <si>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</si>
  <si>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</si>
  <si>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</si>
  <si>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</si>
  <si>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</si>
  <si>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</si>
  <si>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</si>
  <si>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</si>
  <si>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</si>
  <si>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</si>
  <si>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</si>
  <si>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</si>
  <si>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</si>
  <si>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</si>
  <si>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</si>
  <si>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</si>
  <si>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</si>
  <si>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</si>
  <si>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</si>
  <si>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</si>
  <si>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</si>
  <si>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</si>
  <si>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</si>
  <si>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</si>
  <si>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</si>
  <si>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</si>
  <si>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</si>
  <si>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</si>
  <si>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</si>
  <si>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</si>
  <si>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</si>
  <si>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</si>
  <si>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</si>
  <si>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</si>
  <si>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</si>
  <si>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</si>
  <si>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</si>
  <si>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</si>
  <si>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</si>
  <si>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</si>
  <si>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</si>
  <si>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</si>
  <si>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</si>
  <si>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</si>
  <si>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</si>
  <si>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</si>
  <si>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</si>
  <si>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</si>
  <si>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</si>
  <si>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</si>
  <si>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</si>
  <si>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</si>
  <si>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</si>
  <si>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</si>
  <si>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</si>
  <si>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</si>
  <si>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</si>
  <si>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</si>
  <si>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</si>
  <si>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</si>
  <si>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</si>
  <si>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</si>
  <si>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</si>
  <si>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</si>
  <si>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</si>
  <si>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</si>
  <si>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</si>
  <si>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</si>
  <si>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</si>
  <si>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</si>
  <si>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</si>
  <si>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</si>
  <si>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</si>
  <si>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</si>
  <si>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</si>
  <si>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</si>
  <si>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</si>
  <si>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</si>
  <si>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</si>
  <si>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</si>
  <si>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</si>
  <si>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</si>
  <si>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</si>
  <si>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</si>
  <si>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</si>
  <si>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</si>
  <si>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</si>
  <si>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</si>
  <si>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</si>
  <si>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</si>
  <si>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</si>
  <si>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</si>
  <si>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</si>
  <si>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</si>
  <si>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</si>
  <si>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</si>
  <si>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</si>
  <si>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</si>
  <si>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</si>
  <si>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</si>
  <si>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</si>
  <si>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</si>
  <si>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</si>
  <si>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</si>
  <si>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</si>
  <si>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</si>
  <si>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</si>
  <si>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</si>
  <si>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</si>
  <si>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</si>
  <si>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</si>
  <si>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</si>
  <si>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</si>
  <si>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</si>
  <si>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</si>
  <si>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</si>
  <si>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</si>
  <si>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</si>
  <si>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</si>
  <si>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</si>
  <si>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</si>
  <si>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</si>
  <si>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</si>
  <si>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</si>
  <si>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</si>
  <si>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</si>
  <si>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</si>
  <si>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</si>
  <si>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</si>
  <si>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</si>
  <si>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</si>
  <si>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</si>
  <si>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</si>
  <si>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</si>
  <si>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</si>
  <si>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</si>
  <si>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</si>
  <si>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</si>
  <si>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</si>
  <si>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</si>
  <si>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</si>
  <si>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</si>
  <si>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</si>
  <si>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</si>
  <si>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</si>
  <si>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</si>
  <si>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</si>
  <si>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</si>
  <si>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</si>
  <si>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</si>
  <si>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</si>
  <si>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</si>
  <si>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</si>
  <si>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</si>
  <si>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</si>
  <si>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</si>
  <si>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</si>
  <si>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</si>
  <si>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</si>
  <si>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</si>
  <si>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</si>
  <si>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</si>
  <si>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</si>
  <si>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</si>
  <si>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</si>
  <si>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</si>
  <si>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</si>
  <si>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</si>
  <si>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</si>
  <si>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</si>
  <si>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</si>
  <si>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</si>
  <si>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</si>
  <si>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</si>
  <si>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</si>
  <si>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</si>
  <si>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</si>
  <si>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</si>
  <si>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</si>
  <si>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</si>
  <si>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</si>
  <si>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</si>
  <si>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</si>
  <si>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</si>
  <si>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</si>
  <si>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</si>
  <si>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</si>
  <si>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</si>
  <si>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</si>
  <si>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</si>
  <si>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</si>
  <si>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</si>
  <si>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</si>
  <si>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</si>
  <si>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</si>
  <si>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</si>
  <si>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</si>
  <si>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</si>
  <si>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</si>
  <si>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</si>
  <si>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</si>
  <si>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</si>
  <si>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</si>
  <si>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</si>
  <si>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</si>
  <si>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</si>
  <si>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</si>
  <si>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</si>
  <si>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</si>
  <si>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</si>
  <si>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</si>
  <si>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</si>
  <si>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</si>
  <si>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</si>
  <si>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</si>
  <si>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</si>
  <si>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</si>
  <si>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</si>
  <si>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</si>
  <si>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</si>
  <si>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</si>
  <si>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</si>
  <si>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</si>
  <si>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</si>
  <si>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</si>
  <si>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</si>
  <si>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</si>
  <si>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</si>
  <si>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</si>
  <si>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</si>
  <si>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</si>
  <si>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</si>
  <si>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</si>
  <si>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</si>
  <si>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</si>
  <si>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</si>
  <si>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</si>
  <si>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</si>
  <si>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</si>
  <si>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</si>
  <si>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</si>
  <si>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</si>
  <si>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</si>
  <si>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</si>
  <si>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</si>
  <si>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</si>
  <si>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</si>
  <si>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</si>
  <si>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</si>
  <si>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</si>
  <si>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</si>
  <si>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</si>
  <si>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</si>
  <si>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</si>
  <si>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</si>
  <si>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</si>
  <si>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</si>
  <si>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</si>
  <si>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</si>
  <si>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</si>
  <si>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</si>
  <si>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</si>
  <si>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</si>
  <si>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</si>
  <si>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</si>
  <si>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</si>
  <si>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</si>
  <si>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</si>
  <si>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</si>
  <si>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</si>
  <si>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</si>
  <si>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</si>
  <si>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</si>
  <si>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</si>
  <si>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</si>
  <si>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</si>
  <si>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</si>
  <si>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</si>
  <si>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</si>
  <si>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</si>
  <si>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</si>
  <si>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</si>
  <si>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</si>
  <si>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</si>
  <si>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</si>
  <si>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</si>
  <si>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</si>
  <si>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</si>
  <si>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</si>
  <si>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</si>
  <si>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</si>
  <si>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</si>
  <si>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</si>
  <si>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</si>
  <si>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</si>
  <si>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</si>
  <si>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</si>
  <si>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</si>
  <si>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</si>
  <si>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</si>
  <si>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</si>
  <si>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</si>
  <si>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</si>
  <si>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</si>
  <si>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</si>
  <si>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</si>
  <si>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</si>
  <si>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</si>
  <si>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</si>
  <si>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</si>
  <si>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</si>
  <si>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</si>
  <si>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</si>
  <si>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</si>
  <si>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</si>
  <si>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</si>
  <si>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</si>
  <si>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</si>
  <si>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</si>
  <si>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</si>
  <si>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</si>
  <si>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</si>
  <si>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</si>
  <si>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</si>
  <si>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</si>
  <si>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</si>
  <si>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</si>
  <si>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</si>
  <si>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</si>
  <si>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</si>
  <si>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</si>
  <si>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</si>
  <si>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</si>
  <si>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</si>
  <si>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</si>
  <si>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</si>
  <si>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</si>
  <si>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</si>
  <si>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</si>
  <si>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</si>
  <si>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</si>
  <si>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</si>
  <si>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</si>
  <si>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</si>
  <si>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</si>
  <si>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</si>
  <si>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</si>
  <si>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</si>
  <si>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</si>
  <si>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</si>
  <si>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</si>
  <si>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</si>
  <si>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</si>
  <si>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</si>
  <si>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</si>
  <si>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</si>
  <si>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</si>
  <si>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</si>
  <si>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</si>
  <si>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</si>
  <si>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</si>
  <si>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</si>
  <si>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</si>
  <si>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</si>
  <si>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</si>
  <si>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</si>
  <si>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</si>
  <si>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</si>
  <si>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</si>
  <si>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</si>
  <si>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</si>
  <si>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</si>
  <si>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</si>
  <si>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</si>
  <si>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</si>
  <si>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</si>
  <si>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</si>
  <si>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</si>
  <si>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</si>
  <si>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</si>
  <si>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</si>
  <si>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</si>
  <si>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</si>
  <si>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</si>
  <si>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</si>
  <si>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</si>
  <si>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</si>
  <si>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</si>
  <si>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</si>
  <si>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</si>
  <si>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</si>
  <si>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</si>
  <si>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</si>
  <si>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</si>
  <si>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</si>
  <si>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</si>
  <si>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</si>
  <si>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</si>
  <si>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</si>
  <si>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</si>
  <si>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</si>
  <si>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</si>
  <si>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</si>
  <si>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</si>
  <si>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</si>
  <si>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</si>
  <si>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</si>
  <si>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</si>
  <si>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</si>
  <si>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</si>
  <si>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</si>
  <si>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</si>
  <si>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</si>
  <si>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</si>
  <si>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</si>
  <si>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</si>
  <si>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</si>
  <si>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</si>
  <si>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</si>
  <si>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</si>
  <si>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</si>
  <si>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</si>
  <si>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</si>
  <si>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</si>
  <si>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</si>
  <si>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</si>
  <si>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</si>
  <si>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</si>
  <si>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</si>
  <si>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</si>
  <si>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</si>
  <si>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</si>
  <si>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</si>
  <si>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</si>
  <si>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</si>
  <si>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</si>
  <si>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</si>
  <si>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</si>
  <si>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</si>
  <si>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</si>
  <si>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</si>
  <si>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</si>
  <si>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</si>
  <si>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</si>
  <si>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</si>
  <si>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</si>
  <si>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</si>
  <si>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</si>
  <si>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</si>
  <si>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</si>
  <si>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</si>
  <si>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</si>
  <si>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</si>
  <si>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</si>
  <si>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</si>
  <si>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</si>
  <si>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</si>
  <si>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</si>
  <si>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</si>
  <si>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</si>
  <si>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</si>
  <si>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</si>
  <si>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</si>
  <si>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</si>
  <si>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</si>
  <si>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</si>
  <si>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</si>
  <si>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</si>
  <si>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</si>
  <si>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</si>
  <si>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</si>
  <si>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</si>
  <si>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</si>
  <si>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</si>
  <si>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</si>
  <si>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</si>
  <si>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</si>
  <si>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</si>
  <si>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</si>
  <si>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</si>
  <si>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</si>
  <si>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</si>
  <si>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</si>
  <si>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</si>
  <si>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</si>
  <si>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</si>
  <si>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</si>
  <si>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</si>
  <si>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</si>
  <si>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</si>
  <si>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</si>
  <si>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</si>
  <si>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</si>
  <si>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</si>
  <si>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</si>
  <si>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</si>
  <si>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</si>
  <si>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</si>
  <si>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</si>
  <si>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</si>
  <si>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</si>
  <si>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</si>
  <si>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</si>
  <si>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</si>
  <si>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</si>
  <si>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</si>
  <si>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</si>
  <si>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</si>
  <si>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</si>
  <si>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</si>
  <si>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</si>
  <si>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</si>
  <si>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</si>
  <si>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</si>
  <si>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</si>
  <si>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</si>
  <si>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</si>
  <si>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</si>
  <si>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</si>
  <si>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</si>
  <si>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</si>
  <si>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</si>
  <si>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</si>
  <si>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</si>
  <si>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</si>
  <si>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</si>
  <si>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</si>
  <si>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</si>
  <si>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</si>
  <si>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</si>
  <si>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</si>
  <si>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</si>
  <si>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</si>
  <si>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</si>
  <si>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</si>
  <si>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</si>
  <si>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</si>
  <si>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</si>
  <si>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</si>
  <si>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</si>
  <si>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</si>
  <si>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</si>
  <si>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</si>
  <si>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</si>
  <si>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</si>
  <si>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</si>
  <si>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</si>
  <si>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</si>
  <si>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</si>
  <si>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</si>
  <si>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</si>
  <si>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</si>
  <si>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</si>
  <si>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</si>
  <si>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</si>
  <si>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</si>
  <si>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</si>
  <si>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</si>
  <si>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</si>
  <si>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</si>
  <si>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</si>
  <si>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</si>
  <si>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</si>
  <si>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</si>
  <si>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</si>
  <si>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</si>
  <si>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</si>
  <si>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</si>
  <si>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</si>
  <si>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</si>
  <si>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</si>
  <si>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</si>
  <si>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</si>
  <si>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</si>
  <si>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</si>
  <si>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</si>
  <si>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</si>
  <si>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</si>
  <si>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</si>
  <si>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</si>
  <si>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</si>
  <si>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</si>
  <si>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</si>
  <si>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</si>
  <si>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</si>
  <si>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</si>
  <si>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</si>
  <si>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</si>
  <si>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</si>
  <si>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</si>
  <si>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</si>
  <si>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</si>
  <si>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</si>
  <si>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</si>
  <si>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</si>
  <si>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</si>
  <si>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</si>
  <si>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</si>
  <si>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</si>
  <si>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</si>
  <si>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</si>
  <si>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</si>
  <si>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</si>
  <si>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</si>
  <si>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</si>
  <si>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</si>
  <si>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</si>
  <si>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</si>
  <si>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</si>
  <si>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</si>
  <si>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</si>
  <si>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</si>
  <si>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</si>
  <si>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</si>
  <si>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</si>
  <si>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</si>
  <si>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</si>
  <si>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</si>
  <si>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</si>
  <si>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</si>
  <si>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</si>
  <si>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</si>
  <si>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</si>
  <si>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</si>
  <si>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</si>
  <si>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</si>
  <si>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</si>
  <si>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</si>
  <si>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</si>
  <si>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</si>
  <si>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</si>
  <si>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</si>
  <si>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</si>
  <si>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</si>
  <si>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</si>
  <si>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</si>
  <si>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</si>
  <si>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</si>
  <si>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</si>
  <si>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</si>
  <si>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</si>
  <si>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</si>
  <si>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</si>
  <si>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</si>
  <si>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</si>
  <si>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</si>
  <si>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</si>
  <si>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</si>
  <si>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</si>
  <si>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</si>
  <si>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</si>
  <si>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</si>
  <si>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</si>
  <si>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</si>
  <si>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</si>
  <si>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</si>
  <si>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</si>
  <si>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</si>
  <si>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</si>
  <si>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</si>
  <si>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</si>
  <si>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</si>
  <si>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</si>
  <si>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</si>
  <si>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</si>
  <si>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</si>
  <si>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</si>
  <si>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</si>
  <si>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</si>
  <si>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</si>
  <si>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</si>
  <si>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</si>
  <si>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</si>
  <si>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</si>
  <si>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</si>
  <si>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</si>
  <si>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</si>
  <si>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</si>
  <si>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</si>
  <si>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</si>
  <si>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</si>
  <si>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</si>
  <si>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</si>
  <si>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</si>
  <si>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</si>
  <si>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</si>
  <si>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</si>
  <si>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</si>
  <si>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</si>
  <si>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</si>
  <si>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</si>
  <si>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</si>
  <si>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</si>
  <si>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</si>
  <si>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</si>
  <si>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</si>
  <si>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</si>
  <si>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</si>
  <si>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</si>
  <si>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</si>
  <si>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</si>
  <si>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</si>
  <si>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</si>
  <si>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</si>
  <si>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</si>
  <si>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</si>
  <si>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</si>
  <si>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</si>
  <si>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</si>
  <si>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</si>
  <si>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</si>
  <si>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</si>
  <si>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</si>
  <si>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</si>
  <si>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</si>
  <si>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</si>
  <si>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</si>
  <si>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</si>
  <si>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</si>
  <si>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</si>
  <si>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</si>
  <si>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</si>
  <si>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</si>
  <si>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</si>
  <si>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</si>
  <si>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</si>
  <si>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</si>
  <si>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</si>
  <si>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</si>
  <si>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</si>
  <si>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</si>
  <si>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</si>
  <si>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</si>
  <si>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</si>
  <si>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</si>
  <si>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</si>
  <si>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</si>
  <si>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</si>
  <si>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</si>
  <si>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</si>
  <si>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</si>
  <si>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</si>
  <si>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</si>
  <si>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</si>
  <si>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</si>
  <si>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</si>
  <si>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</si>
  <si>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</si>
  <si>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</si>
  <si>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</si>
  <si>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</si>
  <si>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</si>
  <si>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</si>
  <si>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</si>
  <si>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</si>
  <si>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</si>
  <si>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</si>
  <si>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</si>
  <si>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</si>
  <si>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</si>
  <si>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</si>
  <si>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</si>
  <si>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</si>
  <si>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</si>
  <si>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</si>
  <si>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</si>
  <si>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</si>
  <si>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</si>
  <si>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</si>
  <si>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</si>
  <si>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</si>
  <si>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</si>
  <si>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</si>
  <si>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</si>
  <si>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</si>
  <si>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</si>
  <si>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</si>
  <si>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</si>
  <si>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</si>
  <si>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</si>
  <si>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</si>
  <si>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</si>
  <si>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</si>
  <si>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</si>
  <si>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</si>
  <si>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</si>
  <si>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</si>
  <si>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</si>
  <si>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</si>
  <si>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</si>
  <si>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</si>
  <si>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</si>
  <si>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</si>
  <si>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</si>
  <si>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</si>
  <si>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</si>
  <si>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</si>
  <si>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</si>
  <si>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</si>
  <si>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</si>
  <si>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</si>
  <si>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</si>
  <si>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</si>
  <si>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</si>
  <si>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</si>
  <si>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</si>
  <si>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</si>
  <si>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</si>
  <si>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</si>
  <si>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</si>
  <si>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</si>
  <si>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</si>
  <si>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</si>
  <si>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</si>
  <si>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</si>
  <si>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</si>
  <si>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</si>
  <si>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</si>
  <si>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</si>
  <si>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</si>
  <si>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</si>
  <si>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</si>
  <si>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</si>
  <si>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</si>
  <si>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</si>
  <si>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</si>
  <si>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</si>
  <si>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</si>
  <si>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</si>
  <si>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</si>
  <si>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</si>
  <si>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</si>
  <si>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</si>
  <si>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</si>
  <si>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</si>
  <si>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</si>
  <si>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</si>
  <si>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</si>
  <si>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</si>
  <si>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</si>
  <si>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</si>
  <si>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</si>
  <si>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</si>
  <si>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</si>
  <si>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</si>
  <si>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</si>
  <si>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</si>
  <si>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</si>
  <si>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</si>
  <si>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</si>
  <si>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</si>
  <si>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</si>
  <si>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</si>
  <si>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</si>
  <si>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</si>
  <si>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</si>
  <si>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</si>
  <si>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</si>
  <si>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</si>
  <si>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</si>
  <si>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</si>
  <si>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</si>
  <si>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</si>
  <si>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</si>
  <si>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</si>
  <si>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</si>
  <si>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</si>
  <si>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</si>
  <si>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</si>
  <si>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</si>
  <si>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</si>
  <si>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</si>
  <si>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</si>
  <si>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</si>
  <si>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</si>
  <si>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</si>
  <si>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</si>
  <si>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</si>
  <si>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</si>
  <si>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</si>
  <si>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</si>
  <si>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</si>
  <si>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</si>
  <si>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</si>
  <si>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</si>
  <si>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</si>
  <si>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</si>
  <si>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</si>
  <si>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</si>
  <si>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</si>
  <si>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</si>
  <si>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</si>
  <si>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</si>
  <si>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</si>
  <si>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</si>
  <si>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</si>
  <si>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</si>
  <si>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</si>
  <si>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</si>
  <si>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</si>
  <si>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</si>
  <si>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</si>
  <si>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</si>
  <si>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</si>
  <si>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</si>
  <si>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</si>
  <si>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</si>
  <si>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</si>
  <si>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</si>
  <si>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</si>
  <si>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</si>
  <si>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</si>
  <si>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</si>
  <si>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</si>
  <si>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</si>
  <si>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</si>
  <si>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</si>
  <si>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</si>
  <si>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</si>
  <si>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</si>
  <si>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</si>
  <si>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</si>
  <si>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</si>
  <si>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</si>
  <si>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</si>
  <si>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</si>
  <si>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</si>
  <si>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</si>
  <si>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</si>
  <si>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</si>
  <si>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</si>
  <si>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</si>
  <si>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</si>
  <si>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</si>
  <si>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</si>
  <si>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</si>
  <si>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</si>
  <si>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</si>
  <si>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</si>
  <si>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</si>
  <si>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</si>
  <si>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</si>
  <si>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</si>
  <si>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</si>
  <si>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</si>
  <si>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</si>
  <si>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</si>
  <si>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</si>
  <si>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</si>
  <si>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</si>
  <si>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</si>
  <si>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</si>
  <si>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</si>
  <si>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</si>
  <si>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</si>
  <si>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</si>
  <si>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</si>
  <si>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</si>
  <si>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</si>
  <si>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</si>
  <si>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</si>
  <si>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</si>
  <si>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</si>
  <si>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</si>
  <si>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</si>
  <si>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</si>
  <si>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</si>
  <si>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</si>
  <si>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</si>
  <si>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</si>
  <si>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</si>
  <si>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</si>
  <si>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</si>
  <si>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</si>
  <si>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</si>
  <si>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</si>
  <si>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</si>
  <si>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</si>
  <si>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</si>
  <si>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</si>
  <si>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</si>
  <si>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</si>
  <si>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</si>
  <si>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</si>
  <si>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</si>
  <si>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</si>
  <si>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</si>
  <si>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</si>
  <si>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</si>
  <si>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</si>
  <si>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</si>
  <si>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</si>
  <si>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</si>
  <si>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</si>
  <si>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</si>
  <si>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</si>
  <si>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</si>
  <si>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</si>
  <si>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</si>
  <si>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</si>
  <si>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</si>
  <si>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</si>
  <si>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</si>
  <si>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</si>
  <si>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</si>
  <si>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</si>
  <si>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</si>
  <si>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</si>
  <si>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</si>
  <si>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</si>
  <si>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</si>
  <si>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</si>
  <si>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</si>
  <si>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</si>
  <si>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</si>
  <si>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</si>
  <si>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</si>
  <si>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</si>
  <si>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</si>
  <si>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</si>
  <si>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</si>
  <si>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</si>
  <si>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</si>
  <si>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</si>
  <si>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</si>
  <si>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</si>
  <si>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</si>
  <si>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</si>
  <si>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</si>
  <si>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</si>
  <si>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</si>
  <si>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</si>
  <si>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</si>
  <si>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</si>
  <si>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</si>
  <si>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</si>
  <si>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</si>
  <si>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</si>
  <si>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</si>
  <si>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</si>
  <si>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</si>
  <si>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</si>
  <si>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</si>
  <si>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</si>
  <si>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</si>
  <si>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</si>
  <si>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</si>
  <si>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</si>
  <si>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</si>
  <si>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</si>
  <si>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</si>
  <si>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</si>
  <si>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</si>
  <si>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</si>
  <si>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</si>
  <si>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</si>
  <si>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</si>
  <si>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</si>
  <si>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</si>
  <si>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</si>
  <si>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</si>
  <si>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</si>
  <si>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</si>
  <si>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</si>
  <si>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</si>
  <si>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</si>
  <si>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</si>
  <si>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</si>
  <si>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</si>
  <si>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</si>
  <si>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</si>
  <si>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</si>
  <si>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</si>
  <si>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</si>
  <si>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</si>
  <si>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</si>
  <si>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</si>
  <si>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</si>
  <si>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</si>
  <si>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</si>
  <si>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</si>
  <si>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ПФм1</t>
  </si>
  <si>
    <t>ПФм1_спец</t>
  </si>
  <si>
    <t>check</t>
  </si>
  <si>
    <t>Тест_об</t>
  </si>
  <si>
    <t>_об</t>
  </si>
  <si>
    <t>Тест_зап</t>
  </si>
  <si>
    <t>_зап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</si>
  <si>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</si>
  <si>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</si>
  <si>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</si>
  <si>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</si>
  <si>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</si>
  <si>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</si>
  <si>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</si>
  <si>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</si>
  <si>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</si>
  <si>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</si>
  <si>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</si>
  <si>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>177,8</t>
  </si>
  <si>
    <t>34,6</t>
  </si>
  <si>
    <t>Пм1_спец</t>
  </si>
  <si>
    <t>Лмн1_спец</t>
  </si>
  <si>
    <t>Сл2</t>
  </si>
  <si>
    <t>Сводная_спец</t>
  </si>
  <si>
    <t>ПФм1_норм</t>
  </si>
  <si>
    <t>_норм</t>
  </si>
  <si>
    <t>Пм1_кж</t>
  </si>
  <si>
    <t>_кж</t>
  </si>
  <si>
    <t>Пм1_гр</t>
  </si>
  <si>
    <t>_гр</t>
  </si>
  <si>
    <t>Изделия_спец.И</t>
  </si>
  <si>
    <t>Небивка массы на -1.09999999999957E-02 груп= 38.775, общая= 38.786</t>
  </si>
  <si>
    <t>Сводная_гр</t>
  </si>
  <si>
    <t>Сводная_кж</t>
  </si>
  <si>
    <t>Сводная_норм</t>
  </si>
  <si>
    <t>Перенумеровано по сборкам</t>
  </si>
  <si>
    <t>Перенумеровано сквнозной нумерацией</t>
  </si>
  <si>
    <t>Сводная_об</t>
  </si>
  <si>
    <t>Сводная_грс</t>
  </si>
  <si>
    <t>Сводная</t>
  </si>
  <si>
    <t>Сводная_км</t>
  </si>
  <si>
    <t>D:\Рогожин ДА\prog\YandexDisk\Работа\material-specification\list\Спец_Сводная_км_10.pdf</t>
  </si>
  <si>
    <t>PDF</t>
  </si>
  <si>
    <t>Козырьки_об</t>
  </si>
  <si>
    <t>Площадки входные_об</t>
  </si>
  <si>
    <t>Сортаменты обновлёны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</si>
  <si>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</si>
  <si>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</si>
  <si>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</si>
  <si>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</si>
  <si>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</si>
  <si>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</si>
  <si>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</si>
  <si>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</si>
  <si>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</si>
  <si>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</si>
  <si>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</si>
  <si>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</si>
  <si>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</si>
  <si>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</si>
  <si>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</si>
  <si>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</si>
  <si>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</si>
  <si>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</si>
  <si>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</si>
  <si>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</si>
  <si>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</si>
  <si>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</si>
  <si>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</si>
  <si>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</si>
  <si>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</si>
  <si>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</si>
  <si>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</si>
  <si>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</si>
  <si>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</si>
  <si>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</si>
  <si>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</si>
  <si>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</si>
  <si>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</si>
  <si>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</si>
  <si>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</si>
  <si>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</si>
  <si>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</si>
  <si>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</si>
  <si>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</si>
  <si>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</si>
  <si>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</si>
  <si>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</si>
  <si>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</si>
  <si>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</si>
  <si>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</si>
  <si>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</si>
  <si>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</si>
  <si>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</si>
  <si>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</si>
  <si>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</si>
  <si>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</si>
  <si>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</si>
  <si>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</si>
  <si>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</si>
  <si>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</si>
  <si>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</si>
  <si>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</si>
  <si>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</si>
  <si>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</si>
  <si>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</si>
  <si>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</si>
  <si>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</si>
  <si>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</si>
  <si>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</si>
  <si>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</si>
  <si>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</si>
  <si>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</si>
  <si>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</si>
  <si>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</si>
  <si>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</si>
  <si>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</si>
  <si>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</si>
  <si>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</si>
  <si>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</si>
  <si>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</si>
  <si>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</si>
  <si>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</si>
  <si>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</si>
  <si>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</si>
  <si>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</si>
  <si>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</si>
  <si>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</si>
  <si>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</si>
  <si>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</si>
  <si>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</si>
  <si>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</si>
  <si>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</si>
  <si>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</si>
  <si>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</si>
  <si>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</si>
  <si>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</si>
  <si>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</si>
  <si>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</si>
  <si>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</si>
  <si>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</si>
  <si>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</si>
  <si>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</si>
  <si>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</si>
  <si>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</si>
  <si>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</si>
  <si>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</si>
  <si>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</si>
  <si>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</si>
  <si>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</si>
  <si>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</si>
  <si>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</si>
  <si>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</si>
  <si>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</si>
  <si>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</si>
  <si>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</si>
  <si>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</si>
  <si>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</si>
  <si>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</si>
  <si>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</si>
  <si>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</si>
  <si>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</si>
  <si>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</si>
  <si>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</si>
  <si>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</si>
  <si>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</si>
  <si>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</si>
  <si>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</si>
  <si>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</si>
  <si>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</si>
  <si>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</si>
  <si>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</si>
  <si>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</si>
  <si>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</si>
  <si>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</si>
  <si>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</si>
  <si>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</si>
  <si>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</si>
  <si>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</si>
  <si>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</si>
  <si>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</si>
  <si>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</si>
  <si>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</si>
  <si>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</si>
  <si>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</si>
  <si>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</si>
  <si>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</si>
  <si>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</si>
  <si>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</si>
  <si>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</si>
  <si>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</si>
  <si>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</si>
  <si>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</si>
  <si>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</si>
  <si>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</si>
  <si>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</si>
  <si>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</si>
  <si>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</si>
  <si>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</si>
  <si>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</si>
  <si>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</si>
  <si>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</si>
  <si>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</si>
  <si>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</si>
  <si>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</si>
  <si>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</si>
  <si>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</si>
  <si>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</si>
  <si>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</si>
  <si>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</si>
  <si>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</si>
  <si>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</si>
  <si>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</si>
  <si>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</si>
  <si>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</si>
  <si>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</si>
  <si>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</si>
  <si>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</si>
  <si>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</si>
  <si>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</si>
  <si>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</si>
  <si>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</si>
  <si>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</si>
  <si>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</si>
  <si>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</si>
  <si>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</si>
  <si>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</si>
  <si>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</si>
  <si>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</si>
  <si>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</si>
  <si>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</si>
  <si>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</si>
  <si>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</si>
  <si>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</si>
  <si>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</si>
  <si>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</si>
  <si>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</si>
  <si>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</si>
  <si>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</si>
  <si>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</si>
  <si>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</si>
  <si>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</si>
  <si>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</si>
  <si>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</si>
  <si>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</si>
  <si>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</si>
  <si>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</si>
  <si>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</si>
  <si>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</si>
  <si>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</si>
  <si>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</si>
  <si>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</si>
  <si>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</si>
  <si>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</si>
  <si>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</si>
  <si>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</si>
  <si>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</si>
  <si>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</si>
  <si>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</si>
  <si>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</si>
  <si>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</si>
  <si>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</si>
  <si>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</si>
  <si>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</si>
  <si>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</si>
  <si>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</si>
  <si>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</si>
  <si>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</si>
  <si>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</si>
  <si>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</si>
  <si>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</si>
  <si>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</si>
  <si>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</si>
  <si>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</si>
  <si>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</si>
  <si>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</si>
  <si>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</si>
  <si>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</si>
  <si>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</si>
  <si>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</si>
  <si>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</si>
  <si>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</si>
  <si>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</si>
  <si>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</si>
  <si>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</si>
  <si>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</si>
  <si>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</si>
  <si>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</si>
  <si>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</si>
  <si>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</si>
  <si>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</si>
  <si>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</si>
  <si>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</si>
  <si>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</si>
  <si>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</si>
  <si>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</si>
  <si>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</si>
  <si>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</si>
  <si>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</si>
  <si>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</si>
  <si>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</si>
  <si>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Отмена перенумерации</t>
  </si>
  <si>
    <t>Автовывод</t>
  </si>
  <si>
    <t>Начало</t>
  </si>
  <si>
    <t>Включена автонастройка листов</t>
  </si>
  <si>
    <t>Козырьки</t>
  </si>
  <si>
    <t>Проверьте пол/потолок номер помещения 101 или 1</t>
  </si>
  <si>
    <t>Проверьте пол/потолок номер помещения 103 или 3</t>
  </si>
  <si>
    <t>Проверьте пол/потолок номер помещения 109 или 112</t>
  </si>
  <si>
    <t>Козырьки_вед</t>
  </si>
  <si>
    <t>Панели на всю высоту стен? 0,9</t>
  </si>
  <si>
    <t>Разница площади помещения и пола в помещении 101</t>
  </si>
  <si>
    <t>-1,14</t>
  </si>
  <si>
    <t>Разница площади помещения и пола в помещении 104</t>
  </si>
  <si>
    <t>-1,37</t>
  </si>
  <si>
    <t>Разница площади помещения и пола в помещении 109</t>
  </si>
  <si>
    <t>5,01</t>
  </si>
  <si>
    <t>Панели на всю высоту стен? 1,5</t>
  </si>
  <si>
    <t>Разница площади помещения и пола в помещении 103</t>
  </si>
  <si>
    <t>-1,95</t>
  </si>
  <si>
    <t>Разница площади помещения и пола в помещении 107</t>
  </si>
  <si>
    <t>8,3</t>
  </si>
  <si>
    <t>203,3</t>
  </si>
  <si>
    <t>440,3</t>
  </si>
  <si>
    <t>434,2</t>
  </si>
  <si>
    <t>203,5</t>
  </si>
  <si>
    <t>433,9</t>
  </si>
  <si>
    <t>238,1</t>
  </si>
  <si>
    <t>431,1</t>
  </si>
  <si>
    <t>434,9</t>
  </si>
  <si>
    <t>228,1</t>
  </si>
  <si>
    <t>863,3</t>
  </si>
  <si>
    <t>292,1</t>
  </si>
  <si>
    <t>431,4</t>
  </si>
  <si>
    <t>863,4</t>
  </si>
  <si>
    <t>292,3</t>
  </si>
  <si>
    <t>250,1</t>
  </si>
  <si>
    <t>228,3</t>
  </si>
  <si>
    <t>141,1</t>
  </si>
  <si>
    <t>432,9</t>
  </si>
  <si>
    <t>230,8</t>
  </si>
  <si>
    <t>-1,13</t>
  </si>
  <si>
    <t>440,1</t>
  </si>
  <si>
    <t>436,4</t>
  </si>
  <si>
    <t>260,9</t>
  </si>
  <si>
    <t>230,6</t>
  </si>
  <si>
    <t>163,1</t>
  </si>
  <si>
    <t>221,3</t>
  </si>
  <si>
    <t>153,8</t>
  </si>
  <si>
    <t>220,4</t>
  </si>
  <si>
    <t>Проверьте пол/потолок номер помещения 108 или 107</t>
  </si>
  <si>
    <t>Проверьте пол/потолок номер помещения 109 или 107</t>
  </si>
  <si>
    <t>Ведомость отделки_вед</t>
  </si>
  <si>
    <t>-1,38</t>
  </si>
  <si>
    <t>352,5</t>
  </si>
  <si>
    <t>195,2</t>
  </si>
  <si>
    <t>228,8</t>
  </si>
  <si>
    <t>19 8 22/ 16 11 9</t>
  </si>
  <si>
    <t>Ведомость отделки_правила</t>
  </si>
  <si>
    <t>Ведомость отделки_экспл</t>
  </si>
  <si>
    <t>_экспл</t>
  </si>
  <si>
    <t>Разница площади помещения и потолка в помещении 1</t>
  </si>
  <si>
    <t>Разница площади помещения и пола в помещении 1</t>
  </si>
  <si>
    <t>120,6</t>
  </si>
  <si>
    <t>174,8</t>
  </si>
  <si>
    <t>12,5</t>
  </si>
  <si>
    <t>22,1</t>
  </si>
  <si>
    <t>Щиты</t>
  </si>
  <si>
    <t>Щиты_об</t>
  </si>
  <si>
    <t>Щиты_грс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</si>
  <si>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</si>
  <si>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</si>
  <si>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</si>
  <si>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</si>
  <si>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</si>
  <si>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</si>
  <si>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</si>
  <si>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</si>
  <si>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</si>
  <si>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</si>
  <si>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</si>
  <si>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</si>
  <si>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</si>
  <si>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Потолок</t>
  </si>
  <si>
    <t>Проверьте пол/потолок номер помещения 228 или 229</t>
  </si>
  <si>
    <t>Пер.кир.250+ут.100штук.с 2х сторон</t>
  </si>
  <si>
    <t>Перегородки кирпичные.АР</t>
  </si>
  <si>
    <t>Фасадная панель 250 утеп 100 дек штук</t>
  </si>
  <si>
    <t>Стены наружные ж/б панели.АР</t>
  </si>
  <si>
    <t>Пер.кир.120+ут100штук.с 2х сторон</t>
  </si>
  <si>
    <t>Перегородка кирпичная 120 штукатурка с 2х сторон</t>
  </si>
  <si>
    <t>ГКЛ - обшивка по каркасу С623 55 мм</t>
  </si>
  <si>
    <t>Перегородки ГКЛ.АР</t>
  </si>
  <si>
    <t>Кирпич 250 штукатурка с 2х сторон</t>
  </si>
  <si>
    <t>Пер.кир.120+ут50штук.с 2х сторон</t>
  </si>
  <si>
    <t>Пер.кир.250+ут50штук.с 2х сторон</t>
  </si>
  <si>
    <t>Бетон - В25 (стены)</t>
  </si>
  <si>
    <t>Ж\Б 140+ут50+штук20</t>
  </si>
  <si>
    <t>Стены наружные кирпич.АР</t>
  </si>
  <si>
    <t>Фасадная панель 300 утеп 100 дек штук</t>
  </si>
  <si>
    <t>Разница площади помещения и потолка в помещении 228</t>
  </si>
  <si>
    <t>1,15</t>
  </si>
  <si>
    <t>Разница площади помещения и пола в помещении 228</t>
  </si>
  <si>
    <t>Разница площади помещения и потолка в помещении 319</t>
  </si>
  <si>
    <t>1,19</t>
  </si>
  <si>
    <t>Разница площади помещения и пола в помещении 319</t>
  </si>
  <si>
    <t>-83,01</t>
  </si>
  <si>
    <t>Разница площади помещения и пола в помещении 306</t>
  </si>
  <si>
    <t>-9,76</t>
  </si>
  <si>
    <t>Разница площади помещения и потолка в помещении 316</t>
  </si>
  <si>
    <t>-1,09</t>
  </si>
  <si>
    <t>Разница площади помещения и пола в помещении 316</t>
  </si>
  <si>
    <t>Разница площади помещения и потолка в помещении 224</t>
  </si>
  <si>
    <t>-61,75</t>
  </si>
  <si>
    <t>Разница площади помещения и пола в помещении 224</t>
  </si>
  <si>
    <t>-4,35</t>
  </si>
  <si>
    <t>Разница площади помещения и потолка в помещении 229</t>
  </si>
  <si>
    <t>-1,27</t>
  </si>
  <si>
    <t>1603,5</t>
  </si>
  <si>
    <t>3037,5</t>
  </si>
  <si>
    <t>147,3</t>
  </si>
  <si>
    <t>604,8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</si>
  <si>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</si>
  <si>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</si>
  <si>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</si>
  <si>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</si>
  <si>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</si>
  <si>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</si>
  <si>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</si>
  <si>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</si>
  <si>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</si>
  <si>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П1</t>
  </si>
  <si>
    <t>Затирка</t>
  </si>
  <si>
    <t>П3</t>
  </si>
  <si>
    <t>П2</t>
  </si>
  <si>
    <t>Общяя площадь отделки, кв.м.</t>
  </si>
  <si>
    <t>246,6</t>
  </si>
  <si>
    <t>Разница площади помещения и потолка в помещении 139</t>
  </si>
  <si>
    <t>Разница площади помещения и потолка в помещении 301</t>
  </si>
  <si>
    <t>Разница площади помещения и потолка в помещении 317</t>
  </si>
  <si>
    <t>189,5</t>
  </si>
  <si>
    <t>242,3</t>
  </si>
  <si>
    <t>Низ ж/б лестниц</t>
  </si>
  <si>
    <t>1598,4</t>
  </si>
  <si>
    <t>Разница площади помещения 18,81 и потолка 17,408 в помещении 139</t>
  </si>
  <si>
    <t>Разница площади помещения 8,05 и потолка 69,8 в помещении 224</t>
  </si>
  <si>
    <t>Разница площади помещения 39,75 и потолка 38,6 в помещении 228</t>
  </si>
  <si>
    <t>Разница площади помещения 16,33 и потолка 17,6 в помещении 229</t>
  </si>
  <si>
    <t>Разница площади помещения 19,11 и потолка 17,702 в помещении 301</t>
  </si>
  <si>
    <t>Разница площади помещения 16,71 и потолка 17,8 в помещении 316</t>
  </si>
  <si>
    <t>Разница площади помещения 19,16 и потолка 17,702 в помещении 317</t>
  </si>
  <si>
    <t>Разница площади помещения 85,39 и потолка 84,2 в помещении 319</t>
  </si>
  <si>
    <t>1598,6</t>
  </si>
  <si>
    <t>3041,9</t>
  </si>
  <si>
    <t>150,5</t>
  </si>
  <si>
    <t>607,2</t>
  </si>
  <si>
    <t>3026,6</t>
  </si>
  <si>
    <t>Потолок: Затирка</t>
  </si>
  <si>
    <t>Потолок: Шпатлёвка</t>
  </si>
  <si>
    <t>Анкер_спец</t>
  </si>
  <si>
    <t>Анкер</t>
  </si>
  <si>
    <t>Анкер_об</t>
  </si>
  <si>
    <t>ГКЛ - 12</t>
  </si>
  <si>
    <t>ARCHICAD</t>
  </si>
  <si>
    <t>379,3</t>
  </si>
  <si>
    <t>81,7</t>
  </si>
  <si>
    <t>322,5</t>
  </si>
  <si>
    <t>56,9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</si>
  <si>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</si>
  <si>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</si>
  <si>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</si>
  <si>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</si>
  <si>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</si>
  <si>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</si>
  <si>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</si>
  <si>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</si>
  <si>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</si>
  <si>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</si>
  <si>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</si>
  <si>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</si>
  <si>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</si>
  <si>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</si>
  <si>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</si>
  <si>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</si>
  <si>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</si>
  <si>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</si>
  <si>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</si>
  <si>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</si>
  <si>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</si>
  <si>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</si>
  <si>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</si>
  <si>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</si>
  <si>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</si>
  <si>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Ошибка арматуры</t>
  </si>
  <si>
    <t xml:space="preserve">Отсутвует вес для 0 </t>
  </si>
  <si>
    <t>НЕТ БЕТОНА</t>
  </si>
  <si>
    <t>Отсутвует вес для 0 A-III(A400)</t>
  </si>
  <si>
    <t>ГОСТ 34028-2016</t>
  </si>
  <si>
    <t>С235
ГОСТ 27772-2015</t>
  </si>
  <si>
    <t>Итого</t>
  </si>
  <si>
    <t>С245
ГОСТ 27772-2015</t>
  </si>
  <si>
    <t>КМ корпус доочистки_км</t>
  </si>
  <si>
    <t>Крм1</t>
  </si>
  <si>
    <t>Небивка массы на -167.5 груп= 836, общая= 1003.5</t>
  </si>
  <si>
    <t>Крм2</t>
  </si>
  <si>
    <t>Небивка массы на  2 груп= 15.4, общая= 13.4</t>
  </si>
  <si>
    <t>Н1</t>
  </si>
  <si>
    <t>Небивка массы на  620.400000000001 груп= 15664, общая= 15043.6</t>
  </si>
  <si>
    <t>ОГ-БМ 105.3805</t>
  </si>
  <si>
    <t>Небивка массы на -5.00000000001819E-02 груп= 2793.4, общая= 2793.45</t>
  </si>
  <si>
    <t>ОГ-БМ 105.410</t>
  </si>
  <si>
    <t>Небивка массы на  1.99999999999818E-02 груп= 126.42, общая= 126.4</t>
  </si>
  <si>
    <t>ОГ-БМ 105.78</t>
  </si>
  <si>
    <t>Небивка массы на  8.00000000000054E-02 груп= 32.56, общая= 32.48</t>
  </si>
  <si>
    <t>ОГ-БМ 105.900</t>
  </si>
  <si>
    <t>Небивка массы на  .100000000000136 груп= 1351.6, общая= 1351.5</t>
  </si>
  <si>
    <t>ОГ-БМ 105.913</t>
  </si>
  <si>
    <t>Небивка массы на  1.99999999999818E-02 груп= 272.88, общая= 272.86</t>
  </si>
  <si>
    <t>ОГ-БМ 125.100</t>
  </si>
  <si>
    <t>Небивка массы на  .039999999999992 груп= 87.44, общая= 87.4</t>
  </si>
  <si>
    <t>ОГ-БМ 125.1002</t>
  </si>
  <si>
    <t>Небивка массы на  4.00000000000205E-02 груп= 160.98, общая= 160.94</t>
  </si>
  <si>
    <t>ОГ-БМ 125.196</t>
  </si>
  <si>
    <t>Небивка массы на  1.99999999999889E-02 груп= 33.9, общая= 33.88</t>
  </si>
  <si>
    <t>ОГ-БМ 125.2947</t>
  </si>
  <si>
    <t>Небивка массы на  2.99999999999727E-02 груп= 464.31, общая= 464.28</t>
  </si>
  <si>
    <t>ОГ-БМ 125.621</t>
  </si>
  <si>
    <t>Небивка массы на  3.00000000000011E-02 груп= 106.7, общая= 106.67</t>
  </si>
  <si>
    <t>ОГ-БМ 125.66</t>
  </si>
  <si>
    <t>Небивка массы на  4.99999999999972E-02 груп= 15.6, общая= 15.55</t>
  </si>
  <si>
    <t>ОГ-БМ 125.80</t>
  </si>
  <si>
    <t>Небивка массы на  1.00000000000016E-02 груп= 19.9, общая= 19.89</t>
  </si>
  <si>
    <t>ОГ-БМ 125.997</t>
  </si>
  <si>
    <t>Небивка массы на  .039999999999992 груп= 160.49, общая= 160.45</t>
  </si>
  <si>
    <t>ОГ-БМ 135.123</t>
  </si>
  <si>
    <t>Небивка массы на  4.99999999999829E-02 груп= 146.35, общая= 146.3</t>
  </si>
  <si>
    <t>ОГ-БМ 135.180</t>
  </si>
  <si>
    <t>Небивка массы на  6.99999999999932E-02 груп= 244.23, общая= 244.16</t>
  </si>
  <si>
    <t>ОГ-БМ 135.248</t>
  </si>
  <si>
    <t>Небивка массы на  4.00000000000063E-02 груп= 47.67, общая= 47.63</t>
  </si>
  <si>
    <t>ОГ-БМ 135.249</t>
  </si>
  <si>
    <t>Небивка массы на  1.00000000000051E-02 груп= 47.7, общая= 47.69</t>
  </si>
  <si>
    <t>ОГ-БМ 135.300</t>
  </si>
  <si>
    <t>Небивка массы на  3.00000000000011E-02 груп= 158.16, общая= 158.13</t>
  </si>
  <si>
    <t>ОГ-БМ 135.380</t>
  </si>
  <si>
    <t>Небивка массы на  3.00000000000011E-02 груп= 66.59, общая= 66.56</t>
  </si>
  <si>
    <t>ОГ-БМ 135.480</t>
  </si>
  <si>
    <t>Небивка массы на  8.00000000000409E-02 груп= 659.68, общая= 659.6</t>
  </si>
  <si>
    <t>ОГ-БМ 135.523</t>
  </si>
  <si>
    <t>Небивка массы на  .340000000000003 груп= 186.06, общая= 185.72</t>
  </si>
  <si>
    <t>ОГЛ-БМ 60.125.456</t>
  </si>
  <si>
    <t>Небивка массы на  7.99999999999841E-02 груп= 123.62, общая= 123.54</t>
  </si>
  <si>
    <t>ОГЛ-БМ 60.125.547</t>
  </si>
  <si>
    <t>Небивка массы на  1.99999999999818E-02 груп= 136.52, общая= 136.5</t>
  </si>
  <si>
    <t>ОГЛ-Ш 45.80.172</t>
  </si>
  <si>
    <t>Небивка массы на  .519999999999982 груп= 87.44, общая= 86.92</t>
  </si>
  <si>
    <t>Стр36</t>
  </si>
  <si>
    <t>Небивка массы на  758.6 груп= 1397.1, общая= 638.5</t>
  </si>
  <si>
    <t>Фс1</t>
  </si>
  <si>
    <t>Небивка массы на  30.7299999999996 груп= 9422.55, общая= 9391.82</t>
  </si>
  <si>
    <t>Фс2</t>
  </si>
  <si>
    <t>Небивка массы на -3420.27 груп= 20610, общая= 24030.27</t>
  </si>
  <si>
    <t>Щн1</t>
  </si>
  <si>
    <t>Небивка массы на  103.17 груп= 1507.65, общая= 1404.48</t>
  </si>
  <si>
    <t>КМ корпус доочистки_гр</t>
  </si>
  <si>
    <t>Всего</t>
  </si>
  <si>
    <t>ГОСТ 8509-93</t>
  </si>
  <si>
    <t>КМ корпус доочистки_грс</t>
  </si>
  <si>
    <t>Тип 2: Стена из газоблоков</t>
  </si>
  <si>
    <t>Перегородки газоблок.АР</t>
  </si>
  <si>
    <t>Тип 1: Наружная кирпичная стена</t>
  </si>
  <si>
    <t>Тип 4: ГКЛ перегородка тип С112</t>
  </si>
  <si>
    <t>Тип 3: Стена наружная железобетонная</t>
  </si>
  <si>
    <t>Стены.КЖ</t>
  </si>
  <si>
    <t>109,7</t>
  </si>
  <si>
    <t>1038,2</t>
  </si>
  <si>
    <t>30,5</t>
  </si>
  <si>
    <t>108,1</t>
  </si>
  <si>
    <t>Колонн</t>
  </si>
  <si>
    <t>Тип А</t>
  </si>
  <si>
    <t>3; 4; 103; 104; 203; 204@@2</t>
  </si>
  <si>
    <t>Окраска водостойкими в/э составами</t>
  </si>
  <si>
    <t>До 2,5м.:Облицовка керам. плиткой</t>
  </si>
  <si>
    <t>Lперим=45п.м.
Hmax=4,4м.</t>
  </si>
  <si>
    <t>Выше 2,5м.:Окраска в/э составами</t>
  </si>
  <si>
    <t>Тип Б</t>
  </si>
  <si>
    <t>2; 5; 102; 105; 202; 204</t>
  </si>
  <si>
    <t>Окраска в/э составами</t>
  </si>
  <si>
    <t>До 2,8м.:Окраска в/э составами</t>
  </si>
  <si>
    <t>1,2</t>
  </si>
  <si>
    <t>Lперим=99,1п.м.
Hmax=4,4м.</t>
  </si>
  <si>
    <t>Тип В</t>
  </si>
  <si>
    <t>1, 101, 201</t>
  </si>
  <si>
    <t>Lперим=89,8п.м.
Hmax=4,4м.</t>
  </si>
  <si>
    <t>Тип Э</t>
  </si>
  <si>
    <t>Lперим=65,2п.м.
Hmax=4,4м.</t>
  </si>
  <si>
    <t>Потолок: Окраска водостойкими в/э составами</t>
  </si>
  <si>
    <t>Потолок: Окраска в/э составами</t>
  </si>
  <si>
    <t>ГОСТ 25192-2012</t>
  </si>
  <si>
    <t>Бетон В7,5</t>
  </si>
  <si>
    <t>Плита П8д-8</t>
  </si>
  <si>
    <t>Серия 3.006.1-2.87 В.0</t>
  </si>
  <si>
    <t>П4</t>
  </si>
  <si>
    <t>Плита П8-8</t>
  </si>
  <si>
    <t>ГОСТ 10704-91</t>
  </si>
  <si>
    <t>фон</t>
  </si>
  <si>
    <t>Кнм2</t>
  </si>
  <si>
    <t>Толщина стенки и дна,мм</t>
  </si>
  <si>
    <t>!!!</t>
  </si>
  <si>
    <t>Высота, м</t>
  </si>
  <si>
    <t>Площадь, кв.м</t>
  </si>
  <si>
    <t>Ширина, мм</t>
  </si>
  <si>
    <t>Бетон В25</t>
  </si>
  <si>
    <t>Основной</t>
  </si>
  <si>
    <t>Плита П5д-8</t>
  </si>
  <si>
    <t>Плита П5-8</t>
  </si>
  <si>
    <t>Кнм1</t>
  </si>
  <si>
    <t>Профиль  из вспененного полиэтилена</t>
  </si>
  <si>
    <t>MasterSeal CR 460</t>
  </si>
  <si>
    <t>BASF</t>
  </si>
  <si>
    <t>Пенополистирол</t>
  </si>
  <si>
    <t>П-шка по цифр.</t>
  </si>
  <si>
    <t>П-шка по букв.</t>
  </si>
  <si>
    <t>Опм1</t>
  </si>
  <si>
    <t>Высота, мм</t>
  </si>
  <si>
    <t>Бетон В15</t>
  </si>
  <si>
    <t>Цм</t>
  </si>
  <si>
    <t>Фм3</t>
  </si>
  <si>
    <t>Высота подошвы, м</t>
  </si>
  <si>
    <t>Площадь подошвы, кв.м</t>
  </si>
  <si>
    <t>Периметр подошвы</t>
  </si>
  <si>
    <t>MasterFlow 928</t>
  </si>
  <si>
    <t>Хомут подколонника</t>
  </si>
  <si>
    <t>Вертик. Арм. Подколон.</t>
  </si>
  <si>
    <t>Фм2</t>
  </si>
  <si>
    <t>Высота подколонника, м</t>
  </si>
  <si>
    <t>Площадь подколонника, кв.м.</t>
  </si>
  <si>
    <t>П-шка</t>
  </si>
  <si>
    <t>Гориз. Арм. Подошвы</t>
  </si>
  <si>
    <t>Фм1</t>
  </si>
  <si>
    <t>Высота спупеней, м</t>
  </si>
  <si>
    <t>Площадь 2 ступени, кв.м.</t>
  </si>
  <si>
    <t>Площадь 1 ступени, кв.м.</t>
  </si>
  <si>
    <t>Стм(пескопульп)_спец</t>
  </si>
  <si>
    <t>C ЛИСТА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</si>
  <si>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</si>
  <si>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</si>
  <si>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</si>
  <si>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</si>
  <si>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</si>
  <si>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</si>
  <si>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</si>
  <si>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</si>
  <si>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</si>
  <si>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</si>
  <si>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</si>
  <si>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</si>
  <si>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</si>
  <si>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</si>
  <si>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</si>
  <si>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</si>
  <si>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</si>
  <si>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</si>
  <si>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</si>
  <si>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</si>
  <si>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КЖ_спец</t>
  </si>
  <si>
    <t>Марка элемента</t>
  </si>
  <si>
    <t>Изделия арматурные</t>
  </si>
  <si>
    <t>Изделия закладные</t>
  </si>
  <si>
    <t>Объём бетона, куб.м.</t>
  </si>
  <si>
    <t>Арматура класса</t>
  </si>
  <si>
    <t>⌀10</t>
  </si>
  <si>
    <t>⌀12</t>
  </si>
  <si>
    <t>⌀16</t>
  </si>
  <si>
    <t>⌀20</t>
  </si>
  <si>
    <t>⌀6</t>
  </si>
  <si>
    <t>⌀8</t>
  </si>
  <si>
    <t>КЖ_кж</t>
  </si>
  <si>
    <t>19 9 23/ 10 45 54</t>
  </si>
  <si>
    <t>Марка бетона</t>
  </si>
  <si>
    <t>Объём
бетона, куб.м.</t>
  </si>
  <si>
    <t>Вес арматуры, кг.</t>
  </si>
  <si>
    <t>Расход, кг/куб.м</t>
  </si>
  <si>
    <t xml:space="preserve">
25</t>
  </si>
  <si>
    <t>КЖ_норм</t>
  </si>
  <si>
    <t>19 9 23/ 12 22 40</t>
  </si>
  <si>
    <t>Кнм1 (1 шт.)</t>
  </si>
  <si>
    <t>Кнм2 (1 шт.)</t>
  </si>
  <si>
    <t>Опм1 (11 шт.)</t>
  </si>
  <si>
    <t>ПФм1 (1 шт.)</t>
  </si>
  <si>
    <t>Фм1 (14 шт.)</t>
  </si>
  <si>
    <t>Фм2 (2 шт.)</t>
  </si>
  <si>
    <t>Фм3 (4 шт.)</t>
  </si>
  <si>
    <t>Цм (1 шт.)</t>
  </si>
  <si>
    <t>Кол-во</t>
  </si>
  <si>
    <t>Масса ед., кг.</t>
  </si>
  <si>
    <t>Канал Кнм1</t>
  </si>
  <si>
    <t>7711,62 кг.</t>
  </si>
  <si>
    <t>Канал Кнм2</t>
  </si>
  <si>
    <t>2265,51 кг.</t>
  </si>
  <si>
    <t>Фундамент Опм1</t>
  </si>
  <si>
    <t>Плита ПФм1</t>
  </si>
  <si>
    <t>12410,52 кг.</t>
  </si>
  <si>
    <t>Фундамент Фм1</t>
  </si>
  <si>
    <t>6546,26 кг.</t>
  </si>
  <si>
    <t>Фундамент Фм2</t>
  </si>
  <si>
    <t>125,92 кг.</t>
  </si>
  <si>
    <t>Фундамент Фм3</t>
  </si>
  <si>
    <t>1276,33 кг.</t>
  </si>
  <si>
    <t>Цоколь Цм</t>
  </si>
  <si>
    <t>1522,56 кг.</t>
  </si>
  <si>
    <t>КЖ</t>
  </si>
  <si>
    <t>19 9 23/ 14 15 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</si>
</sst>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0" fillId="0" borderId="0" xfId="0" quotePrefix="1"/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3" fontId="0" fillId="0" borderId="0" xfId="0" applyNumberFormat="1"/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6" fillId="0" borderId="12" xfId="0" applyFont="1" applyFill="1" applyBorder="1" applyAlignment="1">
      <alignment horizontal="center" vertical="center" wrapText="1"/>
    </xf>
    <xf numFmtId="0" fontId="26" fillId="0" borderId="11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shrinkToFit="1"/>
    </xf>
    <xf numFmtId="0" fontId="26" fillId="41" borderId="10" xfId="0" applyFont="1" applyFill="1" applyBorder="1" applyAlignment="1">
      <alignment horizontal="center" vertical="center" shrinkToFi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2" fillId="0" borderId="30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30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3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26" fillId="0" borderId="18" xfId="0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6" fillId="0" borderId="12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shrinkToFit="1"/>
    </xf>
    <xf numFmtId="0" fontId="26" fillId="41" borderId="38" xfId="0" applyFont="1" applyFill="1" applyBorder="1" applyAlignment="1">
      <alignment horizontal="center" vertical="center" shrinkToFit="1"/>
    </xf>
    <xf numFmtId="0" fontId="21" fillId="42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textRotation="90" wrapText="1"/>
    </xf>
    <xf numFmtId="0" fontId="21" fillId="33" borderId="35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64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!System"/>
      <sheetName val="Анкер_спец"/>
      <sheetName val="Из архикада плиты"/>
      <sheetName val="Анкер_об"/>
      <sheetName val="Анкер_кж"/>
      <sheetName val="КЖ_об"/>
      <sheetName val="Весь металл_км"/>
      <sheetName val="КЖ_кж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2785</v>
      </c>
      <c r="G2" s="7">
        <v>1</v>
      </c>
      <c r="H2" s="7" t="s">
        <v>2392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2457</v>
      </c>
      <c r="G3" s="7">
        <v>1</v>
      </c>
      <c r="H3" s="7" t="s">
        <v>2392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3092</v>
      </c>
      <c r="G4" s="7">
        <v>1</v>
      </c>
      <c r="H4" s="7" t="s">
        <v>2392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C5" s="8" t="s">
        <v>2779</v>
      </c>
      <c r="G5" s="7">
        <v>1</v>
      </c>
      <c r="H5" s="7" t="s">
        <v>2784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3104</v>
      </c>
      <c r="G6" s="7">
        <v>1</v>
      </c>
      <c r="H6" s="7" t="s">
        <v>3105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3111</v>
      </c>
      <c r="G7" s="7">
        <v>1</v>
      </c>
      <c r="H7" s="7" t="s">
        <v>3112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D8" s="8" t="s">
        <v>3138</v>
      </c>
      <c r="G8" s="7">
        <v>1</v>
      </c>
      <c r="H8" s="7" t="s">
        <v>3139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B9" s="8" t="s">
        <v>2376</v>
      </c>
    </row>
    <row r="10" spans="1:22" x14ac:dyDescent="0.25">
      <c r="A10" s="8" t="s">
        <v>25</v>
      </c>
    </row>
    <row r="11" spans="1:22" x14ac:dyDescent="0.25">
      <c r="A11" s="8" t="s">
        <v>24</v>
      </c>
    </row>
  </sheetData>
  <sortState ref="A2:V11">
    <sortCondition ref="H2:H600"/>
  </sortState>
  <conditionalFormatting sqref="A1:V1048576">
    <cfRule type="containsText" dxfId="28" priority="7" operator="containsText" text="_спец">
      <formula>NOT(ISERROR(SEARCH("_спец",A1)))</formula>
    </cfRule>
    <cfRule type="containsText" dxfId="27" priority="6" operator="containsText" text="!">
      <formula>NOT(ISERROR(SEARCH("!",A1)))</formula>
    </cfRule>
    <cfRule type="expression" dxfId="26" priority="5">
      <formula>LEN(TRIM(A1))=0</formula>
    </cfRule>
    <cfRule type="containsText" dxfId="25" priority="4" operator="containsText" text="|">
      <formula>NOT(ISERROR(SEARCH("|",A1)))</formula>
    </cfRule>
    <cfRule type="containsText" dxfId="24" priority="3" operator="containsText" text="_кж">
      <formula>NOT(ISERROR(SEARCH("_кж",A1)))</formula>
    </cfRule>
    <cfRule type="containsText" dxfId="23" priority="2" operator="containsText" text="_км">
      <formula>NOT(ISERROR(SEARCH("_км",A1)))</formula>
    </cfRule>
    <cfRule type="containsText" dxfId="22" priority="1" operator="containsText" text="_поз">
      <formula>NOT(ISERROR(SEARCH("_поз",A1)))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C5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C3" location="'Изделия_спец.И'!C3" display="'Изделия_спец.И'!C3"/>
    <hyperlink ref="D8" location="'КЖ'!D4" display="'КЖ'!D4"/>
    <hyperlink ref="D6" location="'КЖ_кж'!D4" display="'КЖ_кж'!D4"/>
    <hyperlink ref="C7" location="'КЖ_норм'!C3" display="'КЖ_норм'!C3"/>
    <hyperlink ref="E4" location="'КЖ_спец'!E3" display="'КЖ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U124"/>
  <sheetViews>
    <sheetView topLeftCell="B1" zoomScale="85" zoomScaleNormal="85" workbookViewId="0">
      <selection activeCell="L5" sqref="L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77" t="s">
        <v>2895</v>
      </c>
      <c r="B1" s="71" t="s">
        <v>2896</v>
      </c>
      <c r="C1" s="71" t="s">
        <v>2897</v>
      </c>
      <c r="D1" s="71" t="s">
        <v>2898</v>
      </c>
      <c r="E1" s="71" t="s">
        <v>2899</v>
      </c>
      <c r="F1" s="71" t="s">
        <v>2900</v>
      </c>
      <c r="G1" s="71" t="s">
        <v>2901</v>
      </c>
      <c r="H1" s="73" t="s">
        <v>2903</v>
      </c>
      <c r="I1" s="74"/>
      <c r="J1" s="75"/>
      <c r="K1" s="73" t="s">
        <v>2907</v>
      </c>
      <c r="L1" s="74"/>
      <c r="M1" s="74"/>
      <c r="N1" s="74"/>
      <c r="O1" s="74"/>
      <c r="P1" s="74"/>
      <c r="Q1" s="75"/>
      <c r="R1" s="71" t="s">
        <v>2902</v>
      </c>
      <c r="S1" s="73" t="s">
        <v>2915</v>
      </c>
      <c r="T1" s="74"/>
      <c r="U1" s="76"/>
    </row>
    <row r="2" spans="1:21" ht="63" x14ac:dyDescent="0.25">
      <c r="A2" s="78"/>
      <c r="B2" s="72"/>
      <c r="C2" s="72"/>
      <c r="D2" s="72"/>
      <c r="E2" s="72"/>
      <c r="F2" s="72"/>
      <c r="G2" s="72"/>
      <c r="H2" s="62" t="s">
        <v>2904</v>
      </c>
      <c r="I2" s="62" t="s">
        <v>2905</v>
      </c>
      <c r="J2" s="62" t="s">
        <v>2906</v>
      </c>
      <c r="K2" s="62" t="s">
        <v>2908</v>
      </c>
      <c r="L2" s="62" t="s">
        <v>2909</v>
      </c>
      <c r="M2" s="62" t="s">
        <v>2910</v>
      </c>
      <c r="N2" s="62" t="s">
        <v>2911</v>
      </c>
      <c r="O2" s="62" t="s">
        <v>2912</v>
      </c>
      <c r="P2" s="62" t="s">
        <v>2913</v>
      </c>
      <c r="Q2" s="62" t="s">
        <v>2914</v>
      </c>
      <c r="R2" s="72"/>
      <c r="S2" s="62" t="s">
        <v>2916</v>
      </c>
      <c r="T2" s="62" t="s">
        <v>2917</v>
      </c>
      <c r="U2" s="67" t="s">
        <v>2918</v>
      </c>
    </row>
    <row r="3" spans="1:21" ht="15.75" x14ac:dyDescent="0.25">
      <c r="A3" s="54" t="s">
        <v>3035</v>
      </c>
      <c r="B3" s="45" t="s">
        <v>3035</v>
      </c>
      <c r="C3" s="45" t="s">
        <v>3071</v>
      </c>
      <c r="D3" s="45" t="s">
        <v>3070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53"/>
    </row>
    <row r="4" spans="1:21" ht="15.75" x14ac:dyDescent="0.25">
      <c r="A4" s="54" t="str">
        <f t="shared" ref="A4:A12" si="0">A5</f>
        <v>Фм1</v>
      </c>
      <c r="B4" s="45" t="s">
        <v>3035</v>
      </c>
      <c r="C4" s="45" t="s">
        <v>3040</v>
      </c>
      <c r="D4" s="45" t="s">
        <v>3039</v>
      </c>
      <c r="E4" s="45">
        <f>E6*E10+E7*E11+E8*E11+E9*E12</f>
        <v>5.0625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53"/>
    </row>
    <row r="5" spans="1:21" ht="15.75" x14ac:dyDescent="0.25">
      <c r="A5" s="54" t="str">
        <f t="shared" si="0"/>
        <v>Фм1</v>
      </c>
      <c r="B5" s="45" t="s">
        <v>3035</v>
      </c>
      <c r="C5" s="45"/>
      <c r="D5" s="45" t="s">
        <v>3057</v>
      </c>
      <c r="E5" s="45">
        <f>(3000+2100)*2</f>
        <v>10200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53"/>
    </row>
    <row r="6" spans="1:21" ht="15.75" x14ac:dyDescent="0.25">
      <c r="A6" s="54" t="str">
        <f t="shared" si="0"/>
        <v>Фм1</v>
      </c>
      <c r="B6" s="45" t="s">
        <v>3035</v>
      </c>
      <c r="C6" s="45" t="str">
        <f>C9</f>
        <v>Фм1</v>
      </c>
      <c r="D6" s="45" t="s">
        <v>3056</v>
      </c>
      <c r="E6" s="45">
        <f>2.1*3</f>
        <v>6.3000000000000007</v>
      </c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53"/>
    </row>
    <row r="7" spans="1:21" ht="15.75" x14ac:dyDescent="0.25">
      <c r="A7" s="54" t="str">
        <f t="shared" si="0"/>
        <v>Фм1</v>
      </c>
      <c r="B7" s="45" t="s">
        <v>3035</v>
      </c>
      <c r="C7" s="45" t="str">
        <f>C11</f>
        <v>Фм1</v>
      </c>
      <c r="D7" s="45" t="s">
        <v>3069</v>
      </c>
      <c r="E7" s="45">
        <f>1.5*2.1</f>
        <v>3.1500000000000004</v>
      </c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53"/>
    </row>
    <row r="8" spans="1:21" ht="15.75" x14ac:dyDescent="0.25">
      <c r="A8" s="54" t="str">
        <f t="shared" si="0"/>
        <v>Фм1</v>
      </c>
      <c r="B8" s="45" t="s">
        <v>3035</v>
      </c>
      <c r="C8" s="45" t="str">
        <f>A8</f>
        <v>Фм1</v>
      </c>
      <c r="D8" s="45" t="s">
        <v>3068</v>
      </c>
      <c r="E8" s="45">
        <f>1.5*1.5</f>
        <v>2.25</v>
      </c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53"/>
    </row>
    <row r="9" spans="1:21" ht="31.5" x14ac:dyDescent="0.25">
      <c r="A9" s="54" t="str">
        <f t="shared" si="0"/>
        <v>Фм1</v>
      </c>
      <c r="B9" s="45" t="s">
        <v>3035</v>
      </c>
      <c r="C9" s="45" t="str">
        <f>A9</f>
        <v>Фм1</v>
      </c>
      <c r="D9" s="45" t="s">
        <v>3063</v>
      </c>
      <c r="E9" s="45">
        <f>0.9*0.9</f>
        <v>0.81</v>
      </c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53"/>
    </row>
    <row r="10" spans="1:21" ht="15.75" x14ac:dyDescent="0.25">
      <c r="A10" s="54" t="str">
        <f t="shared" si="0"/>
        <v>Фм1</v>
      </c>
      <c r="B10" s="45" t="s">
        <v>3035</v>
      </c>
      <c r="C10" s="45" t="str">
        <f>A10</f>
        <v>Фм1</v>
      </c>
      <c r="D10" s="45" t="s">
        <v>3055</v>
      </c>
      <c r="E10" s="45">
        <v>0.45</v>
      </c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53"/>
    </row>
    <row r="11" spans="1:21" ht="15.75" x14ac:dyDescent="0.25">
      <c r="A11" s="54" t="str">
        <f t="shared" si="0"/>
        <v>Фм1</v>
      </c>
      <c r="B11" s="45" t="s">
        <v>3035</v>
      </c>
      <c r="C11" s="45" t="str">
        <f>A11</f>
        <v>Фм1</v>
      </c>
      <c r="D11" s="45" t="s">
        <v>3067</v>
      </c>
      <c r="E11" s="45">
        <v>0.3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53"/>
    </row>
    <row r="12" spans="1:21" ht="15.75" x14ac:dyDescent="0.25">
      <c r="A12" s="54" t="str">
        <f t="shared" si="0"/>
        <v>Фм1</v>
      </c>
      <c r="B12" s="45" t="s">
        <v>3035</v>
      </c>
      <c r="C12" s="45" t="str">
        <f>A12</f>
        <v>Фм1</v>
      </c>
      <c r="D12" s="45" t="s">
        <v>3062</v>
      </c>
      <c r="E12" s="45">
        <v>0.75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53"/>
    </row>
    <row r="13" spans="1:21" ht="15.75" x14ac:dyDescent="0.25">
      <c r="A13" s="52" t="str">
        <f>B13</f>
        <v>Фм1</v>
      </c>
      <c r="B13" s="51" t="s">
        <v>3066</v>
      </c>
      <c r="C13" s="51"/>
      <c r="D13" s="51" t="str">
        <f>CONCATENATE("Фундамент ",B13)</f>
        <v>Фундамент Фм1</v>
      </c>
      <c r="E13" s="51">
        <v>14</v>
      </c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0"/>
    </row>
    <row r="14" spans="1:21" ht="15.75" x14ac:dyDescent="0.25">
      <c r="A14" s="68" t="str">
        <f t="shared" ref="A14:A23" si="1">A13</f>
        <v>Фм1</v>
      </c>
      <c r="B14" s="62">
        <v>1</v>
      </c>
      <c r="C14" s="62" t="s">
        <v>2924</v>
      </c>
      <c r="D14" s="62" t="s">
        <v>3065</v>
      </c>
      <c r="E14" s="49">
        <v>4</v>
      </c>
      <c r="F14" s="45">
        <v>1.5780000000000001</v>
      </c>
      <c r="G14" s="62" t="s">
        <v>20</v>
      </c>
      <c r="H14" s="49">
        <f>Арм_ПоПлощади(E6*1000*1000,200,T14)</f>
        <v>36400</v>
      </c>
      <c r="I14" s="62">
        <v>16</v>
      </c>
      <c r="J14" s="62" t="s">
        <v>2</v>
      </c>
      <c r="K14" s="62"/>
      <c r="L14" s="62"/>
      <c r="M14" s="62"/>
      <c r="N14" s="62"/>
      <c r="O14" s="62"/>
      <c r="P14" s="62"/>
      <c r="Q14" s="62"/>
      <c r="R14" s="62"/>
      <c r="S14" s="62">
        <v>665</v>
      </c>
      <c r="T14" s="62">
        <v>795</v>
      </c>
      <c r="U14" s="67">
        <v>40</v>
      </c>
    </row>
    <row r="15" spans="1:21" ht="15.75" x14ac:dyDescent="0.25">
      <c r="A15" s="68" t="str">
        <f t="shared" si="1"/>
        <v>Фм1</v>
      </c>
      <c r="B15" s="62">
        <v>2</v>
      </c>
      <c r="C15" s="62" t="s">
        <v>2924</v>
      </c>
      <c r="D15" s="62" t="s">
        <v>3060</v>
      </c>
      <c r="E15" s="62">
        <v>8</v>
      </c>
      <c r="F15" s="45">
        <v>2.4660000000000002</v>
      </c>
      <c r="G15" s="62"/>
      <c r="H15" s="62">
        <v>1780</v>
      </c>
      <c r="I15" s="62">
        <v>20</v>
      </c>
      <c r="J15" s="62" t="s">
        <v>2</v>
      </c>
      <c r="K15" s="62"/>
      <c r="L15" s="62"/>
      <c r="M15" s="62"/>
      <c r="N15" s="62"/>
      <c r="O15" s="62"/>
      <c r="P15" s="62"/>
      <c r="Q15" s="62"/>
      <c r="R15" s="62"/>
      <c r="S15" s="62">
        <v>830</v>
      </c>
      <c r="T15" s="62">
        <v>995</v>
      </c>
      <c r="U15" s="67">
        <v>80</v>
      </c>
    </row>
    <row r="16" spans="1:21" ht="15.75" x14ac:dyDescent="0.25">
      <c r="A16" s="68" t="str">
        <f t="shared" si="1"/>
        <v>Фм1</v>
      </c>
      <c r="B16" s="62">
        <v>3</v>
      </c>
      <c r="C16" s="62" t="s">
        <v>2924</v>
      </c>
      <c r="D16" s="62" t="s">
        <v>3059</v>
      </c>
      <c r="E16" s="62">
        <v>14</v>
      </c>
      <c r="F16" s="45">
        <v>0.39500000000000002</v>
      </c>
      <c r="G16" s="62" t="s">
        <v>0</v>
      </c>
      <c r="H16" s="62">
        <f>(820+420+80)*2</f>
        <v>2640</v>
      </c>
      <c r="I16" s="62">
        <v>8</v>
      </c>
      <c r="J16" s="62" t="s">
        <v>1</v>
      </c>
      <c r="K16" s="62"/>
      <c r="L16" s="62"/>
      <c r="M16" s="62"/>
      <c r="N16" s="62"/>
      <c r="O16" s="62"/>
      <c r="P16" s="62"/>
      <c r="Q16" s="62"/>
      <c r="R16" s="62"/>
      <c r="S16" s="62">
        <v>200</v>
      </c>
      <c r="T16" s="62">
        <v>250</v>
      </c>
      <c r="U16" s="67">
        <v>10</v>
      </c>
    </row>
    <row r="17" spans="1:21" ht="15.75" x14ac:dyDescent="0.25">
      <c r="A17" s="68" t="str">
        <f t="shared" si="1"/>
        <v>Фм1</v>
      </c>
      <c r="B17" s="62">
        <v>4</v>
      </c>
      <c r="C17" s="62" t="s">
        <v>2924</v>
      </c>
      <c r="D17" s="62" t="s">
        <v>3064</v>
      </c>
      <c r="E17" s="62">
        <v>22</v>
      </c>
      <c r="F17" s="45">
        <v>1.5780000000000001</v>
      </c>
      <c r="G17" s="62" t="s">
        <v>0</v>
      </c>
      <c r="H17" s="62">
        <f>800*2+370</f>
        <v>1970</v>
      </c>
      <c r="I17" s="62">
        <v>16</v>
      </c>
      <c r="J17" s="62" t="s">
        <v>2</v>
      </c>
      <c r="K17" s="62"/>
      <c r="L17" s="62"/>
      <c r="M17" s="62"/>
      <c r="N17" s="62"/>
      <c r="O17" s="62"/>
      <c r="P17" s="62"/>
      <c r="Q17" s="62"/>
      <c r="R17" s="62"/>
      <c r="S17" s="62">
        <v>665</v>
      </c>
      <c r="T17" s="62">
        <v>795</v>
      </c>
      <c r="U17" s="67">
        <v>40</v>
      </c>
    </row>
    <row r="18" spans="1:21" ht="15.75" x14ac:dyDescent="0.25">
      <c r="A18" s="68" t="str">
        <f t="shared" si="1"/>
        <v>Фм1</v>
      </c>
      <c r="B18" s="62">
        <v>5</v>
      </c>
      <c r="C18" s="62" t="s">
        <v>2924</v>
      </c>
      <c r="D18" s="62" t="s">
        <v>3064</v>
      </c>
      <c r="E18" s="62">
        <v>30</v>
      </c>
      <c r="F18" s="45">
        <v>1.5780000000000001</v>
      </c>
      <c r="G18" s="62" t="s">
        <v>0</v>
      </c>
      <c r="H18" s="62">
        <f>800*2+335</f>
        <v>1935</v>
      </c>
      <c r="I18" s="62">
        <v>16</v>
      </c>
      <c r="J18" s="62" t="s">
        <v>2</v>
      </c>
      <c r="K18" s="62"/>
      <c r="L18" s="62"/>
      <c r="M18" s="62"/>
      <c r="N18" s="62"/>
      <c r="O18" s="62"/>
      <c r="P18" s="62"/>
      <c r="Q18" s="62"/>
      <c r="R18" s="62"/>
      <c r="S18" s="62">
        <v>665</v>
      </c>
      <c r="T18" s="62">
        <v>795</v>
      </c>
      <c r="U18" s="67">
        <v>40</v>
      </c>
    </row>
    <row r="19" spans="1:21" ht="15.75" x14ac:dyDescent="0.25">
      <c r="A19" s="68" t="str">
        <f t="shared" si="1"/>
        <v>Фм1</v>
      </c>
      <c r="B19" s="47" t="str">
        <f>Изделия_спец.И!B21</f>
        <v>С1</v>
      </c>
      <c r="C19" s="47" t="str">
        <f>Изделия_спец.И!C21</f>
        <v>данный лист</v>
      </c>
      <c r="D19" s="47" t="str">
        <f>Изделия_спец.И!D21</f>
        <v>Сетка С1</v>
      </c>
      <c r="E19" s="47">
        <v>1</v>
      </c>
      <c r="F19" s="45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7"/>
    </row>
    <row r="20" spans="1:21" ht="15.75" x14ac:dyDescent="0.25">
      <c r="A20" s="68" t="str">
        <f t="shared" si="1"/>
        <v>Фм1</v>
      </c>
      <c r="B20" s="47" t="str">
        <f>Изделия_спец.И!B5</f>
        <v>Кр1</v>
      </c>
      <c r="C20" s="47" t="str">
        <f>Изделия_спец.И!C5</f>
        <v>данный лист</v>
      </c>
      <c r="D20" s="47" t="str">
        <f>Изделия_спец.И!D5</f>
        <v>Каркас Кр1</v>
      </c>
      <c r="E20" s="47">
        <f>ROUNDUP((SQRT(E6)+E6),0)</f>
        <v>9</v>
      </c>
      <c r="F20" s="45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7"/>
    </row>
    <row r="21" spans="1:21" ht="15.75" x14ac:dyDescent="0.25">
      <c r="A21" s="68" t="str">
        <f t="shared" si="1"/>
        <v>Фм1</v>
      </c>
      <c r="B21" s="62"/>
      <c r="C21" s="62" t="s">
        <v>3046</v>
      </c>
      <c r="D21" s="62" t="s">
        <v>3058</v>
      </c>
      <c r="E21" s="62">
        <f>0.61*0.67*0.1</f>
        <v>4.0870000000000004E-2</v>
      </c>
      <c r="F21" s="62"/>
      <c r="G21" s="62" t="s">
        <v>3</v>
      </c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7"/>
    </row>
    <row r="22" spans="1:21" ht="15.75" x14ac:dyDescent="0.25">
      <c r="A22" s="68" t="str">
        <f t="shared" si="1"/>
        <v>Фм1</v>
      </c>
      <c r="B22" s="62"/>
      <c r="C22" s="46" t="s">
        <v>3025</v>
      </c>
      <c r="D22" s="46" t="s">
        <v>3026</v>
      </c>
      <c r="E22" s="46">
        <f>E6*1.2*0.1</f>
        <v>0.75600000000000012</v>
      </c>
      <c r="F22" s="45" t="s">
        <v>4</v>
      </c>
      <c r="G22" s="62" t="s">
        <v>3</v>
      </c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7"/>
    </row>
    <row r="23" spans="1:21" ht="15.75" x14ac:dyDescent="0.25">
      <c r="A23" s="68" t="str">
        <f t="shared" si="1"/>
        <v>Фм1</v>
      </c>
      <c r="B23" s="62"/>
      <c r="C23" s="46" t="s">
        <v>3025</v>
      </c>
      <c r="D23" s="46" t="str">
        <f>D4</f>
        <v>Бетон В25</v>
      </c>
      <c r="E23" s="46">
        <f>E4</f>
        <v>5.0625</v>
      </c>
      <c r="F23" s="45" t="s">
        <v>4</v>
      </c>
      <c r="G23" s="62" t="s">
        <v>3</v>
      </c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7"/>
    </row>
    <row r="24" spans="1:21" ht="15.7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</row>
    <row r="25" spans="1:21" ht="15.7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ht="15.75" x14ac:dyDescent="0.25">
      <c r="A26" s="54" t="str">
        <f t="shared" ref="A26:A31" si="2">A27</f>
        <v>Фм2</v>
      </c>
      <c r="B26" s="45" t="s">
        <v>3035</v>
      </c>
      <c r="C26" s="45" t="s">
        <v>3040</v>
      </c>
      <c r="D26" s="45" t="s">
        <v>3039</v>
      </c>
      <c r="E26" s="45">
        <f>E28*E30+E29*E31</f>
        <v>1.107</v>
      </c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53"/>
    </row>
    <row r="27" spans="1:21" ht="15.75" x14ac:dyDescent="0.25">
      <c r="A27" s="54" t="str">
        <f t="shared" si="2"/>
        <v>Фм2</v>
      </c>
      <c r="B27" s="45" t="s">
        <v>3035</v>
      </c>
      <c r="C27" s="45" t="str">
        <f>C28</f>
        <v>Фм2</v>
      </c>
      <c r="D27" s="45" t="s">
        <v>3057</v>
      </c>
      <c r="E27" s="45">
        <f>1500*4</f>
        <v>6000</v>
      </c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53"/>
    </row>
    <row r="28" spans="1:21" ht="15.75" x14ac:dyDescent="0.25">
      <c r="A28" s="54" t="str">
        <f t="shared" si="2"/>
        <v>Фм2</v>
      </c>
      <c r="B28" s="45" t="s">
        <v>3035</v>
      </c>
      <c r="C28" s="45" t="str">
        <f>C29</f>
        <v>Фм2</v>
      </c>
      <c r="D28" s="45" t="s">
        <v>3056</v>
      </c>
      <c r="E28" s="45">
        <f>1.5*1.5</f>
        <v>2.25</v>
      </c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53"/>
    </row>
    <row r="29" spans="1:21" ht="31.5" x14ac:dyDescent="0.25">
      <c r="A29" s="54" t="str">
        <f t="shared" si="2"/>
        <v>Фм2</v>
      </c>
      <c r="B29" s="45" t="s">
        <v>3035</v>
      </c>
      <c r="C29" s="45" t="str">
        <f>A29</f>
        <v>Фм2</v>
      </c>
      <c r="D29" s="45" t="s">
        <v>3063</v>
      </c>
      <c r="E29" s="45">
        <f>0.6*0.6</f>
        <v>0.36</v>
      </c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53"/>
    </row>
    <row r="30" spans="1:21" ht="15.75" x14ac:dyDescent="0.25">
      <c r="A30" s="54" t="str">
        <f t="shared" si="2"/>
        <v>Фм2</v>
      </c>
      <c r="B30" s="45" t="s">
        <v>3035</v>
      </c>
      <c r="C30" s="45" t="str">
        <f>A30</f>
        <v>Фм2</v>
      </c>
      <c r="D30" s="45" t="s">
        <v>3055</v>
      </c>
      <c r="E30" s="45">
        <v>0.3</v>
      </c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53"/>
    </row>
    <row r="31" spans="1:21" ht="15.75" x14ac:dyDescent="0.25">
      <c r="A31" s="54" t="str">
        <f t="shared" si="2"/>
        <v>Фм2</v>
      </c>
      <c r="B31" s="45" t="s">
        <v>3035</v>
      </c>
      <c r="C31" s="45" t="str">
        <f>A31</f>
        <v>Фм2</v>
      </c>
      <c r="D31" s="45" t="s">
        <v>3062</v>
      </c>
      <c r="E31" s="45">
        <v>1.2</v>
      </c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53"/>
    </row>
    <row r="32" spans="1:21" ht="15.75" x14ac:dyDescent="0.25">
      <c r="A32" s="52" t="str">
        <f>B32</f>
        <v>Фм2</v>
      </c>
      <c r="B32" s="51" t="s">
        <v>3061</v>
      </c>
      <c r="C32" s="51"/>
      <c r="D32" s="51" t="str">
        <f>CONCATENATE("Фундамент ",B32)</f>
        <v>Фундамент Фм2</v>
      </c>
      <c r="E32" s="51">
        <v>2</v>
      </c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0"/>
    </row>
    <row r="33" spans="1:21" ht="15.75" x14ac:dyDescent="0.25">
      <c r="A33" s="68" t="str">
        <f t="shared" ref="A33:A39" si="3">A32</f>
        <v>Фм2</v>
      </c>
      <c r="B33" s="62">
        <v>6</v>
      </c>
      <c r="C33" s="62" t="s">
        <v>2924</v>
      </c>
      <c r="D33" s="62" t="s">
        <v>3060</v>
      </c>
      <c r="E33" s="62">
        <v>8</v>
      </c>
      <c r="F33" s="45">
        <v>1.5780000000000001</v>
      </c>
      <c r="G33" s="62" t="s">
        <v>0</v>
      </c>
      <c r="H33" s="62">
        <f>1410+450</f>
        <v>1860</v>
      </c>
      <c r="I33" s="62">
        <v>16</v>
      </c>
      <c r="J33" s="62" t="s">
        <v>2</v>
      </c>
      <c r="K33" s="62"/>
      <c r="L33" s="62"/>
      <c r="M33" s="62"/>
      <c r="N33" s="62"/>
      <c r="O33" s="62"/>
      <c r="P33" s="62"/>
      <c r="Q33" s="62"/>
      <c r="R33" s="62"/>
      <c r="S33" s="62">
        <v>665</v>
      </c>
      <c r="T33" s="62">
        <v>795</v>
      </c>
      <c r="U33" s="67">
        <v>40</v>
      </c>
    </row>
    <row r="34" spans="1:21" ht="15.75" x14ac:dyDescent="0.25">
      <c r="A34" s="68" t="str">
        <f t="shared" si="3"/>
        <v>Фм2</v>
      </c>
      <c r="B34" s="62">
        <v>7</v>
      </c>
      <c r="C34" s="62" t="s">
        <v>2924</v>
      </c>
      <c r="D34" s="62" t="s">
        <v>3059</v>
      </c>
      <c r="E34" s="62">
        <v>14</v>
      </c>
      <c r="F34" s="45">
        <v>0.39500000000000002</v>
      </c>
      <c r="G34" s="62" t="s">
        <v>0</v>
      </c>
      <c r="H34" s="62">
        <f>(515+265+80)*2</f>
        <v>1720</v>
      </c>
      <c r="I34" s="62">
        <v>8</v>
      </c>
      <c r="J34" s="62" t="s">
        <v>1</v>
      </c>
      <c r="K34" s="62"/>
      <c r="L34" s="62"/>
      <c r="M34" s="62"/>
      <c r="N34" s="62"/>
      <c r="O34" s="62"/>
      <c r="P34" s="62"/>
      <c r="Q34" s="62"/>
      <c r="R34" s="62"/>
      <c r="S34" s="62">
        <v>200</v>
      </c>
      <c r="T34" s="62">
        <v>250</v>
      </c>
      <c r="U34" s="67">
        <v>10</v>
      </c>
    </row>
    <row r="35" spans="1:21" ht="15.75" x14ac:dyDescent="0.25">
      <c r="A35" s="68" t="str">
        <f t="shared" si="3"/>
        <v>Фм2</v>
      </c>
      <c r="B35" s="62">
        <v>8</v>
      </c>
      <c r="C35" s="62" t="s">
        <v>2924</v>
      </c>
      <c r="D35" s="62" t="s">
        <v>3059</v>
      </c>
      <c r="E35" s="62">
        <v>16</v>
      </c>
      <c r="F35" s="45">
        <v>0.88800000000000001</v>
      </c>
      <c r="G35" s="62" t="s">
        <v>0</v>
      </c>
      <c r="H35" s="62">
        <v>1900</v>
      </c>
      <c r="I35" s="62">
        <v>12</v>
      </c>
      <c r="J35" s="62" t="s">
        <v>2</v>
      </c>
      <c r="K35" s="62"/>
      <c r="L35" s="62"/>
      <c r="M35" s="62"/>
      <c r="N35" s="62"/>
      <c r="O35" s="62"/>
      <c r="P35" s="62"/>
      <c r="Q35" s="62"/>
      <c r="R35" s="62"/>
      <c r="S35" s="62">
        <v>500</v>
      </c>
      <c r="T35" s="62">
        <v>600</v>
      </c>
      <c r="U35" s="67">
        <v>30</v>
      </c>
    </row>
    <row r="36" spans="1:21" ht="15.75" x14ac:dyDescent="0.25">
      <c r="A36" s="68" t="str">
        <f t="shared" si="3"/>
        <v>Фм2</v>
      </c>
      <c r="B36" s="47" t="str">
        <f>Изделия_спец.И!B26</f>
        <v>С2</v>
      </c>
      <c r="C36" s="47" t="str">
        <f>Изделия_спец.И!C26</f>
        <v>данный лист</v>
      </c>
      <c r="D36" s="47" t="str">
        <f>Изделия_спец.И!D26</f>
        <v>Сетка С2</v>
      </c>
      <c r="E36" s="47">
        <v>1</v>
      </c>
      <c r="F36" s="45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7"/>
    </row>
    <row r="37" spans="1:21" ht="15.75" x14ac:dyDescent="0.25">
      <c r="A37" s="68" t="str">
        <f t="shared" si="3"/>
        <v>Фм2</v>
      </c>
      <c r="B37" s="62"/>
      <c r="C37" s="62" t="s">
        <v>3046</v>
      </c>
      <c r="D37" s="62" t="s">
        <v>3058</v>
      </c>
      <c r="E37" s="62">
        <f>0.485*0.4*0.1</f>
        <v>1.9400000000000001E-2</v>
      </c>
      <c r="F37" s="62"/>
      <c r="G37" s="62" t="s">
        <v>3</v>
      </c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7"/>
    </row>
    <row r="38" spans="1:21" ht="15.75" x14ac:dyDescent="0.25">
      <c r="A38" s="68" t="str">
        <f t="shared" si="3"/>
        <v>Фм2</v>
      </c>
      <c r="B38" s="62"/>
      <c r="C38" s="46" t="s">
        <v>3025</v>
      </c>
      <c r="D38" s="46" t="s">
        <v>3026</v>
      </c>
      <c r="E38" s="46">
        <f>E28*1.2*0.1</f>
        <v>0.26999999999999996</v>
      </c>
      <c r="F38" s="45" t="s">
        <v>4</v>
      </c>
      <c r="G38" s="62" t="s">
        <v>3</v>
      </c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7"/>
    </row>
    <row r="39" spans="1:21" ht="15.75" x14ac:dyDescent="0.25">
      <c r="A39" s="68" t="str">
        <f t="shared" si="3"/>
        <v>Фм2</v>
      </c>
      <c r="B39" s="62"/>
      <c r="C39" s="46" t="s">
        <v>3025</v>
      </c>
      <c r="D39" s="46" t="str">
        <f>D26</f>
        <v>Бетон В25</v>
      </c>
      <c r="E39" s="46">
        <f>E26</f>
        <v>1.107</v>
      </c>
      <c r="F39" s="45" t="s">
        <v>4</v>
      </c>
      <c r="G39" s="62" t="s">
        <v>3</v>
      </c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7"/>
    </row>
    <row r="40" spans="1:21" ht="15.7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</row>
    <row r="41" spans="1:21" ht="15.7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ht="15.75" x14ac:dyDescent="0.25">
      <c r="A42" s="54" t="str">
        <f>A43</f>
        <v>Фм3</v>
      </c>
      <c r="B42" s="45" t="s">
        <v>3035</v>
      </c>
      <c r="C42" s="45" t="s">
        <v>3040</v>
      </c>
      <c r="D42" s="45" t="s">
        <v>3039</v>
      </c>
      <c r="E42" s="45">
        <f>E44*E45</f>
        <v>3.9559999999999995</v>
      </c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53"/>
    </row>
    <row r="43" spans="1:21" ht="15.75" x14ac:dyDescent="0.25">
      <c r="A43" s="54" t="str">
        <f>A44</f>
        <v>Фм3</v>
      </c>
      <c r="B43" s="45" t="s">
        <v>3035</v>
      </c>
      <c r="C43" s="45" t="str">
        <f>A43</f>
        <v>Фм3</v>
      </c>
      <c r="D43" s="45" t="s">
        <v>3057</v>
      </c>
      <c r="E43" s="45">
        <f>(4300+2300)*2</f>
        <v>13200</v>
      </c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53"/>
    </row>
    <row r="44" spans="1:21" ht="15.75" x14ac:dyDescent="0.25">
      <c r="A44" s="54" t="str">
        <f>A45</f>
        <v>Фм3</v>
      </c>
      <c r="B44" s="45" t="s">
        <v>3035</v>
      </c>
      <c r="C44" s="45" t="str">
        <f>A44</f>
        <v>Фм3</v>
      </c>
      <c r="D44" s="45" t="s">
        <v>3056</v>
      </c>
      <c r="E44" s="45">
        <f>4.3*2.3</f>
        <v>9.8899999999999988</v>
      </c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53"/>
    </row>
    <row r="45" spans="1:21" ht="15.75" x14ac:dyDescent="0.25">
      <c r="A45" s="54" t="str">
        <f>A46</f>
        <v>Фм3</v>
      </c>
      <c r="B45" s="45" t="s">
        <v>3035</v>
      </c>
      <c r="C45" s="45" t="str">
        <f>A45</f>
        <v>Фм3</v>
      </c>
      <c r="D45" s="45" t="s">
        <v>3055</v>
      </c>
      <c r="E45" s="45">
        <v>0.4</v>
      </c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53"/>
    </row>
    <row r="46" spans="1:21" ht="15.75" x14ac:dyDescent="0.25">
      <c r="A46" s="52" t="str">
        <f>B46</f>
        <v>Фм3</v>
      </c>
      <c r="B46" s="51" t="s">
        <v>3054</v>
      </c>
      <c r="C46" s="51"/>
      <c r="D46" s="51" t="str">
        <f>CONCATENATE("Фундамент ",B46)</f>
        <v>Фундамент Фм3</v>
      </c>
      <c r="E46" s="51">
        <v>4</v>
      </c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0"/>
    </row>
    <row r="47" spans="1:21" ht="15.75" x14ac:dyDescent="0.25">
      <c r="A47" s="68" t="str">
        <f t="shared" ref="A47:A52" si="4">A46</f>
        <v>Фм3</v>
      </c>
      <c r="B47" s="62">
        <v>9</v>
      </c>
      <c r="C47" s="62" t="s">
        <v>2924</v>
      </c>
      <c r="D47" s="62" t="s">
        <v>3032</v>
      </c>
      <c r="E47" s="49">
        <v>4</v>
      </c>
      <c r="F47" s="45">
        <v>0.88800000000000001</v>
      </c>
      <c r="G47" s="62" t="s">
        <v>20</v>
      </c>
      <c r="H47" s="49">
        <f>Арм_ПоПлощади(E44*1000*1000,200,T47)</f>
        <v>55600</v>
      </c>
      <c r="I47" s="62">
        <v>12</v>
      </c>
      <c r="J47" s="62" t="s">
        <v>2</v>
      </c>
      <c r="K47" s="62"/>
      <c r="L47" s="62"/>
      <c r="M47" s="62"/>
      <c r="N47" s="62"/>
      <c r="O47" s="62"/>
      <c r="P47" s="62"/>
      <c r="Q47" s="62"/>
      <c r="R47" s="62"/>
      <c r="S47" s="62">
        <v>500</v>
      </c>
      <c r="T47" s="62">
        <v>600</v>
      </c>
      <c r="U47" s="67">
        <v>30</v>
      </c>
    </row>
    <row r="48" spans="1:21" ht="15.75" x14ac:dyDescent="0.25">
      <c r="A48" s="68" t="str">
        <f t="shared" si="4"/>
        <v>Фм3</v>
      </c>
      <c r="B48" s="62">
        <v>10</v>
      </c>
      <c r="C48" s="62" t="s">
        <v>2924</v>
      </c>
      <c r="D48" s="62" t="s">
        <v>3049</v>
      </c>
      <c r="E48" s="62">
        <v>24</v>
      </c>
      <c r="F48" s="45">
        <v>0.88800000000000001</v>
      </c>
      <c r="G48" s="62" t="s">
        <v>0</v>
      </c>
      <c r="H48" s="62">
        <v>1520</v>
      </c>
      <c r="I48" s="62">
        <v>12</v>
      </c>
      <c r="J48" s="62" t="s">
        <v>2</v>
      </c>
      <c r="K48" s="62"/>
      <c r="L48" s="62"/>
      <c r="M48" s="62"/>
      <c r="N48" s="62"/>
      <c r="O48" s="62"/>
      <c r="P48" s="62"/>
      <c r="Q48" s="62"/>
      <c r="R48" s="62"/>
      <c r="S48" s="62">
        <v>500</v>
      </c>
      <c r="T48" s="62">
        <v>600</v>
      </c>
      <c r="U48" s="67">
        <v>30</v>
      </c>
    </row>
    <row r="49" spans="1:21" ht="15.75" x14ac:dyDescent="0.25">
      <c r="A49" s="68" t="str">
        <f t="shared" si="4"/>
        <v>Фм3</v>
      </c>
      <c r="B49" s="62">
        <v>11</v>
      </c>
      <c r="C49" s="62" t="s">
        <v>2924</v>
      </c>
      <c r="D49" s="62" t="s">
        <v>3048</v>
      </c>
      <c r="E49" s="62">
        <v>44</v>
      </c>
      <c r="F49" s="45">
        <v>0.88800000000000001</v>
      </c>
      <c r="G49" s="62" t="s">
        <v>0</v>
      </c>
      <c r="H49" s="62">
        <v>1495</v>
      </c>
      <c r="I49" s="62">
        <v>12</v>
      </c>
      <c r="J49" s="62" t="s">
        <v>2</v>
      </c>
      <c r="K49" s="62"/>
      <c r="L49" s="62"/>
      <c r="M49" s="62"/>
      <c r="N49" s="62"/>
      <c r="O49" s="62"/>
      <c r="P49" s="62"/>
      <c r="Q49" s="62"/>
      <c r="R49" s="62"/>
      <c r="S49" s="62">
        <v>500</v>
      </c>
      <c r="T49" s="62">
        <v>600</v>
      </c>
      <c r="U49" s="67">
        <v>30</v>
      </c>
    </row>
    <row r="50" spans="1:21" ht="15.75" x14ac:dyDescent="0.25">
      <c r="A50" s="68" t="str">
        <f t="shared" si="4"/>
        <v>Фм3</v>
      </c>
      <c r="B50" s="47" t="str">
        <f>Изделия_спец.И!B15</f>
        <v>Кр3</v>
      </c>
      <c r="C50" s="47" t="str">
        <f>Изделия_спец.И!C15</f>
        <v>данный лист</v>
      </c>
      <c r="D50" s="47" t="str">
        <f>Изделия_спец.И!D15</f>
        <v>Каркас Кр3</v>
      </c>
      <c r="E50" s="47">
        <f>ROUNDUP((SQRT(E44)+E44),0)</f>
        <v>14</v>
      </c>
      <c r="F50" s="45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7"/>
    </row>
    <row r="51" spans="1:21" ht="15.75" x14ac:dyDescent="0.25">
      <c r="A51" s="68" t="str">
        <f t="shared" si="4"/>
        <v>Фм3</v>
      </c>
      <c r="B51" s="62"/>
      <c r="C51" s="46" t="s">
        <v>3025</v>
      </c>
      <c r="D51" s="46" t="s">
        <v>3026</v>
      </c>
      <c r="E51" s="46">
        <f>E44*1.2*0.1</f>
        <v>1.1867999999999999</v>
      </c>
      <c r="F51" s="45" t="s">
        <v>4</v>
      </c>
      <c r="G51" s="62" t="s">
        <v>3</v>
      </c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7"/>
    </row>
    <row r="52" spans="1:21" ht="15.75" x14ac:dyDescent="0.25">
      <c r="A52" s="68" t="str">
        <f t="shared" si="4"/>
        <v>Фм3</v>
      </c>
      <c r="B52" s="62"/>
      <c r="C52" s="46" t="s">
        <v>3025</v>
      </c>
      <c r="D52" s="46" t="str">
        <f>D42</f>
        <v>Бетон В25</v>
      </c>
      <c r="E52" s="46">
        <f>E42</f>
        <v>3.9559999999999995</v>
      </c>
      <c r="F52" s="45" t="s">
        <v>4</v>
      </c>
      <c r="G52" s="62" t="s">
        <v>3</v>
      </c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7"/>
    </row>
    <row r="53" spans="1:21" ht="15.7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ht="15.7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</row>
    <row r="55" spans="1:21" ht="15.75" x14ac:dyDescent="0.25">
      <c r="A55" s="54" t="str">
        <f>A56</f>
        <v>Цм</v>
      </c>
      <c r="B55" s="45" t="s">
        <v>3035</v>
      </c>
      <c r="C55" s="45" t="s">
        <v>3040</v>
      </c>
      <c r="D55" s="45" t="s">
        <v>3039</v>
      </c>
      <c r="E55" s="45">
        <f>E56*E57*E58/1000000000</f>
        <v>18.576000000000001</v>
      </c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53"/>
    </row>
    <row r="56" spans="1:21" ht="15.75" x14ac:dyDescent="0.25">
      <c r="A56" s="54" t="str">
        <f>A57</f>
        <v>Цм</v>
      </c>
      <c r="B56" s="45" t="s">
        <v>3035</v>
      </c>
      <c r="C56" s="45" t="str">
        <f>A56</f>
        <v>Цм</v>
      </c>
      <c r="D56" s="45" t="s">
        <v>2904</v>
      </c>
      <c r="E56" s="45">
        <v>103200</v>
      </c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53"/>
    </row>
    <row r="57" spans="1:21" ht="15.75" x14ac:dyDescent="0.25">
      <c r="A57" s="54" t="str">
        <f>A58</f>
        <v>Цм</v>
      </c>
      <c r="B57" s="45" t="s">
        <v>3035</v>
      </c>
      <c r="C57" s="45" t="str">
        <f>A57</f>
        <v>Цм</v>
      </c>
      <c r="D57" s="45" t="s">
        <v>3038</v>
      </c>
      <c r="E57" s="45">
        <v>150</v>
      </c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53"/>
    </row>
    <row r="58" spans="1:21" ht="15.75" x14ac:dyDescent="0.25">
      <c r="A58" s="54" t="str">
        <f>A59</f>
        <v>Цм</v>
      </c>
      <c r="B58" s="45" t="s">
        <v>3035</v>
      </c>
      <c r="C58" s="45" t="str">
        <f>A58</f>
        <v>Цм</v>
      </c>
      <c r="D58" s="45" t="s">
        <v>3051</v>
      </c>
      <c r="E58" s="45">
        <v>1200</v>
      </c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53"/>
    </row>
    <row r="59" spans="1:21" ht="15.75" x14ac:dyDescent="0.25">
      <c r="A59" s="52" t="str">
        <f>B59</f>
        <v>Цм</v>
      </c>
      <c r="B59" s="51" t="s">
        <v>3053</v>
      </c>
      <c r="C59" s="51"/>
      <c r="D59" s="51" t="str">
        <f>CONCATENATE("Цоколь ",B59)</f>
        <v>Цоколь Цм</v>
      </c>
      <c r="E59" s="51">
        <v>1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0"/>
    </row>
    <row r="60" spans="1:21" ht="15.75" x14ac:dyDescent="0.25">
      <c r="A60" s="68" t="str">
        <f>A59</f>
        <v>Цм</v>
      </c>
      <c r="B60" s="47" t="str">
        <f>Изделия_спец.И!B31</f>
        <v>С3</v>
      </c>
      <c r="C60" s="47" t="str">
        <f>Изделия_спец.И!C31</f>
        <v>данный лист</v>
      </c>
      <c r="D60" s="47" t="str">
        <f>Изделия_спец.И!D31</f>
        <v>Сетка С3</v>
      </c>
      <c r="E60" s="47">
        <f>ROUNDUP(E56/1000,0)</f>
        <v>104</v>
      </c>
      <c r="F60" s="45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7"/>
    </row>
    <row r="61" spans="1:21" ht="15.75" x14ac:dyDescent="0.25">
      <c r="A61" s="68" t="str">
        <f>A60</f>
        <v>Цм</v>
      </c>
      <c r="B61" s="62"/>
      <c r="C61" s="46" t="s">
        <v>3025</v>
      </c>
      <c r="D61" s="46" t="s">
        <v>3026</v>
      </c>
      <c r="E61" s="46">
        <f>(E57+200)*E56*0.1/1000000</f>
        <v>3.6120000000000001</v>
      </c>
      <c r="F61" s="45" t="s">
        <v>4</v>
      </c>
      <c r="G61" s="62" t="s">
        <v>3</v>
      </c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7"/>
    </row>
    <row r="62" spans="1:21" ht="15.75" x14ac:dyDescent="0.25">
      <c r="A62" s="68" t="str">
        <f>A61</f>
        <v>Цм</v>
      </c>
      <c r="B62" s="62"/>
      <c r="C62" s="46" t="s">
        <v>3025</v>
      </c>
      <c r="D62" s="46" t="str">
        <f>D55</f>
        <v>Бетон В25</v>
      </c>
      <c r="E62" s="46">
        <f>E55</f>
        <v>18.576000000000001</v>
      </c>
      <c r="F62" s="45" t="s">
        <v>4</v>
      </c>
      <c r="G62" s="62" t="s">
        <v>3</v>
      </c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7"/>
    </row>
    <row r="63" spans="1:21" ht="15.75" x14ac:dyDescent="0.25">
      <c r="A63" s="68" t="str">
        <f>A62</f>
        <v>Цм</v>
      </c>
      <c r="B63" s="62"/>
      <c r="C63" s="46" t="s">
        <v>3025</v>
      </c>
      <c r="D63" s="46" t="s">
        <v>3052</v>
      </c>
      <c r="E63" s="46">
        <f>0.3*0.4*1.35*32</f>
        <v>5.1840000000000002</v>
      </c>
      <c r="F63" s="45" t="s">
        <v>4</v>
      </c>
      <c r="G63" s="62" t="s">
        <v>3</v>
      </c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7"/>
    </row>
    <row r="64" spans="1:21" ht="15.7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</row>
    <row r="65" spans="1:21" ht="15.7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</row>
    <row r="66" spans="1:21" ht="15.75" x14ac:dyDescent="0.25">
      <c r="A66" s="54" t="str">
        <f>A67</f>
        <v>Опм1</v>
      </c>
      <c r="B66" s="45" t="s">
        <v>3035</v>
      </c>
      <c r="C66" s="45" t="s">
        <v>3040</v>
      </c>
      <c r="D66" s="45" t="s">
        <v>3039</v>
      </c>
      <c r="E66" s="45">
        <f>E67*E68*E69/1000000000</f>
        <v>0.22439999999999999</v>
      </c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53"/>
    </row>
    <row r="67" spans="1:21" ht="15.75" x14ac:dyDescent="0.25">
      <c r="A67" s="54" t="str">
        <f>A68</f>
        <v>Опм1</v>
      </c>
      <c r="B67" s="45" t="s">
        <v>3035</v>
      </c>
      <c r="C67" s="45" t="str">
        <f>A67</f>
        <v>Опм1</v>
      </c>
      <c r="D67" s="45" t="s">
        <v>2904</v>
      </c>
      <c r="E67" s="45">
        <v>1100</v>
      </c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53"/>
    </row>
    <row r="68" spans="1:21" ht="15.75" x14ac:dyDescent="0.25">
      <c r="A68" s="54" t="str">
        <f>A69</f>
        <v>Опм1</v>
      </c>
      <c r="B68" s="45" t="s">
        <v>3035</v>
      </c>
      <c r="C68" s="45" t="str">
        <f>A68</f>
        <v>Опм1</v>
      </c>
      <c r="D68" s="45" t="s">
        <v>3038</v>
      </c>
      <c r="E68" s="45">
        <v>600</v>
      </c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53"/>
    </row>
    <row r="69" spans="1:21" ht="15.75" x14ac:dyDescent="0.25">
      <c r="A69" s="54" t="str">
        <f>A70</f>
        <v>Опм1</v>
      </c>
      <c r="B69" s="45" t="s">
        <v>3035</v>
      </c>
      <c r="C69" s="45" t="str">
        <f>A69</f>
        <v>Опм1</v>
      </c>
      <c r="D69" s="45" t="s">
        <v>3051</v>
      </c>
      <c r="E69" s="45">
        <v>340</v>
      </c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53"/>
    </row>
    <row r="70" spans="1:21" ht="15.75" x14ac:dyDescent="0.25">
      <c r="A70" s="52" t="str">
        <f>B70</f>
        <v>Опм1</v>
      </c>
      <c r="B70" s="51" t="s">
        <v>3050</v>
      </c>
      <c r="C70" s="51"/>
      <c r="D70" s="51" t="str">
        <f>CONCATENATE("Фундамент ",B70)</f>
        <v>Фундамент Опм1</v>
      </c>
      <c r="E70" s="51">
        <v>11</v>
      </c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0"/>
    </row>
    <row r="71" spans="1:21" ht="15.75" x14ac:dyDescent="0.25">
      <c r="A71" s="68" t="str">
        <f>A70</f>
        <v>Опм1</v>
      </c>
      <c r="B71" s="62"/>
      <c r="C71" s="46" t="s">
        <v>3025</v>
      </c>
      <c r="D71" s="46" t="str">
        <f>D66</f>
        <v>Бетон В25</v>
      </c>
      <c r="E71" s="46">
        <f>E66</f>
        <v>0.22439999999999999</v>
      </c>
      <c r="F71" s="45" t="s">
        <v>4</v>
      </c>
      <c r="G71" s="62" t="s">
        <v>3</v>
      </c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7"/>
    </row>
    <row r="72" spans="1:21" ht="15.7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</row>
    <row r="73" spans="1:21" ht="15.7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ht="15.75" x14ac:dyDescent="0.25">
      <c r="A74" s="54" t="str">
        <f>A75</f>
        <v>ПФм1</v>
      </c>
      <c r="B74" s="45" t="s">
        <v>3035</v>
      </c>
      <c r="C74" s="45" t="s">
        <v>3040</v>
      </c>
      <c r="D74" s="45" t="s">
        <v>3039</v>
      </c>
      <c r="E74" s="45">
        <f>E77*E78</f>
        <v>162</v>
      </c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53"/>
    </row>
    <row r="75" spans="1:21" ht="15.75" x14ac:dyDescent="0.25">
      <c r="A75" s="54" t="str">
        <f>A76</f>
        <v>ПФм1</v>
      </c>
      <c r="B75" s="45" t="s">
        <v>3035</v>
      </c>
      <c r="C75" s="45" t="str">
        <f>A75</f>
        <v>ПФм1</v>
      </c>
      <c r="D75" s="45" t="s">
        <v>2904</v>
      </c>
      <c r="E75" s="45">
        <v>36000</v>
      </c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53"/>
    </row>
    <row r="76" spans="1:21" ht="15.75" x14ac:dyDescent="0.25">
      <c r="A76" s="54" t="str">
        <f>A77</f>
        <v>ПФм1</v>
      </c>
      <c r="B76" s="45" t="s">
        <v>3035</v>
      </c>
      <c r="C76" s="45" t="str">
        <f>A76</f>
        <v>ПФм1</v>
      </c>
      <c r="D76" s="45" t="s">
        <v>3038</v>
      </c>
      <c r="E76" s="45">
        <v>15000</v>
      </c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53"/>
    </row>
    <row r="77" spans="1:21" ht="15.75" x14ac:dyDescent="0.25">
      <c r="A77" s="54" t="str">
        <f>A78</f>
        <v>ПФм1</v>
      </c>
      <c r="B77" s="45" t="s">
        <v>3035</v>
      </c>
      <c r="C77" s="45" t="str">
        <f>A77</f>
        <v>ПФм1</v>
      </c>
      <c r="D77" s="45" t="s">
        <v>3037</v>
      </c>
      <c r="E77" s="45">
        <f>E75*E76/1000000</f>
        <v>540</v>
      </c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53"/>
    </row>
    <row r="78" spans="1:21" ht="15.75" x14ac:dyDescent="0.25">
      <c r="A78" s="54" t="str">
        <f>A79</f>
        <v>ПФм1</v>
      </c>
      <c r="B78" s="45" t="s">
        <v>3035</v>
      </c>
      <c r="C78" s="45" t="str">
        <f>A78</f>
        <v>ПФм1</v>
      </c>
      <c r="D78" s="45" t="s">
        <v>3036</v>
      </c>
      <c r="E78" s="45">
        <v>0.3</v>
      </c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53"/>
    </row>
    <row r="79" spans="1:21" ht="15.75" x14ac:dyDescent="0.25">
      <c r="A79" s="52" t="str">
        <f>B79</f>
        <v>ПФм1</v>
      </c>
      <c r="B79" s="51" t="s">
        <v>2427</v>
      </c>
      <c r="C79" s="51"/>
      <c r="D79" s="51" t="str">
        <f>CONCATENATE("Плита ",B79)</f>
        <v>Плита ПФм1</v>
      </c>
      <c r="E79" s="51">
        <v>1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0"/>
    </row>
    <row r="80" spans="1:21" ht="15.75" x14ac:dyDescent="0.25">
      <c r="A80" s="68" t="str">
        <f t="shared" ref="A80:A89" si="5">A79</f>
        <v>ПФм1</v>
      </c>
      <c r="B80" s="62">
        <v>9</v>
      </c>
      <c r="C80" s="62" t="s">
        <v>2924</v>
      </c>
      <c r="D80" s="62" t="s">
        <v>3032</v>
      </c>
      <c r="E80" s="49">
        <v>4</v>
      </c>
      <c r="F80" s="45">
        <v>0.88800000000000001</v>
      </c>
      <c r="G80" s="62" t="s">
        <v>20</v>
      </c>
      <c r="H80" s="49">
        <f>Арм_ПоПлощади(E77*1000*1000,200,T80)</f>
        <v>2863040</v>
      </c>
      <c r="I80" s="62">
        <v>12</v>
      </c>
      <c r="J80" s="62" t="s">
        <v>2</v>
      </c>
      <c r="K80" s="62"/>
      <c r="L80" s="62"/>
      <c r="M80" s="62"/>
      <c r="N80" s="62"/>
      <c r="O80" s="62"/>
      <c r="P80" s="62"/>
      <c r="Q80" s="62"/>
      <c r="R80" s="62"/>
      <c r="S80" s="62">
        <v>500</v>
      </c>
      <c r="T80" s="62">
        <v>600</v>
      </c>
      <c r="U80" s="67">
        <v>30</v>
      </c>
    </row>
    <row r="81" spans="1:21" ht="15.75" x14ac:dyDescent="0.25">
      <c r="A81" s="68" t="str">
        <f t="shared" si="5"/>
        <v>ПФм1</v>
      </c>
      <c r="B81" s="62">
        <v>12</v>
      </c>
      <c r="C81" s="62" t="s">
        <v>2924</v>
      </c>
      <c r="D81" s="62" t="s">
        <v>3049</v>
      </c>
      <c r="E81" s="62">
        <f>ROUNDUP(E76/200+1,0)*2</f>
        <v>152</v>
      </c>
      <c r="F81" s="45">
        <v>0.88800000000000001</v>
      </c>
      <c r="G81" s="62" t="s">
        <v>0</v>
      </c>
      <c r="H81" s="62">
        <v>1340</v>
      </c>
      <c r="I81" s="62">
        <v>12</v>
      </c>
      <c r="J81" s="62" t="s">
        <v>2</v>
      </c>
      <c r="K81" s="62"/>
      <c r="L81" s="62"/>
      <c r="M81" s="62"/>
      <c r="N81" s="62"/>
      <c r="O81" s="62"/>
      <c r="P81" s="62"/>
      <c r="Q81" s="62"/>
      <c r="R81" s="62"/>
      <c r="S81" s="62">
        <v>500</v>
      </c>
      <c r="T81" s="62">
        <v>600</v>
      </c>
      <c r="U81" s="67">
        <v>30</v>
      </c>
    </row>
    <row r="82" spans="1:21" ht="15.75" x14ac:dyDescent="0.25">
      <c r="A82" s="68" t="str">
        <f t="shared" si="5"/>
        <v>ПФм1</v>
      </c>
      <c r="B82" s="62">
        <v>13</v>
      </c>
      <c r="C82" s="62" t="s">
        <v>2924</v>
      </c>
      <c r="D82" s="62" t="s">
        <v>3048</v>
      </c>
      <c r="E82" s="62">
        <f>ROUNDUP(E75/200+1,0)*2</f>
        <v>362</v>
      </c>
      <c r="F82" s="45">
        <v>0.88800000000000001</v>
      </c>
      <c r="G82" s="62" t="s">
        <v>0</v>
      </c>
      <c r="H82" s="62">
        <v>1315</v>
      </c>
      <c r="I82" s="62">
        <v>12</v>
      </c>
      <c r="J82" s="62" t="s">
        <v>2</v>
      </c>
      <c r="K82" s="62"/>
      <c r="L82" s="62"/>
      <c r="M82" s="62"/>
      <c r="N82" s="62"/>
      <c r="O82" s="62"/>
      <c r="P82" s="62"/>
      <c r="Q82" s="62"/>
      <c r="R82" s="62"/>
      <c r="S82" s="62">
        <v>500</v>
      </c>
      <c r="T82" s="62">
        <v>600</v>
      </c>
      <c r="U82" s="67">
        <v>30</v>
      </c>
    </row>
    <row r="83" spans="1:21" ht="15.75" x14ac:dyDescent="0.25">
      <c r="A83" s="68" t="str">
        <f t="shared" si="5"/>
        <v>ПФм1</v>
      </c>
      <c r="B83" s="47" t="str">
        <f>Изделия_спец.И!B10</f>
        <v>Кр2</v>
      </c>
      <c r="C83" s="47" t="str">
        <f>Изделия_спец.И!C10</f>
        <v>данный лист</v>
      </c>
      <c r="D83" s="47" t="str">
        <f>Изделия_спец.И!D10</f>
        <v>Каркас Кр2</v>
      </c>
      <c r="E83" s="47">
        <f>ROUNDUP((SQRT(E77)+E77),0)</f>
        <v>564</v>
      </c>
      <c r="F83" s="45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7"/>
    </row>
    <row r="84" spans="1:21" ht="15.75" x14ac:dyDescent="0.25">
      <c r="A84" s="68" t="str">
        <f t="shared" si="5"/>
        <v>ПФм1</v>
      </c>
      <c r="B84" s="47" t="str">
        <f>Изделия_спец.И!B37</f>
        <v>Зд1</v>
      </c>
      <c r="C84" s="47" t="str">
        <f>Изделия_спец.И!C37</f>
        <v>Серия 1.400-15 В.1</v>
      </c>
      <c r="D84" s="47" t="str">
        <f>Изделия_спец.И!D37</f>
        <v>Закладная МН553</v>
      </c>
      <c r="E84" s="47">
        <f>ROUNDUP((28650*2+9400)*2/1000,0)</f>
        <v>134</v>
      </c>
      <c r="F84" s="45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7"/>
    </row>
    <row r="85" spans="1:21" ht="15.75" x14ac:dyDescent="0.25">
      <c r="A85" s="68" t="str">
        <f t="shared" si="5"/>
        <v>ПФм1</v>
      </c>
      <c r="B85" s="62"/>
      <c r="C85" s="62"/>
      <c r="D85" s="62" t="s">
        <v>3047</v>
      </c>
      <c r="E85" s="62">
        <f>0.25*(1535*2+2190*7*2)/1000</f>
        <v>8.4324999999999992</v>
      </c>
      <c r="F85" s="62"/>
      <c r="G85" s="62" t="s">
        <v>2372</v>
      </c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7"/>
    </row>
    <row r="86" spans="1:21" ht="15.75" x14ac:dyDescent="0.25">
      <c r="A86" s="68" t="str">
        <f t="shared" si="5"/>
        <v>ПФм1</v>
      </c>
      <c r="B86" s="62"/>
      <c r="C86" s="62" t="s">
        <v>3046</v>
      </c>
      <c r="D86" s="62" t="s">
        <v>3045</v>
      </c>
      <c r="E86" s="62">
        <f>E87*0.012+20*50*(1535*2+2190*7*2)/1000000000</f>
        <v>0.67788999999999999</v>
      </c>
      <c r="F86" s="62"/>
      <c r="G86" s="62" t="s">
        <v>3</v>
      </c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7"/>
    </row>
    <row r="87" spans="1:21" ht="31.5" x14ac:dyDescent="0.25">
      <c r="A87" s="68" t="str">
        <f t="shared" si="5"/>
        <v>ПФм1</v>
      </c>
      <c r="B87" s="62"/>
      <c r="C87" s="62"/>
      <c r="D87" s="62" t="s">
        <v>3044</v>
      </c>
      <c r="E87" s="62">
        <f>(4400*2+2250*4+2700*4+2270*4+5165+5300+5535)/1000</f>
        <v>53.68</v>
      </c>
      <c r="F87" s="62"/>
      <c r="G87" s="62" t="s">
        <v>20</v>
      </c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7"/>
    </row>
    <row r="88" spans="1:21" ht="15.75" x14ac:dyDescent="0.25">
      <c r="A88" s="68" t="str">
        <f t="shared" si="5"/>
        <v>ПФм1</v>
      </c>
      <c r="B88" s="62"/>
      <c r="C88" s="46" t="s">
        <v>3025</v>
      </c>
      <c r="D88" s="46" t="s">
        <v>3026</v>
      </c>
      <c r="E88" s="46">
        <f>E77*1.2*0.1</f>
        <v>64.8</v>
      </c>
      <c r="F88" s="45" t="s">
        <v>4</v>
      </c>
      <c r="G88" s="62" t="s">
        <v>3</v>
      </c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7"/>
    </row>
    <row r="89" spans="1:21" ht="15.75" x14ac:dyDescent="0.25">
      <c r="A89" s="68" t="str">
        <f t="shared" si="5"/>
        <v>ПФм1</v>
      </c>
      <c r="B89" s="62"/>
      <c r="C89" s="46" t="s">
        <v>3025</v>
      </c>
      <c r="D89" s="46" t="str">
        <f>D74</f>
        <v>Бетон В25</v>
      </c>
      <c r="E89" s="46">
        <f>E74</f>
        <v>162</v>
      </c>
      <c r="F89" s="45" t="s">
        <v>4</v>
      </c>
      <c r="G89" s="62" t="s">
        <v>3</v>
      </c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7"/>
    </row>
    <row r="90" spans="1:21" ht="15.75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</row>
    <row r="91" spans="1:21" ht="15.75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</row>
    <row r="92" spans="1:21" ht="15.75" x14ac:dyDescent="0.25">
      <c r="A92" s="54" t="str">
        <f t="shared" ref="A92:A97" si="6">A93</f>
        <v>Кнм1</v>
      </c>
      <c r="B92" s="45" t="s">
        <v>3035</v>
      </c>
      <c r="C92" s="45" t="s">
        <v>3040</v>
      </c>
      <c r="D92" s="45" t="s">
        <v>3039</v>
      </c>
      <c r="E92" s="45">
        <f>E95*E97/1000+E93*E97*E96*2/1000000000</f>
        <v>9.16</v>
      </c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53"/>
    </row>
    <row r="93" spans="1:21" ht="15.75" x14ac:dyDescent="0.25">
      <c r="A93" s="54" t="str">
        <f t="shared" si="6"/>
        <v>Кнм1</v>
      </c>
      <c r="B93" s="45" t="s">
        <v>3035</v>
      </c>
      <c r="C93" s="45" t="str">
        <f>A93</f>
        <v>Кнм1</v>
      </c>
      <c r="D93" s="45" t="s">
        <v>2904</v>
      </c>
      <c r="E93" s="45">
        <f>21200+24600</f>
        <v>45800</v>
      </c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53"/>
    </row>
    <row r="94" spans="1:21" ht="15.75" x14ac:dyDescent="0.25">
      <c r="A94" s="54" t="str">
        <f t="shared" si="6"/>
        <v>Кнм1</v>
      </c>
      <c r="B94" s="45" t="s">
        <v>3035</v>
      </c>
      <c r="C94" s="45" t="str">
        <f>A94</f>
        <v>Кнм1</v>
      </c>
      <c r="D94" s="45" t="s">
        <v>3038</v>
      </c>
      <c r="E94" s="45">
        <v>600</v>
      </c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53"/>
    </row>
    <row r="95" spans="1:21" ht="15.75" x14ac:dyDescent="0.25">
      <c r="A95" s="54" t="str">
        <f t="shared" si="6"/>
        <v>Кнм1</v>
      </c>
      <c r="B95" s="45" t="s">
        <v>3035</v>
      </c>
      <c r="C95" s="45" t="str">
        <f>A95</f>
        <v>Кнм1</v>
      </c>
      <c r="D95" s="45" t="s">
        <v>3037</v>
      </c>
      <c r="E95" s="45">
        <f>E93*(E94+E97*2)/1000000</f>
        <v>36.64</v>
      </c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53"/>
    </row>
    <row r="96" spans="1:21" ht="15.75" x14ac:dyDescent="0.25">
      <c r="A96" s="54" t="str">
        <f t="shared" si="6"/>
        <v>Кнм1</v>
      </c>
      <c r="B96" s="45" t="s">
        <v>3035</v>
      </c>
      <c r="C96" s="45" t="str">
        <f>A96</f>
        <v>Кнм1</v>
      </c>
      <c r="D96" s="45" t="s">
        <v>3036</v>
      </c>
      <c r="E96" s="45">
        <v>600</v>
      </c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53"/>
    </row>
    <row r="97" spans="1:21" ht="15.75" x14ac:dyDescent="0.25">
      <c r="A97" s="54" t="str">
        <f t="shared" si="6"/>
        <v>Кнм1</v>
      </c>
      <c r="B97" s="45" t="s">
        <v>3035</v>
      </c>
      <c r="C97" s="45" t="str">
        <f>A97</f>
        <v>Кнм1</v>
      </c>
      <c r="D97" s="45" t="s">
        <v>3034</v>
      </c>
      <c r="E97" s="45">
        <v>100</v>
      </c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53"/>
    </row>
    <row r="98" spans="1:21" ht="15.75" x14ac:dyDescent="0.25">
      <c r="A98" s="52" t="str">
        <f>B98</f>
        <v>Кнм1</v>
      </c>
      <c r="B98" s="51" t="s">
        <v>3043</v>
      </c>
      <c r="C98" s="51"/>
      <c r="D98" s="51" t="str">
        <f>CONCATENATE("Канал ",B98)</f>
        <v>Канал Кнм1</v>
      </c>
      <c r="E98" s="51">
        <v>1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0"/>
    </row>
    <row r="99" spans="1:21" ht="15.75" x14ac:dyDescent="0.25">
      <c r="A99" s="68" t="str">
        <f t="shared" ref="A99:A105" si="7">A98</f>
        <v>Кнм1</v>
      </c>
      <c r="B99" s="62">
        <v>14</v>
      </c>
      <c r="C99" s="62" t="s">
        <v>2924</v>
      </c>
      <c r="D99" s="62" t="s">
        <v>3032</v>
      </c>
      <c r="E99" s="49">
        <v>2</v>
      </c>
      <c r="F99" s="45">
        <v>0.61599999999999999</v>
      </c>
      <c r="G99" s="62" t="s">
        <v>20</v>
      </c>
      <c r="H99" s="49">
        <f>Арм_ПоПлощади((E95*1000*1000+E93*(E96+E97)*2),150,T99)</f>
        <v>711280</v>
      </c>
      <c r="I99" s="62">
        <v>10</v>
      </c>
      <c r="J99" s="62" t="s">
        <v>2</v>
      </c>
      <c r="K99" s="62"/>
      <c r="L99" s="62"/>
      <c r="M99" s="62"/>
      <c r="N99" s="62"/>
      <c r="O99" s="62"/>
      <c r="P99" s="62"/>
      <c r="Q99" s="62"/>
      <c r="R99" s="62"/>
      <c r="S99" s="62">
        <v>415</v>
      </c>
      <c r="T99" s="62">
        <v>500</v>
      </c>
      <c r="U99" s="67">
        <v>25</v>
      </c>
    </row>
    <row r="100" spans="1:21" ht="15.75" x14ac:dyDescent="0.25">
      <c r="A100" s="68" t="str">
        <f t="shared" si="7"/>
        <v>Кнм1</v>
      </c>
      <c r="B100" s="47" t="str">
        <f>Изделия_спец.И!B37</f>
        <v>Зд1</v>
      </c>
      <c r="C100" s="47" t="str">
        <f>Изделия_спец.И!C37</f>
        <v>Серия 1.400-15 В.1</v>
      </c>
      <c r="D100" s="47" t="str">
        <f>Изделия_спец.И!D37</f>
        <v>Закладная МН553</v>
      </c>
      <c r="E100" s="47">
        <f>ROUNDUP(E93*2/1000,0)</f>
        <v>92</v>
      </c>
      <c r="F100" s="45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7"/>
    </row>
    <row r="101" spans="1:21" ht="15.75" x14ac:dyDescent="0.25">
      <c r="A101" s="68" t="str">
        <f t="shared" si="7"/>
        <v>Кнм1</v>
      </c>
      <c r="B101" s="47" t="str">
        <f>Изделия_спец.И!B42</f>
        <v>Зд2</v>
      </c>
      <c r="C101" s="47" t="str">
        <f>Изделия_спец.И!C42</f>
        <v>Серия 1.400-15 В.1</v>
      </c>
      <c r="D101" s="47" t="str">
        <f>Изделия_спец.И!D42</f>
        <v>Закладная МН401-2</v>
      </c>
      <c r="E101" s="47">
        <f>(ROUNDUP(E93/1000,0)+1)*2</f>
        <v>94</v>
      </c>
      <c r="F101" s="45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7"/>
    </row>
    <row r="102" spans="1:21" ht="15.75" x14ac:dyDescent="0.25">
      <c r="A102" s="68" t="str">
        <f t="shared" si="7"/>
        <v>Кнм1</v>
      </c>
      <c r="B102" s="62" t="s">
        <v>2858</v>
      </c>
      <c r="C102" s="62" t="s">
        <v>3028</v>
      </c>
      <c r="D102" s="62" t="s">
        <v>3042</v>
      </c>
      <c r="E102" s="62">
        <v>15</v>
      </c>
      <c r="F102" s="62">
        <v>410</v>
      </c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7"/>
    </row>
    <row r="103" spans="1:21" ht="15.75" x14ac:dyDescent="0.25">
      <c r="A103" s="68" t="str">
        <f t="shared" si="7"/>
        <v>Кнм1</v>
      </c>
      <c r="B103" s="62" t="s">
        <v>2861</v>
      </c>
      <c r="C103" s="62" t="s">
        <v>3028</v>
      </c>
      <c r="D103" s="62" t="s">
        <v>3041</v>
      </c>
      <c r="E103" s="62">
        <v>2</v>
      </c>
      <c r="F103" s="62">
        <v>100</v>
      </c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7"/>
    </row>
    <row r="104" spans="1:21" ht="15.75" x14ac:dyDescent="0.25">
      <c r="A104" s="68" t="str">
        <f t="shared" si="7"/>
        <v>Кнм1</v>
      </c>
      <c r="B104" s="62"/>
      <c r="C104" s="46" t="s">
        <v>3025</v>
      </c>
      <c r="D104" s="46" t="s">
        <v>3026</v>
      </c>
      <c r="E104" s="46">
        <f>E95*1.2*0.1</f>
        <v>4.3967999999999998</v>
      </c>
      <c r="F104" s="45" t="s">
        <v>4</v>
      </c>
      <c r="G104" s="62" t="s">
        <v>3</v>
      </c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7"/>
    </row>
    <row r="105" spans="1:21" ht="15.75" x14ac:dyDescent="0.25">
      <c r="A105" s="68" t="str">
        <f t="shared" si="7"/>
        <v>Кнм1</v>
      </c>
      <c r="B105" s="62"/>
      <c r="C105" s="46" t="s">
        <v>3025</v>
      </c>
      <c r="D105" s="46" t="str">
        <f>D92</f>
        <v>Бетон В25</v>
      </c>
      <c r="E105" s="46">
        <f>E92</f>
        <v>9.16</v>
      </c>
      <c r="F105" s="45" t="s">
        <v>4</v>
      </c>
      <c r="G105" s="62" t="s">
        <v>3</v>
      </c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7"/>
    </row>
    <row r="106" spans="1:21" ht="15.75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</row>
    <row r="107" spans="1:21" ht="15.75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</row>
    <row r="108" spans="1:21" ht="15.75" x14ac:dyDescent="0.25">
      <c r="A108" s="54" t="str">
        <f t="shared" ref="A108:A113" si="8">A109</f>
        <v>Кнм2</v>
      </c>
      <c r="B108" s="45" t="s">
        <v>3035</v>
      </c>
      <c r="C108" s="45" t="s">
        <v>3040</v>
      </c>
      <c r="D108" s="45" t="s">
        <v>3039</v>
      </c>
      <c r="E108" s="45">
        <f>E111*E113/1000+E109*E113*E112*2/1000000000</f>
        <v>2.1482000000000001</v>
      </c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53"/>
    </row>
    <row r="109" spans="1:21" ht="15.75" x14ac:dyDescent="0.25">
      <c r="A109" s="54" t="str">
        <f t="shared" si="8"/>
        <v>Кнм2</v>
      </c>
      <c r="B109" s="45" t="s">
        <v>3035</v>
      </c>
      <c r="C109" s="45" t="str">
        <f>A109</f>
        <v>Кнм2</v>
      </c>
      <c r="D109" s="45" t="s">
        <v>2904</v>
      </c>
      <c r="E109" s="45">
        <v>9340</v>
      </c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53"/>
    </row>
    <row r="110" spans="1:21" ht="15.75" x14ac:dyDescent="0.25">
      <c r="A110" s="54" t="str">
        <f t="shared" si="8"/>
        <v>Кнм2</v>
      </c>
      <c r="B110" s="45" t="s">
        <v>3035</v>
      </c>
      <c r="C110" s="45" t="str">
        <f>A110</f>
        <v>Кнм2</v>
      </c>
      <c r="D110" s="45" t="s">
        <v>3038</v>
      </c>
      <c r="E110" s="45">
        <v>900</v>
      </c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53"/>
    </row>
    <row r="111" spans="1:21" ht="15.75" x14ac:dyDescent="0.25">
      <c r="A111" s="54" t="str">
        <f t="shared" si="8"/>
        <v>Кнм2</v>
      </c>
      <c r="B111" s="45" t="s">
        <v>3035</v>
      </c>
      <c r="C111" s="45" t="str">
        <f>A111</f>
        <v>Кнм2</v>
      </c>
      <c r="D111" s="45" t="s">
        <v>3037</v>
      </c>
      <c r="E111" s="45">
        <f>E109*(E110+E113*2)/1000000</f>
        <v>10.273999999999999</v>
      </c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53"/>
    </row>
    <row r="112" spans="1:21" ht="15.75" x14ac:dyDescent="0.25">
      <c r="A112" s="54" t="str">
        <f t="shared" si="8"/>
        <v>Кнм2</v>
      </c>
      <c r="B112" s="45" t="s">
        <v>3035</v>
      </c>
      <c r="C112" s="45" t="str">
        <f>A112</f>
        <v>Кнм2</v>
      </c>
      <c r="D112" s="45" t="s">
        <v>3036</v>
      </c>
      <c r="E112" s="45">
        <v>600</v>
      </c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53"/>
    </row>
    <row r="113" spans="1:21" ht="15.75" x14ac:dyDescent="0.25">
      <c r="A113" s="54" t="str">
        <f t="shared" si="8"/>
        <v>Кнм2</v>
      </c>
      <c r="B113" s="45" t="s">
        <v>3035</v>
      </c>
      <c r="C113" s="45" t="str">
        <f>A113</f>
        <v>Кнм2</v>
      </c>
      <c r="D113" s="45" t="s">
        <v>3034</v>
      </c>
      <c r="E113" s="45">
        <v>100</v>
      </c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53"/>
    </row>
    <row r="114" spans="1:21" ht="15.75" x14ac:dyDescent="0.25">
      <c r="A114" s="52" t="str">
        <f>B114</f>
        <v>Кнм2</v>
      </c>
      <c r="B114" s="51" t="s">
        <v>3033</v>
      </c>
      <c r="C114" s="51"/>
      <c r="D114" s="51" t="str">
        <f>CONCATENATE("Канал ",B114)</f>
        <v>Канал Кнм2</v>
      </c>
      <c r="E114" s="51">
        <v>1</v>
      </c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0"/>
    </row>
    <row r="115" spans="1:21" ht="15.75" x14ac:dyDescent="0.25">
      <c r="A115" s="68" t="str">
        <f t="shared" ref="A115:A122" si="9">A114</f>
        <v>Кнм2</v>
      </c>
      <c r="B115" s="62">
        <v>14</v>
      </c>
      <c r="C115" s="62" t="s">
        <v>2924</v>
      </c>
      <c r="D115" s="62" t="s">
        <v>3032</v>
      </c>
      <c r="E115" s="49">
        <v>2</v>
      </c>
      <c r="F115" s="45">
        <v>0.61599999999999999</v>
      </c>
      <c r="G115" s="62" t="s">
        <v>20</v>
      </c>
      <c r="H115" s="49">
        <f>Арм_ПоПлощади((E111*1000*1000+E109*(E112+E113)*2),150,T115)</f>
        <v>167500</v>
      </c>
      <c r="I115" s="62">
        <v>10</v>
      </c>
      <c r="J115" s="62" t="s">
        <v>2</v>
      </c>
      <c r="K115" s="62"/>
      <c r="L115" s="62"/>
      <c r="M115" s="62"/>
      <c r="N115" s="62"/>
      <c r="O115" s="62"/>
      <c r="P115" s="62"/>
      <c r="Q115" s="62"/>
      <c r="R115" s="62"/>
      <c r="S115" s="62">
        <v>415</v>
      </c>
      <c r="T115" s="62">
        <v>500</v>
      </c>
      <c r="U115" s="67">
        <v>25</v>
      </c>
    </row>
    <row r="116" spans="1:21" ht="15.75" x14ac:dyDescent="0.25">
      <c r="A116" s="68" t="str">
        <f t="shared" si="9"/>
        <v>Кнм2</v>
      </c>
      <c r="B116" s="48"/>
      <c r="C116" s="48" t="s">
        <v>3031</v>
      </c>
      <c r="D116" s="48"/>
      <c r="E116" s="48">
        <v>8</v>
      </c>
      <c r="F116" s="45">
        <v>4.93</v>
      </c>
      <c r="G116" s="62"/>
      <c r="H116" s="62"/>
      <c r="I116" s="62"/>
      <c r="J116" s="62"/>
      <c r="K116" s="62">
        <v>150</v>
      </c>
      <c r="L116" s="62" t="s">
        <v>44</v>
      </c>
      <c r="M116" s="62" t="s">
        <v>444</v>
      </c>
      <c r="N116" s="62"/>
      <c r="O116" s="62" t="s">
        <v>17</v>
      </c>
      <c r="P116" s="62"/>
      <c r="Q116" s="62"/>
      <c r="R116" s="62"/>
      <c r="S116" s="62"/>
      <c r="T116" s="62"/>
      <c r="U116" s="67"/>
    </row>
    <row r="117" spans="1:21" ht="15.75" x14ac:dyDescent="0.25">
      <c r="A117" s="68" t="str">
        <f t="shared" si="9"/>
        <v>Кнм2</v>
      </c>
      <c r="B117" s="47" t="str">
        <f>Изделия_спец.И!B37</f>
        <v>Зд1</v>
      </c>
      <c r="C117" s="47" t="str">
        <f>Изделия_спец.И!C37</f>
        <v>Серия 1.400-15 В.1</v>
      </c>
      <c r="D117" s="47" t="str">
        <f>Изделия_спец.И!D37</f>
        <v>Закладная МН553</v>
      </c>
      <c r="E117" s="47">
        <f>ROUNDUP(E109*2/1000,0)</f>
        <v>19</v>
      </c>
      <c r="F117" s="45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7"/>
    </row>
    <row r="118" spans="1:21" ht="15.75" x14ac:dyDescent="0.25">
      <c r="A118" s="68" t="str">
        <f t="shared" si="9"/>
        <v>Кнм2</v>
      </c>
      <c r="B118" s="47" t="str">
        <f>Изделия_спец.И!B42</f>
        <v>Зд2</v>
      </c>
      <c r="C118" s="47" t="str">
        <f>Изделия_спец.И!C42</f>
        <v>Серия 1.400-15 В.1</v>
      </c>
      <c r="D118" s="47" t="str">
        <f>Изделия_спец.И!D42</f>
        <v>Закладная МН401-2</v>
      </c>
      <c r="E118" s="47">
        <f>(ROUNDUP(E109/1000,0)+1)*2</f>
        <v>22</v>
      </c>
      <c r="F118" s="45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7"/>
    </row>
    <row r="119" spans="1:21" ht="15.75" x14ac:dyDescent="0.25">
      <c r="A119" s="68" t="str">
        <f t="shared" si="9"/>
        <v>Кнм2</v>
      </c>
      <c r="B119" s="62" t="s">
        <v>2860</v>
      </c>
      <c r="C119" s="62" t="s">
        <v>3028</v>
      </c>
      <c r="D119" s="62" t="s">
        <v>3030</v>
      </c>
      <c r="E119" s="62">
        <v>2</v>
      </c>
      <c r="F119" s="62">
        <v>870</v>
      </c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7"/>
    </row>
    <row r="120" spans="1:21" ht="15.75" x14ac:dyDescent="0.25">
      <c r="A120" s="68" t="str">
        <f t="shared" si="9"/>
        <v>Кнм2</v>
      </c>
      <c r="B120" s="62" t="s">
        <v>3029</v>
      </c>
      <c r="C120" s="62" t="s">
        <v>3028</v>
      </c>
      <c r="D120" s="62" t="s">
        <v>3027</v>
      </c>
      <c r="E120" s="62">
        <v>1</v>
      </c>
      <c r="F120" s="62">
        <v>210</v>
      </c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7"/>
    </row>
    <row r="121" spans="1:21" ht="15.75" x14ac:dyDescent="0.25">
      <c r="A121" s="68" t="str">
        <f t="shared" si="9"/>
        <v>Кнм2</v>
      </c>
      <c r="B121" s="62"/>
      <c r="C121" s="46" t="s">
        <v>3025</v>
      </c>
      <c r="D121" s="46" t="s">
        <v>3026</v>
      </c>
      <c r="E121" s="46">
        <f>E111*1.2*0.1</f>
        <v>1.23288</v>
      </c>
      <c r="F121" s="45" t="s">
        <v>4</v>
      </c>
      <c r="G121" s="62" t="s">
        <v>3</v>
      </c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7"/>
    </row>
    <row r="122" spans="1:21" ht="15.75" x14ac:dyDescent="0.25">
      <c r="A122" s="68" t="str">
        <f t="shared" si="9"/>
        <v>Кнм2</v>
      </c>
      <c r="B122" s="62"/>
      <c r="C122" s="46" t="s">
        <v>3025</v>
      </c>
      <c r="D122" s="46" t="str">
        <f>D108</f>
        <v>Бетон В25</v>
      </c>
      <c r="E122" s="46">
        <f>E108</f>
        <v>2.1482000000000001</v>
      </c>
      <c r="F122" s="45" t="s">
        <v>4</v>
      </c>
      <c r="G122" s="62" t="s">
        <v>3</v>
      </c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7"/>
    </row>
    <row r="123" spans="1:21" ht="15.75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</row>
    <row r="124" spans="1:21" ht="16.5" thickBot="1" x14ac:dyDescent="0.3">
      <c r="A124" s="129"/>
      <c r="B124" s="129"/>
      <c r="C124" s="129"/>
      <c r="D124" s="129"/>
      <c r="E124" s="129"/>
      <c r="F124" s="129"/>
      <c r="G124" s="129"/>
      <c r="H124" s="129"/>
      <c r="I124" s="129"/>
      <c r="J124" s="129"/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124 H2:Q2 K1 R1:S1 S2:U2">
    <cfRule type="containsText" dxfId="10" priority="11" stopIfTrue="1" operator="containsText" text="шт.)">
      <formula>NOT(ISERROR(SEARCH("шт.)",A1)))</formula>
    </cfRule>
    <cfRule type="containsText" dxfId="9" priority="10" stopIfTrue="1" operator="containsText" text=", на ">
      <formula>NOT(ISERROR(SEARCH(", на ",A1)))</formula>
    </cfRule>
    <cfRule type="containsText" dxfId="8" priority="9" stopIfTrue="1" operator="containsText" text="Элементы на отм.">
      <formula>NOT(ISERROR(SEARCH("Элементы на отм.",A1)))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hyperlinks>
    <hyperlink ref="D3" location="'Стм(пескопульп)_спец'!D3" display="'Стм(пескопульп)_спец'!D3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errorStyle="warning" allowBlank="1" showInputMessage="1" showErrorMessage="1">
          <x14:formula1>
            <xm:f>'!System'!$AU$1:$AU$6</xm:f>
          </x14:formula1>
          <xm:sqref>G3:G124</xm:sqref>
        </x14:dataValidation>
        <x14:dataValidation type="list" allowBlank="1" showInputMessage="1" showErrorMessage="1">
          <x14:formula1>
            <xm:f>'!System'!$AA$1:$AI$1</xm:f>
          </x14:formula1>
          <xm:sqref>J3:J124</xm:sqref>
        </x14:dataValidation>
        <x14:dataValidation type="list" allowBlank="1" showInputMessage="1" showErrorMessage="1">
          <x14:formula1>
            <xm:f>'!System'!$A$1:$Y$1</xm:f>
          </x14:formula1>
          <xm:sqref>L3:L124</xm:sqref>
        </x14:dataValidation>
        <x14:dataValidation type="list" allowBlank="1" showInputMessage="1" showErrorMessage="1">
          <x14:formula1>
            <xm:f>'!System'!$AJ$1:$AT$1</xm:f>
          </x14:formula1>
          <xm:sqref>O3:O124</xm:sqref>
        </x14:dataValidation>
        <x14:dataValidation type="list" allowBlank="1" showInputMessage="1" showErrorMessage="1">
          <x14:formula1>
            <xm:f>'!System'!$AV$1:$AV$5</xm:f>
          </x14:formula1>
          <xm:sqref>P3:P124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'!System'!$AB$2:$AB$16</xm:f>
          </x14:formula1>
          <xm:sqref>I16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I18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'!System'!$AB$2:$AB$16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I99</xm:sqref>
        </x14:dataValidation>
        <x14:dataValidation type="list" allowBlank="1" showInputMessage="1" showErrorMessage="1">
          <x14:formula1>
            <xm:f>'!System'!$AA$2:$AA$17</xm:f>
          </x14:formula1>
          <xm:sqref>I115</xm:sqref>
        </x14:dataValidation>
        <x14:dataValidation type="list" allowBlank="1" showInputMessage="1" showErrorMessage="1">
          <x14:formula1>
            <xm:f>'!System'!$A$3:$A$806</xm:f>
          </x14:formula1>
          <xm:sqref>M116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E10"/>
  <sheetViews>
    <sheetView workbookViewId="0">
      <selection activeCell="D29" sqref="D29"/>
    </sheetView>
  </sheetViews>
  <sheetFormatPr defaultRowHeight="15" x14ac:dyDescent="0.25"/>
  <cols>
    <col min="1" max="1" width="15.7109375" style="9" customWidth="1"/>
    <col min="2" max="2" width="25.7109375" style="9" customWidth="1"/>
    <col min="3" max="5" width="15.7109375" style="9" customWidth="1"/>
    <col min="6" max="16384" width="9.140625" style="9"/>
  </cols>
  <sheetData>
    <row r="1" spans="1:5" ht="47.25" x14ac:dyDescent="0.25">
      <c r="A1" s="117" t="s">
        <v>2896</v>
      </c>
      <c r="B1" s="118" t="s">
        <v>3106</v>
      </c>
      <c r="C1" s="118" t="s">
        <v>3107</v>
      </c>
      <c r="D1" s="118" t="s">
        <v>3108</v>
      </c>
      <c r="E1" s="119" t="s">
        <v>3109</v>
      </c>
    </row>
    <row r="2" spans="1:5" ht="15.75" x14ac:dyDescent="0.25">
      <c r="A2" s="120" t="s">
        <v>3043</v>
      </c>
      <c r="B2" s="59" t="s">
        <v>3110</v>
      </c>
      <c r="C2" s="59">
        <v>9</v>
      </c>
      <c r="D2" s="59">
        <v>14</v>
      </c>
      <c r="E2" s="69">
        <v>2</v>
      </c>
    </row>
    <row r="3" spans="1:5" ht="15.75" x14ac:dyDescent="0.25">
      <c r="A3" s="120" t="s">
        <v>3033</v>
      </c>
      <c r="B3" s="59" t="s">
        <v>3110</v>
      </c>
      <c r="C3" s="59">
        <v>2</v>
      </c>
      <c r="D3" s="59">
        <v>3</v>
      </c>
      <c r="E3" s="69">
        <v>2</v>
      </c>
    </row>
    <row r="4" spans="1:5" ht="15.75" x14ac:dyDescent="0.25">
      <c r="A4" s="120" t="s">
        <v>3050</v>
      </c>
      <c r="B4" s="59" t="s">
        <v>3110</v>
      </c>
      <c r="C4" s="59">
        <v>2</v>
      </c>
      <c r="D4" s="59">
        <v>2</v>
      </c>
      <c r="E4" s="69">
        <v>1</v>
      </c>
    </row>
    <row r="5" spans="1:5" ht="15.75" x14ac:dyDescent="0.25">
      <c r="A5" s="120" t="s">
        <v>2427</v>
      </c>
      <c r="B5" s="59" t="s">
        <v>3110</v>
      </c>
      <c r="C5" s="59">
        <v>162</v>
      </c>
      <c r="D5" s="59">
        <v>227</v>
      </c>
      <c r="E5" s="69">
        <v>1</v>
      </c>
    </row>
    <row r="6" spans="1:5" ht="15.75" x14ac:dyDescent="0.25">
      <c r="A6" s="120" t="s">
        <v>3066</v>
      </c>
      <c r="B6" s="59" t="s">
        <v>3110</v>
      </c>
      <c r="C6" s="59">
        <v>71</v>
      </c>
      <c r="D6" s="59">
        <v>81</v>
      </c>
      <c r="E6" s="69">
        <v>1</v>
      </c>
    </row>
    <row r="7" spans="1:5" ht="15.75" x14ac:dyDescent="0.25">
      <c r="A7" s="120" t="s">
        <v>3061</v>
      </c>
      <c r="B7" s="59" t="s">
        <v>3110</v>
      </c>
      <c r="C7" s="59">
        <v>2</v>
      </c>
      <c r="D7" s="59">
        <v>3</v>
      </c>
      <c r="E7" s="69">
        <v>2</v>
      </c>
    </row>
    <row r="8" spans="1:5" ht="15.75" x14ac:dyDescent="0.25">
      <c r="A8" s="120" t="s">
        <v>3054</v>
      </c>
      <c r="B8" s="59" t="s">
        <v>3110</v>
      </c>
      <c r="C8" s="59">
        <v>16</v>
      </c>
      <c r="D8" s="59">
        <v>21</v>
      </c>
      <c r="E8" s="69">
        <v>1</v>
      </c>
    </row>
    <row r="9" spans="1:5" ht="15.75" x14ac:dyDescent="0.25">
      <c r="A9" s="120" t="s">
        <v>3053</v>
      </c>
      <c r="B9" s="59" t="s">
        <v>3110</v>
      </c>
      <c r="C9" s="59">
        <v>19</v>
      </c>
      <c r="D9" s="59">
        <v>27</v>
      </c>
      <c r="E9" s="69">
        <v>1</v>
      </c>
    </row>
    <row r="10" spans="1:5" ht="16.5" thickBot="1" x14ac:dyDescent="0.3">
      <c r="A10" s="121" t="s">
        <v>2926</v>
      </c>
      <c r="B10" s="61" t="s">
        <v>2391</v>
      </c>
      <c r="C10" s="61">
        <v>283</v>
      </c>
      <c r="D10" s="61">
        <v>378</v>
      </c>
      <c r="E10" s="70">
        <v>1</v>
      </c>
    </row>
  </sheetData>
  <conditionalFormatting sqref="E2:E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10">
    <cfRule type="containsText" dxfId="446" priority="2" stopIfTrue="1" operator="containsText" text="С ЛИСТА">
      <formula>NOT(ISERROR(SEARCH("С ЛИСТА",A1)))</formula>
    </cfRule>
    <cfRule type="containsText" dxfId="445" priority="3" stopIfTrue="1" operator="containsText" text="ИЗ ФАЙЛА">
      <formula>NOT(ISERROR(SEARCH("ИЗ ФАЙЛА",A1)))</formula>
    </cfRule>
    <cfRule type="containsText" dxfId="444" priority="4" stopIfTrue="1" operator="containsText" text="!!!">
      <formula>NOT(ISERROR(SEARCH("!!!",A1)))</formula>
    </cfRule>
    <cfRule type="containsText" dxfId="443" priority="5" stopIfTrue="1" operator="containsText" text=" Изделия ">
      <formula>NOT(ISERROR(SEARCH(" Изделия ",A1)))</formula>
    </cfRule>
    <cfRule type="containsText" dxfId="442" priority="6" stopIfTrue="1" operator="containsText" text=" Прокат ">
      <formula>NOT(ISERROR(SEARCH(" Прокат ",A1)))</formula>
    </cfRule>
    <cfRule type="containsText" dxfId="441" priority="7" stopIfTrue="1" operator="containsText" text=" Сборочные единицы ">
      <formula>NOT(ISERROR(SEARCH(" Сборочные единицы ",A1)))</formula>
    </cfRule>
    <cfRule type="containsText" dxfId="440" priority="8" stopIfTrue="1" operator="containsText" text=" Материалы ">
      <formula>NOT(ISERROR(SEARCH(" Материалы ",A1)))</formula>
    </cfRule>
    <cfRule type="containsText" dxfId="439" priority="9" stopIfTrue="1" operator="containsText" text="Элементы на отм.">
      <formula>NOT(ISERROR(SEARCH("Элементы на отм.",A1)))</formula>
    </cfRule>
    <cfRule type="containsText" dxfId="438" priority="10" stopIfTrue="1" operator="containsText" text=", на ">
      <formula>NOT(ISERROR(SEARCH(", на ",A1)))</formula>
    </cfRule>
    <cfRule type="containsText" dxfId="437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tabSelected="1" topLeftCell="A25" workbookViewId="0">
      <selection activeCell="G48" sqref="G48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77" t="s">
        <v>2895</v>
      </c>
      <c r="B1" s="71" t="s">
        <v>2896</v>
      </c>
      <c r="C1" s="71" t="s">
        <v>2897</v>
      </c>
      <c r="D1" s="71" t="s">
        <v>2898</v>
      </c>
      <c r="E1" s="71" t="s">
        <v>2899</v>
      </c>
      <c r="F1" s="71" t="s">
        <v>2900</v>
      </c>
      <c r="G1" s="71" t="s">
        <v>2901</v>
      </c>
      <c r="H1" s="73" t="s">
        <v>2903</v>
      </c>
      <c r="I1" s="74"/>
      <c r="J1" s="75"/>
      <c r="K1" s="73" t="s">
        <v>2907</v>
      </c>
      <c r="L1" s="74"/>
      <c r="M1" s="74"/>
      <c r="N1" s="74"/>
      <c r="O1" s="74"/>
      <c r="P1" s="74"/>
      <c r="Q1" s="75"/>
      <c r="R1" s="71" t="s">
        <v>2902</v>
      </c>
      <c r="S1" s="73" t="s">
        <v>2915</v>
      </c>
      <c r="T1" s="74"/>
      <c r="U1" s="76"/>
    </row>
    <row r="2" spans="1:21" ht="63" x14ac:dyDescent="0.25">
      <c r="A2" s="78"/>
      <c r="B2" s="72"/>
      <c r="C2" s="72"/>
      <c r="D2" s="72"/>
      <c r="E2" s="72"/>
      <c r="F2" s="72"/>
      <c r="G2" s="72"/>
      <c r="H2" s="40" t="s">
        <v>2904</v>
      </c>
      <c r="I2" s="40" t="s">
        <v>2905</v>
      </c>
      <c r="J2" s="40" t="s">
        <v>2906</v>
      </c>
      <c r="K2" s="40" t="s">
        <v>2908</v>
      </c>
      <c r="L2" s="40" t="s">
        <v>2909</v>
      </c>
      <c r="M2" s="40" t="s">
        <v>2910</v>
      </c>
      <c r="N2" s="40" t="s">
        <v>2911</v>
      </c>
      <c r="O2" s="40" t="s">
        <v>2912</v>
      </c>
      <c r="P2" s="40" t="s">
        <v>2913</v>
      </c>
      <c r="Q2" s="40" t="s">
        <v>2914</v>
      </c>
      <c r="R2" s="72"/>
      <c r="S2" s="40" t="s">
        <v>2916</v>
      </c>
      <c r="T2" s="40" t="s">
        <v>2917</v>
      </c>
      <c r="U2" s="39" t="s">
        <v>2918</v>
      </c>
    </row>
    <row r="3" spans="1:21" ht="15.75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ht="15.75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</row>
    <row r="5" spans="1:21" ht="15.75" x14ac:dyDescent="0.25">
      <c r="A5" s="57" t="s">
        <v>3091</v>
      </c>
      <c r="B5" s="56" t="str">
        <f>A5</f>
        <v>Кр1</v>
      </c>
      <c r="C5" s="56" t="s">
        <v>3084</v>
      </c>
      <c r="D5" s="56" t="str">
        <f>CONCATENATE("Каркас ",B5)</f>
        <v>Каркас Кр1</v>
      </c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5"/>
    </row>
    <row r="6" spans="1:21" ht="31.5" x14ac:dyDescent="0.25">
      <c r="A6" s="38" t="str">
        <f>A5</f>
        <v>Кр1</v>
      </c>
      <c r="B6" s="40">
        <v>2</v>
      </c>
      <c r="C6" s="40" t="s">
        <v>3086</v>
      </c>
      <c r="D6" s="40" t="s">
        <v>3083</v>
      </c>
      <c r="E6" s="40">
        <v>9</v>
      </c>
      <c r="F6" s="45">
        <v>0.39500000000000002</v>
      </c>
      <c r="G6" s="40"/>
      <c r="H6" s="40">
        <v>360</v>
      </c>
      <c r="I6" s="40">
        <v>8</v>
      </c>
      <c r="J6" s="40" t="s">
        <v>1</v>
      </c>
      <c r="K6" s="40"/>
      <c r="L6" s="40"/>
      <c r="M6" s="40"/>
      <c r="N6" s="40"/>
      <c r="O6" s="40"/>
      <c r="P6" s="40"/>
      <c r="Q6" s="40"/>
      <c r="R6" s="40"/>
      <c r="S6" s="40" t="s">
        <v>2922</v>
      </c>
      <c r="T6" s="40" t="s">
        <v>2922</v>
      </c>
      <c r="U6" s="39">
        <v>10</v>
      </c>
    </row>
    <row r="7" spans="1:21" ht="31.5" x14ac:dyDescent="0.25">
      <c r="A7" s="38" t="str">
        <f>A5</f>
        <v>Кр1</v>
      </c>
      <c r="B7" s="40">
        <v>1</v>
      </c>
      <c r="C7" s="40" t="s">
        <v>3086</v>
      </c>
      <c r="D7" s="40" t="s">
        <v>3082</v>
      </c>
      <c r="E7" s="40">
        <v>2</v>
      </c>
      <c r="F7" s="45">
        <v>0.39500000000000002</v>
      </c>
      <c r="G7" s="40"/>
      <c r="H7" s="40">
        <v>1280</v>
      </c>
      <c r="I7" s="40">
        <v>8</v>
      </c>
      <c r="J7" s="40" t="s">
        <v>1</v>
      </c>
      <c r="K7" s="40"/>
      <c r="L7" s="40"/>
      <c r="M7" s="40"/>
      <c r="N7" s="40"/>
      <c r="O7" s="40"/>
      <c r="P7" s="40"/>
      <c r="Q7" s="40"/>
      <c r="R7" s="40"/>
      <c r="S7" s="40" t="s">
        <v>2922</v>
      </c>
      <c r="T7" s="40" t="s">
        <v>2922</v>
      </c>
      <c r="U7" s="39">
        <v>10</v>
      </c>
    </row>
    <row r="8" spans="1:21" ht="15.75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1:21" ht="15.75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1" ht="15.75" x14ac:dyDescent="0.25">
      <c r="A10" s="57" t="s">
        <v>3090</v>
      </c>
      <c r="B10" s="56" t="str">
        <f>A10</f>
        <v>Кр2</v>
      </c>
      <c r="C10" s="56" t="s">
        <v>3084</v>
      </c>
      <c r="D10" s="56" t="str">
        <f>CONCATENATE("Каркас ",B10)</f>
        <v>Каркас Кр2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5"/>
    </row>
    <row r="11" spans="1:21" ht="31.5" x14ac:dyDescent="0.25">
      <c r="A11" s="38" t="str">
        <f>A10</f>
        <v>Кр2</v>
      </c>
      <c r="B11" s="40">
        <v>2</v>
      </c>
      <c r="C11" s="40" t="s">
        <v>3086</v>
      </c>
      <c r="D11" s="40" t="s">
        <v>3083</v>
      </c>
      <c r="E11" s="40">
        <v>9</v>
      </c>
      <c r="F11" s="45">
        <v>0.39500000000000002</v>
      </c>
      <c r="G11" s="40"/>
      <c r="H11" s="40">
        <v>245</v>
      </c>
      <c r="I11" s="40">
        <v>8</v>
      </c>
      <c r="J11" s="40" t="s">
        <v>1</v>
      </c>
      <c r="K11" s="40"/>
      <c r="L11" s="40"/>
      <c r="M11" s="40"/>
      <c r="N11" s="40"/>
      <c r="O11" s="40"/>
      <c r="P11" s="40"/>
      <c r="Q11" s="40"/>
      <c r="R11" s="40"/>
      <c r="S11" s="40" t="s">
        <v>2922</v>
      </c>
      <c r="T11" s="40" t="s">
        <v>2922</v>
      </c>
      <c r="U11" s="39">
        <v>10</v>
      </c>
    </row>
    <row r="12" spans="1:21" ht="31.5" x14ac:dyDescent="0.25">
      <c r="A12" s="38" t="str">
        <f>A10</f>
        <v>Кр2</v>
      </c>
      <c r="B12" s="40">
        <v>1</v>
      </c>
      <c r="C12" s="40" t="s">
        <v>3086</v>
      </c>
      <c r="D12" s="40" t="s">
        <v>3082</v>
      </c>
      <c r="E12" s="40">
        <v>2</v>
      </c>
      <c r="F12" s="45">
        <v>0.39500000000000002</v>
      </c>
      <c r="G12" s="40"/>
      <c r="H12" s="40">
        <v>1280</v>
      </c>
      <c r="I12" s="40">
        <v>8</v>
      </c>
      <c r="J12" s="40" t="s">
        <v>1</v>
      </c>
      <c r="K12" s="40"/>
      <c r="L12" s="40"/>
      <c r="M12" s="40"/>
      <c r="N12" s="40"/>
      <c r="O12" s="40"/>
      <c r="P12" s="40"/>
      <c r="Q12" s="40"/>
      <c r="R12" s="40"/>
      <c r="S12" s="40" t="s">
        <v>2922</v>
      </c>
      <c r="T12" s="40" t="s">
        <v>2922</v>
      </c>
      <c r="U12" s="39">
        <v>10</v>
      </c>
    </row>
    <row r="13" spans="1:21" ht="15.75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 ht="15.75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</row>
    <row r="15" spans="1:21" ht="15.75" x14ac:dyDescent="0.25">
      <c r="A15" s="57" t="s">
        <v>3089</v>
      </c>
      <c r="B15" s="56" t="str">
        <f>A15</f>
        <v>Кр3</v>
      </c>
      <c r="C15" s="56" t="s">
        <v>3084</v>
      </c>
      <c r="D15" s="56" t="str">
        <f>CONCATENATE("Каркас ",B15)</f>
        <v>Каркас Кр3</v>
      </c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5"/>
    </row>
    <row r="16" spans="1:21" ht="31.5" x14ac:dyDescent="0.25">
      <c r="A16" s="38" t="str">
        <f>A15</f>
        <v>Кр3</v>
      </c>
      <c r="B16" s="40">
        <v>2</v>
      </c>
      <c r="C16" s="40" t="s">
        <v>3086</v>
      </c>
      <c r="D16" s="40" t="s">
        <v>3083</v>
      </c>
      <c r="E16" s="40">
        <v>9</v>
      </c>
      <c r="F16" s="45">
        <v>0.39500000000000002</v>
      </c>
      <c r="G16" s="40"/>
      <c r="H16" s="40">
        <v>325</v>
      </c>
      <c r="I16" s="40">
        <v>8</v>
      </c>
      <c r="J16" s="40" t="s">
        <v>1</v>
      </c>
      <c r="K16" s="40"/>
      <c r="L16" s="40"/>
      <c r="M16" s="40"/>
      <c r="N16" s="40"/>
      <c r="O16" s="40"/>
      <c r="P16" s="40"/>
      <c r="Q16" s="40"/>
      <c r="R16" s="40"/>
      <c r="S16" s="40" t="s">
        <v>2922</v>
      </c>
      <c r="T16" s="40" t="s">
        <v>2922</v>
      </c>
      <c r="U16" s="39">
        <v>10</v>
      </c>
    </row>
    <row r="17" spans="1:21" ht="31.5" x14ac:dyDescent="0.25">
      <c r="A17" s="38" t="str">
        <f>A15</f>
        <v>Кр3</v>
      </c>
      <c r="B17" s="40">
        <v>1</v>
      </c>
      <c r="C17" s="40" t="s">
        <v>3086</v>
      </c>
      <c r="D17" s="40" t="s">
        <v>3082</v>
      </c>
      <c r="E17" s="40">
        <v>2</v>
      </c>
      <c r="F17" s="45">
        <v>0.39500000000000002</v>
      </c>
      <c r="G17" s="40"/>
      <c r="H17" s="40">
        <v>1280</v>
      </c>
      <c r="I17" s="40">
        <v>8</v>
      </c>
      <c r="J17" s="40" t="s">
        <v>1</v>
      </c>
      <c r="K17" s="40"/>
      <c r="L17" s="40"/>
      <c r="M17" s="40"/>
      <c r="N17" s="40"/>
      <c r="O17" s="40"/>
      <c r="P17" s="40"/>
      <c r="Q17" s="40"/>
      <c r="R17" s="40"/>
      <c r="S17" s="40" t="s">
        <v>2922</v>
      </c>
      <c r="T17" s="40" t="s">
        <v>2922</v>
      </c>
      <c r="U17" s="39">
        <v>10</v>
      </c>
    </row>
    <row r="18" spans="1:21" ht="15.75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</row>
    <row r="19" spans="1:21" ht="15.75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.75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</row>
    <row r="21" spans="1:21" ht="15.75" x14ac:dyDescent="0.25">
      <c r="A21" s="57" t="s">
        <v>3088</v>
      </c>
      <c r="B21" s="56" t="str">
        <f>A21</f>
        <v>С1</v>
      </c>
      <c r="C21" s="56" t="s">
        <v>3084</v>
      </c>
      <c r="D21" s="56" t="str">
        <f>CONCATENATE("Сетка ",B21)</f>
        <v>Сетка С1</v>
      </c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5"/>
    </row>
    <row r="22" spans="1:21" ht="31.5" x14ac:dyDescent="0.25">
      <c r="A22" s="38" t="str">
        <f>A21</f>
        <v>С1</v>
      </c>
      <c r="B22" s="40">
        <v>2</v>
      </c>
      <c r="C22" s="40" t="s">
        <v>3086</v>
      </c>
      <c r="D22" s="40" t="s">
        <v>3083</v>
      </c>
      <c r="E22" s="40">
        <v>17</v>
      </c>
      <c r="F22" s="45">
        <v>0.222</v>
      </c>
      <c r="G22" s="40"/>
      <c r="H22" s="40">
        <v>850</v>
      </c>
      <c r="I22" s="40">
        <v>6</v>
      </c>
      <c r="J22" s="40" t="s">
        <v>1</v>
      </c>
      <c r="K22" s="40"/>
      <c r="L22" s="40"/>
      <c r="M22" s="40"/>
      <c r="N22" s="40"/>
      <c r="O22" s="40"/>
      <c r="P22" s="40"/>
      <c r="Q22" s="40"/>
      <c r="R22" s="40"/>
      <c r="S22" s="40" t="s">
        <v>2922</v>
      </c>
      <c r="T22" s="40" t="s">
        <v>2922</v>
      </c>
      <c r="U22" s="39">
        <v>7.5</v>
      </c>
    </row>
    <row r="23" spans="1:21" ht="31.5" x14ac:dyDescent="0.25">
      <c r="A23" s="38" t="str">
        <f>A21</f>
        <v>С1</v>
      </c>
      <c r="B23" s="40">
        <v>1</v>
      </c>
      <c r="C23" s="40" t="s">
        <v>3086</v>
      </c>
      <c r="D23" s="40" t="s">
        <v>3082</v>
      </c>
      <c r="E23" s="40">
        <v>17</v>
      </c>
      <c r="F23" s="45">
        <v>0.222</v>
      </c>
      <c r="G23" s="40"/>
      <c r="H23" s="40">
        <v>850</v>
      </c>
      <c r="I23" s="40">
        <v>6</v>
      </c>
      <c r="J23" s="40" t="s">
        <v>1</v>
      </c>
      <c r="K23" s="40"/>
      <c r="L23" s="40"/>
      <c r="M23" s="40"/>
      <c r="N23" s="40"/>
      <c r="O23" s="40"/>
      <c r="P23" s="40"/>
      <c r="Q23" s="40"/>
      <c r="R23" s="40"/>
      <c r="S23" s="40" t="s">
        <v>2922</v>
      </c>
      <c r="T23" s="40" t="s">
        <v>2922</v>
      </c>
      <c r="U23" s="39">
        <v>7.5</v>
      </c>
    </row>
    <row r="24" spans="1:21" ht="15.7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</row>
    <row r="25" spans="1:21" ht="15.7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ht="15.75" x14ac:dyDescent="0.25">
      <c r="A26" s="57" t="s">
        <v>3087</v>
      </c>
      <c r="B26" s="56" t="str">
        <f>A26</f>
        <v>С2</v>
      </c>
      <c r="C26" s="56" t="s">
        <v>3084</v>
      </c>
      <c r="D26" s="56" t="str">
        <f>CONCATENATE("Сетка ",B26)</f>
        <v>Сетка С2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5"/>
    </row>
    <row r="27" spans="1:21" ht="31.5" x14ac:dyDescent="0.25">
      <c r="A27" s="38" t="str">
        <f>A26</f>
        <v>С2</v>
      </c>
      <c r="B27" s="40">
        <v>2</v>
      </c>
      <c r="C27" s="40" t="s">
        <v>3086</v>
      </c>
      <c r="D27" s="40" t="s">
        <v>3083</v>
      </c>
      <c r="E27" s="40">
        <v>11</v>
      </c>
      <c r="F27" s="45">
        <v>0.222</v>
      </c>
      <c r="G27" s="40"/>
      <c r="H27" s="40">
        <v>550</v>
      </c>
      <c r="I27" s="40">
        <v>6</v>
      </c>
      <c r="J27" s="40" t="s">
        <v>1</v>
      </c>
      <c r="K27" s="40"/>
      <c r="L27" s="40"/>
      <c r="M27" s="40"/>
      <c r="N27" s="40"/>
      <c r="O27" s="40"/>
      <c r="P27" s="40"/>
      <c r="Q27" s="40"/>
      <c r="R27" s="40"/>
      <c r="S27" s="40" t="s">
        <v>2922</v>
      </c>
      <c r="T27" s="40" t="s">
        <v>2922</v>
      </c>
      <c r="U27" s="39">
        <v>7.5</v>
      </c>
    </row>
    <row r="28" spans="1:21" ht="31.5" x14ac:dyDescent="0.25">
      <c r="A28" s="38" t="str">
        <f>A26</f>
        <v>С2</v>
      </c>
      <c r="B28" s="40">
        <v>1</v>
      </c>
      <c r="C28" s="40" t="s">
        <v>3086</v>
      </c>
      <c r="D28" s="40" t="s">
        <v>3082</v>
      </c>
      <c r="E28" s="40">
        <v>11</v>
      </c>
      <c r="F28" s="45">
        <v>0.222</v>
      </c>
      <c r="G28" s="40"/>
      <c r="H28" s="40">
        <v>550</v>
      </c>
      <c r="I28" s="40">
        <v>6</v>
      </c>
      <c r="J28" s="40" t="s">
        <v>1</v>
      </c>
      <c r="K28" s="40"/>
      <c r="L28" s="40"/>
      <c r="M28" s="40"/>
      <c r="N28" s="40"/>
      <c r="O28" s="40"/>
      <c r="P28" s="40"/>
      <c r="Q28" s="40"/>
      <c r="R28" s="40"/>
      <c r="S28" s="40" t="s">
        <v>2922</v>
      </c>
      <c r="T28" s="40" t="s">
        <v>2922</v>
      </c>
      <c r="U28" s="39">
        <v>7.5</v>
      </c>
    </row>
    <row r="29" spans="1:21" ht="15.7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</row>
    <row r="30" spans="1:21" ht="15.75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</row>
    <row r="31" spans="1:21" ht="15.75" x14ac:dyDescent="0.25">
      <c r="A31" s="57" t="s">
        <v>3085</v>
      </c>
      <c r="B31" s="56" t="str">
        <f>A31</f>
        <v>С3</v>
      </c>
      <c r="C31" s="56" t="s">
        <v>3084</v>
      </c>
      <c r="D31" s="56" t="str">
        <f>CONCATENATE("Сетка ",B31)</f>
        <v>Сетка С3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5"/>
    </row>
    <row r="32" spans="1:21" ht="31.5" x14ac:dyDescent="0.25">
      <c r="A32" s="38" t="str">
        <f>A31</f>
        <v>С3</v>
      </c>
      <c r="B32" s="40">
        <v>2</v>
      </c>
      <c r="C32" s="40" t="s">
        <v>3073</v>
      </c>
      <c r="D32" s="40" t="s">
        <v>3083</v>
      </c>
      <c r="E32" s="40">
        <v>10</v>
      </c>
      <c r="F32" s="45">
        <v>0.61599999999999999</v>
      </c>
      <c r="G32" s="40"/>
      <c r="H32" s="40">
        <v>1160</v>
      </c>
      <c r="I32" s="40">
        <v>10</v>
      </c>
      <c r="J32" s="40" t="s">
        <v>2</v>
      </c>
      <c r="K32" s="40"/>
      <c r="L32" s="40"/>
      <c r="M32" s="40"/>
      <c r="N32" s="40"/>
      <c r="O32" s="40"/>
      <c r="P32" s="40"/>
      <c r="Q32" s="40"/>
      <c r="R32" s="40"/>
      <c r="S32" s="40" t="s">
        <v>2922</v>
      </c>
      <c r="T32" s="40" t="s">
        <v>2922</v>
      </c>
      <c r="U32" s="39">
        <v>25</v>
      </c>
    </row>
    <row r="33" spans="1:21" ht="31.5" x14ac:dyDescent="0.25">
      <c r="A33" s="38" t="str">
        <f>A31</f>
        <v>С3</v>
      </c>
      <c r="B33" s="40">
        <v>1</v>
      </c>
      <c r="C33" s="40" t="s">
        <v>3073</v>
      </c>
      <c r="D33" s="40" t="s">
        <v>3082</v>
      </c>
      <c r="E33" s="40">
        <v>12</v>
      </c>
      <c r="F33" s="45">
        <v>0.61599999999999999</v>
      </c>
      <c r="G33" s="40"/>
      <c r="H33" s="40">
        <v>1000</v>
      </c>
      <c r="I33" s="40">
        <v>10</v>
      </c>
      <c r="J33" s="40" t="s">
        <v>2</v>
      </c>
      <c r="K33" s="40"/>
      <c r="L33" s="40"/>
      <c r="M33" s="40"/>
      <c r="N33" s="40"/>
      <c r="O33" s="40"/>
      <c r="P33" s="40"/>
      <c r="Q33" s="40"/>
      <c r="R33" s="40"/>
      <c r="S33" s="40" t="s">
        <v>2922</v>
      </c>
      <c r="T33" s="40" t="s">
        <v>2922</v>
      </c>
      <c r="U33" s="39">
        <v>25</v>
      </c>
    </row>
    <row r="34" spans="1:21" ht="15.75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</row>
    <row r="35" spans="1:21" ht="15.75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</row>
    <row r="36" spans="1:21" ht="15.75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</row>
    <row r="37" spans="1:21" ht="15.75" x14ac:dyDescent="0.25">
      <c r="A37" s="57" t="s">
        <v>3081</v>
      </c>
      <c r="B37" s="56" t="str">
        <f>A37</f>
        <v>Зд1</v>
      </c>
      <c r="C37" s="56" t="s">
        <v>3077</v>
      </c>
      <c r="D37" s="56" t="s">
        <v>3080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5"/>
    </row>
    <row r="38" spans="1:21" ht="15.75" x14ac:dyDescent="0.25">
      <c r="A38" s="38" t="str">
        <f>A37</f>
        <v>Зд1</v>
      </c>
      <c r="B38" s="48">
        <v>1</v>
      </c>
      <c r="C38" s="48" t="s">
        <v>2993</v>
      </c>
      <c r="D38" s="48" t="s">
        <v>3079</v>
      </c>
      <c r="E38" s="48">
        <v>1</v>
      </c>
      <c r="F38" s="45">
        <v>3.77</v>
      </c>
      <c r="G38" s="40"/>
      <c r="H38" s="40"/>
      <c r="I38" s="40"/>
      <c r="J38" s="40"/>
      <c r="K38" s="40">
        <v>1000</v>
      </c>
      <c r="L38" s="40" t="s">
        <v>2046</v>
      </c>
      <c r="M38" s="40" t="s">
        <v>2071</v>
      </c>
      <c r="N38" s="40"/>
      <c r="O38" s="40" t="s">
        <v>5</v>
      </c>
      <c r="P38" s="40"/>
      <c r="Q38" s="40"/>
      <c r="R38" s="40"/>
      <c r="S38" s="40"/>
      <c r="T38" s="40"/>
      <c r="U38" s="39"/>
    </row>
    <row r="39" spans="1:21" ht="31.5" x14ac:dyDescent="0.25">
      <c r="A39" s="38" t="str">
        <f>A38</f>
        <v>Зд1</v>
      </c>
      <c r="B39" s="40">
        <v>2</v>
      </c>
      <c r="C39" s="40" t="s">
        <v>3073</v>
      </c>
      <c r="D39" s="40" t="s">
        <v>3072</v>
      </c>
      <c r="E39" s="40">
        <v>4</v>
      </c>
      <c r="F39" s="45">
        <v>0.39500000000000002</v>
      </c>
      <c r="G39" s="40"/>
      <c r="H39" s="40">
        <v>200</v>
      </c>
      <c r="I39" s="40">
        <v>8</v>
      </c>
      <c r="J39" s="40" t="s">
        <v>2</v>
      </c>
      <c r="K39" s="40"/>
      <c r="L39" s="40"/>
      <c r="M39" s="40"/>
      <c r="N39" s="40"/>
      <c r="O39" s="40"/>
      <c r="P39" s="40"/>
      <c r="Q39" s="40"/>
      <c r="R39" s="40"/>
      <c r="S39" s="40" t="s">
        <v>2922</v>
      </c>
      <c r="T39" s="40" t="s">
        <v>2922</v>
      </c>
      <c r="U39" s="39">
        <v>20</v>
      </c>
    </row>
    <row r="40" spans="1:21" ht="15.7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</row>
    <row r="41" spans="1:21" ht="15.7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ht="15.75" x14ac:dyDescent="0.25">
      <c r="A42" s="57" t="s">
        <v>3078</v>
      </c>
      <c r="B42" s="56" t="str">
        <f>A42</f>
        <v>Зд2</v>
      </c>
      <c r="C42" s="56" t="s">
        <v>3077</v>
      </c>
      <c r="D42" s="56" t="s">
        <v>3076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5"/>
    </row>
    <row r="43" spans="1:21" ht="15.75" x14ac:dyDescent="0.25">
      <c r="A43" s="38" t="str">
        <f>A42</f>
        <v>Зд2</v>
      </c>
      <c r="B43" s="48">
        <v>1</v>
      </c>
      <c r="C43" s="48" t="s">
        <v>3075</v>
      </c>
      <c r="D43" s="48" t="s">
        <v>3074</v>
      </c>
      <c r="E43" s="48">
        <v>1</v>
      </c>
      <c r="F43" s="45">
        <v>47.1</v>
      </c>
      <c r="G43" s="40"/>
      <c r="H43" s="40"/>
      <c r="I43" s="40"/>
      <c r="J43" s="40"/>
      <c r="K43" s="45">
        <f>100*200</f>
        <v>20000</v>
      </c>
      <c r="L43" s="40" t="s">
        <v>2356</v>
      </c>
      <c r="M43" s="40" t="s">
        <v>2680</v>
      </c>
      <c r="N43" s="40"/>
      <c r="O43" s="40" t="s">
        <v>5</v>
      </c>
      <c r="P43" s="40"/>
      <c r="Q43" s="40"/>
      <c r="R43" s="40"/>
      <c r="S43" s="40"/>
      <c r="T43" s="40"/>
      <c r="U43" s="39"/>
    </row>
    <row r="44" spans="1:21" ht="32.25" thickBot="1" x14ac:dyDescent="0.3">
      <c r="A44" s="41" t="str">
        <f>A43</f>
        <v>Зд2</v>
      </c>
      <c r="B44" s="42">
        <v>2</v>
      </c>
      <c r="C44" s="42" t="s">
        <v>3073</v>
      </c>
      <c r="D44" s="42" t="s">
        <v>3072</v>
      </c>
      <c r="E44" s="42">
        <v>2</v>
      </c>
      <c r="F44" s="29">
        <v>0.39500000000000002</v>
      </c>
      <c r="G44" s="42"/>
      <c r="H44" s="42">
        <v>250</v>
      </c>
      <c r="I44" s="42">
        <v>8</v>
      </c>
      <c r="J44" s="42" t="s">
        <v>2</v>
      </c>
      <c r="K44" s="42"/>
      <c r="L44" s="42"/>
      <c r="M44" s="42"/>
      <c r="N44" s="42"/>
      <c r="O44" s="42"/>
      <c r="P44" s="42"/>
      <c r="Q44" s="42"/>
      <c r="R44" s="42"/>
      <c r="S44" s="42" t="s">
        <v>2922</v>
      </c>
      <c r="T44" s="42" t="s">
        <v>2922</v>
      </c>
      <c r="U44" s="43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436" priority="2" stopIfTrue="1" operator="containsText" text="С ЛИСТА">
      <formula>NOT(ISERROR(SEARCH("С ЛИСТА",A1)))</formula>
    </cfRule>
    <cfRule type="containsText" dxfId="435" priority="3" stopIfTrue="1" operator="containsText" text="ИЗ ФАЙЛА">
      <formula>NOT(ISERROR(SEARCH("ИЗ ФАЙЛА",A1)))</formula>
    </cfRule>
    <cfRule type="containsText" dxfId="434" priority="4" stopIfTrue="1" operator="containsText" text="!!!">
      <formula>NOT(ISERROR(SEARCH("!!!",A1)))</formula>
    </cfRule>
    <cfRule type="containsText" dxfId="433" priority="5" stopIfTrue="1" operator="containsText" text=" Изделия ">
      <formula>NOT(ISERROR(SEARCH(" Изделия ",A1)))</formula>
    </cfRule>
    <cfRule type="containsText" dxfId="432" priority="6" stopIfTrue="1" operator="containsText" text=" Прокат ">
      <formula>NOT(ISERROR(SEARCH(" Прокат ",A1)))</formula>
    </cfRule>
    <cfRule type="containsText" dxfId="431" priority="7" stopIfTrue="1" operator="containsText" text=" Сборочные единицы ">
      <formula>NOT(ISERROR(SEARCH(" Сборочные единицы ",A1)))</formula>
    </cfRule>
    <cfRule type="containsText" dxfId="430" priority="8" stopIfTrue="1" operator="containsText" text=" Материалы ">
      <formula>NOT(ISERROR(SEARCH(" Материалы ",A1)))</formula>
    </cfRule>
    <cfRule type="containsText" dxfId="429" priority="9" stopIfTrue="1" operator="containsText" text="Элементы на отм.">
      <formula>NOT(ISERROR(SEARCH("Элементы на отм.",A1)))</formula>
    </cfRule>
    <cfRule type="containsText" dxfId="428" priority="10" stopIfTrue="1" operator="containsText" text=", на ">
      <formula>NOT(ISERROR(SEARCH(", на ",A1)))</formula>
    </cfRule>
    <cfRule type="containsText" dxfId="427" priority="11" stopIfTrue="1" operator="containsText" text="шт.)">
      <formula>NOT(ISERROR(SEARCH("шт.)",A1)))</formula>
    </cfRule>
  </conditionalFormatting>
  <conditionalFormatting sqref="A1:U1048576">
    <cfRule type="expression" dxfId="426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8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2797</v>
      </c>
      <c r="B1" s="20" t="s">
        <v>2798</v>
      </c>
      <c r="C1" s="21" t="s">
        <v>2799</v>
      </c>
    </row>
    <row r="2" spans="1:3" x14ac:dyDescent="0.25">
      <c r="A2" s="14" t="s">
        <v>2800</v>
      </c>
      <c r="B2" s="13" t="s">
        <v>2801</v>
      </c>
      <c r="C2" s="17" t="s">
        <v>2802</v>
      </c>
    </row>
    <row r="3" spans="1:3" x14ac:dyDescent="0.25">
      <c r="A3" s="14" t="s">
        <v>2803</v>
      </c>
      <c r="B3" s="13" t="s">
        <v>2801</v>
      </c>
      <c r="C3" s="17" t="s">
        <v>2804</v>
      </c>
    </row>
    <row r="4" spans="1:3" x14ac:dyDescent="0.25">
      <c r="A4" s="14" t="s">
        <v>2805</v>
      </c>
      <c r="B4" s="13" t="s">
        <v>2806</v>
      </c>
      <c r="C4" s="17" t="s">
        <v>2807</v>
      </c>
    </row>
    <row r="5" spans="1:3" x14ac:dyDescent="0.25">
      <c r="A5" s="14" t="s">
        <v>2808</v>
      </c>
      <c r="B5" s="13" t="s">
        <v>2381</v>
      </c>
      <c r="C5" s="17" t="s">
        <v>2809</v>
      </c>
    </row>
    <row r="6" spans="1:3" x14ac:dyDescent="0.25">
      <c r="A6" s="14" t="s">
        <v>2812</v>
      </c>
      <c r="B6" s="13" t="s">
        <v>2813</v>
      </c>
      <c r="C6" s="17" t="s">
        <v>2809</v>
      </c>
    </row>
    <row r="7" spans="1:3" x14ac:dyDescent="0.25">
      <c r="A7" s="14" t="s">
        <v>2814</v>
      </c>
      <c r="B7" s="13" t="s">
        <v>2815</v>
      </c>
      <c r="C7" s="17" t="s">
        <v>2809</v>
      </c>
    </row>
    <row r="8" spans="1:3" x14ac:dyDescent="0.25">
      <c r="A8" s="14" t="s">
        <v>2816</v>
      </c>
      <c r="B8" s="13" t="s">
        <v>2813</v>
      </c>
      <c r="C8" s="17" t="s">
        <v>2809</v>
      </c>
    </row>
    <row r="9" spans="1:3" x14ac:dyDescent="0.25">
      <c r="A9" s="14" t="s">
        <v>2858</v>
      </c>
      <c r="B9" s="13" t="s">
        <v>2810</v>
      </c>
      <c r="C9" s="17" t="s">
        <v>2809</v>
      </c>
    </row>
    <row r="10" spans="1:3" x14ac:dyDescent="0.25">
      <c r="A10" s="14" t="s">
        <v>2817</v>
      </c>
      <c r="B10" s="13" t="s">
        <v>2813</v>
      </c>
      <c r="C10" s="17" t="s">
        <v>2809</v>
      </c>
    </row>
    <row r="11" spans="1:3" x14ac:dyDescent="0.25">
      <c r="A11" s="14" t="s">
        <v>2818</v>
      </c>
      <c r="B11" s="13" t="s">
        <v>2819</v>
      </c>
      <c r="C11" s="17" t="s">
        <v>2809</v>
      </c>
    </row>
    <row r="12" spans="1:3" x14ac:dyDescent="0.25">
      <c r="A12" s="14" t="s">
        <v>2820</v>
      </c>
      <c r="B12" s="13" t="s">
        <v>2813</v>
      </c>
      <c r="C12" s="17" t="s">
        <v>2809</v>
      </c>
    </row>
    <row r="13" spans="1:3" x14ac:dyDescent="0.25">
      <c r="A13" s="14" t="s">
        <v>2821</v>
      </c>
      <c r="B13" s="13" t="s">
        <v>2813</v>
      </c>
      <c r="C13" s="17" t="s">
        <v>2809</v>
      </c>
    </row>
    <row r="14" spans="1:3" x14ac:dyDescent="0.25">
      <c r="A14" s="14" t="s">
        <v>2822</v>
      </c>
      <c r="B14" s="13" t="s">
        <v>2813</v>
      </c>
      <c r="C14" s="17" t="s">
        <v>2809</v>
      </c>
    </row>
    <row r="15" spans="1:3" x14ac:dyDescent="0.25">
      <c r="A15" s="14" t="s">
        <v>2869</v>
      </c>
      <c r="B15" s="13" t="s">
        <v>2810</v>
      </c>
      <c r="C15" s="17" t="s">
        <v>2809</v>
      </c>
    </row>
    <row r="16" spans="1:3" x14ac:dyDescent="0.25">
      <c r="A16" s="14" t="s">
        <v>2861</v>
      </c>
      <c r="B16" s="13" t="s">
        <v>2810</v>
      </c>
      <c r="C16" s="17" t="s">
        <v>2809</v>
      </c>
    </row>
    <row r="17" spans="1:3" x14ac:dyDescent="0.25">
      <c r="A17" s="14" t="s">
        <v>2823</v>
      </c>
      <c r="B17" s="13" t="s">
        <v>2813</v>
      </c>
      <c r="C17" s="17" t="s">
        <v>2809</v>
      </c>
    </row>
    <row r="18" spans="1:3" x14ac:dyDescent="0.25">
      <c r="A18" s="14" t="s">
        <v>2824</v>
      </c>
      <c r="B18" s="13" t="s">
        <v>2813</v>
      </c>
      <c r="C18" s="17" t="s">
        <v>2809</v>
      </c>
    </row>
    <row r="19" spans="1:3" x14ac:dyDescent="0.25">
      <c r="A19" s="14" t="s">
        <v>2816</v>
      </c>
      <c r="B19" s="13" t="s">
        <v>2825</v>
      </c>
      <c r="C19" s="17" t="s">
        <v>2809</v>
      </c>
    </row>
    <row r="20" spans="1:3" x14ac:dyDescent="0.25">
      <c r="A20" s="14" t="s">
        <v>2826</v>
      </c>
      <c r="B20" s="13" t="s">
        <v>2815</v>
      </c>
      <c r="C20" s="17" t="s">
        <v>2809</v>
      </c>
    </row>
    <row r="21" spans="1:3" x14ac:dyDescent="0.25">
      <c r="A21" s="14">
        <v>1</v>
      </c>
      <c r="B21" s="13" t="s">
        <v>2810</v>
      </c>
      <c r="C21" s="17" t="s">
        <v>2809</v>
      </c>
    </row>
    <row r="22" spans="1:3" x14ac:dyDescent="0.25">
      <c r="A22" s="14" t="s">
        <v>2860</v>
      </c>
      <c r="B22" s="13" t="s">
        <v>2810</v>
      </c>
      <c r="C22" s="17" t="s">
        <v>2809</v>
      </c>
    </row>
    <row r="23" spans="1:3" x14ac:dyDescent="0.25">
      <c r="A23" s="14" t="s">
        <v>2889</v>
      </c>
      <c r="B23" s="13" t="s">
        <v>2890</v>
      </c>
      <c r="C23" s="17" t="s">
        <v>2809</v>
      </c>
    </row>
    <row r="24" spans="1:3" x14ac:dyDescent="0.25">
      <c r="A24" s="14">
        <v>2</v>
      </c>
      <c r="B24" s="13" t="s">
        <v>2810</v>
      </c>
      <c r="C24" s="17" t="s">
        <v>2809</v>
      </c>
    </row>
    <row r="25" spans="1:3" x14ac:dyDescent="0.25">
      <c r="A25" s="14" t="s">
        <v>2995</v>
      </c>
      <c r="B25" s="13" t="s">
        <v>2996</v>
      </c>
      <c r="C25" s="17" t="s">
        <v>2809</v>
      </c>
    </row>
    <row r="26" spans="1:3" x14ac:dyDescent="0.25">
      <c r="A26" s="14" t="s">
        <v>2997</v>
      </c>
      <c r="B26" s="13" t="s">
        <v>2825</v>
      </c>
      <c r="C26" s="17" t="s">
        <v>2809</v>
      </c>
    </row>
    <row r="27" spans="1:3" x14ac:dyDescent="0.25">
      <c r="A27" s="14" t="s">
        <v>2998</v>
      </c>
      <c r="B27" s="13" t="s">
        <v>2819</v>
      </c>
      <c r="C27" s="17" t="s">
        <v>2809</v>
      </c>
    </row>
    <row r="28" spans="1:3" ht="15.75" thickBot="1" x14ac:dyDescent="0.3">
      <c r="A28" s="15" t="s">
        <v>2999</v>
      </c>
      <c r="B28" s="16" t="s">
        <v>3000</v>
      </c>
      <c r="C28" s="18" t="s">
        <v>2809</v>
      </c>
    </row>
  </sheetData>
  <conditionalFormatting sqref="A1:C28">
    <cfRule type="containsText" dxfId="425" priority="1" operator="containsText" text="Стены-разделители зон">
      <formula>NOT(ISERROR(SEARCH("Стены-разделители зон",A1)))</formula>
    </cfRule>
    <cfRule type="containsText" dxfId="424" priority="2" stopIfTrue="1" operator="containsText" text="Добавить">
      <formula>NOT(ISERROR(SEARCH("Добавить",A1)))</formula>
    </cfRule>
    <cfRule type="containsText" dxfId="423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L501"/>
  <sheetViews>
    <sheetView workbookViewId="0">
      <selection activeCell="E22" sqref="E22:G22"/>
    </sheetView>
  </sheetViews>
  <sheetFormatPr defaultRowHeight="15" x14ac:dyDescent="0.25"/>
  <cols>
    <col min="1" max="1" width="5.42578125" style="22" customWidth="1"/>
    <col min="2" max="2" width="27" style="22" customWidth="1"/>
    <col min="3" max="3" width="21.7109375" style="22" customWidth="1"/>
    <col min="4" max="4" width="8.140625" style="22" customWidth="1"/>
    <col min="5" max="5" width="21.7109375" style="22" customWidth="1"/>
    <col min="6" max="6" width="8.140625" style="22" customWidth="1"/>
    <col min="7" max="7" width="21.7109375" style="22" customWidth="1"/>
    <col min="8" max="8" width="8.140625" style="22" customWidth="1"/>
    <col min="9" max="9" width="21.7109375" style="22" customWidth="1"/>
    <col min="10" max="11" width="8.140625" style="22" customWidth="1"/>
    <col min="12" max="12" width="16.28515625" style="22" customWidth="1"/>
    <col min="13" max="16384" width="9.140625" style="22"/>
  </cols>
  <sheetData>
    <row r="1" spans="1:12" ht="15.75" x14ac:dyDescent="0.25">
      <c r="A1" s="103" t="s">
        <v>2849</v>
      </c>
      <c r="B1" s="105" t="s">
        <v>2850</v>
      </c>
      <c r="C1" s="105" t="s">
        <v>2851</v>
      </c>
      <c r="D1" s="105"/>
      <c r="E1" s="105"/>
      <c r="F1" s="105"/>
      <c r="G1" s="105"/>
      <c r="H1" s="105"/>
      <c r="I1" s="105"/>
      <c r="J1" s="105"/>
      <c r="K1" s="105"/>
      <c r="L1" s="99" t="s">
        <v>2852</v>
      </c>
    </row>
    <row r="2" spans="1:12" ht="41.25" thickBot="1" x14ac:dyDescent="0.3">
      <c r="A2" s="104"/>
      <c r="B2" s="106"/>
      <c r="C2" s="33" t="s">
        <v>2853</v>
      </c>
      <c r="D2" s="24" t="s">
        <v>2854</v>
      </c>
      <c r="E2" s="33" t="s">
        <v>2855</v>
      </c>
      <c r="F2" s="24" t="s">
        <v>2854</v>
      </c>
      <c r="G2" s="33" t="s">
        <v>3005</v>
      </c>
      <c r="H2" s="24" t="s">
        <v>2854</v>
      </c>
      <c r="I2" s="33" t="s">
        <v>2856</v>
      </c>
      <c r="J2" s="24" t="s">
        <v>2854</v>
      </c>
      <c r="K2" s="24" t="s">
        <v>2857</v>
      </c>
      <c r="L2" s="100"/>
    </row>
    <row r="3" spans="1:12" ht="25.5" x14ac:dyDescent="0.25">
      <c r="A3" s="101" t="s">
        <v>3006</v>
      </c>
      <c r="B3" s="23" t="s">
        <v>3007</v>
      </c>
      <c r="C3" s="23" t="s">
        <v>3008</v>
      </c>
      <c r="D3" s="25">
        <v>19.2</v>
      </c>
      <c r="E3" s="23" t="s">
        <v>3009</v>
      </c>
      <c r="F3" s="25">
        <v>91.2</v>
      </c>
      <c r="G3" s="23" t="s">
        <v>3009</v>
      </c>
      <c r="H3" s="25">
        <v>8.1</v>
      </c>
      <c r="I3" s="92" t="s">
        <v>4</v>
      </c>
      <c r="J3" s="85" t="s">
        <v>4</v>
      </c>
      <c r="K3" s="85" t="s">
        <v>4</v>
      </c>
      <c r="L3" s="102" t="s">
        <v>3010</v>
      </c>
    </row>
    <row r="4" spans="1:12" ht="25.5" x14ac:dyDescent="0.25">
      <c r="A4" s="79"/>
      <c r="B4" s="31" t="s">
        <v>3007</v>
      </c>
      <c r="C4" s="31" t="s">
        <v>2859</v>
      </c>
      <c r="D4" s="26">
        <v>19.2</v>
      </c>
      <c r="E4" s="31" t="s">
        <v>3011</v>
      </c>
      <c r="F4" s="26">
        <v>79.399999999999991</v>
      </c>
      <c r="G4" s="31" t="s">
        <v>3011</v>
      </c>
      <c r="H4" s="26">
        <v>6.2</v>
      </c>
      <c r="I4" s="92"/>
      <c r="J4" s="85"/>
      <c r="K4" s="85"/>
      <c r="L4" s="94"/>
    </row>
    <row r="5" spans="1:12" ht="22.7" customHeight="1" x14ac:dyDescent="0.25">
      <c r="A5" s="79"/>
      <c r="B5" s="97" t="s">
        <v>3007</v>
      </c>
      <c r="C5" s="97" t="s">
        <v>2802</v>
      </c>
      <c r="D5" s="98">
        <v>19.2</v>
      </c>
      <c r="E5" s="31" t="s">
        <v>2859</v>
      </c>
      <c r="F5" s="26">
        <v>170.6</v>
      </c>
      <c r="G5" s="31" t="s">
        <v>2859</v>
      </c>
      <c r="H5" s="26">
        <v>14.3</v>
      </c>
      <c r="I5" s="92"/>
      <c r="J5" s="85"/>
      <c r="K5" s="85"/>
      <c r="L5" s="94"/>
    </row>
    <row r="6" spans="1:12" ht="22.7" customHeight="1" thickBot="1" x14ac:dyDescent="0.3">
      <c r="A6" s="90"/>
      <c r="B6" s="93"/>
      <c r="C6" s="93"/>
      <c r="D6" s="86"/>
      <c r="E6" s="36" t="s">
        <v>2802</v>
      </c>
      <c r="F6" s="37">
        <v>170.6</v>
      </c>
      <c r="G6" s="36" t="s">
        <v>2802</v>
      </c>
      <c r="H6" s="37">
        <v>14.3</v>
      </c>
      <c r="I6" s="93"/>
      <c r="J6" s="86"/>
      <c r="K6" s="86"/>
      <c r="L6" s="95"/>
    </row>
    <row r="7" spans="1:12" ht="25.5" x14ac:dyDescent="0.25">
      <c r="A7" s="87" t="s">
        <v>3012</v>
      </c>
      <c r="B7" s="32" t="s">
        <v>3013</v>
      </c>
      <c r="C7" s="32" t="s">
        <v>3014</v>
      </c>
      <c r="D7" s="44">
        <v>66.400000000000006</v>
      </c>
      <c r="E7" s="32" t="s">
        <v>3015</v>
      </c>
      <c r="F7" s="44">
        <v>98.8</v>
      </c>
      <c r="G7" s="32" t="s">
        <v>3015</v>
      </c>
      <c r="H7" s="44">
        <v>16.200000000000003</v>
      </c>
      <c r="I7" s="32" t="s">
        <v>2801</v>
      </c>
      <c r="J7" s="44">
        <v>108.1</v>
      </c>
      <c r="K7" s="84" t="s">
        <v>3016</v>
      </c>
      <c r="L7" s="89" t="s">
        <v>3017</v>
      </c>
    </row>
    <row r="8" spans="1:12" ht="22.7" customHeight="1" x14ac:dyDescent="0.25">
      <c r="A8" s="79"/>
      <c r="B8" s="31" t="s">
        <v>3013</v>
      </c>
      <c r="C8" s="31" t="s">
        <v>2859</v>
      </c>
      <c r="D8" s="26">
        <v>66.400000000000006</v>
      </c>
      <c r="E8" s="31" t="s">
        <v>2859</v>
      </c>
      <c r="F8" s="26">
        <v>241.2</v>
      </c>
      <c r="G8" s="31" t="s">
        <v>2859</v>
      </c>
      <c r="H8" s="26">
        <v>32.299999999999997</v>
      </c>
      <c r="I8" s="31" t="s">
        <v>2859</v>
      </c>
      <c r="J8" s="26">
        <v>108.1</v>
      </c>
      <c r="K8" s="85"/>
      <c r="L8" s="94"/>
    </row>
    <row r="9" spans="1:12" ht="22.7" customHeight="1" thickBot="1" x14ac:dyDescent="0.3">
      <c r="A9" s="90"/>
      <c r="B9" s="36" t="s">
        <v>3013</v>
      </c>
      <c r="C9" s="36" t="s">
        <v>2802</v>
      </c>
      <c r="D9" s="37">
        <v>66.400000000000006</v>
      </c>
      <c r="E9" s="36" t="s">
        <v>2802</v>
      </c>
      <c r="F9" s="37">
        <v>241.2</v>
      </c>
      <c r="G9" s="36" t="s">
        <v>2802</v>
      </c>
      <c r="H9" s="37">
        <v>32.299999999999997</v>
      </c>
      <c r="I9" s="36" t="s">
        <v>2802</v>
      </c>
      <c r="J9" s="37">
        <v>108.1</v>
      </c>
      <c r="K9" s="86"/>
      <c r="L9" s="95"/>
    </row>
    <row r="10" spans="1:12" ht="22.7" customHeight="1" x14ac:dyDescent="0.25">
      <c r="A10" s="87" t="s">
        <v>3018</v>
      </c>
      <c r="B10" s="91" t="s">
        <v>3019</v>
      </c>
      <c r="C10" s="91" t="s">
        <v>4</v>
      </c>
      <c r="D10" s="84" t="s">
        <v>4</v>
      </c>
      <c r="E10" s="32" t="s">
        <v>3014</v>
      </c>
      <c r="F10" s="44">
        <v>490.1</v>
      </c>
      <c r="G10" s="91" t="s">
        <v>4</v>
      </c>
      <c r="H10" s="84" t="s">
        <v>4</v>
      </c>
      <c r="I10" s="91" t="s">
        <v>4</v>
      </c>
      <c r="J10" s="84" t="s">
        <v>4</v>
      </c>
      <c r="K10" s="84" t="s">
        <v>4</v>
      </c>
      <c r="L10" s="89" t="s">
        <v>3020</v>
      </c>
    </row>
    <row r="11" spans="1:12" ht="22.7" customHeight="1" x14ac:dyDescent="0.25">
      <c r="A11" s="79"/>
      <c r="B11" s="92"/>
      <c r="C11" s="92"/>
      <c r="D11" s="85"/>
      <c r="E11" s="31" t="s">
        <v>2859</v>
      </c>
      <c r="F11" s="26">
        <v>490.1</v>
      </c>
      <c r="G11" s="92"/>
      <c r="H11" s="85"/>
      <c r="I11" s="92"/>
      <c r="J11" s="85"/>
      <c r="K11" s="85"/>
      <c r="L11" s="94"/>
    </row>
    <row r="12" spans="1:12" ht="22.7" customHeight="1" thickBot="1" x14ac:dyDescent="0.3">
      <c r="A12" s="90"/>
      <c r="B12" s="93"/>
      <c r="C12" s="93"/>
      <c r="D12" s="86"/>
      <c r="E12" s="36" t="s">
        <v>2802</v>
      </c>
      <c r="F12" s="37">
        <v>490.1</v>
      </c>
      <c r="G12" s="93"/>
      <c r="H12" s="86"/>
      <c r="I12" s="93"/>
      <c r="J12" s="86"/>
      <c r="K12" s="85"/>
      <c r="L12" s="95"/>
    </row>
    <row r="13" spans="1:12" ht="22.7" customHeight="1" x14ac:dyDescent="0.25">
      <c r="A13" s="87" t="s">
        <v>3021</v>
      </c>
      <c r="B13" s="91">
        <v>206</v>
      </c>
      <c r="C13" s="91" t="s">
        <v>3014</v>
      </c>
      <c r="D13" s="84">
        <v>24.1</v>
      </c>
      <c r="E13" s="32" t="s">
        <v>3014</v>
      </c>
      <c r="F13" s="44">
        <v>278.70000000000005</v>
      </c>
      <c r="G13" s="91" t="s">
        <v>4</v>
      </c>
      <c r="H13" s="84" t="s">
        <v>4</v>
      </c>
      <c r="I13" s="91" t="s">
        <v>4</v>
      </c>
      <c r="J13" s="84" t="s">
        <v>4</v>
      </c>
      <c r="K13" s="85"/>
      <c r="L13" s="89" t="s">
        <v>3022</v>
      </c>
    </row>
    <row r="14" spans="1:12" ht="22.7" customHeight="1" x14ac:dyDescent="0.25">
      <c r="A14" s="79"/>
      <c r="B14" s="92"/>
      <c r="C14" s="92"/>
      <c r="D14" s="85"/>
      <c r="E14" s="31" t="s">
        <v>2859</v>
      </c>
      <c r="F14" s="26">
        <v>278.70000000000005</v>
      </c>
      <c r="G14" s="92"/>
      <c r="H14" s="85"/>
      <c r="I14" s="92"/>
      <c r="J14" s="85"/>
      <c r="K14" s="85"/>
      <c r="L14" s="94"/>
    </row>
    <row r="15" spans="1:12" ht="22.7" customHeight="1" x14ac:dyDescent="0.25">
      <c r="A15" s="79"/>
      <c r="B15" s="92"/>
      <c r="C15" s="92"/>
      <c r="D15" s="85"/>
      <c r="E15" s="97" t="s">
        <v>2802</v>
      </c>
      <c r="F15" s="98">
        <v>278.70000000000005</v>
      </c>
      <c r="G15" s="92"/>
      <c r="H15" s="85"/>
      <c r="I15" s="92"/>
      <c r="J15" s="85"/>
      <c r="K15" s="85"/>
      <c r="L15" s="94"/>
    </row>
    <row r="16" spans="1:12" ht="22.7" customHeight="1" thickBot="1" x14ac:dyDescent="0.3">
      <c r="A16" s="90"/>
      <c r="B16" s="92"/>
      <c r="C16" s="92"/>
      <c r="D16" s="85"/>
      <c r="E16" s="93"/>
      <c r="F16" s="86"/>
      <c r="G16" s="93"/>
      <c r="H16" s="86"/>
      <c r="I16" s="93"/>
      <c r="J16" s="86"/>
      <c r="K16" s="86"/>
      <c r="L16" s="96"/>
    </row>
    <row r="17" spans="1:12" ht="15" customHeight="1" x14ac:dyDescent="0.25">
      <c r="A17" s="87" t="s">
        <v>2862</v>
      </c>
      <c r="B17" s="88"/>
      <c r="C17" s="88"/>
      <c r="D17" s="89"/>
      <c r="E17" s="81" t="s">
        <v>2391</v>
      </c>
      <c r="F17" s="81"/>
      <c r="G17" s="81"/>
      <c r="H17" s="81"/>
      <c r="I17" s="30" t="s">
        <v>2391</v>
      </c>
      <c r="J17" s="30" t="s">
        <v>2391</v>
      </c>
      <c r="K17" s="30" t="s">
        <v>2391</v>
      </c>
      <c r="L17" s="30" t="s">
        <v>2391</v>
      </c>
    </row>
    <row r="18" spans="1:12" ht="15" customHeight="1" x14ac:dyDescent="0.25">
      <c r="A18" s="79" t="s">
        <v>3023</v>
      </c>
      <c r="B18" s="80"/>
      <c r="C18" s="80"/>
      <c r="D18" s="34">
        <v>19.2</v>
      </c>
      <c r="E18" s="81" t="s">
        <v>2391</v>
      </c>
      <c r="F18" s="81"/>
      <c r="G18" s="81"/>
      <c r="H18" s="30" t="s">
        <v>2391</v>
      </c>
      <c r="I18" s="30" t="s">
        <v>2391</v>
      </c>
      <c r="J18" s="30" t="s">
        <v>2391</v>
      </c>
      <c r="K18" s="30" t="s">
        <v>2391</v>
      </c>
      <c r="L18" s="30" t="s">
        <v>2391</v>
      </c>
    </row>
    <row r="19" spans="1:12" ht="22.7" customHeight="1" x14ac:dyDescent="0.25">
      <c r="A19" s="79" t="s">
        <v>3024</v>
      </c>
      <c r="B19" s="80"/>
      <c r="C19" s="80"/>
      <c r="D19" s="34">
        <v>90.5</v>
      </c>
      <c r="E19" s="81" t="s">
        <v>2391</v>
      </c>
      <c r="F19" s="81"/>
      <c r="G19" s="81"/>
      <c r="H19" s="30" t="s">
        <v>2391</v>
      </c>
      <c r="I19" s="30" t="s">
        <v>2391</v>
      </c>
      <c r="J19" s="30" t="s">
        <v>2391</v>
      </c>
      <c r="K19" s="30" t="s">
        <v>2391</v>
      </c>
      <c r="L19" s="30" t="s">
        <v>2391</v>
      </c>
    </row>
    <row r="20" spans="1:12" ht="22.7" customHeight="1" x14ac:dyDescent="0.25">
      <c r="A20" s="79" t="s">
        <v>2884</v>
      </c>
      <c r="B20" s="80"/>
      <c r="C20" s="80"/>
      <c r="D20" s="34">
        <v>85.600000000000009</v>
      </c>
      <c r="E20" s="81" t="s">
        <v>2391</v>
      </c>
      <c r="F20" s="81"/>
      <c r="G20" s="81"/>
      <c r="H20" s="30" t="s">
        <v>2391</v>
      </c>
      <c r="I20" s="30" t="s">
        <v>2391</v>
      </c>
      <c r="J20" s="30" t="s">
        <v>2391</v>
      </c>
      <c r="K20" s="30" t="s">
        <v>2391</v>
      </c>
      <c r="L20" s="30" t="s">
        <v>2391</v>
      </c>
    </row>
    <row r="21" spans="1:12" ht="15" customHeight="1" x14ac:dyDescent="0.25">
      <c r="A21" s="79" t="s">
        <v>2885</v>
      </c>
      <c r="B21" s="80"/>
      <c r="C21" s="80"/>
      <c r="D21" s="34">
        <v>85.600000000000009</v>
      </c>
      <c r="E21" s="81" t="s">
        <v>2391</v>
      </c>
      <c r="F21" s="81"/>
      <c r="G21" s="81"/>
      <c r="H21" s="30" t="s">
        <v>2391</v>
      </c>
      <c r="I21" s="30" t="s">
        <v>2391</v>
      </c>
      <c r="J21" s="30" t="s">
        <v>2391</v>
      </c>
      <c r="K21" s="30" t="s">
        <v>2391</v>
      </c>
      <c r="L21" s="30" t="s">
        <v>2391</v>
      </c>
    </row>
    <row r="22" spans="1:12" ht="15" customHeight="1" x14ac:dyDescent="0.25">
      <c r="A22" s="79" t="s">
        <v>2801</v>
      </c>
      <c r="B22" s="80"/>
      <c r="C22" s="80"/>
      <c r="D22" s="34">
        <v>207.39999999999998</v>
      </c>
      <c r="E22" s="81" t="s">
        <v>2391</v>
      </c>
      <c r="F22" s="81"/>
      <c r="G22" s="81"/>
      <c r="H22" s="30" t="s">
        <v>2391</v>
      </c>
      <c r="I22" s="30" t="s">
        <v>2391</v>
      </c>
      <c r="J22" s="30" t="s">
        <v>2391</v>
      </c>
      <c r="K22" s="30" t="s">
        <v>2391</v>
      </c>
      <c r="L22" s="30" t="s">
        <v>2391</v>
      </c>
    </row>
    <row r="23" spans="1:12" ht="15" customHeight="1" x14ac:dyDescent="0.25">
      <c r="A23" s="79" t="s">
        <v>3014</v>
      </c>
      <c r="B23" s="80"/>
      <c r="C23" s="80"/>
      <c r="D23" s="34">
        <v>969.40000000000009</v>
      </c>
      <c r="E23" s="81" t="s">
        <v>2391</v>
      </c>
      <c r="F23" s="81"/>
      <c r="G23" s="81"/>
      <c r="H23" s="30" t="s">
        <v>2391</v>
      </c>
      <c r="I23" s="30" t="s">
        <v>2391</v>
      </c>
      <c r="J23" s="30" t="s">
        <v>2391</v>
      </c>
      <c r="K23" s="30" t="s">
        <v>2391</v>
      </c>
      <c r="L23" s="30" t="s">
        <v>2391</v>
      </c>
    </row>
    <row r="24" spans="1:12" ht="15" customHeight="1" x14ac:dyDescent="0.25">
      <c r="A24" s="79" t="s">
        <v>2859</v>
      </c>
      <c r="B24" s="80"/>
      <c r="C24" s="80"/>
      <c r="D24" s="34">
        <v>1335.3</v>
      </c>
      <c r="E24" s="81" t="s">
        <v>2391</v>
      </c>
      <c r="F24" s="81"/>
      <c r="G24" s="81"/>
      <c r="H24" s="30" t="s">
        <v>2391</v>
      </c>
      <c r="I24" s="30" t="s">
        <v>2391</v>
      </c>
      <c r="J24" s="30" t="s">
        <v>2391</v>
      </c>
      <c r="K24" s="30" t="s">
        <v>2391</v>
      </c>
      <c r="L24" s="30" t="s">
        <v>2391</v>
      </c>
    </row>
    <row r="25" spans="1:12" ht="15" customHeight="1" thickBot="1" x14ac:dyDescent="0.3">
      <c r="A25" s="82" t="s">
        <v>2802</v>
      </c>
      <c r="B25" s="83"/>
      <c r="C25" s="83"/>
      <c r="D25" s="35">
        <v>1335.3</v>
      </c>
      <c r="E25" s="81" t="s">
        <v>2391</v>
      </c>
      <c r="F25" s="81"/>
      <c r="G25" s="81"/>
      <c r="H25" s="30" t="s">
        <v>2391</v>
      </c>
      <c r="I25" s="30" t="s">
        <v>2391</v>
      </c>
      <c r="J25" s="30" t="s">
        <v>2391</v>
      </c>
      <c r="K25" s="30" t="s">
        <v>2391</v>
      </c>
      <c r="L25" s="30" t="s">
        <v>2391</v>
      </c>
    </row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44" ht="22.7" customHeight="1" x14ac:dyDescent="0.25"/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54">
    <mergeCell ref="L1:L2"/>
    <mergeCell ref="A3:A6"/>
    <mergeCell ref="L3:L6"/>
    <mergeCell ref="A7:A9"/>
    <mergeCell ref="L7:L9"/>
    <mergeCell ref="K3:K6"/>
    <mergeCell ref="A1:A2"/>
    <mergeCell ref="B1:B2"/>
    <mergeCell ref="C1:K1"/>
    <mergeCell ref="I3:I6"/>
    <mergeCell ref="K7:K9"/>
    <mergeCell ref="J3:J6"/>
    <mergeCell ref="J10:J12"/>
    <mergeCell ref="J13:J16"/>
    <mergeCell ref="L10:L12"/>
    <mergeCell ref="A13:A16"/>
    <mergeCell ref="L13:L16"/>
    <mergeCell ref="B5:B6"/>
    <mergeCell ref="B10:B12"/>
    <mergeCell ref="B13:B16"/>
    <mergeCell ref="C5:C6"/>
    <mergeCell ref="C10:C12"/>
    <mergeCell ref="C13:C16"/>
    <mergeCell ref="D5:D6"/>
    <mergeCell ref="D10:D12"/>
    <mergeCell ref="D13:D16"/>
    <mergeCell ref="E15:E16"/>
    <mergeCell ref="K10:K16"/>
    <mergeCell ref="A17:D17"/>
    <mergeCell ref="E17:H17"/>
    <mergeCell ref="H13:H16"/>
    <mergeCell ref="A10:A12"/>
    <mergeCell ref="H10:H12"/>
    <mergeCell ref="I10:I12"/>
    <mergeCell ref="I13:I16"/>
    <mergeCell ref="F15:F16"/>
    <mergeCell ref="G10:G12"/>
    <mergeCell ref="G13:G16"/>
    <mergeCell ref="A18:C18"/>
    <mergeCell ref="E18:G18"/>
    <mergeCell ref="A19:C19"/>
    <mergeCell ref="E19:G19"/>
    <mergeCell ref="A20:C20"/>
    <mergeCell ref="E20:G20"/>
    <mergeCell ref="A24:C24"/>
    <mergeCell ref="E24:G24"/>
    <mergeCell ref="A25:C25"/>
    <mergeCell ref="E25:G25"/>
    <mergeCell ref="A21:C21"/>
    <mergeCell ref="E21:G21"/>
    <mergeCell ref="A22:C22"/>
    <mergeCell ref="E22:G22"/>
    <mergeCell ref="A23:C23"/>
    <mergeCell ref="E23:G23"/>
  </mergeCells>
  <conditionalFormatting sqref="A1:L25">
    <cfRule type="containsText" dxfId="422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2891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2401</v>
      </c>
      <c r="C2" s="1" t="s">
        <v>2383</v>
      </c>
      <c r="D2" s="1" t="s">
        <v>2384</v>
      </c>
      <c r="E2" s="10" t="s">
        <v>2385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2401</v>
      </c>
      <c r="C3" s="1" t="s">
        <v>2383</v>
      </c>
      <c r="D3" s="1" t="s">
        <v>2386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2401</v>
      </c>
      <c r="C4" s="1" t="s">
        <v>2383</v>
      </c>
      <c r="D4" s="1" t="s">
        <v>2387</v>
      </c>
      <c r="E4" s="1" t="s">
        <v>2402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2401</v>
      </c>
      <c r="C5" s="1" t="s">
        <v>2383</v>
      </c>
      <c r="D5" s="1" t="s">
        <v>2381</v>
      </c>
      <c r="E5" s="1" t="s">
        <v>2403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2401</v>
      </c>
      <c r="C6" s="1" t="s">
        <v>2383</v>
      </c>
      <c r="D6" s="1" t="s">
        <v>2388</v>
      </c>
      <c r="E6" s="1" t="s">
        <v>2399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2401</v>
      </c>
      <c r="C7" s="1" t="s">
        <v>2383</v>
      </c>
      <c r="D7" s="1" t="s">
        <v>2389</v>
      </c>
      <c r="E7" s="10" t="s">
        <v>2385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2401</v>
      </c>
      <c r="C8" s="1" t="s">
        <v>2396</v>
      </c>
      <c r="D8" s="1"/>
      <c r="E8" s="1" t="s">
        <v>2378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2401</v>
      </c>
      <c r="C9" s="1" t="s">
        <v>2394</v>
      </c>
      <c r="D9" s="1" t="s">
        <v>2390</v>
      </c>
      <c r="E9" s="1" t="s">
        <v>2395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2401</v>
      </c>
      <c r="C10" s="1" t="s">
        <v>2383</v>
      </c>
      <c r="D10" s="1" t="s">
        <v>2384</v>
      </c>
      <c r="E10" s="10" t="s">
        <v>2385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2401</v>
      </c>
      <c r="C11" s="1" t="s">
        <v>2383</v>
      </c>
      <c r="D11" s="1" t="s">
        <v>2386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2401</v>
      </c>
      <c r="C12" s="1" t="s">
        <v>2383</v>
      </c>
      <c r="D12" s="1" t="s">
        <v>2387</v>
      </c>
      <c r="E12" s="1" t="s">
        <v>2397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2401</v>
      </c>
      <c r="C13" s="1" t="s">
        <v>2383</v>
      </c>
      <c r="D13" s="1" t="s">
        <v>2381</v>
      </c>
      <c r="E13" s="1" t="s">
        <v>2400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2401</v>
      </c>
      <c r="C14" s="1" t="s">
        <v>2383</v>
      </c>
      <c r="D14" s="1" t="s">
        <v>2388</v>
      </c>
      <c r="E14" s="1" t="s">
        <v>2398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2401</v>
      </c>
      <c r="C15" s="1" t="s">
        <v>2383</v>
      </c>
      <c r="D15" s="1" t="s">
        <v>2389</v>
      </c>
      <c r="E15" s="10" t="s">
        <v>2385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2401</v>
      </c>
      <c r="C16" s="1" t="s">
        <v>2396</v>
      </c>
      <c r="D16" s="1"/>
      <c r="E16" s="1" t="s">
        <v>2378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2401</v>
      </c>
      <c r="C17" s="1" t="s">
        <v>2396</v>
      </c>
      <c r="D17" s="1" t="s">
        <v>2404</v>
      </c>
      <c r="E17" s="1" t="s">
        <v>2380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2401</v>
      </c>
      <c r="C18" s="1" t="s">
        <v>2383</v>
      </c>
      <c r="D18" s="1" t="s">
        <v>2384</v>
      </c>
      <c r="E18" s="10" t="s">
        <v>2385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2401</v>
      </c>
      <c r="C19" s="1" t="s">
        <v>2383</v>
      </c>
      <c r="D19" s="1" t="s">
        <v>2386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2401</v>
      </c>
      <c r="C20" s="1" t="s">
        <v>2383</v>
      </c>
      <c r="D20" s="1" t="s">
        <v>2387</v>
      </c>
      <c r="E20" s="1" t="s">
        <v>2402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2401</v>
      </c>
      <c r="C21" s="1" t="s">
        <v>2383</v>
      </c>
      <c r="D21" s="1" t="s">
        <v>2381</v>
      </c>
      <c r="E21" s="1" t="s">
        <v>2403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2401</v>
      </c>
      <c r="C22" s="1" t="s">
        <v>2383</v>
      </c>
      <c r="D22" s="1" t="s">
        <v>2388</v>
      </c>
      <c r="E22" s="1" t="s">
        <v>2399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2401</v>
      </c>
      <c r="C23" s="1" t="s">
        <v>2383</v>
      </c>
      <c r="D23" s="1" t="s">
        <v>2389</v>
      </c>
      <c r="E23" s="10" t="s">
        <v>2385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2401</v>
      </c>
      <c r="C24" s="1" t="s">
        <v>2396</v>
      </c>
      <c r="D24" s="1"/>
      <c r="E24" s="1" t="s">
        <v>2378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2401</v>
      </c>
      <c r="C25" s="1" t="s">
        <v>2394</v>
      </c>
      <c r="D25" s="1" t="s">
        <v>2390</v>
      </c>
      <c r="E25" s="1" t="s">
        <v>2395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2401</v>
      </c>
      <c r="C26" s="1" t="s">
        <v>2383</v>
      </c>
      <c r="D26" s="1" t="s">
        <v>2384</v>
      </c>
      <c r="E26" s="10" t="s">
        <v>2385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2401</v>
      </c>
      <c r="C27" s="1" t="s">
        <v>2383</v>
      </c>
      <c r="D27" s="1" t="s">
        <v>2386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2401</v>
      </c>
      <c r="C28" s="1" t="s">
        <v>2383</v>
      </c>
      <c r="D28" s="1" t="s">
        <v>2387</v>
      </c>
      <c r="E28" s="1" t="s">
        <v>2397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2401</v>
      </c>
      <c r="C29" s="1" t="s">
        <v>2383</v>
      </c>
      <c r="D29" s="1" t="s">
        <v>2381</v>
      </c>
      <c r="E29" s="1" t="s">
        <v>2400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2401</v>
      </c>
      <c r="C30" s="1" t="s">
        <v>2383</v>
      </c>
      <c r="D30" s="1" t="s">
        <v>2388</v>
      </c>
      <c r="E30" s="1" t="s">
        <v>2398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2401</v>
      </c>
      <c r="C31" s="1" t="s">
        <v>2383</v>
      </c>
      <c r="D31" s="1" t="s">
        <v>2389</v>
      </c>
      <c r="E31" s="10" t="s">
        <v>2385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2401</v>
      </c>
      <c r="C32" s="1" t="s">
        <v>2396</v>
      </c>
      <c r="D32" s="1"/>
      <c r="E32" s="1" t="s">
        <v>2378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2401</v>
      </c>
      <c r="C33" s="1" t="s">
        <v>2383</v>
      </c>
      <c r="D33" s="1" t="s">
        <v>2384</v>
      </c>
      <c r="E33" s="10" t="s">
        <v>2385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2401</v>
      </c>
      <c r="C34" s="1" t="s">
        <v>2383</v>
      </c>
      <c r="D34" s="1" t="s">
        <v>2386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2401</v>
      </c>
      <c r="C35" s="1" t="s">
        <v>2383</v>
      </c>
      <c r="D35" s="1" t="s">
        <v>2387</v>
      </c>
      <c r="E35" s="1" t="s">
        <v>2402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2401</v>
      </c>
      <c r="C36" s="1" t="s">
        <v>2383</v>
      </c>
      <c r="D36" s="1" t="s">
        <v>2381</v>
      </c>
      <c r="E36" s="1" t="s">
        <v>2403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2401</v>
      </c>
      <c r="C37" s="1" t="s">
        <v>2383</v>
      </c>
      <c r="D37" s="1" t="s">
        <v>2388</v>
      </c>
      <c r="E37" s="1" t="s">
        <v>2399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2401</v>
      </c>
      <c r="C38" s="1" t="s">
        <v>2383</v>
      </c>
      <c r="D38" s="1" t="s">
        <v>2389</v>
      </c>
      <c r="E38" s="10" t="s">
        <v>2385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2401</v>
      </c>
      <c r="C39" s="1" t="s">
        <v>2396</v>
      </c>
      <c r="D39" s="1"/>
      <c r="E39" s="1" t="s">
        <v>2378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2401</v>
      </c>
      <c r="C40" s="1" t="s">
        <v>2383</v>
      </c>
      <c r="D40" s="1" t="s">
        <v>2384</v>
      </c>
      <c r="E40" s="10" t="s">
        <v>2385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2401</v>
      </c>
      <c r="C41" s="1" t="s">
        <v>2383</v>
      </c>
      <c r="D41" s="1" t="s">
        <v>2386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2401</v>
      </c>
      <c r="C42" s="1" t="s">
        <v>2383</v>
      </c>
      <c r="D42" s="1" t="s">
        <v>2387</v>
      </c>
      <c r="E42" s="1" t="s">
        <v>2402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2401</v>
      </c>
      <c r="C43" s="1" t="s">
        <v>2383</v>
      </c>
      <c r="D43" s="1" t="s">
        <v>2381</v>
      </c>
      <c r="E43" s="1" t="s">
        <v>2403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2401</v>
      </c>
      <c r="C44" s="1" t="s">
        <v>2383</v>
      </c>
      <c r="D44" s="1" t="s">
        <v>2388</v>
      </c>
      <c r="E44" s="1" t="s">
        <v>2399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2401</v>
      </c>
      <c r="C45" s="1" t="s">
        <v>2383</v>
      </c>
      <c r="D45" s="1" t="s">
        <v>2389</v>
      </c>
      <c r="E45" s="10" t="s">
        <v>2385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2401</v>
      </c>
      <c r="C46" s="1" t="s">
        <v>2396</v>
      </c>
      <c r="D46" s="1"/>
      <c r="E46" s="1" t="s">
        <v>2378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2401</v>
      </c>
      <c r="C47" s="1" t="s">
        <v>2383</v>
      </c>
      <c r="D47" s="1" t="s">
        <v>2384</v>
      </c>
      <c r="E47" s="10" t="s">
        <v>2385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2401</v>
      </c>
      <c r="C48" s="1" t="s">
        <v>2383</v>
      </c>
      <c r="D48" s="1" t="s">
        <v>2386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2401</v>
      </c>
      <c r="C49" s="1" t="s">
        <v>2383</v>
      </c>
      <c r="D49" s="1" t="s">
        <v>2387</v>
      </c>
      <c r="E49" s="1" t="s">
        <v>2402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2401</v>
      </c>
      <c r="C50" s="1" t="s">
        <v>2383</v>
      </c>
      <c r="D50" s="1" t="s">
        <v>2381</v>
      </c>
      <c r="E50" s="1" t="s">
        <v>2403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2401</v>
      </c>
      <c r="C51" s="1" t="s">
        <v>2383</v>
      </c>
      <c r="D51" s="1" t="s">
        <v>2388</v>
      </c>
      <c r="E51" s="1" t="s">
        <v>2399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2401</v>
      </c>
      <c r="C52" s="1" t="s">
        <v>2383</v>
      </c>
      <c r="D52" s="1" t="s">
        <v>2389</v>
      </c>
      <c r="E52" s="10" t="s">
        <v>2385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2401</v>
      </c>
      <c r="C53" s="1" t="s">
        <v>2396</v>
      </c>
      <c r="D53" s="1"/>
      <c r="E53" s="1" t="s">
        <v>2378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2401</v>
      </c>
      <c r="C54" s="1" t="s">
        <v>2383</v>
      </c>
      <c r="D54" s="1" t="s">
        <v>2384</v>
      </c>
      <c r="E54" s="10" t="s">
        <v>2385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2401</v>
      </c>
      <c r="C55" s="1" t="s">
        <v>2383</v>
      </c>
      <c r="D55" s="1" t="s">
        <v>2386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2401</v>
      </c>
      <c r="C56" s="1" t="s">
        <v>2383</v>
      </c>
      <c r="D56" s="1" t="s">
        <v>2387</v>
      </c>
      <c r="E56" s="1" t="s">
        <v>2402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2401</v>
      </c>
      <c r="C57" s="1" t="s">
        <v>2383</v>
      </c>
      <c r="D57" s="1" t="s">
        <v>2381</v>
      </c>
      <c r="E57" s="1" t="s">
        <v>2403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2401</v>
      </c>
      <c r="C58" s="1" t="s">
        <v>2383</v>
      </c>
      <c r="D58" s="1" t="s">
        <v>2388</v>
      </c>
      <c r="E58" s="1" t="s">
        <v>2399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2401</v>
      </c>
      <c r="C59" s="1" t="s">
        <v>2383</v>
      </c>
      <c r="D59" s="1" t="s">
        <v>2389</v>
      </c>
      <c r="E59" s="10" t="s">
        <v>2385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2401</v>
      </c>
      <c r="C60" s="1" t="s">
        <v>2396</v>
      </c>
      <c r="D60" s="1"/>
      <c r="E60" s="1" t="s">
        <v>2378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2401</v>
      </c>
      <c r="C61" s="1" t="s">
        <v>2383</v>
      </c>
      <c r="D61" s="1" t="s">
        <v>2384</v>
      </c>
      <c r="E61" s="10" t="s">
        <v>2385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2401</v>
      </c>
      <c r="C62" s="1" t="s">
        <v>2383</v>
      </c>
      <c r="D62" s="1" t="s">
        <v>2386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2401</v>
      </c>
      <c r="C63" s="1" t="s">
        <v>2383</v>
      </c>
      <c r="D63" s="1" t="s">
        <v>2387</v>
      </c>
      <c r="E63" s="1" t="s">
        <v>2402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2401</v>
      </c>
      <c r="C64" s="1" t="s">
        <v>2383</v>
      </c>
      <c r="D64" s="1" t="s">
        <v>2381</v>
      </c>
      <c r="E64" s="1" t="s">
        <v>2403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2401</v>
      </c>
      <c r="C65" s="1" t="s">
        <v>2383</v>
      </c>
      <c r="D65" s="1" t="s">
        <v>2388</v>
      </c>
      <c r="E65" s="1" t="s">
        <v>2399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2401</v>
      </c>
      <c r="C66" s="1" t="s">
        <v>2383</v>
      </c>
      <c r="D66" s="1" t="s">
        <v>2389</v>
      </c>
      <c r="E66" s="10" t="s">
        <v>2385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2401</v>
      </c>
      <c r="C67" s="1" t="s">
        <v>2396</v>
      </c>
      <c r="D67" s="1"/>
      <c r="E67" s="1" t="s">
        <v>2378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2401</v>
      </c>
      <c r="C68" s="1" t="s">
        <v>2394</v>
      </c>
      <c r="D68" s="1" t="s">
        <v>2390</v>
      </c>
      <c r="E68" s="1" t="s">
        <v>2395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2401</v>
      </c>
      <c r="C69" s="1" t="s">
        <v>2383</v>
      </c>
      <c r="D69" s="1" t="s">
        <v>2384</v>
      </c>
      <c r="E69" s="10" t="s">
        <v>2385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2401</v>
      </c>
      <c r="C70" s="1" t="s">
        <v>2383</v>
      </c>
      <c r="D70" s="1" t="s">
        <v>2386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2401</v>
      </c>
      <c r="C71" s="1" t="s">
        <v>2383</v>
      </c>
      <c r="D71" s="1" t="s">
        <v>2387</v>
      </c>
      <c r="E71" s="1" t="s">
        <v>2397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2401</v>
      </c>
      <c r="C72" s="1" t="s">
        <v>2383</v>
      </c>
      <c r="D72" s="1" t="s">
        <v>2381</v>
      </c>
      <c r="E72" s="1" t="s">
        <v>2400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2401</v>
      </c>
      <c r="C73" s="1" t="s">
        <v>2383</v>
      </c>
      <c r="D73" s="1" t="s">
        <v>2388</v>
      </c>
      <c r="E73" s="1" t="s">
        <v>2398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2401</v>
      </c>
      <c r="C74" s="1" t="s">
        <v>2383</v>
      </c>
      <c r="D74" s="1" t="s">
        <v>2389</v>
      </c>
      <c r="E74" s="10" t="s">
        <v>2385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2401</v>
      </c>
      <c r="C75" s="1" t="s">
        <v>2396</v>
      </c>
      <c r="D75" s="1"/>
      <c r="E75" s="1" t="s">
        <v>2378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2401</v>
      </c>
      <c r="C76" s="1" t="s">
        <v>2394</v>
      </c>
      <c r="D76" s="1" t="s">
        <v>2390</v>
      </c>
      <c r="E76" s="1" t="s">
        <v>2395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2401</v>
      </c>
      <c r="C77" s="1" t="s">
        <v>2383</v>
      </c>
      <c r="D77" s="1" t="s">
        <v>2384</v>
      </c>
      <c r="E77" s="10" t="s">
        <v>2385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2401</v>
      </c>
      <c r="C78" s="1" t="s">
        <v>2383</v>
      </c>
      <c r="D78" s="1" t="s">
        <v>2386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2401</v>
      </c>
      <c r="C79" s="1" t="s">
        <v>2383</v>
      </c>
      <c r="D79" s="1" t="s">
        <v>2387</v>
      </c>
      <c r="E79" s="1" t="s">
        <v>2397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2401</v>
      </c>
      <c r="C80" s="1" t="s">
        <v>2383</v>
      </c>
      <c r="D80" s="1" t="s">
        <v>2381</v>
      </c>
      <c r="E80" s="1" t="s">
        <v>2400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2401</v>
      </c>
      <c r="C81" s="1" t="s">
        <v>2383</v>
      </c>
      <c r="D81" s="1" t="s">
        <v>2388</v>
      </c>
      <c r="E81" s="1" t="s">
        <v>2398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2401</v>
      </c>
      <c r="C82" s="1" t="s">
        <v>2383</v>
      </c>
      <c r="D82" s="1" t="s">
        <v>2389</v>
      </c>
      <c r="E82" s="10" t="s">
        <v>2385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2401</v>
      </c>
      <c r="C83" s="1" t="s">
        <v>2396</v>
      </c>
      <c r="D83" s="1"/>
      <c r="E83" s="1" t="s">
        <v>2378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2401</v>
      </c>
      <c r="C84" s="1" t="s">
        <v>2393</v>
      </c>
      <c r="D84" s="1" t="s">
        <v>2382</v>
      </c>
      <c r="E84" s="1" t="s">
        <v>2379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2401</v>
      </c>
      <c r="C85" s="1" t="s">
        <v>2394</v>
      </c>
      <c r="D85" s="1" t="s">
        <v>2390</v>
      </c>
      <c r="E85" s="1" t="s">
        <v>2395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2401</v>
      </c>
      <c r="C86" s="1" t="s">
        <v>2383</v>
      </c>
      <c r="D86" s="1" t="s">
        <v>2384</v>
      </c>
      <c r="E86" s="10" t="s">
        <v>2385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2401</v>
      </c>
      <c r="C87" s="1" t="s">
        <v>2383</v>
      </c>
      <c r="D87" s="1" t="s">
        <v>2386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2401</v>
      </c>
      <c r="C88" s="1" t="s">
        <v>2383</v>
      </c>
      <c r="D88" s="1" t="s">
        <v>2387</v>
      </c>
      <c r="E88" s="1" t="s">
        <v>2397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2401</v>
      </c>
      <c r="C89" s="1" t="s">
        <v>2383</v>
      </c>
      <c r="D89" s="1" t="s">
        <v>2381</v>
      </c>
      <c r="E89" s="1" t="s">
        <v>2400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2401</v>
      </c>
      <c r="C90" s="1" t="s">
        <v>2383</v>
      </c>
      <c r="D90" s="1" t="s">
        <v>2388</v>
      </c>
      <c r="E90" s="1" t="s">
        <v>2398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2401</v>
      </c>
      <c r="C91" s="1" t="s">
        <v>2383</v>
      </c>
      <c r="D91" s="1" t="s">
        <v>2389</v>
      </c>
      <c r="E91" s="10" t="s">
        <v>2385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2401</v>
      </c>
      <c r="C92" s="1" t="s">
        <v>2396</v>
      </c>
      <c r="D92" s="1" t="s">
        <v>2382</v>
      </c>
      <c r="E92" s="1" t="s">
        <v>2378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2401</v>
      </c>
      <c r="C93" s="1" t="s">
        <v>2394</v>
      </c>
      <c r="D93" s="1" t="s">
        <v>2390</v>
      </c>
      <c r="E93" s="1" t="s">
        <v>2395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2401</v>
      </c>
      <c r="C94" s="1" t="s">
        <v>2383</v>
      </c>
      <c r="D94" s="1" t="s">
        <v>2384</v>
      </c>
      <c r="E94" s="10" t="s">
        <v>2385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2401</v>
      </c>
      <c r="C95" s="1" t="s">
        <v>2383</v>
      </c>
      <c r="D95" s="1" t="s">
        <v>2386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2401</v>
      </c>
      <c r="C96" s="1" t="s">
        <v>2383</v>
      </c>
      <c r="D96" s="1" t="s">
        <v>2387</v>
      </c>
      <c r="E96" s="1" t="s">
        <v>2397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2401</v>
      </c>
      <c r="C97" s="1" t="s">
        <v>2383</v>
      </c>
      <c r="D97" s="1" t="s">
        <v>2381</v>
      </c>
      <c r="E97" s="1" t="s">
        <v>2400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2401</v>
      </c>
      <c r="C98" s="1" t="s">
        <v>2383</v>
      </c>
      <c r="D98" s="1" t="s">
        <v>2388</v>
      </c>
      <c r="E98" s="1" t="s">
        <v>2398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2401</v>
      </c>
      <c r="C99" s="1" t="s">
        <v>2383</v>
      </c>
      <c r="D99" s="1" t="s">
        <v>2389</v>
      </c>
      <c r="E99" s="10" t="s">
        <v>2385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2401</v>
      </c>
      <c r="C100" s="1" t="s">
        <v>2396</v>
      </c>
      <c r="D100" s="1"/>
      <c r="E100" s="1" t="s">
        <v>2378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2401</v>
      </c>
      <c r="C101" s="1" t="s">
        <v>2394</v>
      </c>
      <c r="D101" s="1" t="s">
        <v>2390</v>
      </c>
      <c r="E101" s="1" t="s">
        <v>2395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2401</v>
      </c>
      <c r="C102" s="1" t="s">
        <v>2394</v>
      </c>
      <c r="D102" s="1" t="s">
        <v>2390</v>
      </c>
      <c r="E102" s="1" t="s">
        <v>2395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2401</v>
      </c>
      <c r="C103" s="1" t="s">
        <v>2383</v>
      </c>
      <c r="D103" s="1" t="s">
        <v>2384</v>
      </c>
      <c r="E103" s="10" t="s">
        <v>2385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2401</v>
      </c>
      <c r="C104" s="1" t="s">
        <v>2383</v>
      </c>
      <c r="D104" s="1" t="s">
        <v>2386</v>
      </c>
      <c r="E104" s="1" t="s">
        <v>2405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2401</v>
      </c>
      <c r="C105" s="1" t="s">
        <v>2383</v>
      </c>
      <c r="D105" s="1" t="s">
        <v>2387</v>
      </c>
      <c r="E105" s="1" t="s">
        <v>2397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2401</v>
      </c>
      <c r="C106" s="1" t="s">
        <v>2383</v>
      </c>
      <c r="D106" s="1" t="s">
        <v>2381</v>
      </c>
      <c r="E106" s="1" t="s">
        <v>2400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2401</v>
      </c>
      <c r="C107" s="1" t="s">
        <v>2383</v>
      </c>
      <c r="D107" s="1" t="s">
        <v>2388</v>
      </c>
      <c r="E107" s="1" t="s">
        <v>2398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2401</v>
      </c>
      <c r="C108" s="1" t="s">
        <v>2383</v>
      </c>
      <c r="D108" s="1" t="s">
        <v>2389</v>
      </c>
      <c r="E108" s="10" t="s">
        <v>2385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2401</v>
      </c>
      <c r="C109" s="1" t="s">
        <v>2396</v>
      </c>
      <c r="D109" s="1"/>
      <c r="E109" s="1" t="s">
        <v>2378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2401</v>
      </c>
      <c r="C110" s="1" t="s">
        <v>2396</v>
      </c>
      <c r="D110" s="1"/>
      <c r="E110" s="1" t="s">
        <v>2379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2401</v>
      </c>
      <c r="C111" s="1" t="s">
        <v>2396</v>
      </c>
      <c r="D111" s="1"/>
      <c r="E111" s="1" t="s">
        <v>2379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2401</v>
      </c>
      <c r="C112" s="1" t="s">
        <v>2396</v>
      </c>
      <c r="D112" s="1"/>
      <c r="E112" s="1" t="s">
        <v>2378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2401</v>
      </c>
      <c r="C113" s="1" t="s">
        <v>2396</v>
      </c>
      <c r="D113" s="1"/>
      <c r="E113" s="1" t="s">
        <v>2379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2401</v>
      </c>
      <c r="C114" s="1" t="s">
        <v>2396</v>
      </c>
      <c r="D114" s="1"/>
      <c r="E114" s="1" t="s">
        <v>2379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2401</v>
      </c>
      <c r="C115" s="1" t="s">
        <v>2396</v>
      </c>
      <c r="D115" s="1"/>
      <c r="E115" s="1" t="s">
        <v>2379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2401</v>
      </c>
      <c r="C116" s="1" t="s">
        <v>2394</v>
      </c>
      <c r="D116" s="1" t="s">
        <v>2390</v>
      </c>
      <c r="E116" s="1" t="s">
        <v>2395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2401</v>
      </c>
      <c r="C117" s="1" t="s">
        <v>2383</v>
      </c>
      <c r="D117" s="1" t="s">
        <v>2384</v>
      </c>
      <c r="E117" s="10" t="s">
        <v>2385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2401</v>
      </c>
      <c r="C118" s="1" t="s">
        <v>2383</v>
      </c>
      <c r="D118" s="1" t="s">
        <v>2386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2401</v>
      </c>
      <c r="C119" s="1" t="s">
        <v>2383</v>
      </c>
      <c r="D119" s="1" t="s">
        <v>2387</v>
      </c>
      <c r="E119" s="1" t="s">
        <v>2397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2401</v>
      </c>
      <c r="C120" s="1" t="s">
        <v>2383</v>
      </c>
      <c r="D120" s="1" t="s">
        <v>2381</v>
      </c>
      <c r="E120" s="1" t="s">
        <v>2400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2401</v>
      </c>
      <c r="C121" s="1" t="s">
        <v>2383</v>
      </c>
      <c r="D121" s="1" t="s">
        <v>2388</v>
      </c>
      <c r="E121" s="1" t="s">
        <v>2398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2401</v>
      </c>
      <c r="C122" s="1" t="s">
        <v>2383</v>
      </c>
      <c r="D122" s="1" t="s">
        <v>2389</v>
      </c>
      <c r="E122" s="10" t="s">
        <v>2385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2401</v>
      </c>
      <c r="C123" s="1" t="s">
        <v>2396</v>
      </c>
      <c r="D123" s="1"/>
      <c r="E123" s="1" t="s">
        <v>2378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2401</v>
      </c>
      <c r="C124" s="1" t="s">
        <v>2394</v>
      </c>
      <c r="D124" s="1" t="s">
        <v>2390</v>
      </c>
      <c r="E124" s="1" t="s">
        <v>2395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2401</v>
      </c>
      <c r="C125" s="1" t="s">
        <v>2383</v>
      </c>
      <c r="D125" s="1" t="s">
        <v>2384</v>
      </c>
      <c r="E125" s="10" t="s">
        <v>2385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2401</v>
      </c>
      <c r="C126" s="1" t="s">
        <v>2383</v>
      </c>
      <c r="D126" s="1" t="s">
        <v>2386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2401</v>
      </c>
      <c r="C127" s="1" t="s">
        <v>2383</v>
      </c>
      <c r="D127" s="1" t="s">
        <v>2387</v>
      </c>
      <c r="E127" s="1" t="s">
        <v>2397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2401</v>
      </c>
      <c r="C128" s="1" t="s">
        <v>2383</v>
      </c>
      <c r="D128" s="1" t="s">
        <v>2381</v>
      </c>
      <c r="E128" s="1" t="s">
        <v>2400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2401</v>
      </c>
      <c r="C129" s="1" t="s">
        <v>2383</v>
      </c>
      <c r="D129" s="1" t="s">
        <v>2388</v>
      </c>
      <c r="E129" s="1" t="s">
        <v>2398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2401</v>
      </c>
      <c r="C130" s="1" t="s">
        <v>2383</v>
      </c>
      <c r="D130" s="1" t="s">
        <v>2389</v>
      </c>
      <c r="E130" s="10" t="s">
        <v>2385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2401</v>
      </c>
      <c r="C131" s="1" t="s">
        <v>2396</v>
      </c>
      <c r="D131" s="1"/>
      <c r="E131" s="1" t="s">
        <v>2378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2401</v>
      </c>
      <c r="C132" s="1" t="s">
        <v>2394</v>
      </c>
      <c r="D132" s="1" t="s">
        <v>2390</v>
      </c>
      <c r="E132" s="1" t="s">
        <v>2395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2401</v>
      </c>
      <c r="C133" s="1" t="s">
        <v>2383</v>
      </c>
      <c r="D133" s="1" t="s">
        <v>2384</v>
      </c>
      <c r="E133" s="10" t="s">
        <v>2385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2401</v>
      </c>
      <c r="C134" s="1" t="s">
        <v>2383</v>
      </c>
      <c r="D134" s="1" t="s">
        <v>2386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2401</v>
      </c>
      <c r="C135" s="1" t="s">
        <v>2383</v>
      </c>
      <c r="D135" s="1" t="s">
        <v>2387</v>
      </c>
      <c r="E135" s="1" t="s">
        <v>2397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2401</v>
      </c>
      <c r="C136" s="1" t="s">
        <v>2383</v>
      </c>
      <c r="D136" s="1" t="s">
        <v>2381</v>
      </c>
      <c r="E136" s="1" t="s">
        <v>2400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2401</v>
      </c>
      <c r="C137" s="1" t="s">
        <v>2383</v>
      </c>
      <c r="D137" s="1" t="s">
        <v>2388</v>
      </c>
      <c r="E137" s="1" t="s">
        <v>2398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2401</v>
      </c>
      <c r="C138" s="1" t="s">
        <v>2383</v>
      </c>
      <c r="D138" s="1" t="s">
        <v>2389</v>
      </c>
      <c r="E138" s="10" t="s">
        <v>2385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2401</v>
      </c>
      <c r="C139" s="1" t="s">
        <v>2396</v>
      </c>
      <c r="D139" s="1"/>
      <c r="E139" s="1" t="s">
        <v>2378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2401</v>
      </c>
      <c r="C140" s="1" t="s">
        <v>2394</v>
      </c>
      <c r="D140" s="1" t="s">
        <v>2390</v>
      </c>
      <c r="E140" s="1" t="s">
        <v>2395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2401</v>
      </c>
      <c r="C141" s="1" t="s">
        <v>2383</v>
      </c>
      <c r="D141" s="1" t="s">
        <v>2384</v>
      </c>
      <c r="E141" s="10" t="s">
        <v>2385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2401</v>
      </c>
      <c r="C142" s="1" t="s">
        <v>2383</v>
      </c>
      <c r="D142" s="1" t="s">
        <v>2386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2401</v>
      </c>
      <c r="C143" s="1" t="s">
        <v>2383</v>
      </c>
      <c r="D143" s="1" t="s">
        <v>2387</v>
      </c>
      <c r="E143" s="1" t="s">
        <v>2397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2401</v>
      </c>
      <c r="C144" s="1" t="s">
        <v>2383</v>
      </c>
      <c r="D144" s="1" t="s">
        <v>2381</v>
      </c>
      <c r="E144" s="1" t="s">
        <v>2400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2401</v>
      </c>
      <c r="C145" s="1" t="s">
        <v>2383</v>
      </c>
      <c r="D145" s="1" t="s">
        <v>2388</v>
      </c>
      <c r="E145" s="1" t="s">
        <v>2398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2401</v>
      </c>
      <c r="C146" s="1" t="s">
        <v>2383</v>
      </c>
      <c r="D146" s="1" t="s">
        <v>2389</v>
      </c>
      <c r="E146" s="10" t="s">
        <v>2385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2401</v>
      </c>
      <c r="C147" s="1" t="s">
        <v>2396</v>
      </c>
      <c r="D147" s="1"/>
      <c r="E147" s="1" t="s">
        <v>2378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2401</v>
      </c>
      <c r="C148" s="1" t="s">
        <v>2383</v>
      </c>
      <c r="D148" s="1" t="s">
        <v>2384</v>
      </c>
      <c r="E148" s="10" t="s">
        <v>2385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2401</v>
      </c>
      <c r="C149" s="1" t="s">
        <v>2383</v>
      </c>
      <c r="D149" s="1" t="s">
        <v>2386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2401</v>
      </c>
      <c r="C150" s="1" t="s">
        <v>2383</v>
      </c>
      <c r="D150" s="1" t="s">
        <v>2387</v>
      </c>
      <c r="E150" s="1" t="s">
        <v>2402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2401</v>
      </c>
      <c r="C151" s="1" t="s">
        <v>2383</v>
      </c>
      <c r="D151" s="1" t="s">
        <v>2381</v>
      </c>
      <c r="E151" s="1" t="s">
        <v>2403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2401</v>
      </c>
      <c r="C152" s="1" t="s">
        <v>2383</v>
      </c>
      <c r="D152" s="1" t="s">
        <v>2388</v>
      </c>
      <c r="E152" s="1" t="s">
        <v>2399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2401</v>
      </c>
      <c r="C153" s="1" t="s">
        <v>2383</v>
      </c>
      <c r="D153" s="1" t="s">
        <v>2389</v>
      </c>
      <c r="E153" s="10" t="s">
        <v>2385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2401</v>
      </c>
      <c r="C154" s="1" t="s">
        <v>2396</v>
      </c>
      <c r="D154" s="1"/>
      <c r="E154" s="1" t="s">
        <v>2378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2401</v>
      </c>
      <c r="C155" s="1" t="s">
        <v>2383</v>
      </c>
      <c r="D155" s="1" t="s">
        <v>2384</v>
      </c>
      <c r="E155" s="10" t="s">
        <v>2385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2401</v>
      </c>
      <c r="C156" s="1" t="s">
        <v>2383</v>
      </c>
      <c r="D156" s="1" t="s">
        <v>2386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2401</v>
      </c>
      <c r="C157" s="1" t="s">
        <v>2383</v>
      </c>
      <c r="D157" s="1" t="s">
        <v>2387</v>
      </c>
      <c r="E157" s="1" t="s">
        <v>2402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2401</v>
      </c>
      <c r="C158" s="1" t="s">
        <v>2383</v>
      </c>
      <c r="D158" s="1" t="s">
        <v>2381</v>
      </c>
      <c r="E158" s="1" t="s">
        <v>2403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2401</v>
      </c>
      <c r="C159" s="1" t="s">
        <v>2383</v>
      </c>
      <c r="D159" s="1" t="s">
        <v>2388</v>
      </c>
      <c r="E159" s="1" t="s">
        <v>2399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2401</v>
      </c>
      <c r="C160" s="1" t="s">
        <v>2383</v>
      </c>
      <c r="D160" s="1" t="s">
        <v>2389</v>
      </c>
      <c r="E160" s="10" t="s">
        <v>2385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2401</v>
      </c>
      <c r="C161" s="1" t="s">
        <v>2396</v>
      </c>
      <c r="D161" s="1"/>
      <c r="E161" s="1" t="s">
        <v>2378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2401</v>
      </c>
      <c r="C162" s="1" t="s">
        <v>2383</v>
      </c>
      <c r="D162" s="1" t="s">
        <v>2384</v>
      </c>
      <c r="E162" s="10" t="s">
        <v>2385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2401</v>
      </c>
      <c r="C163" s="1" t="s">
        <v>2383</v>
      </c>
      <c r="D163" s="1" t="s">
        <v>2386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2401</v>
      </c>
      <c r="C164" s="1" t="s">
        <v>2383</v>
      </c>
      <c r="D164" s="1" t="s">
        <v>2387</v>
      </c>
      <c r="E164" s="1" t="s">
        <v>2402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2401</v>
      </c>
      <c r="C165" s="1" t="s">
        <v>2383</v>
      </c>
      <c r="D165" s="1" t="s">
        <v>2381</v>
      </c>
      <c r="E165" s="1" t="s">
        <v>2403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2401</v>
      </c>
      <c r="C166" s="1" t="s">
        <v>2383</v>
      </c>
      <c r="D166" s="1" t="s">
        <v>2388</v>
      </c>
      <c r="E166" s="1" t="s">
        <v>2399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2401</v>
      </c>
      <c r="C167" s="1" t="s">
        <v>2383</v>
      </c>
      <c r="D167" s="1" t="s">
        <v>2389</v>
      </c>
      <c r="E167" s="10" t="s">
        <v>2385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2401</v>
      </c>
      <c r="C168" s="1" t="s">
        <v>2396</v>
      </c>
      <c r="D168" s="1"/>
      <c r="E168" s="1" t="s">
        <v>2378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2401</v>
      </c>
      <c r="C169" s="1" t="s">
        <v>2383</v>
      </c>
      <c r="D169" s="1" t="s">
        <v>2384</v>
      </c>
      <c r="E169" s="10" t="s">
        <v>2385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2401</v>
      </c>
      <c r="C170" s="1" t="s">
        <v>2383</v>
      </c>
      <c r="D170" s="1" t="s">
        <v>2386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2401</v>
      </c>
      <c r="C171" s="1" t="s">
        <v>2383</v>
      </c>
      <c r="D171" s="1" t="s">
        <v>2387</v>
      </c>
      <c r="E171" s="1" t="s">
        <v>2402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2401</v>
      </c>
      <c r="C172" s="1" t="s">
        <v>2383</v>
      </c>
      <c r="D172" s="1" t="s">
        <v>2381</v>
      </c>
      <c r="E172" s="1" t="s">
        <v>2403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2401</v>
      </c>
      <c r="C173" s="1" t="s">
        <v>2383</v>
      </c>
      <c r="D173" s="1" t="s">
        <v>2388</v>
      </c>
      <c r="E173" s="1" t="s">
        <v>2399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2401</v>
      </c>
      <c r="C174" s="1" t="s">
        <v>2383</v>
      </c>
      <c r="D174" s="1" t="s">
        <v>2389</v>
      </c>
      <c r="E174" s="10" t="s">
        <v>2385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2401</v>
      </c>
      <c r="C175" s="1" t="s">
        <v>2396</v>
      </c>
      <c r="D175" s="1"/>
      <c r="E175" s="1" t="s">
        <v>2378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2401</v>
      </c>
      <c r="C176" s="1" t="s">
        <v>2394</v>
      </c>
      <c r="D176" s="1" t="s">
        <v>2390</v>
      </c>
      <c r="E176" s="1" t="s">
        <v>2395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2401</v>
      </c>
      <c r="C177" s="1" t="s">
        <v>2383</v>
      </c>
      <c r="D177" s="1" t="s">
        <v>2384</v>
      </c>
      <c r="E177" s="10" t="s">
        <v>2385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2401</v>
      </c>
      <c r="C178" s="1" t="s">
        <v>2383</v>
      </c>
      <c r="D178" s="1" t="s">
        <v>2386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2401</v>
      </c>
      <c r="C179" s="1" t="s">
        <v>2383</v>
      </c>
      <c r="D179" s="1" t="s">
        <v>2387</v>
      </c>
      <c r="E179" s="1" t="s">
        <v>2397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2401</v>
      </c>
      <c r="C180" s="1" t="s">
        <v>2383</v>
      </c>
      <c r="D180" s="1" t="s">
        <v>2381</v>
      </c>
      <c r="E180" s="1" t="s">
        <v>2400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2401</v>
      </c>
      <c r="C181" s="1" t="s">
        <v>2383</v>
      </c>
      <c r="D181" s="1" t="s">
        <v>2388</v>
      </c>
      <c r="E181" s="1" t="s">
        <v>2398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2401</v>
      </c>
      <c r="C182" s="1" t="s">
        <v>2383</v>
      </c>
      <c r="D182" s="1" t="s">
        <v>2389</v>
      </c>
      <c r="E182" s="10" t="s">
        <v>2385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2401</v>
      </c>
      <c r="C183" s="1" t="s">
        <v>2396</v>
      </c>
      <c r="D183" s="1"/>
      <c r="E183" s="1" t="s">
        <v>2378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2401</v>
      </c>
      <c r="C184" s="1" t="s">
        <v>2383</v>
      </c>
      <c r="D184" s="1" t="s">
        <v>2384</v>
      </c>
      <c r="E184" s="10" t="s">
        <v>2385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2401</v>
      </c>
      <c r="C185" s="1" t="s">
        <v>2383</v>
      </c>
      <c r="D185" s="1" t="s">
        <v>2386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2401</v>
      </c>
      <c r="C186" s="1" t="s">
        <v>2383</v>
      </c>
      <c r="D186" s="1" t="s">
        <v>2387</v>
      </c>
      <c r="E186" s="1" t="s">
        <v>2402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2401</v>
      </c>
      <c r="C187" s="1" t="s">
        <v>2383</v>
      </c>
      <c r="D187" s="1" t="s">
        <v>2381</v>
      </c>
      <c r="E187" s="1" t="s">
        <v>2403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2401</v>
      </c>
      <c r="C188" s="1" t="s">
        <v>2383</v>
      </c>
      <c r="D188" s="1" t="s">
        <v>2388</v>
      </c>
      <c r="E188" s="1" t="s">
        <v>2399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2401</v>
      </c>
      <c r="C189" s="1" t="s">
        <v>2383</v>
      </c>
      <c r="D189" s="1" t="s">
        <v>2389</v>
      </c>
      <c r="E189" s="10" t="s">
        <v>2385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2401</v>
      </c>
      <c r="C190" s="1" t="s">
        <v>2396</v>
      </c>
      <c r="D190" s="1"/>
      <c r="E190" s="1" t="s">
        <v>2378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2401</v>
      </c>
      <c r="C191" s="1" t="s">
        <v>2383</v>
      </c>
      <c r="D191" s="1" t="s">
        <v>2384</v>
      </c>
      <c r="E191" s="10" t="s">
        <v>2385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2401</v>
      </c>
      <c r="C192" s="1" t="s">
        <v>2383</v>
      </c>
      <c r="D192" s="1" t="s">
        <v>2386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2401</v>
      </c>
      <c r="C193" s="1" t="s">
        <v>2383</v>
      </c>
      <c r="D193" s="1" t="s">
        <v>2387</v>
      </c>
      <c r="E193" s="1" t="s">
        <v>2402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2401</v>
      </c>
      <c r="C194" s="1" t="s">
        <v>2383</v>
      </c>
      <c r="D194" s="1" t="s">
        <v>2381</v>
      </c>
      <c r="E194" s="1" t="s">
        <v>2403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2401</v>
      </c>
      <c r="C195" s="1" t="s">
        <v>2383</v>
      </c>
      <c r="D195" s="1" t="s">
        <v>2388</v>
      </c>
      <c r="E195" s="1" t="s">
        <v>2399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2401</v>
      </c>
      <c r="C196" s="1" t="s">
        <v>2383</v>
      </c>
      <c r="D196" s="1" t="s">
        <v>2389</v>
      </c>
      <c r="E196" s="10" t="s">
        <v>2385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2401</v>
      </c>
      <c r="C197" s="1" t="s">
        <v>2396</v>
      </c>
      <c r="D197" s="1"/>
      <c r="E197" s="1" t="s">
        <v>2378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2401</v>
      </c>
      <c r="C198" s="1" t="s">
        <v>2383</v>
      </c>
      <c r="D198" s="1" t="s">
        <v>2384</v>
      </c>
      <c r="E198" s="10" t="s">
        <v>2385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2401</v>
      </c>
      <c r="C199" s="1" t="s">
        <v>2383</v>
      </c>
      <c r="D199" s="1" t="s">
        <v>2386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2401</v>
      </c>
      <c r="C200" s="1" t="s">
        <v>2383</v>
      </c>
      <c r="D200" s="1" t="s">
        <v>2387</v>
      </c>
      <c r="E200" s="1" t="s">
        <v>2402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2401</v>
      </c>
      <c r="C201" s="1" t="s">
        <v>2383</v>
      </c>
      <c r="D201" s="1" t="s">
        <v>2381</v>
      </c>
      <c r="E201" s="1" t="s">
        <v>2403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2401</v>
      </c>
      <c r="C202" s="1" t="s">
        <v>2383</v>
      </c>
      <c r="D202" s="1" t="s">
        <v>2388</v>
      </c>
      <c r="E202" s="1" t="s">
        <v>2399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2401</v>
      </c>
      <c r="C203" s="1" t="s">
        <v>2383</v>
      </c>
      <c r="D203" s="1" t="s">
        <v>2389</v>
      </c>
      <c r="E203" s="10" t="s">
        <v>2385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2401</v>
      </c>
      <c r="C204" s="1" t="s">
        <v>2396</v>
      </c>
      <c r="D204" s="1"/>
      <c r="E204" s="1" t="s">
        <v>2378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2401</v>
      </c>
      <c r="C205" s="1" t="s">
        <v>2383</v>
      </c>
      <c r="D205" s="1" t="s">
        <v>2384</v>
      </c>
      <c r="E205" s="10" t="s">
        <v>2385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2401</v>
      </c>
      <c r="C206" s="1" t="s">
        <v>2383</v>
      </c>
      <c r="D206" s="1" t="s">
        <v>2386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2401</v>
      </c>
      <c r="C207" s="1" t="s">
        <v>2383</v>
      </c>
      <c r="D207" s="1" t="s">
        <v>2387</v>
      </c>
      <c r="E207" s="1" t="s">
        <v>2402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2401</v>
      </c>
      <c r="C208" s="1" t="s">
        <v>2383</v>
      </c>
      <c r="D208" s="1" t="s">
        <v>2381</v>
      </c>
      <c r="E208" s="1" t="s">
        <v>2403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2401</v>
      </c>
      <c r="C209" s="1" t="s">
        <v>2383</v>
      </c>
      <c r="D209" s="1" t="s">
        <v>2388</v>
      </c>
      <c r="E209" s="1" t="s">
        <v>2399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2401</v>
      </c>
      <c r="C210" s="1" t="s">
        <v>2383</v>
      </c>
      <c r="D210" s="1" t="s">
        <v>2389</v>
      </c>
      <c r="E210" s="10" t="s">
        <v>2385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2401</v>
      </c>
      <c r="C211" s="1" t="s">
        <v>2396</v>
      </c>
      <c r="D211" s="1"/>
      <c r="E211" s="1" t="s">
        <v>2378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2401</v>
      </c>
      <c r="C212" s="1" t="s">
        <v>2383</v>
      </c>
      <c r="D212" s="1" t="s">
        <v>2384</v>
      </c>
      <c r="E212" s="10" t="s">
        <v>2385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2401</v>
      </c>
      <c r="C213" s="1" t="s">
        <v>2383</v>
      </c>
      <c r="D213" s="1" t="s">
        <v>2386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2401</v>
      </c>
      <c r="C214" s="1" t="s">
        <v>2383</v>
      </c>
      <c r="D214" s="1" t="s">
        <v>2387</v>
      </c>
      <c r="E214" s="1" t="s">
        <v>2402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2401</v>
      </c>
      <c r="C215" s="1" t="s">
        <v>2383</v>
      </c>
      <c r="D215" s="1" t="s">
        <v>2381</v>
      </c>
      <c r="E215" s="1" t="s">
        <v>2403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2401</v>
      </c>
      <c r="C216" s="1" t="s">
        <v>2383</v>
      </c>
      <c r="D216" s="1" t="s">
        <v>2388</v>
      </c>
      <c r="E216" s="1" t="s">
        <v>2399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2401</v>
      </c>
      <c r="C217" s="1" t="s">
        <v>2383</v>
      </c>
      <c r="D217" s="1" t="s">
        <v>2389</v>
      </c>
      <c r="E217" s="10" t="s">
        <v>2385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2401</v>
      </c>
      <c r="C218" s="1" t="s">
        <v>2396</v>
      </c>
      <c r="D218" s="1"/>
      <c r="E218" s="1" t="s">
        <v>2378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2401</v>
      </c>
      <c r="C219" s="1" t="s">
        <v>2394</v>
      </c>
      <c r="D219" s="1" t="s">
        <v>2390</v>
      </c>
      <c r="E219" s="1" t="s">
        <v>2395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2401</v>
      </c>
      <c r="C220" s="1" t="s">
        <v>2383</v>
      </c>
      <c r="D220" s="1" t="s">
        <v>2384</v>
      </c>
      <c r="E220" s="10" t="s">
        <v>2385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2401</v>
      </c>
      <c r="C221" s="1" t="s">
        <v>2383</v>
      </c>
      <c r="D221" s="1" t="s">
        <v>2386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2401</v>
      </c>
      <c r="C222" s="1" t="s">
        <v>2383</v>
      </c>
      <c r="D222" s="1" t="s">
        <v>2387</v>
      </c>
      <c r="E222" s="1" t="s">
        <v>2397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2401</v>
      </c>
      <c r="C223" s="1" t="s">
        <v>2383</v>
      </c>
      <c r="D223" s="1" t="s">
        <v>2381</v>
      </c>
      <c r="E223" s="1" t="s">
        <v>2400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2401</v>
      </c>
      <c r="C224" s="1" t="s">
        <v>2383</v>
      </c>
      <c r="D224" s="1" t="s">
        <v>2388</v>
      </c>
      <c r="E224" s="1" t="s">
        <v>2398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2401</v>
      </c>
      <c r="C225" s="1" t="s">
        <v>2383</v>
      </c>
      <c r="D225" s="1" t="s">
        <v>2389</v>
      </c>
      <c r="E225" s="10" t="s">
        <v>2385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2401</v>
      </c>
      <c r="C226" s="1" t="s">
        <v>2396</v>
      </c>
      <c r="D226" s="1"/>
      <c r="E226" s="1" t="s">
        <v>2378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2401</v>
      </c>
      <c r="C227" s="1" t="s">
        <v>2394</v>
      </c>
      <c r="D227" s="1" t="s">
        <v>2390</v>
      </c>
      <c r="E227" s="1" t="s">
        <v>2395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2401</v>
      </c>
      <c r="C228" s="1" t="s">
        <v>2383</v>
      </c>
      <c r="D228" s="1" t="s">
        <v>2384</v>
      </c>
      <c r="E228" s="10" t="s">
        <v>2385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2401</v>
      </c>
      <c r="C229" s="1" t="s">
        <v>2383</v>
      </c>
      <c r="D229" s="1" t="s">
        <v>2386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2401</v>
      </c>
      <c r="C230" s="1" t="s">
        <v>2383</v>
      </c>
      <c r="D230" s="1" t="s">
        <v>2387</v>
      </c>
      <c r="E230" s="1" t="s">
        <v>2406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2401</v>
      </c>
      <c r="C231" s="1" t="s">
        <v>2383</v>
      </c>
      <c r="D231" s="1" t="s">
        <v>2381</v>
      </c>
      <c r="E231" s="1" t="s">
        <v>2400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2401</v>
      </c>
      <c r="C232" s="1" t="s">
        <v>2383</v>
      </c>
      <c r="D232" s="1" t="s">
        <v>2388</v>
      </c>
      <c r="E232" s="1" t="s">
        <v>2398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2401</v>
      </c>
      <c r="C233" s="1" t="s">
        <v>2383</v>
      </c>
      <c r="D233" s="1" t="s">
        <v>2389</v>
      </c>
      <c r="E233" s="10" t="s">
        <v>2385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2401</v>
      </c>
      <c r="C234" s="1" t="s">
        <v>2396</v>
      </c>
      <c r="D234" s="1"/>
      <c r="E234" s="1" t="s">
        <v>2378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2401</v>
      </c>
      <c r="C235" s="1" t="s">
        <v>2394</v>
      </c>
      <c r="D235" s="1" t="s">
        <v>2390</v>
      </c>
      <c r="E235" s="1" t="s">
        <v>2395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2401</v>
      </c>
      <c r="C236" s="1" t="s">
        <v>2383</v>
      </c>
      <c r="D236" s="1" t="s">
        <v>2384</v>
      </c>
      <c r="E236" s="10" t="s">
        <v>2385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2401</v>
      </c>
      <c r="C237" s="1" t="s">
        <v>2383</v>
      </c>
      <c r="D237" s="1" t="s">
        <v>2386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2401</v>
      </c>
      <c r="C238" s="1" t="s">
        <v>2383</v>
      </c>
      <c r="D238" s="1" t="s">
        <v>2387</v>
      </c>
      <c r="E238" s="1" t="s">
        <v>2406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2401</v>
      </c>
      <c r="C239" s="1" t="s">
        <v>2383</v>
      </c>
      <c r="D239" s="1" t="s">
        <v>2381</v>
      </c>
      <c r="E239" s="1" t="s">
        <v>2400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2401</v>
      </c>
      <c r="C240" s="1" t="s">
        <v>2383</v>
      </c>
      <c r="D240" s="1" t="s">
        <v>2388</v>
      </c>
      <c r="E240" s="1" t="s">
        <v>2398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2401</v>
      </c>
      <c r="C241" s="1" t="s">
        <v>2383</v>
      </c>
      <c r="D241" s="1" t="s">
        <v>2389</v>
      </c>
      <c r="E241" s="10" t="s">
        <v>2385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2401</v>
      </c>
      <c r="C242" s="1" t="s">
        <v>2396</v>
      </c>
      <c r="D242" s="1"/>
      <c r="E242" s="1" t="s">
        <v>2378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2401</v>
      </c>
      <c r="C243" s="1" t="s">
        <v>2394</v>
      </c>
      <c r="D243" s="1" t="s">
        <v>2390</v>
      </c>
      <c r="E243" s="1" t="s">
        <v>2395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2401</v>
      </c>
      <c r="C244" s="1" t="s">
        <v>2383</v>
      </c>
      <c r="D244" s="1" t="s">
        <v>2384</v>
      </c>
      <c r="E244" s="10" t="s">
        <v>2385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2401</v>
      </c>
      <c r="C245" s="1" t="s">
        <v>2383</v>
      </c>
      <c r="D245" s="1" t="s">
        <v>2386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2401</v>
      </c>
      <c r="C246" s="1" t="s">
        <v>2383</v>
      </c>
      <c r="D246" s="1" t="s">
        <v>2387</v>
      </c>
      <c r="E246" s="1" t="s">
        <v>2397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2401</v>
      </c>
      <c r="C247" s="1" t="s">
        <v>2383</v>
      </c>
      <c r="D247" s="1" t="s">
        <v>2381</v>
      </c>
      <c r="E247" s="1" t="s">
        <v>2400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2401</v>
      </c>
      <c r="C248" s="1" t="s">
        <v>2383</v>
      </c>
      <c r="D248" s="1" t="s">
        <v>2388</v>
      </c>
      <c r="E248" s="1" t="s">
        <v>2398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2401</v>
      </c>
      <c r="C249" s="1" t="s">
        <v>2383</v>
      </c>
      <c r="D249" s="1" t="s">
        <v>2389</v>
      </c>
      <c r="E249" s="10" t="s">
        <v>2385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2401</v>
      </c>
      <c r="C250" s="1" t="s">
        <v>2396</v>
      </c>
      <c r="D250" s="1"/>
      <c r="E250" s="1" t="s">
        <v>2378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2401</v>
      </c>
      <c r="C251" s="1" t="s">
        <v>2394</v>
      </c>
      <c r="D251" s="1" t="s">
        <v>2390</v>
      </c>
      <c r="E251" s="1" t="s">
        <v>2395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2401</v>
      </c>
      <c r="C252" s="1" t="s">
        <v>2383</v>
      </c>
      <c r="D252" s="1" t="s">
        <v>2384</v>
      </c>
      <c r="E252" s="10" t="s">
        <v>2385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2401</v>
      </c>
      <c r="C253" s="1" t="s">
        <v>2383</v>
      </c>
      <c r="D253" s="1" t="s">
        <v>2386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2401</v>
      </c>
      <c r="C254" s="1" t="s">
        <v>2383</v>
      </c>
      <c r="D254" s="1" t="s">
        <v>2387</v>
      </c>
      <c r="E254" s="1" t="s">
        <v>2397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2401</v>
      </c>
      <c r="C255" s="1" t="s">
        <v>2383</v>
      </c>
      <c r="D255" s="1" t="s">
        <v>2381</v>
      </c>
      <c r="E255" s="1" t="s">
        <v>2400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2401</v>
      </c>
      <c r="C256" s="1" t="s">
        <v>2383</v>
      </c>
      <c r="D256" s="1" t="s">
        <v>2388</v>
      </c>
      <c r="E256" s="1" t="s">
        <v>2398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2401</v>
      </c>
      <c r="C257" s="1" t="s">
        <v>2383</v>
      </c>
      <c r="D257" s="1" t="s">
        <v>2389</v>
      </c>
      <c r="E257" s="10" t="s">
        <v>2385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2401</v>
      </c>
      <c r="C258" s="1" t="s">
        <v>2396</v>
      </c>
      <c r="D258" s="1"/>
      <c r="E258" s="1" t="s">
        <v>2378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2401</v>
      </c>
      <c r="C259" s="1" t="s">
        <v>2394</v>
      </c>
      <c r="D259" s="1" t="s">
        <v>2390</v>
      </c>
      <c r="E259" s="1" t="s">
        <v>2395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2401</v>
      </c>
      <c r="C260" s="1" t="s">
        <v>2383</v>
      </c>
      <c r="D260" s="1" t="s">
        <v>2384</v>
      </c>
      <c r="E260" s="10" t="s">
        <v>2385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2401</v>
      </c>
      <c r="C261" s="1" t="s">
        <v>2383</v>
      </c>
      <c r="D261" s="1" t="s">
        <v>2386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2401</v>
      </c>
      <c r="C262" s="1" t="s">
        <v>2383</v>
      </c>
      <c r="D262" s="1" t="s">
        <v>2387</v>
      </c>
      <c r="E262" s="1" t="s">
        <v>2397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2401</v>
      </c>
      <c r="C263" s="1" t="s">
        <v>2383</v>
      </c>
      <c r="D263" s="1" t="s">
        <v>2381</v>
      </c>
      <c r="E263" s="1" t="s">
        <v>2400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2401</v>
      </c>
      <c r="C264" s="1" t="s">
        <v>2383</v>
      </c>
      <c r="D264" s="1" t="s">
        <v>2388</v>
      </c>
      <c r="E264" s="1" t="s">
        <v>2398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2401</v>
      </c>
      <c r="C265" s="1" t="s">
        <v>2383</v>
      </c>
      <c r="D265" s="1" t="s">
        <v>2389</v>
      </c>
      <c r="E265" s="10" t="s">
        <v>2385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2401</v>
      </c>
      <c r="C266" s="1" t="s">
        <v>2396</v>
      </c>
      <c r="D266" s="1"/>
      <c r="E266" s="1" t="s">
        <v>2378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2401</v>
      </c>
      <c r="C267" s="1" t="s">
        <v>2394</v>
      </c>
      <c r="D267" s="1" t="s">
        <v>2390</v>
      </c>
      <c r="E267" s="1" t="s">
        <v>2395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2401</v>
      </c>
      <c r="C268" s="1" t="s">
        <v>2383</v>
      </c>
      <c r="D268" s="1" t="s">
        <v>2384</v>
      </c>
      <c r="E268" s="10" t="s">
        <v>2385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2401</v>
      </c>
      <c r="C269" s="1" t="s">
        <v>2383</v>
      </c>
      <c r="D269" s="1" t="s">
        <v>2386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2401</v>
      </c>
      <c r="C270" s="1" t="s">
        <v>2383</v>
      </c>
      <c r="D270" s="1" t="s">
        <v>2387</v>
      </c>
      <c r="E270" s="1" t="s">
        <v>2397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2401</v>
      </c>
      <c r="C271" s="1" t="s">
        <v>2383</v>
      </c>
      <c r="D271" s="1" t="s">
        <v>2381</v>
      </c>
      <c r="E271" s="1" t="s">
        <v>2400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2401</v>
      </c>
      <c r="C272" s="1" t="s">
        <v>2383</v>
      </c>
      <c r="D272" s="1" t="s">
        <v>2388</v>
      </c>
      <c r="E272" s="1" t="s">
        <v>2398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2401</v>
      </c>
      <c r="C273" s="1" t="s">
        <v>2383</v>
      </c>
      <c r="D273" s="1" t="s">
        <v>2389</v>
      </c>
      <c r="E273" s="10" t="s">
        <v>2385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2401</v>
      </c>
      <c r="C274" s="1" t="s">
        <v>2396</v>
      </c>
      <c r="D274" s="1"/>
      <c r="E274" s="1" t="s">
        <v>2378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2401</v>
      </c>
      <c r="C275" s="1" t="s">
        <v>2394</v>
      </c>
      <c r="D275" s="1" t="s">
        <v>2390</v>
      </c>
      <c r="E275" s="1" t="s">
        <v>2395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2401</v>
      </c>
      <c r="C276" s="1" t="s">
        <v>2383</v>
      </c>
      <c r="D276" s="1" t="s">
        <v>2384</v>
      </c>
      <c r="E276" s="10" t="s">
        <v>2385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2401</v>
      </c>
      <c r="C277" s="1" t="s">
        <v>2383</v>
      </c>
      <c r="D277" s="1" t="s">
        <v>2386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2401</v>
      </c>
      <c r="C278" s="1" t="s">
        <v>2383</v>
      </c>
      <c r="D278" s="1" t="s">
        <v>2387</v>
      </c>
      <c r="E278" s="1" t="s">
        <v>2397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2401</v>
      </c>
      <c r="C279" s="1" t="s">
        <v>2383</v>
      </c>
      <c r="D279" s="1" t="s">
        <v>2381</v>
      </c>
      <c r="E279" s="1" t="s">
        <v>2400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2401</v>
      </c>
      <c r="C280" s="1" t="s">
        <v>2383</v>
      </c>
      <c r="D280" s="1" t="s">
        <v>2388</v>
      </c>
      <c r="E280" s="1" t="s">
        <v>2398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2401</v>
      </c>
      <c r="C281" s="1" t="s">
        <v>2383</v>
      </c>
      <c r="D281" s="1" t="s">
        <v>2389</v>
      </c>
      <c r="E281" s="10" t="s">
        <v>2385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2401</v>
      </c>
      <c r="C282" s="1" t="s">
        <v>2396</v>
      </c>
      <c r="D282" s="1"/>
      <c r="E282" s="1" t="s">
        <v>2378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2401</v>
      </c>
      <c r="C283" s="1" t="s">
        <v>2394</v>
      </c>
      <c r="D283" s="1" t="s">
        <v>2390</v>
      </c>
      <c r="E283" s="1" t="s">
        <v>2395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2401</v>
      </c>
      <c r="C284" s="1" t="s">
        <v>2383</v>
      </c>
      <c r="D284" s="1" t="s">
        <v>2384</v>
      </c>
      <c r="E284" s="10" t="s">
        <v>2385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2401</v>
      </c>
      <c r="C285" s="1" t="s">
        <v>2383</v>
      </c>
      <c r="D285" s="1" t="s">
        <v>2386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2401</v>
      </c>
      <c r="C286" s="1" t="s">
        <v>2383</v>
      </c>
      <c r="D286" s="1" t="s">
        <v>2387</v>
      </c>
      <c r="E286" s="1" t="s">
        <v>2406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2401</v>
      </c>
      <c r="C287" s="1" t="s">
        <v>2383</v>
      </c>
      <c r="D287" s="1" t="s">
        <v>2381</v>
      </c>
      <c r="E287" s="1" t="s">
        <v>2400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2401</v>
      </c>
      <c r="C288" s="1" t="s">
        <v>2383</v>
      </c>
      <c r="D288" s="1" t="s">
        <v>2388</v>
      </c>
      <c r="E288" s="1" t="s">
        <v>2398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2401</v>
      </c>
      <c r="C289" s="1" t="s">
        <v>2383</v>
      </c>
      <c r="D289" s="1" t="s">
        <v>2389</v>
      </c>
      <c r="E289" s="10" t="s">
        <v>2385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2401</v>
      </c>
      <c r="C290" s="1" t="s">
        <v>2396</v>
      </c>
      <c r="D290" s="1"/>
      <c r="E290" s="1" t="s">
        <v>2378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2401</v>
      </c>
      <c r="C291" s="1" t="s">
        <v>2394</v>
      </c>
      <c r="D291" s="1" t="s">
        <v>2390</v>
      </c>
      <c r="E291" s="1" t="s">
        <v>2395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2401</v>
      </c>
      <c r="C292" s="1" t="s">
        <v>2383</v>
      </c>
      <c r="D292" s="1" t="s">
        <v>2384</v>
      </c>
      <c r="E292" s="10" t="s">
        <v>2385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2401</v>
      </c>
      <c r="C293" s="1" t="s">
        <v>2383</v>
      </c>
      <c r="D293" s="1" t="s">
        <v>2386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2401</v>
      </c>
      <c r="C294" s="1" t="s">
        <v>2383</v>
      </c>
      <c r="D294" s="1" t="s">
        <v>2387</v>
      </c>
      <c r="E294" s="1" t="s">
        <v>2406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2401</v>
      </c>
      <c r="C295" s="1" t="s">
        <v>2383</v>
      </c>
      <c r="D295" s="1" t="s">
        <v>2381</v>
      </c>
      <c r="E295" s="1" t="s">
        <v>2400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2401</v>
      </c>
      <c r="C296" s="1" t="s">
        <v>2383</v>
      </c>
      <c r="D296" s="1" t="s">
        <v>2388</v>
      </c>
      <c r="E296" s="1" t="s">
        <v>2398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2401</v>
      </c>
      <c r="C297" s="1" t="s">
        <v>2383</v>
      </c>
      <c r="D297" s="1" t="s">
        <v>2389</v>
      </c>
      <c r="E297" s="10" t="s">
        <v>2385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2401</v>
      </c>
      <c r="C298" s="1" t="s">
        <v>2396</v>
      </c>
      <c r="D298" s="1"/>
      <c r="E298" s="1" t="s">
        <v>2378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2401</v>
      </c>
      <c r="C299" s="1" t="s">
        <v>2383</v>
      </c>
      <c r="D299" s="1" t="s">
        <v>2384</v>
      </c>
      <c r="E299" s="10" t="s">
        <v>2385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2401</v>
      </c>
      <c r="C300" s="1" t="s">
        <v>2383</v>
      </c>
      <c r="D300" s="1" t="s">
        <v>2386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2401</v>
      </c>
      <c r="C301" s="1" t="s">
        <v>2383</v>
      </c>
      <c r="D301" s="1" t="s">
        <v>2387</v>
      </c>
      <c r="E301" s="1" t="s">
        <v>2402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2401</v>
      </c>
      <c r="C302" s="1" t="s">
        <v>2383</v>
      </c>
      <c r="D302" s="1" t="s">
        <v>2381</v>
      </c>
      <c r="E302" s="1" t="s">
        <v>2403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2401</v>
      </c>
      <c r="C303" s="1" t="s">
        <v>2383</v>
      </c>
      <c r="D303" s="1" t="s">
        <v>2388</v>
      </c>
      <c r="E303" s="1" t="s">
        <v>2399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2401</v>
      </c>
      <c r="C304" s="1" t="s">
        <v>2383</v>
      </c>
      <c r="D304" s="1" t="s">
        <v>2389</v>
      </c>
      <c r="E304" s="10" t="s">
        <v>2385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2401</v>
      </c>
      <c r="C305" s="1" t="s">
        <v>2396</v>
      </c>
      <c r="D305" s="1"/>
      <c r="E305" s="1" t="s">
        <v>2378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2407</v>
      </c>
      <c r="C306" s="1" t="s">
        <v>2394</v>
      </c>
      <c r="D306" s="1" t="s">
        <v>2390</v>
      </c>
      <c r="E306" s="1" t="s">
        <v>2395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2407</v>
      </c>
      <c r="C307" s="1" t="s">
        <v>2383</v>
      </c>
      <c r="D307" s="1" t="s">
        <v>2384</v>
      </c>
      <c r="E307" s="10" t="s">
        <v>2385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2407</v>
      </c>
      <c r="C308" s="1" t="s">
        <v>2383</v>
      </c>
      <c r="D308" s="1" t="s">
        <v>2386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2407</v>
      </c>
      <c r="C309" s="1" t="s">
        <v>2383</v>
      </c>
      <c r="D309" s="1" t="s">
        <v>2387</v>
      </c>
      <c r="E309" s="1" t="s">
        <v>2408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2407</v>
      </c>
      <c r="C310" s="1" t="s">
        <v>2383</v>
      </c>
      <c r="D310" s="1" t="s">
        <v>2381</v>
      </c>
      <c r="E310" s="1" t="s">
        <v>2409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2407</v>
      </c>
      <c r="C311" s="1" t="s">
        <v>2383</v>
      </c>
      <c r="D311" s="1" t="s">
        <v>2388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2407</v>
      </c>
      <c r="C312" s="1" t="s">
        <v>2383</v>
      </c>
      <c r="D312" s="1" t="s">
        <v>2389</v>
      </c>
      <c r="E312" s="10" t="s">
        <v>2385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2407</v>
      </c>
      <c r="C313" s="1" t="s">
        <v>2396</v>
      </c>
      <c r="D313" s="1"/>
      <c r="E313" s="1" t="s">
        <v>2378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2407</v>
      </c>
      <c r="C314" s="1" t="s">
        <v>2394</v>
      </c>
      <c r="D314" s="1" t="s">
        <v>2390</v>
      </c>
      <c r="E314" s="1" t="s">
        <v>2395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2407</v>
      </c>
      <c r="C315" s="1" t="s">
        <v>2383</v>
      </c>
      <c r="D315" s="1" t="s">
        <v>2384</v>
      </c>
      <c r="E315" s="10" t="s">
        <v>2385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2407</v>
      </c>
      <c r="C316" s="1" t="s">
        <v>2383</v>
      </c>
      <c r="D316" s="1" t="s">
        <v>2386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2407</v>
      </c>
      <c r="C317" s="1" t="s">
        <v>2383</v>
      </c>
      <c r="D317" s="1" t="s">
        <v>2387</v>
      </c>
      <c r="E317" s="1" t="s">
        <v>2408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2407</v>
      </c>
      <c r="C318" s="1" t="s">
        <v>2383</v>
      </c>
      <c r="D318" s="1" t="s">
        <v>2381</v>
      </c>
      <c r="E318" s="1" t="s">
        <v>2409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2407</v>
      </c>
      <c r="C319" s="1" t="s">
        <v>2383</v>
      </c>
      <c r="D319" s="1" t="s">
        <v>2388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2407</v>
      </c>
      <c r="C320" s="1" t="s">
        <v>2383</v>
      </c>
      <c r="D320" s="1" t="s">
        <v>2389</v>
      </c>
      <c r="E320" s="10" t="s">
        <v>2385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2407</v>
      </c>
      <c r="C321" s="1" t="s">
        <v>2396</v>
      </c>
      <c r="D321" s="1"/>
      <c r="E321" s="1" t="s">
        <v>2378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2407</v>
      </c>
      <c r="C322" s="1" t="s">
        <v>2394</v>
      </c>
      <c r="D322" s="1" t="s">
        <v>2390</v>
      </c>
      <c r="E322" s="1" t="s">
        <v>2395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2407</v>
      </c>
      <c r="C323" s="1" t="s">
        <v>2383</v>
      </c>
      <c r="D323" s="1" t="s">
        <v>2384</v>
      </c>
      <c r="E323" s="10" t="s">
        <v>2385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2407</v>
      </c>
      <c r="C324" s="1" t="s">
        <v>2383</v>
      </c>
      <c r="D324" s="1" t="s">
        <v>2386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2407</v>
      </c>
      <c r="C325" s="1" t="s">
        <v>2383</v>
      </c>
      <c r="D325" s="1" t="s">
        <v>2387</v>
      </c>
      <c r="E325" s="1" t="s">
        <v>2408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2407</v>
      </c>
      <c r="C326" s="1" t="s">
        <v>2383</v>
      </c>
      <c r="D326" s="1" t="s">
        <v>2381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2407</v>
      </c>
      <c r="C327" s="1" t="s">
        <v>2383</v>
      </c>
      <c r="D327" s="1" t="s">
        <v>2388</v>
      </c>
      <c r="E327" s="1" t="s">
        <v>2410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2407</v>
      </c>
      <c r="C328" s="1" t="s">
        <v>2383</v>
      </c>
      <c r="D328" s="1" t="s">
        <v>2389</v>
      </c>
      <c r="E328" s="10" t="s">
        <v>2385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2407</v>
      </c>
      <c r="C329" s="1" t="s">
        <v>2396</v>
      </c>
      <c r="D329" s="1"/>
      <c r="E329" s="1" t="s">
        <v>2378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2407</v>
      </c>
      <c r="C330" s="1" t="s">
        <v>2383</v>
      </c>
      <c r="D330" s="1" t="s">
        <v>2384</v>
      </c>
      <c r="E330" s="10" t="s">
        <v>2385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2407</v>
      </c>
      <c r="C331" s="1" t="s">
        <v>2383</v>
      </c>
      <c r="D331" s="1" t="s">
        <v>2386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2407</v>
      </c>
      <c r="C332" s="1" t="s">
        <v>2383</v>
      </c>
      <c r="D332" s="1" t="s">
        <v>2387</v>
      </c>
      <c r="E332" s="1" t="s">
        <v>2411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2407</v>
      </c>
      <c r="C333" s="1" t="s">
        <v>2383</v>
      </c>
      <c r="D333" s="1" t="s">
        <v>2381</v>
      </c>
      <c r="E333" s="1" t="s">
        <v>2412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2407</v>
      </c>
      <c r="C334" s="1" t="s">
        <v>2383</v>
      </c>
      <c r="D334" s="1" t="s">
        <v>2388</v>
      </c>
      <c r="E334" s="1" t="s">
        <v>2413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2407</v>
      </c>
      <c r="C335" s="1" t="s">
        <v>2383</v>
      </c>
      <c r="D335" s="1" t="s">
        <v>2389</v>
      </c>
      <c r="E335" s="10" t="s">
        <v>2385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2407</v>
      </c>
      <c r="C336" s="1" t="s">
        <v>2396</v>
      </c>
      <c r="D336" s="1"/>
      <c r="E336" s="1" t="s">
        <v>2378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2407</v>
      </c>
      <c r="C337" s="1" t="s">
        <v>2383</v>
      </c>
      <c r="D337" s="1" t="s">
        <v>2384</v>
      </c>
      <c r="E337" s="10" t="s">
        <v>2385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2407</v>
      </c>
      <c r="C338" s="1" t="s">
        <v>2383</v>
      </c>
      <c r="D338" s="1" t="s">
        <v>2386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2407</v>
      </c>
      <c r="C339" s="1" t="s">
        <v>2383</v>
      </c>
      <c r="D339" s="1" t="s">
        <v>2387</v>
      </c>
      <c r="E339" s="1" t="s">
        <v>2411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2407</v>
      </c>
      <c r="C340" s="1" t="s">
        <v>2383</v>
      </c>
      <c r="D340" s="1" t="s">
        <v>2381</v>
      </c>
      <c r="E340" s="1" t="s">
        <v>2412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2407</v>
      </c>
      <c r="C341" s="1" t="s">
        <v>2383</v>
      </c>
      <c r="D341" s="1" t="s">
        <v>2388</v>
      </c>
      <c r="E341" s="1" t="s">
        <v>2413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2407</v>
      </c>
      <c r="C342" s="1" t="s">
        <v>2383</v>
      </c>
      <c r="D342" s="1" t="s">
        <v>2389</v>
      </c>
      <c r="E342" s="10" t="s">
        <v>2385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2407</v>
      </c>
      <c r="C343" s="1" t="s">
        <v>2396</v>
      </c>
      <c r="D343" s="1"/>
      <c r="E343" s="1" t="s">
        <v>2378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2407</v>
      </c>
      <c r="C344" s="1" t="s">
        <v>2383</v>
      </c>
      <c r="D344" s="1" t="s">
        <v>2384</v>
      </c>
      <c r="E344" s="10" t="s">
        <v>2385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2407</v>
      </c>
      <c r="C345" s="1" t="s">
        <v>2383</v>
      </c>
      <c r="D345" s="1" t="s">
        <v>2386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2407</v>
      </c>
      <c r="C346" s="1" t="s">
        <v>2383</v>
      </c>
      <c r="D346" s="1" t="s">
        <v>2387</v>
      </c>
      <c r="E346" s="1" t="s">
        <v>2414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2407</v>
      </c>
      <c r="C347" s="1" t="s">
        <v>2383</v>
      </c>
      <c r="D347" s="1" t="s">
        <v>2381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2407</v>
      </c>
      <c r="C348" s="1" t="s">
        <v>2383</v>
      </c>
      <c r="D348" s="1" t="s">
        <v>2388</v>
      </c>
      <c r="E348" s="1" t="s">
        <v>2415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2407</v>
      </c>
      <c r="C349" s="1" t="s">
        <v>2383</v>
      </c>
      <c r="D349" s="1" t="s">
        <v>2389</v>
      </c>
      <c r="E349" s="10" t="s">
        <v>2385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2407</v>
      </c>
      <c r="C350" s="1" t="s">
        <v>2396</v>
      </c>
      <c r="D350" s="1"/>
      <c r="E350" s="1" t="s">
        <v>2378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2407</v>
      </c>
      <c r="C351" s="1" t="s">
        <v>2383</v>
      </c>
      <c r="D351" s="1" t="s">
        <v>2384</v>
      </c>
      <c r="E351" s="10" t="s">
        <v>2385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2407</v>
      </c>
      <c r="C352" s="1" t="s">
        <v>2383</v>
      </c>
      <c r="D352" s="1" t="s">
        <v>2386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2407</v>
      </c>
      <c r="C353" s="1" t="s">
        <v>2383</v>
      </c>
      <c r="D353" s="1" t="s">
        <v>2387</v>
      </c>
      <c r="E353" s="1" t="s">
        <v>2416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2407</v>
      </c>
      <c r="C354" s="1" t="s">
        <v>2383</v>
      </c>
      <c r="D354" s="1" t="s">
        <v>2381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2407</v>
      </c>
      <c r="C355" s="1" t="s">
        <v>2383</v>
      </c>
      <c r="D355" s="1" t="s">
        <v>2388</v>
      </c>
      <c r="E355" s="1" t="s">
        <v>2417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2407</v>
      </c>
      <c r="C356" s="1" t="s">
        <v>2383</v>
      </c>
      <c r="D356" s="1" t="s">
        <v>2389</v>
      </c>
      <c r="E356" s="10" t="s">
        <v>2385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2407</v>
      </c>
      <c r="C357" s="1" t="s">
        <v>2396</v>
      </c>
      <c r="D357" s="1"/>
      <c r="E357" s="1" t="s">
        <v>2378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2407</v>
      </c>
      <c r="C358" s="1" t="s">
        <v>2383</v>
      </c>
      <c r="D358" s="1" t="s">
        <v>2384</v>
      </c>
      <c r="E358" s="10" t="s">
        <v>2385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2407</v>
      </c>
      <c r="C359" s="1" t="s">
        <v>2383</v>
      </c>
      <c r="D359" s="1" t="s">
        <v>2386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2407</v>
      </c>
      <c r="C360" s="1" t="s">
        <v>2383</v>
      </c>
      <c r="D360" s="1" t="s">
        <v>2387</v>
      </c>
      <c r="E360" s="1" t="s">
        <v>2416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2407</v>
      </c>
      <c r="C361" s="1" t="s">
        <v>2383</v>
      </c>
      <c r="D361" s="1" t="s">
        <v>2381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2407</v>
      </c>
      <c r="C362" s="1" t="s">
        <v>2383</v>
      </c>
      <c r="D362" s="1" t="s">
        <v>2388</v>
      </c>
      <c r="E362" s="1" t="s">
        <v>2417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2407</v>
      </c>
      <c r="C363" s="1" t="s">
        <v>2383</v>
      </c>
      <c r="D363" s="1" t="s">
        <v>2389</v>
      </c>
      <c r="E363" s="10" t="s">
        <v>2385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2407</v>
      </c>
      <c r="C364" s="1" t="s">
        <v>2396</v>
      </c>
      <c r="D364" s="1"/>
      <c r="E364" s="1" t="s">
        <v>2378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2407</v>
      </c>
      <c r="C365" s="1" t="s">
        <v>2383</v>
      </c>
      <c r="D365" s="1" t="s">
        <v>2384</v>
      </c>
      <c r="E365" s="10" t="s">
        <v>2385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2407</v>
      </c>
      <c r="C366" s="1" t="s">
        <v>2383</v>
      </c>
      <c r="D366" s="1" t="s">
        <v>2386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2407</v>
      </c>
      <c r="C367" s="1" t="s">
        <v>2383</v>
      </c>
      <c r="D367" s="1" t="s">
        <v>2387</v>
      </c>
      <c r="E367" s="1" t="s">
        <v>2416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2407</v>
      </c>
      <c r="C368" s="1" t="s">
        <v>2383</v>
      </c>
      <c r="D368" s="1" t="s">
        <v>2381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2407</v>
      </c>
      <c r="C369" s="1" t="s">
        <v>2383</v>
      </c>
      <c r="D369" s="1" t="s">
        <v>2388</v>
      </c>
      <c r="E369" s="1" t="s">
        <v>2417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2407</v>
      </c>
      <c r="C370" s="1" t="s">
        <v>2383</v>
      </c>
      <c r="D370" s="1" t="s">
        <v>2389</v>
      </c>
      <c r="E370" s="10" t="s">
        <v>2385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2407</v>
      </c>
      <c r="C371" s="1" t="s">
        <v>2396</v>
      </c>
      <c r="D371" s="1"/>
      <c r="E371" s="1" t="s">
        <v>2378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2407</v>
      </c>
      <c r="C372" s="1" t="s">
        <v>2383</v>
      </c>
      <c r="D372" s="1" t="s">
        <v>2384</v>
      </c>
      <c r="E372" s="10" t="s">
        <v>2385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2407</v>
      </c>
      <c r="C373" s="1" t="s">
        <v>2383</v>
      </c>
      <c r="D373" s="1" t="s">
        <v>2386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2407</v>
      </c>
      <c r="C374" s="1" t="s">
        <v>2383</v>
      </c>
      <c r="D374" s="1" t="s">
        <v>2387</v>
      </c>
      <c r="E374" s="1" t="s">
        <v>2416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2407</v>
      </c>
      <c r="C375" s="1" t="s">
        <v>2383</v>
      </c>
      <c r="D375" s="1" t="s">
        <v>2381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2407</v>
      </c>
      <c r="C376" s="1" t="s">
        <v>2383</v>
      </c>
      <c r="D376" s="1" t="s">
        <v>2388</v>
      </c>
      <c r="E376" s="1" t="s">
        <v>2417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2407</v>
      </c>
      <c r="C377" s="1" t="s">
        <v>2383</v>
      </c>
      <c r="D377" s="1" t="s">
        <v>2389</v>
      </c>
      <c r="E377" s="10" t="s">
        <v>2385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2407</v>
      </c>
      <c r="C378" s="1" t="s">
        <v>2396</v>
      </c>
      <c r="D378" s="1"/>
      <c r="E378" s="1" t="s">
        <v>2378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2407</v>
      </c>
      <c r="C379" s="1" t="s">
        <v>2383</v>
      </c>
      <c r="D379" s="1" t="s">
        <v>2384</v>
      </c>
      <c r="E379" s="10" t="s">
        <v>2385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2407</v>
      </c>
      <c r="C380" s="1" t="s">
        <v>2383</v>
      </c>
      <c r="D380" s="1" t="s">
        <v>2386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2407</v>
      </c>
      <c r="C381" s="1" t="s">
        <v>2383</v>
      </c>
      <c r="D381" s="1" t="s">
        <v>2387</v>
      </c>
      <c r="E381" s="1" t="s">
        <v>2416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2407</v>
      </c>
      <c r="C382" s="1" t="s">
        <v>2383</v>
      </c>
      <c r="D382" s="1" t="s">
        <v>2381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2407</v>
      </c>
      <c r="C383" s="1" t="s">
        <v>2383</v>
      </c>
      <c r="D383" s="1" t="s">
        <v>2388</v>
      </c>
      <c r="E383" s="1" t="s">
        <v>2417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2407</v>
      </c>
      <c r="C384" s="1" t="s">
        <v>2383</v>
      </c>
      <c r="D384" s="1" t="s">
        <v>2389</v>
      </c>
      <c r="E384" s="10" t="s">
        <v>2385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2407</v>
      </c>
      <c r="C385" s="1" t="s">
        <v>2396</v>
      </c>
      <c r="D385" s="1"/>
      <c r="E385" s="1" t="s">
        <v>2378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2407</v>
      </c>
      <c r="C386" s="1" t="s">
        <v>2383</v>
      </c>
      <c r="D386" s="1" t="s">
        <v>2384</v>
      </c>
      <c r="E386" s="10" t="s">
        <v>2385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2407</v>
      </c>
      <c r="C387" s="1" t="s">
        <v>2383</v>
      </c>
      <c r="D387" s="1" t="s">
        <v>2386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2407</v>
      </c>
      <c r="C388" s="1" t="s">
        <v>2383</v>
      </c>
      <c r="D388" s="1" t="s">
        <v>2387</v>
      </c>
      <c r="E388" s="1" t="s">
        <v>2416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2407</v>
      </c>
      <c r="C389" s="1" t="s">
        <v>2383</v>
      </c>
      <c r="D389" s="1" t="s">
        <v>2381</v>
      </c>
      <c r="E389" s="1" t="s">
        <v>2418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2407</v>
      </c>
      <c r="C390" s="1" t="s">
        <v>2383</v>
      </c>
      <c r="D390" s="1" t="s">
        <v>2388</v>
      </c>
      <c r="E390" s="1" t="s">
        <v>2419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2407</v>
      </c>
      <c r="C391" s="1" t="s">
        <v>2383</v>
      </c>
      <c r="D391" s="1" t="s">
        <v>2389</v>
      </c>
      <c r="E391" s="10" t="s">
        <v>2385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2407</v>
      </c>
      <c r="C392" s="1" t="s">
        <v>2396</v>
      </c>
      <c r="D392" s="1"/>
      <c r="E392" s="1" t="s">
        <v>2378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2407</v>
      </c>
      <c r="C393" s="1" t="s">
        <v>2383</v>
      </c>
      <c r="D393" s="1" t="s">
        <v>2384</v>
      </c>
      <c r="E393" s="10" t="s">
        <v>2385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2407</v>
      </c>
      <c r="C394" s="1" t="s">
        <v>2383</v>
      </c>
      <c r="D394" s="1" t="s">
        <v>2386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2407</v>
      </c>
      <c r="C395" s="1" t="s">
        <v>2383</v>
      </c>
      <c r="D395" s="1" t="s">
        <v>2387</v>
      </c>
      <c r="E395" s="1" t="s">
        <v>2416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2407</v>
      </c>
      <c r="C396" s="1" t="s">
        <v>2383</v>
      </c>
      <c r="D396" s="1" t="s">
        <v>2381</v>
      </c>
      <c r="E396" s="1" t="s">
        <v>2418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2407</v>
      </c>
      <c r="C397" s="1" t="s">
        <v>2383</v>
      </c>
      <c r="D397" s="1" t="s">
        <v>2388</v>
      </c>
      <c r="E397" s="1" t="s">
        <v>2419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2407</v>
      </c>
      <c r="C398" s="1" t="s">
        <v>2383</v>
      </c>
      <c r="D398" s="1" t="s">
        <v>2389</v>
      </c>
      <c r="E398" s="10" t="s">
        <v>2385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2407</v>
      </c>
      <c r="C399" s="1" t="s">
        <v>2396</v>
      </c>
      <c r="D399" s="1"/>
      <c r="E399" s="1" t="s">
        <v>2378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2407</v>
      </c>
      <c r="C400" s="1" t="s">
        <v>2383</v>
      </c>
      <c r="D400" s="1" t="s">
        <v>2384</v>
      </c>
      <c r="E400" s="10" t="s">
        <v>2385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2407</v>
      </c>
      <c r="C401" s="1" t="s">
        <v>2383</v>
      </c>
      <c r="D401" s="1" t="s">
        <v>2386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2407</v>
      </c>
      <c r="C402" s="1" t="s">
        <v>2383</v>
      </c>
      <c r="D402" s="1" t="s">
        <v>2387</v>
      </c>
      <c r="E402" s="1" t="s">
        <v>2420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2407</v>
      </c>
      <c r="C403" s="1" t="s">
        <v>2383</v>
      </c>
      <c r="D403" s="1" t="s">
        <v>2381</v>
      </c>
      <c r="E403" s="1" t="s">
        <v>2421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2407</v>
      </c>
      <c r="C404" s="1" t="s">
        <v>2383</v>
      </c>
      <c r="D404" s="1" t="s">
        <v>2388</v>
      </c>
      <c r="E404" s="1" t="s">
        <v>2419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2407</v>
      </c>
      <c r="C405" s="1" t="s">
        <v>2383</v>
      </c>
      <c r="D405" s="1" t="s">
        <v>2389</v>
      </c>
      <c r="E405" s="10" t="s">
        <v>2385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2407</v>
      </c>
      <c r="C406" s="1" t="s">
        <v>2396</v>
      </c>
      <c r="D406" s="1"/>
      <c r="E406" s="1" t="s">
        <v>2378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2407</v>
      </c>
      <c r="C407" s="1" t="s">
        <v>2422</v>
      </c>
      <c r="D407" s="1" t="s">
        <v>2382</v>
      </c>
      <c r="E407" s="1" t="s">
        <v>2379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2407</v>
      </c>
      <c r="C408" s="1" t="s">
        <v>2422</v>
      </c>
      <c r="D408" s="1" t="s">
        <v>2382</v>
      </c>
      <c r="E408" s="1" t="s">
        <v>2379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2407</v>
      </c>
      <c r="C409" s="1" t="s">
        <v>2423</v>
      </c>
      <c r="D409" s="1" t="s">
        <v>2382</v>
      </c>
      <c r="E409" s="1" t="s">
        <v>2379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2407</v>
      </c>
      <c r="C410" s="1" t="s">
        <v>2423</v>
      </c>
      <c r="D410" s="1" t="s">
        <v>2382</v>
      </c>
      <c r="E410" s="1" t="s">
        <v>2379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2407</v>
      </c>
      <c r="C411" s="1" t="s">
        <v>2422</v>
      </c>
      <c r="D411" s="1" t="s">
        <v>2382</v>
      </c>
      <c r="E411" s="1" t="s">
        <v>2424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2407</v>
      </c>
      <c r="C412" s="1" t="s">
        <v>2425</v>
      </c>
      <c r="D412" s="1" t="s">
        <v>2390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2407</v>
      </c>
      <c r="C413" s="1" t="s">
        <v>2383</v>
      </c>
      <c r="D413" s="1" t="s">
        <v>2384</v>
      </c>
      <c r="E413" s="10" t="s">
        <v>2385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2407</v>
      </c>
      <c r="C414" s="1" t="s">
        <v>2383</v>
      </c>
      <c r="D414" s="1" t="s">
        <v>2386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2407</v>
      </c>
      <c r="C415" s="1" t="s">
        <v>2383</v>
      </c>
      <c r="D415" s="1" t="s">
        <v>2387</v>
      </c>
      <c r="E415" s="1" t="s">
        <v>2426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2407</v>
      </c>
      <c r="C416" s="1" t="s">
        <v>2383</v>
      </c>
      <c r="D416" s="1" t="s">
        <v>2381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2407</v>
      </c>
      <c r="C417" s="1" t="s">
        <v>2383</v>
      </c>
      <c r="D417" s="1" t="s">
        <v>2388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2407</v>
      </c>
      <c r="C418" s="1" t="s">
        <v>2383</v>
      </c>
      <c r="D418" s="1" t="s">
        <v>2389</v>
      </c>
      <c r="E418" s="10" t="s">
        <v>2385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2407</v>
      </c>
      <c r="C419" s="1" t="s">
        <v>2423</v>
      </c>
      <c r="D419" s="1" t="s">
        <v>2382</v>
      </c>
      <c r="E419" s="1" t="s">
        <v>2378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2407</v>
      </c>
      <c r="C420" s="1" t="s">
        <v>2428</v>
      </c>
      <c r="D420" s="1" t="s">
        <v>2429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2407</v>
      </c>
      <c r="C421" s="1" t="s">
        <v>2428</v>
      </c>
      <c r="D421" s="1" t="s">
        <v>2429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2407</v>
      </c>
      <c r="C422" s="1" t="s">
        <v>2428</v>
      </c>
      <c r="D422" s="1" t="s">
        <v>2429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2407</v>
      </c>
      <c r="C423" s="1" t="s">
        <v>2428</v>
      </c>
      <c r="D423" s="1" t="s">
        <v>2429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2407</v>
      </c>
      <c r="C424" s="1" t="s">
        <v>2428</v>
      </c>
      <c r="D424" s="1" t="s">
        <v>2429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2407</v>
      </c>
      <c r="C425" s="1" t="s">
        <v>2428</v>
      </c>
      <c r="D425" s="1" t="s">
        <v>2429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2407</v>
      </c>
      <c r="C426" s="1" t="s">
        <v>2428</v>
      </c>
      <c r="D426" s="1" t="s">
        <v>2429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2407</v>
      </c>
      <c r="C427" s="1" t="s">
        <v>2428</v>
      </c>
      <c r="D427" s="1" t="s">
        <v>2429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2407</v>
      </c>
      <c r="C428" s="1" t="s">
        <v>2428</v>
      </c>
      <c r="D428" s="1" t="s">
        <v>2429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2407</v>
      </c>
      <c r="C429" s="1" t="s">
        <v>2428</v>
      </c>
      <c r="D429" s="1" t="s">
        <v>2429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2407</v>
      </c>
      <c r="C430" s="1" t="s">
        <v>2428</v>
      </c>
      <c r="D430" s="1" t="s">
        <v>2429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2407</v>
      </c>
      <c r="C431" s="1" t="s">
        <v>2428</v>
      </c>
      <c r="D431" s="1" t="s">
        <v>2429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2407</v>
      </c>
      <c r="C432" s="1" t="s">
        <v>2428</v>
      </c>
      <c r="D432" s="1" t="s">
        <v>2429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2407</v>
      </c>
      <c r="C433" s="1" t="s">
        <v>2428</v>
      </c>
      <c r="D433" s="1" t="s">
        <v>2429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2407</v>
      </c>
      <c r="C434" s="1" t="s">
        <v>2428</v>
      </c>
      <c r="D434" s="1" t="s">
        <v>2429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2407</v>
      </c>
      <c r="C435" s="1" t="s">
        <v>2428</v>
      </c>
      <c r="D435" s="1" t="s">
        <v>2429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2407</v>
      </c>
      <c r="C436" s="1" t="s">
        <v>2428</v>
      </c>
      <c r="D436" s="1" t="s">
        <v>2429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2407</v>
      </c>
      <c r="C437" s="1" t="s">
        <v>2428</v>
      </c>
      <c r="D437" s="1" t="s">
        <v>2429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2407</v>
      </c>
      <c r="C438" s="1" t="s">
        <v>2428</v>
      </c>
      <c r="D438" s="1" t="s">
        <v>2429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2407</v>
      </c>
      <c r="C439" s="1" t="s">
        <v>2428</v>
      </c>
      <c r="D439" s="1" t="s">
        <v>2429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2407</v>
      </c>
      <c r="C440" s="1" t="s">
        <v>2428</v>
      </c>
      <c r="D440" s="1" t="s">
        <v>2429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2407</v>
      </c>
      <c r="C441" s="1" t="s">
        <v>2427</v>
      </c>
      <c r="D441" s="1"/>
      <c r="E441" s="1" t="s">
        <v>2378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2407</v>
      </c>
      <c r="C442" s="1" t="s">
        <v>2430</v>
      </c>
      <c r="D442" s="1" t="s">
        <v>2431</v>
      </c>
      <c r="E442" s="1" t="s">
        <v>2378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2407</v>
      </c>
      <c r="C443" s="1" t="s">
        <v>2432</v>
      </c>
      <c r="D443" s="1" t="s">
        <v>2433</v>
      </c>
      <c r="E443" s="1" t="s">
        <v>2378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2407</v>
      </c>
      <c r="C444" s="1" t="s">
        <v>2432</v>
      </c>
      <c r="D444" s="1"/>
      <c r="E444" s="1" t="s">
        <v>2378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2407</v>
      </c>
      <c r="C445" s="1" t="s">
        <v>2432</v>
      </c>
      <c r="D445" s="1"/>
      <c r="E445" s="1" t="s">
        <v>2378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2407</v>
      </c>
      <c r="C446" s="1" t="s">
        <v>2432</v>
      </c>
      <c r="D446" s="1"/>
      <c r="E446" s="1" t="s">
        <v>2378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2407</v>
      </c>
      <c r="C447" s="1" t="s">
        <v>2432</v>
      </c>
      <c r="D447" s="1"/>
      <c r="E447" s="1" t="s">
        <v>2378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2407</v>
      </c>
      <c r="C448" s="1" t="s">
        <v>2432</v>
      </c>
      <c r="D448" s="1"/>
      <c r="E448" s="1" t="s">
        <v>2378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2407</v>
      </c>
      <c r="C449" s="1" t="s">
        <v>2432</v>
      </c>
      <c r="D449" s="1"/>
      <c r="E449" s="1" t="s">
        <v>2378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2407</v>
      </c>
      <c r="C450" s="1" t="s">
        <v>2432</v>
      </c>
      <c r="D450" s="1"/>
      <c r="E450" s="1" t="s">
        <v>2378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2407</v>
      </c>
      <c r="C451" s="1" t="s">
        <v>2432</v>
      </c>
      <c r="D451" s="1"/>
      <c r="E451" s="1" t="s">
        <v>2378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2407</v>
      </c>
      <c r="C452" s="1" t="s">
        <v>2432</v>
      </c>
      <c r="D452" s="1"/>
      <c r="E452" s="1" t="s">
        <v>2378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2407</v>
      </c>
      <c r="C453" s="1" t="s">
        <v>2432</v>
      </c>
      <c r="D453" s="1"/>
      <c r="E453" s="1" t="s">
        <v>2378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2407</v>
      </c>
      <c r="C454" s="1" t="s">
        <v>2432</v>
      </c>
      <c r="D454" s="1"/>
      <c r="E454" s="1" t="s">
        <v>2378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2407</v>
      </c>
      <c r="C455" s="1" t="s">
        <v>2432</v>
      </c>
      <c r="D455" s="1"/>
      <c r="E455" s="1" t="s">
        <v>2378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2407</v>
      </c>
      <c r="C456" s="1" t="s">
        <v>2432</v>
      </c>
      <c r="D456" s="1"/>
      <c r="E456" s="1" t="s">
        <v>2378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2407</v>
      </c>
      <c r="C457" s="1" t="s">
        <v>2432</v>
      </c>
      <c r="D457" s="1"/>
      <c r="E457" s="1" t="s">
        <v>2378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2407</v>
      </c>
      <c r="C458" s="1" t="s">
        <v>2432</v>
      </c>
      <c r="D458" s="1"/>
      <c r="E458" s="1" t="s">
        <v>2378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2407</v>
      </c>
      <c r="C459" s="1" t="s">
        <v>2432</v>
      </c>
      <c r="D459" s="1"/>
      <c r="E459" s="1" t="s">
        <v>2378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2407</v>
      </c>
      <c r="C460" s="1" t="s">
        <v>2432</v>
      </c>
      <c r="D460" s="1"/>
      <c r="E460" s="1" t="s">
        <v>2378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2407</v>
      </c>
      <c r="C461" s="1" t="s">
        <v>2432</v>
      </c>
      <c r="D461" s="1"/>
      <c r="E461" s="1" t="s">
        <v>2378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2407</v>
      </c>
      <c r="C462" s="1" t="s">
        <v>2432</v>
      </c>
      <c r="D462" s="1"/>
      <c r="E462" s="1" t="s">
        <v>2378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2407</v>
      </c>
      <c r="C463" s="1" t="s">
        <v>2432</v>
      </c>
      <c r="D463" s="1" t="s">
        <v>2431</v>
      </c>
      <c r="E463" s="1" t="s">
        <v>2380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2407</v>
      </c>
      <c r="C464" s="1" t="s">
        <v>2430</v>
      </c>
      <c r="D464" s="1" t="s">
        <v>2431</v>
      </c>
      <c r="E464" s="1" t="s">
        <v>2378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2407</v>
      </c>
      <c r="C465" s="1" t="s">
        <v>2434</v>
      </c>
      <c r="D465" s="1"/>
      <c r="E465" s="1" t="s">
        <v>2378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2407</v>
      </c>
      <c r="C466" s="1" t="s">
        <v>2434</v>
      </c>
      <c r="D466" s="1"/>
      <c r="E466" s="1" t="s">
        <v>2378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2407</v>
      </c>
      <c r="C467" s="1" t="s">
        <v>2434</v>
      </c>
      <c r="D467" s="1"/>
      <c r="E467" s="1" t="s">
        <v>2378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2407</v>
      </c>
      <c r="C468" s="1" t="s">
        <v>2434</v>
      </c>
      <c r="D468" s="1"/>
      <c r="E468" s="1" t="s">
        <v>2378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2407</v>
      </c>
      <c r="C469" s="1" t="s">
        <v>2428</v>
      </c>
      <c r="D469" s="1" t="s">
        <v>2429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2407</v>
      </c>
      <c r="C470" s="1" t="s">
        <v>2427</v>
      </c>
      <c r="D470" s="1"/>
      <c r="E470" s="1" t="s">
        <v>2378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2407</v>
      </c>
      <c r="C471" s="1" t="s">
        <v>2434</v>
      </c>
      <c r="D471" s="1"/>
      <c r="E471" s="1" t="s">
        <v>2378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2407</v>
      </c>
      <c r="C472" s="1" t="s">
        <v>2434</v>
      </c>
      <c r="D472" s="1"/>
      <c r="E472" s="1" t="s">
        <v>2378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2407</v>
      </c>
      <c r="C473" s="1" t="s">
        <v>2434</v>
      </c>
      <c r="D473" s="1"/>
      <c r="E473" s="1" t="s">
        <v>2378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2407</v>
      </c>
      <c r="C474" s="1" t="s">
        <v>2434</v>
      </c>
      <c r="D474" s="1"/>
      <c r="E474" s="1" t="s">
        <v>2378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2407</v>
      </c>
      <c r="C475" s="1" t="s">
        <v>2434</v>
      </c>
      <c r="D475" s="1"/>
      <c r="E475" s="1" t="s">
        <v>2378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2407</v>
      </c>
      <c r="C476" s="1" t="s">
        <v>2434</v>
      </c>
      <c r="D476" s="1"/>
      <c r="E476" s="1" t="s">
        <v>2378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2407</v>
      </c>
      <c r="C477" s="1" t="s">
        <v>2430</v>
      </c>
      <c r="D477" s="1" t="s">
        <v>2431</v>
      </c>
      <c r="E477" s="1" t="s">
        <v>2378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2407</v>
      </c>
      <c r="C478" s="1" t="s">
        <v>2430</v>
      </c>
      <c r="D478" s="1"/>
      <c r="E478" s="1" t="s">
        <v>2378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2407</v>
      </c>
      <c r="C479" s="1" t="s">
        <v>2430</v>
      </c>
      <c r="D479" s="1"/>
      <c r="E479" s="1" t="s">
        <v>2378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2407</v>
      </c>
      <c r="C480" s="1" t="s">
        <v>2430</v>
      </c>
      <c r="D480" s="1"/>
      <c r="E480" s="1" t="s">
        <v>2378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2407</v>
      </c>
      <c r="C481" s="1" t="s">
        <v>2430</v>
      </c>
      <c r="D481" s="1"/>
      <c r="E481" s="1" t="s">
        <v>2378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2407</v>
      </c>
      <c r="C482" s="1" t="s">
        <v>2430</v>
      </c>
      <c r="D482" s="1" t="s">
        <v>2435</v>
      </c>
      <c r="E482" s="1" t="s">
        <v>2380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2407</v>
      </c>
      <c r="C483" s="1" t="s">
        <v>2430</v>
      </c>
      <c r="D483" s="1"/>
      <c r="E483" s="1" t="s">
        <v>2378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2407</v>
      </c>
      <c r="C484" s="1" t="s">
        <v>2430</v>
      </c>
      <c r="D484" s="1"/>
      <c r="E484" s="1" t="s">
        <v>2378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2407</v>
      </c>
      <c r="C485" s="1" t="s">
        <v>2430</v>
      </c>
      <c r="D485" s="1"/>
      <c r="E485" s="1" t="s">
        <v>2378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2407</v>
      </c>
      <c r="C486" s="1" t="s">
        <v>2430</v>
      </c>
      <c r="D486" s="1"/>
      <c r="E486" s="1" t="s">
        <v>2378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2407</v>
      </c>
      <c r="C487" s="1" t="s">
        <v>2430</v>
      </c>
      <c r="D487" s="1"/>
      <c r="E487" s="1" t="s">
        <v>2378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2407</v>
      </c>
      <c r="C488" s="1" t="s">
        <v>2430</v>
      </c>
      <c r="D488" s="1"/>
      <c r="E488" s="1" t="s">
        <v>2378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2407</v>
      </c>
      <c r="C489" s="1" t="s">
        <v>2430</v>
      </c>
      <c r="D489" s="1"/>
      <c r="E489" s="1" t="s">
        <v>2378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2407</v>
      </c>
      <c r="C490" s="1" t="s">
        <v>2430</v>
      </c>
      <c r="D490" s="1"/>
      <c r="E490" s="1" t="s">
        <v>2378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2407</v>
      </c>
      <c r="C491" s="1" t="s">
        <v>2430</v>
      </c>
      <c r="D491" s="1"/>
      <c r="E491" s="1" t="s">
        <v>2378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2407</v>
      </c>
      <c r="C492" s="1" t="s">
        <v>2430</v>
      </c>
      <c r="D492" s="1"/>
      <c r="E492" s="1" t="s">
        <v>2378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2407</v>
      </c>
      <c r="C493" s="1" t="s">
        <v>2430</v>
      </c>
      <c r="D493" s="1"/>
      <c r="E493" s="1" t="s">
        <v>2378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2407</v>
      </c>
      <c r="C494" s="1" t="s">
        <v>2430</v>
      </c>
      <c r="D494" s="1"/>
      <c r="E494" s="1" t="s">
        <v>2378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2407</v>
      </c>
      <c r="C495" s="1" t="s">
        <v>2430</v>
      </c>
      <c r="D495" s="1"/>
      <c r="E495" s="1" t="s">
        <v>2378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2407</v>
      </c>
      <c r="C496" s="1" t="s">
        <v>2430</v>
      </c>
      <c r="D496" s="1"/>
      <c r="E496" s="1" t="s">
        <v>2378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2407</v>
      </c>
      <c r="C497" s="1" t="s">
        <v>2430</v>
      </c>
      <c r="D497" s="1"/>
      <c r="E497" s="1" t="s">
        <v>2378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2407</v>
      </c>
      <c r="C498" s="1" t="s">
        <v>2430</v>
      </c>
      <c r="D498" s="1"/>
      <c r="E498" s="1" t="s">
        <v>2378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2407</v>
      </c>
      <c r="C499" s="1" t="s">
        <v>2436</v>
      </c>
      <c r="D499" s="1"/>
      <c r="E499" s="1" t="s">
        <v>2437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2407</v>
      </c>
      <c r="C500" s="1" t="s">
        <v>2438</v>
      </c>
      <c r="D500" s="1"/>
      <c r="E500" s="1" t="s">
        <v>2437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2407</v>
      </c>
      <c r="C501" s="1" t="s">
        <v>2439</v>
      </c>
      <c r="D501" s="1"/>
      <c r="E501" s="1" t="s">
        <v>2437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2407</v>
      </c>
      <c r="C502" s="1" t="s">
        <v>2440</v>
      </c>
      <c r="D502" s="1"/>
      <c r="E502" s="1" t="s">
        <v>2437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2407</v>
      </c>
      <c r="C503" s="1" t="s">
        <v>2430</v>
      </c>
      <c r="D503" s="1"/>
      <c r="E503" s="1" t="s">
        <v>2378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2407</v>
      </c>
      <c r="C504" s="1" t="s">
        <v>2430</v>
      </c>
      <c r="D504" s="1"/>
      <c r="E504" s="1" t="s">
        <v>2378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2401</v>
      </c>
      <c r="C505" s="1" t="s">
        <v>2428</v>
      </c>
      <c r="D505" s="1" t="s">
        <v>2429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2401</v>
      </c>
      <c r="C506" s="1" t="s">
        <v>2434</v>
      </c>
      <c r="D506" s="1"/>
      <c r="E506" s="1" t="s">
        <v>2378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2401</v>
      </c>
      <c r="C507" s="1" t="s">
        <v>2430</v>
      </c>
      <c r="D507" s="1" t="s">
        <v>2431</v>
      </c>
      <c r="E507" s="1" t="s">
        <v>2378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2401</v>
      </c>
      <c r="C508" s="1" t="s">
        <v>2430</v>
      </c>
      <c r="D508" s="1"/>
      <c r="E508" s="1" t="s">
        <v>2378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2401</v>
      </c>
      <c r="C509" s="1" t="s">
        <v>2430</v>
      </c>
      <c r="D509" s="1"/>
      <c r="E509" s="1" t="s">
        <v>2378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2401</v>
      </c>
      <c r="C510" s="1" t="s">
        <v>2430</v>
      </c>
      <c r="D510" s="1"/>
      <c r="E510" s="1" t="s">
        <v>2378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2401</v>
      </c>
      <c r="C511" s="1" t="s">
        <v>2430</v>
      </c>
      <c r="D511" s="1"/>
      <c r="E511" s="1" t="s">
        <v>2378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2401</v>
      </c>
      <c r="C512" s="1" t="s">
        <v>2441</v>
      </c>
      <c r="D512" s="1"/>
      <c r="E512" s="1" t="s">
        <v>2437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2401</v>
      </c>
      <c r="C513" s="1" t="s">
        <v>2442</v>
      </c>
      <c r="D513" s="1"/>
      <c r="E513" s="1" t="s">
        <v>2437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2401</v>
      </c>
      <c r="C514" s="1" t="s">
        <v>2443</v>
      </c>
      <c r="D514" s="1"/>
      <c r="E514" s="1" t="s">
        <v>2437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2401</v>
      </c>
      <c r="C515" s="1" t="s">
        <v>2430</v>
      </c>
      <c r="D515" s="1"/>
      <c r="E515" s="1" t="s">
        <v>2378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2401</v>
      </c>
      <c r="C516" s="1" t="s">
        <v>2430</v>
      </c>
      <c r="D516" s="1"/>
      <c r="E516" s="1" t="s">
        <v>2378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2401</v>
      </c>
      <c r="C517" s="1" t="s">
        <v>2430</v>
      </c>
      <c r="D517" s="1"/>
      <c r="E517" s="1" t="s">
        <v>2378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2401</v>
      </c>
      <c r="C518" s="1" t="s">
        <v>2430</v>
      </c>
      <c r="D518" s="1"/>
      <c r="E518" s="1" t="s">
        <v>2378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2401</v>
      </c>
      <c r="C519" s="1" t="s">
        <v>2430</v>
      </c>
      <c r="D519" s="1"/>
      <c r="E519" s="1" t="s">
        <v>2378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2401</v>
      </c>
      <c r="C520" s="1" t="s">
        <v>2430</v>
      </c>
      <c r="D520" s="1"/>
      <c r="E520" s="1" t="s">
        <v>2378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2401</v>
      </c>
      <c r="C521" s="1" t="s">
        <v>2430</v>
      </c>
      <c r="D521" s="1"/>
      <c r="E521" s="1" t="s">
        <v>2378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2401</v>
      </c>
      <c r="C522" s="1" t="s">
        <v>2430</v>
      </c>
      <c r="D522" s="1"/>
      <c r="E522" s="1" t="s">
        <v>2378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2401</v>
      </c>
      <c r="C523" s="1" t="s">
        <v>2430</v>
      </c>
      <c r="D523" s="1"/>
      <c r="E523" s="1" t="s">
        <v>2378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2401</v>
      </c>
      <c r="C524" s="1" t="s">
        <v>2430</v>
      </c>
      <c r="D524" s="1"/>
      <c r="E524" s="1" t="s">
        <v>2378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2401</v>
      </c>
      <c r="C525" s="1" t="s">
        <v>2430</v>
      </c>
      <c r="D525" s="1"/>
      <c r="E525" s="1" t="s">
        <v>2378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2401</v>
      </c>
      <c r="C526" s="1" t="s">
        <v>2430</v>
      </c>
      <c r="D526" s="1"/>
      <c r="E526" s="10" t="s">
        <v>2378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2401</v>
      </c>
      <c r="C527" s="1" t="s">
        <v>2430</v>
      </c>
      <c r="D527" s="1"/>
      <c r="E527" s="1" t="s">
        <v>2378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2401</v>
      </c>
      <c r="C528" s="1" t="s">
        <v>2430</v>
      </c>
      <c r="D528" s="1"/>
      <c r="E528" s="1" t="s">
        <v>2378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2401</v>
      </c>
      <c r="C529" s="1" t="s">
        <v>2430</v>
      </c>
      <c r="D529" s="1"/>
      <c r="E529" s="1" t="s">
        <v>2378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2401</v>
      </c>
      <c r="C530" s="1" t="s">
        <v>2430</v>
      </c>
      <c r="D530" s="1"/>
      <c r="E530" s="1" t="s">
        <v>2378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2401</v>
      </c>
      <c r="C531" s="1" t="s">
        <v>2430</v>
      </c>
      <c r="D531" s="1"/>
      <c r="E531" s="10" t="s">
        <v>2378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2401</v>
      </c>
      <c r="C532" s="1" t="s">
        <v>2430</v>
      </c>
      <c r="D532" s="1"/>
      <c r="E532" s="1" t="s">
        <v>2378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2401</v>
      </c>
      <c r="C533" s="1" t="s">
        <v>2430</v>
      </c>
      <c r="D533" s="1"/>
      <c r="E533" s="1" t="s">
        <v>2378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2401</v>
      </c>
      <c r="C534" s="1" t="s">
        <v>2430</v>
      </c>
      <c r="D534" s="1" t="s">
        <v>2404</v>
      </c>
      <c r="E534" s="1" t="s">
        <v>2380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2401</v>
      </c>
      <c r="C535" s="1" t="s">
        <v>2430</v>
      </c>
      <c r="D535" s="1"/>
      <c r="E535" s="1" t="s">
        <v>2378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2401</v>
      </c>
      <c r="C536" s="1" t="s">
        <v>2430</v>
      </c>
      <c r="D536" s="1"/>
      <c r="E536" s="1" t="s">
        <v>2378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2401</v>
      </c>
      <c r="C537" s="1" t="s">
        <v>2430</v>
      </c>
      <c r="D537" s="1"/>
      <c r="E537" s="1" t="s">
        <v>2378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2401</v>
      </c>
      <c r="C538" s="1" t="s">
        <v>2430</v>
      </c>
      <c r="D538" s="1"/>
      <c r="E538" s="1" t="s">
        <v>2378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2401</v>
      </c>
      <c r="C539" s="1" t="s">
        <v>2430</v>
      </c>
      <c r="D539" s="1"/>
      <c r="E539" s="1" t="s">
        <v>2378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2401</v>
      </c>
      <c r="C540" s="1" t="s">
        <v>2430</v>
      </c>
      <c r="D540" s="1"/>
      <c r="E540" s="1" t="s">
        <v>2378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2401</v>
      </c>
      <c r="C541" s="1" t="s">
        <v>2430</v>
      </c>
      <c r="D541" s="1"/>
      <c r="E541" s="1" t="s">
        <v>2378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2401</v>
      </c>
      <c r="C542" s="1" t="s">
        <v>2430</v>
      </c>
      <c r="D542" s="1"/>
      <c r="E542" s="1" t="s">
        <v>2378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2401</v>
      </c>
      <c r="C543" s="1" t="s">
        <v>2430</v>
      </c>
      <c r="D543" s="1" t="s">
        <v>2431</v>
      </c>
      <c r="E543" s="1" t="s">
        <v>2380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2401</v>
      </c>
      <c r="C544" s="1" t="s">
        <v>2430</v>
      </c>
      <c r="D544" s="1" t="s">
        <v>2431</v>
      </c>
      <c r="E544" s="1" t="s">
        <v>2378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2401</v>
      </c>
      <c r="C545" s="1" t="s">
        <v>2434</v>
      </c>
      <c r="D545" s="1"/>
      <c r="E545" s="1" t="s">
        <v>2378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2401</v>
      </c>
      <c r="C546" s="1" t="s">
        <v>2434</v>
      </c>
      <c r="D546" s="1"/>
      <c r="E546" s="1" t="s">
        <v>2378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2401</v>
      </c>
      <c r="C547" s="1" t="s">
        <v>2434</v>
      </c>
      <c r="D547" s="1"/>
      <c r="E547" s="1" t="s">
        <v>2378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2401</v>
      </c>
      <c r="C548" s="1" t="s">
        <v>2434</v>
      </c>
      <c r="D548" s="1"/>
      <c r="E548" s="1" t="s">
        <v>2378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2401</v>
      </c>
      <c r="C549" s="1" t="s">
        <v>2434</v>
      </c>
      <c r="D549" s="1"/>
      <c r="E549" s="1" t="s">
        <v>2378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2401</v>
      </c>
      <c r="C550" s="1" t="s">
        <v>2434</v>
      </c>
      <c r="D550" s="1"/>
      <c r="E550" s="1" t="s">
        <v>2378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2401</v>
      </c>
      <c r="C551" s="1" t="s">
        <v>2430</v>
      </c>
      <c r="D551" s="1" t="s">
        <v>2431</v>
      </c>
      <c r="E551" s="1" t="s">
        <v>2378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2401</v>
      </c>
      <c r="C552" s="1" t="s">
        <v>2430</v>
      </c>
      <c r="D552" s="1"/>
      <c r="E552" s="1" t="s">
        <v>2378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2401</v>
      </c>
      <c r="C553" s="1" t="s">
        <v>2430</v>
      </c>
      <c r="D553" s="1"/>
      <c r="E553" s="1" t="s">
        <v>2378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2401</v>
      </c>
      <c r="C554" s="1" t="s">
        <v>2430</v>
      </c>
      <c r="D554" s="1"/>
      <c r="E554" s="1" t="s">
        <v>2378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2401</v>
      </c>
      <c r="C555" s="1" t="s">
        <v>2430</v>
      </c>
      <c r="D555" s="1"/>
      <c r="E555" s="1" t="s">
        <v>2378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2401</v>
      </c>
      <c r="C556" s="1" t="s">
        <v>2432</v>
      </c>
      <c r="D556" s="1" t="s">
        <v>2433</v>
      </c>
      <c r="E556" s="1" t="s">
        <v>2378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2401</v>
      </c>
      <c r="C557" s="1" t="s">
        <v>2434</v>
      </c>
      <c r="D557" s="1"/>
      <c r="E557" s="1" t="s">
        <v>2378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2401</v>
      </c>
      <c r="C558" s="1" t="s">
        <v>2434</v>
      </c>
      <c r="D558" s="1"/>
      <c r="E558" s="1" t="s">
        <v>2378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2401</v>
      </c>
      <c r="C559" s="1" t="s">
        <v>2434</v>
      </c>
      <c r="D559" s="1"/>
      <c r="E559" s="10" t="s">
        <v>2378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2401</v>
      </c>
      <c r="C560" s="1" t="s">
        <v>2430</v>
      </c>
      <c r="D560" s="1" t="s">
        <v>2431</v>
      </c>
      <c r="E560" s="1" t="s">
        <v>2378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2401</v>
      </c>
      <c r="C561" s="1" t="s">
        <v>2434</v>
      </c>
      <c r="D561" s="1"/>
      <c r="E561" s="1" t="s">
        <v>2378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2401</v>
      </c>
      <c r="C562" s="1" t="s">
        <v>2434</v>
      </c>
      <c r="D562" s="1"/>
      <c r="E562" s="1" t="s">
        <v>2378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2401</v>
      </c>
      <c r="C563" s="1" t="s">
        <v>2434</v>
      </c>
      <c r="D563" s="1"/>
      <c r="E563" s="1" t="s">
        <v>2378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2401</v>
      </c>
      <c r="C564" s="1" t="s">
        <v>2434</v>
      </c>
      <c r="D564" s="1"/>
      <c r="E564" s="10" t="s">
        <v>2378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2401</v>
      </c>
      <c r="C565" s="1" t="s">
        <v>2434</v>
      </c>
      <c r="D565" s="1"/>
      <c r="E565" s="1" t="s">
        <v>2378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2401</v>
      </c>
      <c r="C566" s="1" t="s">
        <v>2434</v>
      </c>
      <c r="D566" s="1"/>
      <c r="E566" s="1" t="s">
        <v>2378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2401</v>
      </c>
      <c r="C567" s="1" t="s">
        <v>2434</v>
      </c>
      <c r="D567" s="1"/>
      <c r="E567" s="1" t="s">
        <v>2378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2401</v>
      </c>
      <c r="C568" s="1" t="s">
        <v>2434</v>
      </c>
      <c r="D568" s="1"/>
      <c r="E568" s="10" t="s">
        <v>2378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2401</v>
      </c>
      <c r="C569" s="1" t="s">
        <v>2434</v>
      </c>
      <c r="D569" s="1"/>
      <c r="E569" s="1" t="s">
        <v>2378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2401</v>
      </c>
      <c r="C570" s="1" t="s">
        <v>2444</v>
      </c>
      <c r="D570" s="1" t="s">
        <v>2435</v>
      </c>
      <c r="E570" s="1" t="s">
        <v>2378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2401</v>
      </c>
      <c r="C571" s="1" t="s">
        <v>2444</v>
      </c>
      <c r="D571" s="1"/>
      <c r="E571" s="1" t="s">
        <v>2378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2401</v>
      </c>
      <c r="C572" s="1" t="s">
        <v>2444</v>
      </c>
      <c r="D572" s="1" t="s">
        <v>2435</v>
      </c>
      <c r="E572" s="1" t="s">
        <v>2378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2401</v>
      </c>
      <c r="C573" s="1" t="s">
        <v>2444</v>
      </c>
      <c r="D573" s="1"/>
      <c r="E573" s="10" t="s">
        <v>2378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2401</v>
      </c>
      <c r="C574" s="1" t="s">
        <v>2444</v>
      </c>
      <c r="D574" s="1" t="s">
        <v>2435</v>
      </c>
      <c r="E574" s="1" t="s">
        <v>2378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2401</v>
      </c>
      <c r="C575" s="1" t="s">
        <v>2444</v>
      </c>
      <c r="D575" s="1" t="s">
        <v>2435</v>
      </c>
      <c r="E575" s="10" t="s">
        <v>2378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2401</v>
      </c>
      <c r="C576" s="1" t="s">
        <v>2444</v>
      </c>
      <c r="D576" s="1"/>
      <c r="E576" s="1" t="s">
        <v>2378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2401</v>
      </c>
      <c r="C577" s="1" t="s">
        <v>2444</v>
      </c>
      <c r="D577" s="1"/>
      <c r="E577" s="1" t="s">
        <v>2378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2401</v>
      </c>
      <c r="C578" s="1" t="s">
        <v>2444</v>
      </c>
      <c r="D578" s="1"/>
      <c r="E578" s="1" t="s">
        <v>2378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2401</v>
      </c>
      <c r="C579" s="1" t="s">
        <v>2444</v>
      </c>
      <c r="D579" s="1"/>
      <c r="E579" s="1" t="s">
        <v>2378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2401</v>
      </c>
      <c r="C580" s="1" t="s">
        <v>2444</v>
      </c>
      <c r="D580" s="1"/>
      <c r="E580" s="10" t="s">
        <v>2378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2401</v>
      </c>
      <c r="C581" s="1" t="s">
        <v>2444</v>
      </c>
      <c r="D581" s="1"/>
      <c r="E581" s="1" t="s">
        <v>2378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2401</v>
      </c>
      <c r="C582" s="1" t="s">
        <v>2444</v>
      </c>
      <c r="D582" s="1"/>
      <c r="E582" s="10" t="s">
        <v>2378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2401</v>
      </c>
      <c r="C583" s="1" t="s">
        <v>2444</v>
      </c>
      <c r="D583" s="1"/>
      <c r="E583" s="1" t="s">
        <v>2378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2401</v>
      </c>
      <c r="C584" s="1" t="s">
        <v>2444</v>
      </c>
      <c r="D584" s="1"/>
      <c r="E584" s="1" t="s">
        <v>2378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2401</v>
      </c>
      <c r="C585" s="1" t="s">
        <v>2444</v>
      </c>
      <c r="D585" s="1"/>
      <c r="E585" s="1" t="s">
        <v>2378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2401</v>
      </c>
      <c r="C586" s="1" t="s">
        <v>2444</v>
      </c>
      <c r="D586" s="1"/>
      <c r="E586" s="1" t="s">
        <v>2378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2401</v>
      </c>
      <c r="C587" s="1" t="s">
        <v>2444</v>
      </c>
      <c r="D587" s="1"/>
      <c r="E587" s="10" t="s">
        <v>2378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2401</v>
      </c>
      <c r="C588" s="1" t="s">
        <v>2444</v>
      </c>
      <c r="D588" s="1"/>
      <c r="E588" s="1" t="s">
        <v>2378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2401</v>
      </c>
      <c r="C589" s="1" t="s">
        <v>2444</v>
      </c>
      <c r="D589" s="1"/>
      <c r="E589" s="10" t="s">
        <v>2378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2401</v>
      </c>
      <c r="C590" s="1" t="s">
        <v>2444</v>
      </c>
      <c r="D590" s="1"/>
      <c r="E590" s="1" t="s">
        <v>2378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2401</v>
      </c>
      <c r="C591" s="1" t="s">
        <v>2444</v>
      </c>
      <c r="D591" s="1"/>
      <c r="E591" s="1" t="s">
        <v>2378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2401</v>
      </c>
      <c r="C592" s="1" t="s">
        <v>2444</v>
      </c>
      <c r="D592" s="1"/>
      <c r="E592" s="1" t="s">
        <v>2378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2401</v>
      </c>
      <c r="C593" s="1" t="s">
        <v>2444</v>
      </c>
      <c r="D593" s="1"/>
      <c r="E593" s="1" t="s">
        <v>2378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2401</v>
      </c>
      <c r="C594" s="1" t="s">
        <v>2444</v>
      </c>
      <c r="D594" s="1"/>
      <c r="E594" s="10" t="s">
        <v>2378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2401</v>
      </c>
      <c r="C595" s="1" t="s">
        <v>2444</v>
      </c>
      <c r="D595" s="1"/>
      <c r="E595" s="1" t="s">
        <v>2378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2401</v>
      </c>
      <c r="C596" s="1" t="s">
        <v>2444</v>
      </c>
      <c r="D596" s="1"/>
      <c r="E596" s="1" t="s">
        <v>2378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2401</v>
      </c>
      <c r="C597" s="1" t="s">
        <v>2444</v>
      </c>
      <c r="D597" s="1"/>
      <c r="E597" s="1" t="s">
        <v>2378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2401</v>
      </c>
      <c r="C598" s="1" t="s">
        <v>2444</v>
      </c>
      <c r="D598" s="1"/>
      <c r="E598" s="1" t="s">
        <v>2378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2401</v>
      </c>
      <c r="C599" s="1" t="s">
        <v>2444</v>
      </c>
      <c r="D599" s="1"/>
      <c r="E599" s="1" t="s">
        <v>2378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2401</v>
      </c>
      <c r="C600" s="1" t="s">
        <v>2444</v>
      </c>
      <c r="D600" s="1"/>
      <c r="E600" s="1" t="s">
        <v>2378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2401</v>
      </c>
      <c r="C601" s="1" t="s">
        <v>2434</v>
      </c>
      <c r="D601" s="1"/>
      <c r="E601" s="1" t="s">
        <v>2378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2407</v>
      </c>
      <c r="C602" s="1" t="s">
        <v>2430</v>
      </c>
      <c r="D602" s="1" t="s">
        <v>2431</v>
      </c>
      <c r="E602" s="10" t="s">
        <v>2378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2407</v>
      </c>
      <c r="C603" s="1" t="s">
        <v>2444</v>
      </c>
      <c r="D603" s="1"/>
      <c r="E603" s="1" t="s">
        <v>2378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2407</v>
      </c>
      <c r="C604" s="1" t="s">
        <v>2444</v>
      </c>
      <c r="D604" s="1"/>
      <c r="E604" s="1" t="s">
        <v>2378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2407</v>
      </c>
      <c r="C605" s="1" t="s">
        <v>2444</v>
      </c>
      <c r="D605" s="1"/>
      <c r="E605" s="1" t="s">
        <v>2378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2407</v>
      </c>
      <c r="C606" s="1" t="s">
        <v>2444</v>
      </c>
      <c r="D606" s="1"/>
      <c r="E606" s="1" t="s">
        <v>2378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2407</v>
      </c>
      <c r="C607" s="1" t="s">
        <v>2444</v>
      </c>
      <c r="D607" s="1"/>
      <c r="E607" s="10" t="s">
        <v>2378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2407</v>
      </c>
      <c r="C608" s="1" t="s">
        <v>2444</v>
      </c>
      <c r="D608" s="1"/>
      <c r="E608" s="1" t="s">
        <v>2378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2407</v>
      </c>
      <c r="C609" s="1" t="s">
        <v>2444</v>
      </c>
      <c r="D609" s="1"/>
      <c r="E609" s="1" t="s">
        <v>2378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2407</v>
      </c>
      <c r="C610" s="1" t="s">
        <v>2444</v>
      </c>
      <c r="D610" s="1"/>
      <c r="E610" s="1" t="s">
        <v>2378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2407</v>
      </c>
      <c r="C611" s="1" t="s">
        <v>2444</v>
      </c>
      <c r="D611" s="1"/>
      <c r="E611" s="10" t="s">
        <v>2378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2407</v>
      </c>
      <c r="C612" s="1" t="s">
        <v>2444</v>
      </c>
      <c r="D612" s="1"/>
      <c r="E612" s="1" t="s">
        <v>2378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2407</v>
      </c>
      <c r="C613" s="1" t="s">
        <v>2444</v>
      </c>
      <c r="D613" s="1"/>
      <c r="E613" s="1" t="s">
        <v>2378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2407</v>
      </c>
      <c r="C614" s="1" t="s">
        <v>2444</v>
      </c>
      <c r="D614" s="1"/>
      <c r="E614" s="1" t="s">
        <v>2378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2407</v>
      </c>
      <c r="C615" s="1" t="s">
        <v>2444</v>
      </c>
      <c r="D615" s="1"/>
      <c r="E615" s="1" t="s">
        <v>2378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2407</v>
      </c>
      <c r="C616" s="1" t="s">
        <v>2444</v>
      </c>
      <c r="D616" s="1"/>
      <c r="E616" s="10" t="s">
        <v>2378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2407</v>
      </c>
      <c r="C617" s="1" t="s">
        <v>2444</v>
      </c>
      <c r="D617" s="1"/>
      <c r="E617" s="1" t="s">
        <v>2378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2407</v>
      </c>
      <c r="C618" s="1" t="s">
        <v>2430</v>
      </c>
      <c r="D618" s="1"/>
      <c r="E618" s="1" t="s">
        <v>2378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2407</v>
      </c>
      <c r="C619" s="1" t="s">
        <v>2430</v>
      </c>
      <c r="D619" s="1"/>
      <c r="E619" s="10" t="s">
        <v>2378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2407</v>
      </c>
      <c r="C620" s="1" t="s">
        <v>2430</v>
      </c>
      <c r="D620" s="1"/>
      <c r="E620" s="1" t="s">
        <v>2378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2407</v>
      </c>
      <c r="C621" s="1" t="s">
        <v>2430</v>
      </c>
      <c r="D621" s="1"/>
      <c r="E621" s="1" t="s">
        <v>2378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2407</v>
      </c>
      <c r="C622" s="1" t="s">
        <v>2434</v>
      </c>
      <c r="D622" s="1"/>
      <c r="E622" s="1" t="s">
        <v>2378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2407</v>
      </c>
      <c r="C623" s="1" t="s">
        <v>2430</v>
      </c>
      <c r="D623" s="1"/>
      <c r="E623" s="1" t="s">
        <v>2378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2407</v>
      </c>
      <c r="C624" s="1" t="s">
        <v>2430</v>
      </c>
      <c r="D624" s="1"/>
      <c r="E624" s="10" t="s">
        <v>2378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2407</v>
      </c>
      <c r="C625" s="1" t="s">
        <v>2430</v>
      </c>
      <c r="D625" s="1"/>
      <c r="E625" s="1" t="s">
        <v>2378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2407</v>
      </c>
      <c r="C626" s="1" t="s">
        <v>2430</v>
      </c>
      <c r="D626" s="1"/>
      <c r="E626" s="1" t="s">
        <v>2378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2407</v>
      </c>
      <c r="C627" s="1" t="s">
        <v>2430</v>
      </c>
      <c r="D627" s="1"/>
      <c r="E627" s="10" t="s">
        <v>2378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2407</v>
      </c>
      <c r="C628" s="1" t="s">
        <v>2430</v>
      </c>
      <c r="D628" s="1"/>
      <c r="E628" s="1" t="s">
        <v>2378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2407</v>
      </c>
      <c r="C629" s="1" t="s">
        <v>2430</v>
      </c>
      <c r="D629" s="1"/>
      <c r="E629" s="1" t="s">
        <v>2378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2401</v>
      </c>
      <c r="C630" s="1" t="s">
        <v>2430</v>
      </c>
      <c r="D630" s="1"/>
      <c r="E630" s="1" t="s">
        <v>2378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2401</v>
      </c>
      <c r="C631" s="1" t="s">
        <v>2430</v>
      </c>
      <c r="D631" s="1"/>
      <c r="E631" s="1" t="s">
        <v>2378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2401</v>
      </c>
      <c r="C632" s="1" t="s">
        <v>2430</v>
      </c>
      <c r="D632" s="1"/>
      <c r="E632" s="10" t="s">
        <v>2378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2401</v>
      </c>
      <c r="C633" s="1" t="s">
        <v>2430</v>
      </c>
      <c r="D633" s="1"/>
      <c r="E633" s="1" t="s">
        <v>2378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2401</v>
      </c>
      <c r="C634" s="1" t="s">
        <v>2430</v>
      </c>
      <c r="D634" s="1"/>
      <c r="E634" s="1" t="s">
        <v>2378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2401</v>
      </c>
      <c r="C635" s="1" t="s">
        <v>2430</v>
      </c>
      <c r="D635" s="1"/>
      <c r="E635" s="1" t="s">
        <v>2378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2401</v>
      </c>
      <c r="C636" s="1" t="s">
        <v>2430</v>
      </c>
      <c r="D636" s="1"/>
      <c r="E636" s="10" t="s">
        <v>2378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2401</v>
      </c>
      <c r="C637" s="1" t="s">
        <v>2430</v>
      </c>
      <c r="D637" s="1"/>
      <c r="E637" s="1" t="s">
        <v>2378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2401</v>
      </c>
      <c r="C638" s="1" t="s">
        <v>2430</v>
      </c>
      <c r="D638" s="1"/>
      <c r="E638" s="1" t="s">
        <v>2378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2401</v>
      </c>
      <c r="C639" s="1" t="s">
        <v>2430</v>
      </c>
      <c r="D639" s="1"/>
      <c r="E639" s="1" t="s">
        <v>2378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2401</v>
      </c>
      <c r="C640" s="1" t="s">
        <v>2430</v>
      </c>
      <c r="D640" s="1"/>
      <c r="E640" s="1" t="s">
        <v>2378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2401</v>
      </c>
      <c r="C641" s="1" t="s">
        <v>2430</v>
      </c>
      <c r="D641" s="1"/>
      <c r="E641" s="10" t="s">
        <v>2378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2401</v>
      </c>
      <c r="C642" s="1" t="s">
        <v>2430</v>
      </c>
      <c r="D642" s="1"/>
      <c r="E642" s="1" t="s">
        <v>2378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2401</v>
      </c>
      <c r="C643" s="1" t="s">
        <v>2430</v>
      </c>
      <c r="D643" s="1"/>
      <c r="E643" s="1" t="s">
        <v>2378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2401</v>
      </c>
      <c r="C644" s="1" t="s">
        <v>2430</v>
      </c>
      <c r="D644" s="1"/>
      <c r="E644" s="1" t="s">
        <v>2378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2401</v>
      </c>
      <c r="C645" s="1" t="s">
        <v>2430</v>
      </c>
      <c r="D645" s="1"/>
      <c r="E645" s="10" t="s">
        <v>2378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2401</v>
      </c>
      <c r="C646" s="1" t="s">
        <v>2430</v>
      </c>
      <c r="D646" s="1"/>
      <c r="E646" s="1" t="s">
        <v>2378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2401</v>
      </c>
      <c r="C647" s="1" t="s">
        <v>2430</v>
      </c>
      <c r="D647" s="1"/>
      <c r="E647" s="1" t="s">
        <v>2378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2401</v>
      </c>
      <c r="C648" s="1" t="s">
        <v>2430</v>
      </c>
      <c r="D648" s="1"/>
      <c r="E648" s="1" t="s">
        <v>2378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2401</v>
      </c>
      <c r="C649" s="1" t="s">
        <v>2430</v>
      </c>
      <c r="D649" s="1"/>
      <c r="E649" s="1" t="s">
        <v>2378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2401</v>
      </c>
      <c r="C650" s="1" t="s">
        <v>2430</v>
      </c>
      <c r="D650" s="1"/>
      <c r="E650" s="10" t="s">
        <v>2378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2401</v>
      </c>
      <c r="C651" s="1" t="s">
        <v>2430</v>
      </c>
      <c r="D651" s="1"/>
      <c r="E651" s="1" t="s">
        <v>2378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2401</v>
      </c>
      <c r="C652" s="1" t="s">
        <v>2430</v>
      </c>
      <c r="D652" s="1"/>
      <c r="E652" s="1" t="s">
        <v>2378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2401</v>
      </c>
      <c r="C653" s="1" t="s">
        <v>2430</v>
      </c>
      <c r="D653" s="1"/>
      <c r="E653" s="10" t="s">
        <v>2378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2401</v>
      </c>
      <c r="C654" s="1" t="s">
        <v>2430</v>
      </c>
      <c r="D654" s="1"/>
      <c r="E654" s="1" t="s">
        <v>2378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2401</v>
      </c>
      <c r="C655" s="1" t="s">
        <v>2430</v>
      </c>
      <c r="D655" s="1"/>
      <c r="E655" s="1" t="s">
        <v>2378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2401</v>
      </c>
      <c r="C656" s="1" t="s">
        <v>2430</v>
      </c>
      <c r="D656" s="1"/>
      <c r="E656" s="1" t="s">
        <v>2378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2401</v>
      </c>
      <c r="C657" s="1" t="s">
        <v>2430</v>
      </c>
      <c r="D657" s="1"/>
      <c r="E657" s="1" t="s">
        <v>2378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2401</v>
      </c>
      <c r="C658" s="1" t="s">
        <v>2430</v>
      </c>
      <c r="D658" s="1"/>
      <c r="E658" s="10" t="s">
        <v>2378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2401</v>
      </c>
      <c r="C659" s="1" t="s">
        <v>2428</v>
      </c>
      <c r="D659" s="1" t="s">
        <v>2429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2401</v>
      </c>
      <c r="C660" s="1" t="s">
        <v>2428</v>
      </c>
      <c r="D660" s="1" t="s">
        <v>2429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2401</v>
      </c>
      <c r="C661" s="1" t="s">
        <v>2427</v>
      </c>
      <c r="D661" s="1"/>
      <c r="E661" s="1" t="s">
        <v>2378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2401</v>
      </c>
      <c r="C662" s="1" t="s">
        <v>2428</v>
      </c>
      <c r="D662" s="1" t="s">
        <v>2429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2401</v>
      </c>
      <c r="C663" s="1" t="s">
        <v>2427</v>
      </c>
      <c r="D663" s="1"/>
      <c r="E663" s="1" t="s">
        <v>2378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2401</v>
      </c>
      <c r="C664" s="1" t="s">
        <v>2428</v>
      </c>
      <c r="D664" s="1" t="s">
        <v>2429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2401</v>
      </c>
      <c r="C665" s="1" t="s">
        <v>2427</v>
      </c>
      <c r="D665" s="1"/>
      <c r="E665" s="1" t="s">
        <v>2378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2401</v>
      </c>
      <c r="C666" s="1" t="s">
        <v>2428</v>
      </c>
      <c r="D666" s="1" t="s">
        <v>2429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2401</v>
      </c>
      <c r="C667" s="1" t="s">
        <v>2427</v>
      </c>
      <c r="D667" s="1"/>
      <c r="E667" s="10" t="s">
        <v>2378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2401</v>
      </c>
      <c r="C668" s="1" t="s">
        <v>2428</v>
      </c>
      <c r="D668" s="1" t="s">
        <v>2429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2401</v>
      </c>
      <c r="C669" s="1" t="s">
        <v>2427</v>
      </c>
      <c r="D669" s="1"/>
      <c r="E669" s="1" t="s">
        <v>2378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2401</v>
      </c>
      <c r="C670" s="1" t="s">
        <v>2430</v>
      </c>
      <c r="D670" s="1"/>
      <c r="E670" s="10" t="s">
        <v>2378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2401</v>
      </c>
      <c r="C671" s="1" t="s">
        <v>2434</v>
      </c>
      <c r="D671" s="1"/>
      <c r="E671" s="1" t="s">
        <v>2378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2401</v>
      </c>
      <c r="C672" s="1" t="s">
        <v>2434</v>
      </c>
      <c r="D672" s="1"/>
      <c r="E672" s="1" t="s">
        <v>2378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2401</v>
      </c>
      <c r="C673" s="1" t="s">
        <v>2434</v>
      </c>
      <c r="D673" s="1"/>
      <c r="E673" s="1" t="s">
        <v>2378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2401</v>
      </c>
      <c r="C674" s="1" t="s">
        <v>2434</v>
      </c>
      <c r="D674" s="1"/>
      <c r="E674" s="1" t="s">
        <v>2378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2401</v>
      </c>
      <c r="C675" s="1" t="s">
        <v>2434</v>
      </c>
      <c r="D675" s="1"/>
      <c r="E675" s="10" t="s">
        <v>2378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2401</v>
      </c>
      <c r="C676" s="1" t="s">
        <v>2434</v>
      </c>
      <c r="D676" s="1"/>
      <c r="E676" s="1" t="s">
        <v>2378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2401</v>
      </c>
      <c r="C677" s="1" t="s">
        <v>2434</v>
      </c>
      <c r="D677" s="1"/>
      <c r="E677" s="1" t="s">
        <v>2378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2401</v>
      </c>
      <c r="C678" s="1" t="s">
        <v>2434</v>
      </c>
      <c r="D678" s="1"/>
      <c r="E678" s="1" t="s">
        <v>2378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2401</v>
      </c>
      <c r="C679" s="1" t="s">
        <v>2434</v>
      </c>
      <c r="D679" s="1"/>
      <c r="E679" s="10" t="s">
        <v>2378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2401</v>
      </c>
      <c r="C680" s="1" t="s">
        <v>2434</v>
      </c>
      <c r="D680" s="1"/>
      <c r="E680" s="1" t="s">
        <v>2378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2401</v>
      </c>
      <c r="C681" s="1" t="s">
        <v>2434</v>
      </c>
      <c r="D681" s="1"/>
      <c r="E681" s="1" t="s">
        <v>2378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2401</v>
      </c>
      <c r="C682" s="1" t="s">
        <v>2434</v>
      </c>
      <c r="D682" s="1"/>
      <c r="E682" s="1" t="s">
        <v>2378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2401</v>
      </c>
      <c r="C683" s="1" t="s">
        <v>2434</v>
      </c>
      <c r="D683" s="1"/>
      <c r="E683" s="1" t="s">
        <v>2378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2401</v>
      </c>
      <c r="C684" s="1" t="s">
        <v>2434</v>
      </c>
      <c r="D684" s="1"/>
      <c r="E684" s="10" t="s">
        <v>2378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2401</v>
      </c>
      <c r="C685" s="1" t="s">
        <v>2434</v>
      </c>
      <c r="D685" s="1"/>
      <c r="E685" s="1" t="s">
        <v>2378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2401</v>
      </c>
      <c r="C686" s="1" t="s">
        <v>2434</v>
      </c>
      <c r="D686" s="1"/>
      <c r="E686" s="1" t="s">
        <v>2378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2401</v>
      </c>
      <c r="C687" s="1" t="s">
        <v>2434</v>
      </c>
      <c r="D687" s="1"/>
      <c r="E687" s="10" t="s">
        <v>2378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2401</v>
      </c>
      <c r="C688" s="1" t="s">
        <v>2434</v>
      </c>
      <c r="D688" s="1"/>
      <c r="E688" s="1" t="s">
        <v>2378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2401</v>
      </c>
      <c r="C689" s="1" t="s">
        <v>2434</v>
      </c>
      <c r="D689" s="1"/>
      <c r="E689" s="1" t="s">
        <v>2378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2401</v>
      </c>
      <c r="C690" s="1" t="s">
        <v>2434</v>
      </c>
      <c r="D690" s="1"/>
      <c r="E690" s="1" t="s">
        <v>2378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2401</v>
      </c>
      <c r="C691" s="1" t="s">
        <v>2434</v>
      </c>
      <c r="D691" s="1"/>
      <c r="E691" s="1" t="s">
        <v>2378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2401</v>
      </c>
      <c r="C692" s="1" t="s">
        <v>2434</v>
      </c>
      <c r="D692" s="1"/>
      <c r="E692" s="10" t="s">
        <v>2378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2401</v>
      </c>
      <c r="C693" s="1" t="s">
        <v>2434</v>
      </c>
      <c r="D693" s="1"/>
      <c r="E693" s="1" t="s">
        <v>2378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2401</v>
      </c>
      <c r="C694" s="1" t="s">
        <v>2430</v>
      </c>
      <c r="D694" s="1"/>
      <c r="E694" s="1" t="s">
        <v>2378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2401</v>
      </c>
      <c r="C695" s="1" t="s">
        <v>2430</v>
      </c>
      <c r="D695" s="1"/>
      <c r="E695" s="10" t="s">
        <v>2378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2401</v>
      </c>
      <c r="C696" s="1" t="s">
        <v>2430</v>
      </c>
      <c r="D696" s="1"/>
      <c r="E696" s="1" t="s">
        <v>2378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2401</v>
      </c>
      <c r="C697" s="1" t="s">
        <v>2430</v>
      </c>
      <c r="D697" s="1"/>
      <c r="E697" s="1" t="s">
        <v>2378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2401</v>
      </c>
      <c r="C698" s="1" t="s">
        <v>2430</v>
      </c>
      <c r="D698" s="1"/>
      <c r="E698" s="1" t="s">
        <v>2378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2401</v>
      </c>
      <c r="C699" s="1" t="s">
        <v>2430</v>
      </c>
      <c r="D699" s="1"/>
      <c r="E699" s="1" t="s">
        <v>2378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2401</v>
      </c>
      <c r="C700" s="1" t="s">
        <v>2430</v>
      </c>
      <c r="D700" s="1"/>
      <c r="E700" s="10" t="s">
        <v>2378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2401</v>
      </c>
      <c r="C701" s="1" t="s">
        <v>2430</v>
      </c>
      <c r="D701" s="1"/>
      <c r="E701" s="1" t="s">
        <v>2378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2401</v>
      </c>
      <c r="C702" s="1" t="s">
        <v>2430</v>
      </c>
      <c r="D702" s="1"/>
      <c r="E702" s="1" t="s">
        <v>2378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2401</v>
      </c>
      <c r="C703" s="1" t="s">
        <v>2430</v>
      </c>
      <c r="D703" s="1"/>
      <c r="E703" s="10" t="s">
        <v>2378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2401</v>
      </c>
      <c r="C704" s="1" t="s">
        <v>2430</v>
      </c>
      <c r="D704" s="1"/>
      <c r="E704" s="1" t="s">
        <v>2378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2401</v>
      </c>
      <c r="C705" s="1" t="s">
        <v>2430</v>
      </c>
      <c r="D705" s="1"/>
      <c r="E705" s="1" t="s">
        <v>2378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2401</v>
      </c>
      <c r="C706" s="1" t="s">
        <v>2430</v>
      </c>
      <c r="D706" s="1"/>
      <c r="E706" s="1" t="s">
        <v>2378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2401</v>
      </c>
      <c r="C707" s="1" t="s">
        <v>2430</v>
      </c>
      <c r="D707" s="1"/>
      <c r="E707" s="1" t="s">
        <v>2378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2401</v>
      </c>
      <c r="C708" s="1" t="s">
        <v>2430</v>
      </c>
      <c r="D708" s="1"/>
      <c r="E708" s="10" t="s">
        <v>2378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2401</v>
      </c>
      <c r="C709" s="1" t="s">
        <v>2430</v>
      </c>
      <c r="D709" s="1"/>
      <c r="E709" s="1" t="s">
        <v>2378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2401</v>
      </c>
      <c r="C710" s="1" t="s">
        <v>2430</v>
      </c>
      <c r="D710" s="1"/>
      <c r="E710" s="10" t="s">
        <v>2378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2401</v>
      </c>
      <c r="C711" s="1" t="s">
        <v>2430</v>
      </c>
      <c r="D711" s="1"/>
      <c r="E711" s="1" t="s">
        <v>2378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2401</v>
      </c>
      <c r="C712" s="1" t="s">
        <v>2430</v>
      </c>
      <c r="D712" s="1"/>
      <c r="E712" s="1" t="s">
        <v>2378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2401</v>
      </c>
      <c r="C713" s="1" t="s">
        <v>2430</v>
      </c>
      <c r="D713" s="1"/>
      <c r="E713" s="1" t="s">
        <v>2378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2401</v>
      </c>
      <c r="C714" s="1" t="s">
        <v>2430</v>
      </c>
      <c r="D714" s="1"/>
      <c r="E714" s="1" t="s">
        <v>2378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2401</v>
      </c>
      <c r="C715" s="1" t="s">
        <v>2430</v>
      </c>
      <c r="D715" s="1"/>
      <c r="E715" s="10" t="s">
        <v>2378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2401</v>
      </c>
      <c r="C716" s="1" t="s">
        <v>2430</v>
      </c>
      <c r="D716" s="1"/>
      <c r="E716" s="1" t="s">
        <v>2378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2401</v>
      </c>
      <c r="C717" s="1" t="s">
        <v>2430</v>
      </c>
      <c r="D717" s="1"/>
      <c r="E717" s="1" t="s">
        <v>2378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2401</v>
      </c>
      <c r="C718" s="1" t="s">
        <v>2434</v>
      </c>
      <c r="D718" s="1"/>
      <c r="E718" s="10" t="s">
        <v>2378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2401</v>
      </c>
      <c r="C719" s="1" t="s">
        <v>2428</v>
      </c>
      <c r="D719" s="1" t="s">
        <v>2429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2401</v>
      </c>
      <c r="C720" s="1" t="s">
        <v>2427</v>
      </c>
      <c r="D720" s="1"/>
      <c r="E720" s="1" t="s">
        <v>2378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2401</v>
      </c>
      <c r="C721" s="1" t="s">
        <v>2428</v>
      </c>
      <c r="D721" s="1" t="s">
        <v>2429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2401</v>
      </c>
      <c r="C722" s="1" t="s">
        <v>2427</v>
      </c>
      <c r="D722" s="1"/>
      <c r="E722" s="1" t="s">
        <v>2378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2401</v>
      </c>
      <c r="C723" s="1" t="s">
        <v>2432</v>
      </c>
      <c r="D723" s="1"/>
      <c r="E723" s="10" t="s">
        <v>2378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2401</v>
      </c>
      <c r="C724" s="1" t="s">
        <v>2432</v>
      </c>
      <c r="D724" s="1"/>
      <c r="E724" s="1" t="s">
        <v>2378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2401</v>
      </c>
      <c r="C725" s="1" t="s">
        <v>2432</v>
      </c>
      <c r="D725" s="1"/>
      <c r="E725" s="1" t="s">
        <v>2378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2401</v>
      </c>
      <c r="C726" s="1" t="s">
        <v>2432</v>
      </c>
      <c r="D726" s="1"/>
      <c r="E726" s="10" t="s">
        <v>2378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2401</v>
      </c>
      <c r="C727" s="1" t="s">
        <v>2432</v>
      </c>
      <c r="D727" s="1"/>
      <c r="E727" s="1" t="s">
        <v>2378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2401</v>
      </c>
      <c r="C728" s="1" t="s">
        <v>2434</v>
      </c>
      <c r="D728" s="1"/>
      <c r="E728" s="1" t="s">
        <v>2378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2401</v>
      </c>
      <c r="C729" s="1" t="s">
        <v>2432</v>
      </c>
      <c r="D729" s="1"/>
      <c r="E729" s="1" t="s">
        <v>2378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2401</v>
      </c>
      <c r="C730" s="1" t="s">
        <v>2432</v>
      </c>
      <c r="D730" s="1"/>
      <c r="E730" s="1" t="s">
        <v>2378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2401</v>
      </c>
      <c r="C731" s="1" t="s">
        <v>2434</v>
      </c>
      <c r="D731" s="1"/>
      <c r="E731" s="10" t="s">
        <v>2378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2407</v>
      </c>
      <c r="C732" s="1" t="s">
        <v>2428</v>
      </c>
      <c r="D732" s="1" t="s">
        <v>2429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2407</v>
      </c>
      <c r="C733" s="1" t="s">
        <v>2383</v>
      </c>
      <c r="D733" s="1" t="s">
        <v>2384</v>
      </c>
      <c r="E733" s="10" t="s">
        <v>2385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2407</v>
      </c>
      <c r="C734" s="1" t="s">
        <v>2383</v>
      </c>
      <c r="D734" s="1" t="s">
        <v>2386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2407</v>
      </c>
      <c r="C735" s="1" t="s">
        <v>2383</v>
      </c>
      <c r="D735" s="1" t="s">
        <v>2387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2407</v>
      </c>
      <c r="C736" s="1" t="s">
        <v>2383</v>
      </c>
      <c r="D736" s="1" t="s">
        <v>2381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2407</v>
      </c>
      <c r="C737" s="1" t="s">
        <v>2383</v>
      </c>
      <c r="D737" s="1" t="s">
        <v>2388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2407</v>
      </c>
      <c r="C738" s="1" t="s">
        <v>2383</v>
      </c>
      <c r="D738" s="1" t="s">
        <v>2389</v>
      </c>
      <c r="E738" s="10" t="s">
        <v>2385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2407</v>
      </c>
      <c r="C739" s="1" t="s">
        <v>2396</v>
      </c>
      <c r="D739" s="1"/>
      <c r="E739" s="10" t="s">
        <v>2378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2407</v>
      </c>
      <c r="C740" s="1" t="s">
        <v>2383</v>
      </c>
      <c r="D740" s="1" t="s">
        <v>2384</v>
      </c>
      <c r="E740" s="10" t="s">
        <v>2385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2407</v>
      </c>
      <c r="C741" s="1" t="s">
        <v>2383</v>
      </c>
      <c r="D741" s="1" t="s">
        <v>2386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2407</v>
      </c>
      <c r="C742" s="1" t="s">
        <v>2383</v>
      </c>
      <c r="D742" s="1" t="s">
        <v>2387</v>
      </c>
      <c r="E742" s="10" t="s">
        <v>2445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2407</v>
      </c>
      <c r="C743" s="1" t="s">
        <v>2383</v>
      </c>
      <c r="D743" s="1" t="s">
        <v>2381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2407</v>
      </c>
      <c r="C744" s="1" t="s">
        <v>2383</v>
      </c>
      <c r="D744" s="1" t="s">
        <v>2388</v>
      </c>
      <c r="E744" s="1" t="s">
        <v>2446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2407</v>
      </c>
      <c r="C745" s="1" t="s">
        <v>2383</v>
      </c>
      <c r="D745" s="1" t="s">
        <v>2389</v>
      </c>
      <c r="E745" s="10" t="s">
        <v>2385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2407</v>
      </c>
      <c r="C746" s="1" t="s">
        <v>2396</v>
      </c>
      <c r="D746" s="1"/>
      <c r="E746" s="1" t="s">
        <v>2378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2407</v>
      </c>
      <c r="C747" s="1" t="s">
        <v>2383</v>
      </c>
      <c r="D747" s="1" t="s">
        <v>2384</v>
      </c>
      <c r="E747" s="10" t="s">
        <v>2385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2407</v>
      </c>
      <c r="C748" s="1" t="s">
        <v>2383</v>
      </c>
      <c r="D748" s="1" t="s">
        <v>2386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2407</v>
      </c>
      <c r="C749" s="1" t="s">
        <v>2383</v>
      </c>
      <c r="D749" s="1" t="s">
        <v>2387</v>
      </c>
      <c r="E749" s="1" t="s">
        <v>2445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2407</v>
      </c>
      <c r="C750" s="1" t="s">
        <v>2383</v>
      </c>
      <c r="D750" s="1" t="s">
        <v>2381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2407</v>
      </c>
      <c r="C751" s="1" t="s">
        <v>2383</v>
      </c>
      <c r="D751" s="1" t="s">
        <v>2388</v>
      </c>
      <c r="E751" s="1" t="s">
        <v>2446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2407</v>
      </c>
      <c r="C752" s="1" t="s">
        <v>2383</v>
      </c>
      <c r="D752" s="1" t="s">
        <v>2389</v>
      </c>
      <c r="E752" s="10" t="s">
        <v>2385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2407</v>
      </c>
      <c r="C753" s="1" t="s">
        <v>2396</v>
      </c>
      <c r="D753" s="1"/>
      <c r="E753" s="1" t="s">
        <v>2378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2407</v>
      </c>
      <c r="C754" s="1" t="s">
        <v>2428</v>
      </c>
      <c r="D754" s="1" t="s">
        <v>2429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2407</v>
      </c>
      <c r="C755" s="1" t="s">
        <v>2428</v>
      </c>
      <c r="D755" s="1" t="s">
        <v>2429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2407</v>
      </c>
      <c r="C756" s="1" t="s">
        <v>2428</v>
      </c>
      <c r="D756" s="1" t="s">
        <v>2429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2407</v>
      </c>
      <c r="C757" s="1" t="s">
        <v>2450</v>
      </c>
      <c r="D757" s="1" t="s">
        <v>2429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2407</v>
      </c>
      <c r="C758" s="1" t="s">
        <v>2450</v>
      </c>
      <c r="D758" s="1" t="s">
        <v>2429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2407</v>
      </c>
      <c r="C759" s="1" t="s">
        <v>2428</v>
      </c>
      <c r="D759" s="1" t="s">
        <v>2429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2407</v>
      </c>
      <c r="C760" s="1" t="s">
        <v>2428</v>
      </c>
      <c r="D760" s="1" t="s">
        <v>2429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2407</v>
      </c>
      <c r="C761" s="1" t="s">
        <v>2428</v>
      </c>
      <c r="D761" s="1" t="s">
        <v>2429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2407</v>
      </c>
      <c r="C762" s="1" t="s">
        <v>2451</v>
      </c>
      <c r="D762" s="1" t="s">
        <v>2452</v>
      </c>
      <c r="E762" s="1" t="s">
        <v>2378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2407</v>
      </c>
      <c r="C763" s="1" t="s">
        <v>2447</v>
      </c>
      <c r="D763" s="1" t="s">
        <v>2429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2407</v>
      </c>
      <c r="C764" s="1" t="s">
        <v>2453</v>
      </c>
      <c r="D764" s="1" t="s">
        <v>2454</v>
      </c>
      <c r="E764" s="1" t="s">
        <v>2378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2407</v>
      </c>
      <c r="C765" s="1" t="s">
        <v>2447</v>
      </c>
      <c r="D765" s="1" t="s">
        <v>2429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2407</v>
      </c>
      <c r="C766" s="1" t="s">
        <v>2453</v>
      </c>
      <c r="D766" s="1"/>
      <c r="E766" s="10" t="s">
        <v>2378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2407</v>
      </c>
      <c r="C767" s="1" t="s">
        <v>2448</v>
      </c>
      <c r="D767" s="1" t="s">
        <v>2429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2407</v>
      </c>
      <c r="C768" s="1" t="s">
        <v>2447</v>
      </c>
      <c r="D768" s="1" t="s">
        <v>2429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2407</v>
      </c>
      <c r="C769" s="1" t="s">
        <v>2455</v>
      </c>
      <c r="D769" s="1" t="s">
        <v>2456</v>
      </c>
      <c r="E769" s="1" t="s">
        <v>2378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2407</v>
      </c>
      <c r="C770" s="1" t="s">
        <v>2447</v>
      </c>
      <c r="D770" s="1" t="s">
        <v>2429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2407</v>
      </c>
      <c r="C771" s="1" t="s">
        <v>2455</v>
      </c>
      <c r="D771" s="1"/>
      <c r="E771" s="10" t="s">
        <v>2378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2407</v>
      </c>
      <c r="C772" s="1" t="s">
        <v>2450</v>
      </c>
      <c r="D772" s="1" t="s">
        <v>2429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2407</v>
      </c>
      <c r="C773" s="1" t="s">
        <v>2455</v>
      </c>
      <c r="D773" s="1" t="s">
        <v>2456</v>
      </c>
      <c r="E773" s="1" t="s">
        <v>2378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2407</v>
      </c>
      <c r="C774" s="1" t="s">
        <v>2448</v>
      </c>
      <c r="D774" s="1" t="s">
        <v>2429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2407</v>
      </c>
      <c r="C775" s="1" t="s">
        <v>2457</v>
      </c>
      <c r="D775" s="1"/>
      <c r="E775" s="1" t="s">
        <v>2379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2407</v>
      </c>
      <c r="C776" s="1" t="s">
        <v>2457</v>
      </c>
      <c r="D776" s="1" t="s">
        <v>2429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2407</v>
      </c>
      <c r="C777" s="1" t="s">
        <v>2448</v>
      </c>
      <c r="D777" s="1" t="s">
        <v>2429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2407</v>
      </c>
      <c r="C778" s="1" t="s">
        <v>2450</v>
      </c>
      <c r="D778" s="1" t="s">
        <v>2429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2407</v>
      </c>
      <c r="C779" s="1"/>
      <c r="D779" s="1" t="s">
        <v>2449</v>
      </c>
      <c r="E779" s="10" t="s">
        <v>2458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2407</v>
      </c>
      <c r="C780" s="1" t="s">
        <v>2459</v>
      </c>
      <c r="D780" s="1" t="s">
        <v>2456</v>
      </c>
      <c r="E780" s="1" t="s">
        <v>2378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2407</v>
      </c>
      <c r="C781" s="1" t="s">
        <v>2448</v>
      </c>
      <c r="D781" s="1" t="s">
        <v>2429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2407</v>
      </c>
      <c r="C782" s="1" t="s">
        <v>2428</v>
      </c>
      <c r="D782" s="1" t="s">
        <v>2429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2407</v>
      </c>
      <c r="C783" s="1" t="s">
        <v>2448</v>
      </c>
      <c r="D783" s="1" t="s">
        <v>2429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2407</v>
      </c>
      <c r="C784" s="1" t="s">
        <v>2450</v>
      </c>
      <c r="D784" s="1" t="s">
        <v>2429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2407</v>
      </c>
      <c r="C785" s="1" t="s">
        <v>2450</v>
      </c>
      <c r="D785" s="1" t="s">
        <v>2429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2407</v>
      </c>
      <c r="C786" s="1" t="s">
        <v>2459</v>
      </c>
      <c r="D786" s="1"/>
      <c r="E786" s="1" t="s">
        <v>2378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2407</v>
      </c>
      <c r="C787" s="1" t="s">
        <v>2450</v>
      </c>
      <c r="D787" s="1" t="s">
        <v>2429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2407</v>
      </c>
      <c r="C788" s="1" t="s">
        <v>2460</v>
      </c>
      <c r="D788" s="1" t="s">
        <v>2454</v>
      </c>
      <c r="E788" s="1" t="s">
        <v>2378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2407</v>
      </c>
      <c r="C789" s="1" t="s">
        <v>2450</v>
      </c>
      <c r="D789" s="1" t="s">
        <v>2429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2407</v>
      </c>
      <c r="C790" s="1" t="s">
        <v>2461</v>
      </c>
      <c r="D790" s="1" t="s">
        <v>2452</v>
      </c>
      <c r="E790" s="1" t="s">
        <v>2378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2407</v>
      </c>
      <c r="C791" s="1" t="s">
        <v>2450</v>
      </c>
      <c r="D791" s="1" t="s">
        <v>2429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2407</v>
      </c>
      <c r="C792" s="1" t="s">
        <v>2450</v>
      </c>
      <c r="D792" s="1" t="s">
        <v>2429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2407</v>
      </c>
      <c r="C793" s="1" t="s">
        <v>2450</v>
      </c>
      <c r="D793" s="1" t="s">
        <v>2378</v>
      </c>
      <c r="E793" s="1" t="s">
        <v>2462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2407</v>
      </c>
      <c r="C794" s="1" t="s">
        <v>2450</v>
      </c>
      <c r="D794" s="1" t="s">
        <v>2378</v>
      </c>
      <c r="E794" s="10" t="s">
        <v>2463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2407</v>
      </c>
      <c r="C795" s="1" t="s">
        <v>2450</v>
      </c>
      <c r="D795" s="1" t="s">
        <v>2429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2407</v>
      </c>
      <c r="C796" s="1" t="s">
        <v>2464</v>
      </c>
      <c r="D796" s="1" t="s">
        <v>2431</v>
      </c>
      <c r="E796" s="1" t="s">
        <v>2378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2407</v>
      </c>
      <c r="C797" s="1" t="s">
        <v>2450</v>
      </c>
      <c r="D797" s="1" t="s">
        <v>2429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2407</v>
      </c>
      <c r="C798" s="1" t="s">
        <v>2464</v>
      </c>
      <c r="D798" s="1"/>
      <c r="E798" s="1" t="s">
        <v>2378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2407</v>
      </c>
      <c r="C799" s="1" t="s">
        <v>2450</v>
      </c>
      <c r="D799" s="1" t="s">
        <v>2429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2407</v>
      </c>
      <c r="C800" s="1" t="s">
        <v>2464</v>
      </c>
      <c r="D800" s="1"/>
      <c r="E800" s="1" t="s">
        <v>2378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2407</v>
      </c>
      <c r="C801" s="1" t="s">
        <v>2450</v>
      </c>
      <c r="D801" s="1" t="s">
        <v>2429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2407</v>
      </c>
      <c r="C802" s="1" t="s">
        <v>2464</v>
      </c>
      <c r="D802" s="1"/>
      <c r="E802" s="1" t="s">
        <v>2378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2407</v>
      </c>
      <c r="C803" s="1" t="s">
        <v>2450</v>
      </c>
      <c r="D803" s="1" t="s">
        <v>2429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2407</v>
      </c>
      <c r="C804" s="1" t="s">
        <v>2464</v>
      </c>
      <c r="D804" s="1"/>
      <c r="E804" s="1" t="s">
        <v>2378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2407</v>
      </c>
      <c r="C805" s="1" t="s">
        <v>2450</v>
      </c>
      <c r="D805" s="1" t="s">
        <v>2429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2407</v>
      </c>
      <c r="C806" s="1" t="s">
        <v>2464</v>
      </c>
      <c r="D806" s="1"/>
      <c r="E806" s="1" t="s">
        <v>2378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2407</v>
      </c>
      <c r="C807" s="1" t="s">
        <v>2464</v>
      </c>
      <c r="D807" s="1" t="s">
        <v>2435</v>
      </c>
      <c r="E807" s="1" t="s">
        <v>2380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2407</v>
      </c>
      <c r="C808" s="1" t="s">
        <v>2465</v>
      </c>
      <c r="D808" s="1" t="s">
        <v>2435</v>
      </c>
      <c r="E808" s="1" t="s">
        <v>2378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2407</v>
      </c>
      <c r="C809" s="1" t="s">
        <v>2450</v>
      </c>
      <c r="D809" s="1" t="s">
        <v>2429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2407</v>
      </c>
      <c r="C810" s="1" t="s">
        <v>2465</v>
      </c>
      <c r="D810" s="1"/>
      <c r="E810" s="1" t="s">
        <v>2378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2407</v>
      </c>
      <c r="C811" s="1" t="s">
        <v>2450</v>
      </c>
      <c r="D811" s="1" t="s">
        <v>2429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2407</v>
      </c>
      <c r="C812" s="1" t="s">
        <v>2465</v>
      </c>
      <c r="D812" s="1"/>
      <c r="E812" s="1" t="s">
        <v>2378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2407</v>
      </c>
      <c r="C813" s="1" t="s">
        <v>2450</v>
      </c>
      <c r="D813" s="1" t="s">
        <v>2429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2407</v>
      </c>
      <c r="C814" s="1" t="s">
        <v>2465</v>
      </c>
      <c r="D814" s="1"/>
      <c r="E814" s="1" t="s">
        <v>2378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2407</v>
      </c>
      <c r="C815" s="1" t="s">
        <v>2450</v>
      </c>
      <c r="D815" s="1" t="s">
        <v>2429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2407</v>
      </c>
      <c r="C816" s="1" t="s">
        <v>2465</v>
      </c>
      <c r="D816" s="1"/>
      <c r="E816" s="1" t="s">
        <v>2378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2407</v>
      </c>
      <c r="C817" s="1" t="s">
        <v>2450</v>
      </c>
      <c r="D817" s="1" t="s">
        <v>2429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2407</v>
      </c>
      <c r="C818" s="1" t="s">
        <v>2465</v>
      </c>
      <c r="D818" s="1"/>
      <c r="E818" s="1" t="s">
        <v>2378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2407</v>
      </c>
      <c r="C819" s="1" t="s">
        <v>2450</v>
      </c>
      <c r="D819" s="1" t="s">
        <v>2429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2407</v>
      </c>
      <c r="C820" s="1" t="s">
        <v>2465</v>
      </c>
      <c r="D820" s="1"/>
      <c r="E820" s="1" t="s">
        <v>2378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2407</v>
      </c>
      <c r="C821" s="1" t="s">
        <v>2450</v>
      </c>
      <c r="D821" s="1" t="s">
        <v>2429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2407</v>
      </c>
      <c r="C822" s="1" t="s">
        <v>2465</v>
      </c>
      <c r="D822" s="1"/>
      <c r="E822" s="1" t="s">
        <v>2378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2407</v>
      </c>
      <c r="C823" s="1" t="s">
        <v>2450</v>
      </c>
      <c r="D823" s="1" t="s">
        <v>2429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2407</v>
      </c>
      <c r="C824" s="1" t="s">
        <v>2465</v>
      </c>
      <c r="D824" s="1"/>
      <c r="E824" s="1" t="s">
        <v>2378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2407</v>
      </c>
      <c r="C825" s="1" t="s">
        <v>2450</v>
      </c>
      <c r="D825" s="1" t="s">
        <v>2429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2407</v>
      </c>
      <c r="C826" s="1" t="s">
        <v>2465</v>
      </c>
      <c r="D826" s="1"/>
      <c r="E826" s="1" t="s">
        <v>2378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2407</v>
      </c>
      <c r="C827" s="1" t="s">
        <v>2450</v>
      </c>
      <c r="D827" s="1" t="s">
        <v>2429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2407</v>
      </c>
      <c r="C828" s="1" t="s">
        <v>2465</v>
      </c>
      <c r="D828" s="1"/>
      <c r="E828" s="1" t="s">
        <v>2378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2407</v>
      </c>
      <c r="C829" s="1" t="s">
        <v>2450</v>
      </c>
      <c r="D829" s="1" t="s">
        <v>2429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2407</v>
      </c>
      <c r="C830" s="1" t="s">
        <v>2465</v>
      </c>
      <c r="D830" s="1"/>
      <c r="E830" s="1" t="s">
        <v>2378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2407</v>
      </c>
      <c r="C831" s="1" t="s">
        <v>2450</v>
      </c>
      <c r="D831" s="1" t="s">
        <v>2429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2407</v>
      </c>
      <c r="C832" s="1" t="s">
        <v>2465</v>
      </c>
      <c r="D832" s="1"/>
      <c r="E832" s="1" t="s">
        <v>2378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2407</v>
      </c>
      <c r="C833" s="1" t="s">
        <v>2450</v>
      </c>
      <c r="D833" s="1" t="s">
        <v>2429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2407</v>
      </c>
      <c r="C834" s="1" t="s">
        <v>2450</v>
      </c>
      <c r="D834" s="1" t="s">
        <v>2429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2407</v>
      </c>
      <c r="C835" s="1" t="s">
        <v>2465</v>
      </c>
      <c r="D835" s="1"/>
      <c r="E835" s="1" t="s">
        <v>2378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2407</v>
      </c>
      <c r="C836" s="1" t="s">
        <v>2450</v>
      </c>
      <c r="D836" s="1" t="s">
        <v>2429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2407</v>
      </c>
      <c r="C837" s="1" t="s">
        <v>2465</v>
      </c>
      <c r="D837" s="1"/>
      <c r="E837" s="1" t="s">
        <v>2378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2407</v>
      </c>
      <c r="C838" s="1" t="s">
        <v>2450</v>
      </c>
      <c r="D838" s="1" t="s">
        <v>2429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2407</v>
      </c>
      <c r="C839" s="1" t="s">
        <v>2465</v>
      </c>
      <c r="D839" s="1"/>
      <c r="E839" s="1" t="s">
        <v>2378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2407</v>
      </c>
      <c r="C840" s="1" t="s">
        <v>2450</v>
      </c>
      <c r="D840" s="1" t="s">
        <v>2429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2407</v>
      </c>
      <c r="C841" s="1" t="s">
        <v>2465</v>
      </c>
      <c r="D841" s="1"/>
      <c r="E841" s="1" t="s">
        <v>2378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2407</v>
      </c>
      <c r="C842" s="1" t="s">
        <v>2450</v>
      </c>
      <c r="D842" s="1" t="s">
        <v>2429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2407</v>
      </c>
      <c r="C843" s="1" t="s">
        <v>2465</v>
      </c>
      <c r="D843" s="1"/>
      <c r="E843" s="1" t="s">
        <v>2378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2407</v>
      </c>
      <c r="C844" s="1" t="s">
        <v>2444</v>
      </c>
      <c r="D844" s="1" t="s">
        <v>2435</v>
      </c>
      <c r="E844" s="1" t="s">
        <v>2378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2407</v>
      </c>
      <c r="C845" s="1" t="s">
        <v>2444</v>
      </c>
      <c r="D845" s="1"/>
      <c r="E845" s="1" t="s">
        <v>2378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2407</v>
      </c>
      <c r="C846" s="1" t="s">
        <v>2444</v>
      </c>
      <c r="D846" s="1"/>
      <c r="E846" s="1" t="s">
        <v>2378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2407</v>
      </c>
      <c r="C847" s="1" t="s">
        <v>2450</v>
      </c>
      <c r="D847" s="1" t="s">
        <v>2429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2407</v>
      </c>
      <c r="C848" s="1" t="s">
        <v>2465</v>
      </c>
      <c r="D848" s="1"/>
      <c r="E848" s="1" t="s">
        <v>2378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2407</v>
      </c>
      <c r="C849" s="1" t="s">
        <v>2450</v>
      </c>
      <c r="D849" s="1" t="s">
        <v>2429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2407</v>
      </c>
      <c r="C850" s="1" t="s">
        <v>2465</v>
      </c>
      <c r="D850" s="1"/>
      <c r="E850" s="1" t="s">
        <v>2378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2407</v>
      </c>
      <c r="C851" s="1" t="s">
        <v>2434</v>
      </c>
      <c r="D851" s="1"/>
      <c r="E851" s="1" t="s">
        <v>2378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2407</v>
      </c>
      <c r="C852" s="1" t="s">
        <v>2450</v>
      </c>
      <c r="D852" s="1" t="s">
        <v>2429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2407</v>
      </c>
      <c r="C853" s="1" t="s">
        <v>2430</v>
      </c>
      <c r="D853" s="1" t="s">
        <v>2431</v>
      </c>
      <c r="E853" s="1" t="s">
        <v>2378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2407</v>
      </c>
      <c r="C854" s="1" t="s">
        <v>2450</v>
      </c>
      <c r="D854" s="1" t="s">
        <v>2429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2407</v>
      </c>
      <c r="C855" s="1" t="s">
        <v>2464</v>
      </c>
      <c r="D855" s="1" t="s">
        <v>2431</v>
      </c>
      <c r="E855" s="1" t="s">
        <v>2378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2407</v>
      </c>
      <c r="C856" s="1" t="s">
        <v>2466</v>
      </c>
      <c r="D856" s="1"/>
      <c r="E856" s="1" t="s">
        <v>2378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2407</v>
      </c>
      <c r="C857" s="1" t="s">
        <v>2460</v>
      </c>
      <c r="D857" s="1" t="s">
        <v>2454</v>
      </c>
      <c r="E857" s="1" t="s">
        <v>2378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2407</v>
      </c>
      <c r="C858" s="1" t="s">
        <v>2467</v>
      </c>
      <c r="D858" s="1" t="s">
        <v>2404</v>
      </c>
      <c r="E858" s="1" t="s">
        <v>2378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2407</v>
      </c>
      <c r="C859" s="1" t="s">
        <v>2468</v>
      </c>
      <c r="D859" s="1" t="s">
        <v>2469</v>
      </c>
      <c r="E859" s="1" t="s">
        <v>2378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2407</v>
      </c>
      <c r="C860" s="1" t="s">
        <v>2450</v>
      </c>
      <c r="D860" s="1" t="s">
        <v>2429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2407</v>
      </c>
      <c r="C861" s="1" t="s">
        <v>2450</v>
      </c>
      <c r="D861" s="1" t="s">
        <v>2429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2407</v>
      </c>
      <c r="C862" s="1" t="s">
        <v>2450</v>
      </c>
      <c r="D862" s="1" t="s">
        <v>2429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2407</v>
      </c>
      <c r="C863" s="1" t="s">
        <v>2470</v>
      </c>
      <c r="D863" s="1" t="s">
        <v>2431</v>
      </c>
      <c r="E863" s="1" t="s">
        <v>2378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2407</v>
      </c>
      <c r="C864" s="1" t="s">
        <v>2470</v>
      </c>
      <c r="D864" s="1" t="s">
        <v>2431</v>
      </c>
      <c r="E864" s="1" t="s">
        <v>2378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2407</v>
      </c>
      <c r="C865" s="1" t="s">
        <v>2470</v>
      </c>
      <c r="D865" s="1"/>
      <c r="E865" s="1" t="s">
        <v>2378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2407</v>
      </c>
      <c r="C866" s="1" t="s">
        <v>2471</v>
      </c>
      <c r="D866" s="1" t="s">
        <v>2431</v>
      </c>
      <c r="E866" s="1" t="s">
        <v>2378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43696.710960648146</v>
      </c>
      <c r="B867" s="1" t="s">
        <v>2407</v>
      </c>
      <c r="C867" s="1" t="s">
        <v>2376</v>
      </c>
      <c r="D867" s="1" t="b">
        <v>1</v>
      </c>
      <c r="E867" s="1" t="s">
        <v>2472</v>
      </c>
      <c r="F867" s="1">
        <v>3.58</v>
      </c>
      <c r="G867" s="1">
        <v>3.93</v>
      </c>
      <c r="H867" s="1">
        <v>3.15</v>
      </c>
      <c r="I867" s="1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43696.718159722222</v>
      </c>
      <c r="B868" s="1" t="s">
        <v>2407</v>
      </c>
      <c r="C868" s="1" t="s">
        <v>2450</v>
      </c>
      <c r="D868" s="1" t="s">
        <v>2429</v>
      </c>
      <c r="E868" s="1">
        <v>0</v>
      </c>
      <c r="F868" s="1">
        <v>3.58</v>
      </c>
      <c r="G868" s="1">
        <v>3.93</v>
      </c>
      <c r="H868" s="1">
        <v>3.15</v>
      </c>
      <c r="I868" s="1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43696.718182870369</v>
      </c>
      <c r="B869" s="1" t="s">
        <v>2407</v>
      </c>
      <c r="C869" s="1" t="s">
        <v>2450</v>
      </c>
      <c r="D869" s="1" t="s">
        <v>2429</v>
      </c>
      <c r="E869" s="1">
        <v>0</v>
      </c>
      <c r="F869" s="1">
        <v>3.58</v>
      </c>
      <c r="G869" s="1">
        <v>3.93</v>
      </c>
      <c r="H869" s="1">
        <v>3.15</v>
      </c>
      <c r="I869" s="1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43696.718368055554</v>
      </c>
      <c r="B870" s="1" t="s">
        <v>2407</v>
      </c>
      <c r="C870" s="1" t="s">
        <v>2450</v>
      </c>
      <c r="D870" s="1" t="s">
        <v>2429</v>
      </c>
      <c r="E870" s="1">
        <v>1</v>
      </c>
      <c r="F870" s="1">
        <v>3.58</v>
      </c>
      <c r="G870" s="1">
        <v>3.93</v>
      </c>
      <c r="H870" s="1">
        <v>3.15</v>
      </c>
      <c r="I870" s="1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43696.718587962961</v>
      </c>
      <c r="B871" s="1" t="s">
        <v>2407</v>
      </c>
      <c r="C871" s="1" t="s">
        <v>2450</v>
      </c>
      <c r="D871" s="1" t="s">
        <v>2429</v>
      </c>
      <c r="E871" s="1">
        <v>0</v>
      </c>
      <c r="F871" s="1">
        <v>3.58</v>
      </c>
      <c r="G871" s="1">
        <v>3.93</v>
      </c>
      <c r="H871" s="1">
        <v>3.15</v>
      </c>
      <c r="I871" s="1">
        <v>0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43696.718680555554</v>
      </c>
      <c r="B872" s="1" t="s">
        <v>2407</v>
      </c>
      <c r="C872" s="1" t="s">
        <v>2450</v>
      </c>
      <c r="D872" s="1" t="s">
        <v>2429</v>
      </c>
      <c r="E872" s="1">
        <v>0</v>
      </c>
      <c r="F872" s="1">
        <v>3.58</v>
      </c>
      <c r="G872" s="1">
        <v>3.93</v>
      </c>
      <c r="H872" s="1">
        <v>3.15</v>
      </c>
      <c r="I872" s="1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43696.718784722223</v>
      </c>
      <c r="B873" s="1" t="s">
        <v>2407</v>
      </c>
      <c r="C873" s="1" t="s">
        <v>2450</v>
      </c>
      <c r="D873" s="1" t="s">
        <v>2429</v>
      </c>
      <c r="E873" s="1">
        <v>0</v>
      </c>
      <c r="F873" s="1">
        <v>3.58</v>
      </c>
      <c r="G873" s="1">
        <v>3.93</v>
      </c>
      <c r="H873" s="1">
        <v>3.15</v>
      </c>
      <c r="I873" s="1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43696.718888888892</v>
      </c>
      <c r="B874" s="1" t="s">
        <v>2407</v>
      </c>
      <c r="C874" s="1" t="s">
        <v>2450</v>
      </c>
      <c r="D874" s="1" t="s">
        <v>2429</v>
      </c>
      <c r="E874" s="1">
        <v>0</v>
      </c>
      <c r="F874" s="1">
        <v>3.58</v>
      </c>
      <c r="G874" s="1">
        <v>3.93</v>
      </c>
      <c r="H874" s="1">
        <v>3.15</v>
      </c>
      <c r="I874" s="1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43696.718969907408</v>
      </c>
      <c r="B875" s="1" t="s">
        <v>2407</v>
      </c>
      <c r="C875" s="1" t="s">
        <v>2450</v>
      </c>
      <c r="D875" s="1" t="s">
        <v>2429</v>
      </c>
      <c r="E875" s="1">
        <v>0</v>
      </c>
      <c r="F875" s="1">
        <v>3.58</v>
      </c>
      <c r="G875" s="1">
        <v>3.93</v>
      </c>
      <c r="H875" s="1">
        <v>3.15</v>
      </c>
      <c r="I875" s="1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43697.470613425925</v>
      </c>
      <c r="B876" s="1" t="s">
        <v>2407</v>
      </c>
      <c r="C876" s="1" t="s">
        <v>2450</v>
      </c>
      <c r="D876" s="1" t="s">
        <v>2429</v>
      </c>
      <c r="E876" s="1">
        <v>0</v>
      </c>
      <c r="F876" s="1">
        <v>3.58</v>
      </c>
      <c r="G876" s="1">
        <v>3.93</v>
      </c>
      <c r="H876" s="1">
        <v>3.15</v>
      </c>
      <c r="I876" s="1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43697.487268518518</v>
      </c>
      <c r="B877" s="1" t="s">
        <v>2407</v>
      </c>
      <c r="C877" s="1" t="s">
        <v>2450</v>
      </c>
      <c r="D877" s="1" t="s">
        <v>2429</v>
      </c>
      <c r="E877" s="1">
        <v>0</v>
      </c>
      <c r="F877" s="1">
        <v>3.59</v>
      </c>
      <c r="G877" s="1">
        <v>3.93</v>
      </c>
      <c r="H877" s="1">
        <v>3.15</v>
      </c>
      <c r="I877" s="1">
        <v>0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43697.487326388888</v>
      </c>
      <c r="B878" s="1" t="s">
        <v>2407</v>
      </c>
      <c r="C878" s="1" t="s">
        <v>2376</v>
      </c>
      <c r="D878" s="1" t="b">
        <v>1</v>
      </c>
      <c r="E878" s="1" t="s">
        <v>2472</v>
      </c>
      <c r="F878" s="1">
        <v>3.59</v>
      </c>
      <c r="G878" s="1">
        <v>3.93</v>
      </c>
      <c r="H878" s="1">
        <v>3.15</v>
      </c>
      <c r="I878" s="1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43697.487395833334</v>
      </c>
      <c r="B879" s="1" t="s">
        <v>2407</v>
      </c>
      <c r="C879" s="1" t="s">
        <v>2450</v>
      </c>
      <c r="D879" s="1" t="s">
        <v>2378</v>
      </c>
      <c r="E879" s="1" t="s">
        <v>2462</v>
      </c>
      <c r="F879" s="1">
        <v>3.59</v>
      </c>
      <c r="G879" s="1">
        <v>3.93</v>
      </c>
      <c r="H879" s="1">
        <v>3.15</v>
      </c>
      <c r="I879" s="1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43697.487430555557</v>
      </c>
      <c r="B880" s="1" t="s">
        <v>2407</v>
      </c>
      <c r="C880" s="1" t="s">
        <v>2450</v>
      </c>
      <c r="D880" s="1" t="s">
        <v>2378</v>
      </c>
      <c r="E880" s="1" t="s">
        <v>2463</v>
      </c>
      <c r="F880" s="1">
        <v>3.59</v>
      </c>
      <c r="G880" s="1">
        <v>3.93</v>
      </c>
      <c r="H880" s="1">
        <v>3.15</v>
      </c>
      <c r="I880" s="1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43697.487453703703</v>
      </c>
      <c r="B881" s="1" t="s">
        <v>2407</v>
      </c>
      <c r="C881" s="1" t="s">
        <v>2450</v>
      </c>
      <c r="D881" s="1" t="s">
        <v>2378</v>
      </c>
      <c r="E881" s="1" t="s">
        <v>2728</v>
      </c>
      <c r="F881" s="1">
        <v>3.59</v>
      </c>
      <c r="G881" s="1">
        <v>3.93</v>
      </c>
      <c r="H881" s="1">
        <v>3.15</v>
      </c>
      <c r="I881" s="1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43697.487488425926</v>
      </c>
      <c r="B882" s="1" t="s">
        <v>2407</v>
      </c>
      <c r="C882" s="1" t="s">
        <v>2450</v>
      </c>
      <c r="D882" s="1" t="s">
        <v>2378</v>
      </c>
      <c r="E882" s="1" t="s">
        <v>2463</v>
      </c>
      <c r="F882" s="1">
        <v>3.59</v>
      </c>
      <c r="G882" s="1">
        <v>3.93</v>
      </c>
      <c r="H882" s="1">
        <v>3.15</v>
      </c>
      <c r="I882" s="1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43697.487870370373</v>
      </c>
      <c r="B883" s="1" t="s">
        <v>2407</v>
      </c>
      <c r="C883" s="1" t="s">
        <v>2729</v>
      </c>
      <c r="D883" s="1" t="s">
        <v>2730</v>
      </c>
      <c r="E883" s="1" t="s">
        <v>4</v>
      </c>
      <c r="F883" s="1">
        <v>3.59</v>
      </c>
      <c r="G883" s="1">
        <v>3.93</v>
      </c>
      <c r="H883" s="1">
        <v>3.15</v>
      </c>
      <c r="I883" s="1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43697.487870370373</v>
      </c>
      <c r="B884" s="1" t="s">
        <v>2407</v>
      </c>
      <c r="C884" s="1" t="s">
        <v>2729</v>
      </c>
      <c r="D884" s="1" t="s">
        <v>2731</v>
      </c>
      <c r="E884" s="1" t="s">
        <v>4</v>
      </c>
      <c r="F884" s="1">
        <v>3.59</v>
      </c>
      <c r="G884" s="1">
        <v>3.93</v>
      </c>
      <c r="H884" s="1">
        <v>3.15</v>
      </c>
      <c r="I884" s="1">
        <v>0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43697.48847222222</v>
      </c>
      <c r="B885" s="1" t="s">
        <v>2407</v>
      </c>
      <c r="C885" s="1" t="s">
        <v>2450</v>
      </c>
      <c r="D885" s="1" t="s">
        <v>2429</v>
      </c>
      <c r="E885" s="1">
        <v>0</v>
      </c>
      <c r="F885" s="1">
        <v>3.59</v>
      </c>
      <c r="G885" s="1">
        <v>3.93</v>
      </c>
      <c r="H885" s="1">
        <v>3.15</v>
      </c>
      <c r="I885" s="1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43697.488495370373</v>
      </c>
      <c r="B886" s="1" t="s">
        <v>2407</v>
      </c>
      <c r="C886" s="1" t="s">
        <v>2450</v>
      </c>
      <c r="D886" s="1" t="s">
        <v>2429</v>
      </c>
      <c r="E886" s="1">
        <v>0</v>
      </c>
      <c r="F886" s="1">
        <v>3.59</v>
      </c>
      <c r="G886" s="1">
        <v>3.93</v>
      </c>
      <c r="H886" s="1">
        <v>3.15</v>
      </c>
      <c r="I886" s="1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43697.488680555558</v>
      </c>
      <c r="B887" s="1" t="s">
        <v>2407</v>
      </c>
      <c r="C887" s="1" t="s">
        <v>2450</v>
      </c>
      <c r="D887" s="1" t="s">
        <v>2429</v>
      </c>
      <c r="E887" s="1">
        <v>0</v>
      </c>
      <c r="F887" s="1">
        <v>3.59</v>
      </c>
      <c r="G887" s="1">
        <v>3.93</v>
      </c>
      <c r="H887" s="1">
        <v>3.15</v>
      </c>
      <c r="I887" s="1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43697.489444444444</v>
      </c>
      <c r="B888" s="1" t="s">
        <v>2407</v>
      </c>
      <c r="C888" s="1" t="s">
        <v>2450</v>
      </c>
      <c r="D888" s="1" t="s">
        <v>2429</v>
      </c>
      <c r="E888" s="1">
        <v>1</v>
      </c>
      <c r="F888" s="1">
        <v>3.59</v>
      </c>
      <c r="G888" s="1">
        <v>3.93</v>
      </c>
      <c r="H888" s="1">
        <v>3.15</v>
      </c>
      <c r="I888" s="1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43697.557141203702</v>
      </c>
      <c r="B889" s="1" t="s">
        <v>2407</v>
      </c>
      <c r="C889" s="1" t="s">
        <v>2450</v>
      </c>
      <c r="D889" s="1" t="s">
        <v>2429</v>
      </c>
      <c r="E889" s="1">
        <v>1</v>
      </c>
      <c r="F889" s="1">
        <v>3.59</v>
      </c>
      <c r="G889" s="1">
        <v>3.93</v>
      </c>
      <c r="H889" s="1">
        <v>3.15</v>
      </c>
      <c r="I889" s="1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43697.557268518518</v>
      </c>
      <c r="B890" s="1" t="s">
        <v>2407</v>
      </c>
      <c r="C890" s="1" t="s">
        <v>2450</v>
      </c>
      <c r="D890" s="1" t="s">
        <v>2429</v>
      </c>
      <c r="E890" s="1">
        <v>0</v>
      </c>
      <c r="F890" s="1">
        <v>3.59</v>
      </c>
      <c r="G890" s="1">
        <v>3.93</v>
      </c>
      <c r="H890" s="1">
        <v>3.15</v>
      </c>
      <c r="I890" s="1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43697.557303240741</v>
      </c>
      <c r="B891" s="1" t="s">
        <v>2407</v>
      </c>
      <c r="C891" s="1" t="s">
        <v>2450</v>
      </c>
      <c r="D891" s="1" t="s">
        <v>2429</v>
      </c>
      <c r="E891" s="1">
        <v>0</v>
      </c>
      <c r="F891" s="1">
        <v>3.59</v>
      </c>
      <c r="G891" s="1">
        <v>3.93</v>
      </c>
      <c r="H891" s="1">
        <v>3.15</v>
      </c>
      <c r="I891" s="1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43697.557384259257</v>
      </c>
      <c r="B892" s="1" t="s">
        <v>2407</v>
      </c>
      <c r="C892" s="1" t="s">
        <v>2450</v>
      </c>
      <c r="D892" s="1" t="s">
        <v>2429</v>
      </c>
      <c r="E892" s="1">
        <v>0</v>
      </c>
      <c r="F892" s="1">
        <v>3.59</v>
      </c>
      <c r="G892" s="1">
        <v>3.93</v>
      </c>
      <c r="H892" s="1">
        <v>3.15</v>
      </c>
      <c r="I892" s="1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43697.557870370372</v>
      </c>
      <c r="B893" s="1" t="s">
        <v>2407</v>
      </c>
      <c r="C893" s="1" t="s">
        <v>2450</v>
      </c>
      <c r="D893" s="1" t="s">
        <v>2429</v>
      </c>
      <c r="E893" s="1">
        <v>0</v>
      </c>
      <c r="F893" s="1">
        <v>3.59</v>
      </c>
      <c r="G893" s="1">
        <v>3.93</v>
      </c>
      <c r="H893" s="1">
        <v>3.15</v>
      </c>
      <c r="I893" s="1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43697.558055555557</v>
      </c>
      <c r="B894" s="1" t="s">
        <v>2407</v>
      </c>
      <c r="C894" s="1" t="s">
        <v>2450</v>
      </c>
      <c r="D894" s="1" t="s">
        <v>2429</v>
      </c>
      <c r="E894" s="1">
        <v>0</v>
      </c>
      <c r="F894" s="1">
        <v>3.59</v>
      </c>
      <c r="G894" s="1">
        <v>3.93</v>
      </c>
      <c r="H894" s="1">
        <v>3.15</v>
      </c>
      <c r="I894" s="1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43697.559953703705</v>
      </c>
      <c r="B895" s="1" t="s">
        <v>2407</v>
      </c>
      <c r="C895" s="1" t="s">
        <v>2732</v>
      </c>
      <c r="D895" s="1"/>
      <c r="E895" s="1" t="s">
        <v>2378</v>
      </c>
      <c r="F895" s="1">
        <v>3.59</v>
      </c>
      <c r="G895" s="1">
        <v>3.93</v>
      </c>
      <c r="H895" s="1">
        <v>3.15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43697.560011574074</v>
      </c>
      <c r="B896" s="1" t="s">
        <v>2407</v>
      </c>
      <c r="C896" s="1" t="s">
        <v>2470</v>
      </c>
      <c r="D896" s="1" t="s">
        <v>2431</v>
      </c>
      <c r="E896" s="1" t="s">
        <v>2378</v>
      </c>
      <c r="F896" s="1">
        <v>3.59</v>
      </c>
      <c r="G896" s="1">
        <v>3.93</v>
      </c>
      <c r="H896" s="1">
        <v>3.15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43697.795486111114</v>
      </c>
      <c r="B897" s="1" t="s">
        <v>2407</v>
      </c>
      <c r="C897" s="1" t="s">
        <v>2732</v>
      </c>
      <c r="D897" s="1" t="s">
        <v>2382</v>
      </c>
      <c r="E897" s="1" t="s">
        <v>2379</v>
      </c>
      <c r="F897" s="1">
        <v>3.59</v>
      </c>
      <c r="G897" s="1">
        <v>3.93</v>
      </c>
      <c r="H897" s="1">
        <v>3.15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43697.79550925926</v>
      </c>
      <c r="B898" s="1" t="s">
        <v>2407</v>
      </c>
      <c r="C898" s="1" t="s">
        <v>2733</v>
      </c>
      <c r="D898" s="1" t="s">
        <v>2390</v>
      </c>
      <c r="E898" s="1"/>
      <c r="F898" s="1">
        <v>3.59</v>
      </c>
      <c r="G898" s="1">
        <v>3.93</v>
      </c>
      <c r="H898" s="1">
        <v>3.15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43697.79550925926</v>
      </c>
      <c r="B899" s="1" t="s">
        <v>2407</v>
      </c>
      <c r="C899" s="1" t="s">
        <v>2734</v>
      </c>
      <c r="D899" s="1" t="s">
        <v>2390</v>
      </c>
      <c r="E899" s="1"/>
      <c r="F899" s="1">
        <v>3.59</v>
      </c>
      <c r="G899" s="1">
        <v>3.93</v>
      </c>
      <c r="H899" s="1">
        <v>3.15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43697.79550925926</v>
      </c>
      <c r="B900" s="1" t="s">
        <v>2407</v>
      </c>
      <c r="C900" s="1" t="s">
        <v>2735</v>
      </c>
      <c r="D900" s="1" t="s">
        <v>2390</v>
      </c>
      <c r="E900" s="1"/>
      <c r="F900" s="1">
        <v>3.59</v>
      </c>
      <c r="G900" s="1">
        <v>3.93</v>
      </c>
      <c r="H900" s="1">
        <v>3.15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43697.795520833337</v>
      </c>
      <c r="B901" s="1" t="s">
        <v>2407</v>
      </c>
      <c r="C901" s="1" t="s">
        <v>2736</v>
      </c>
      <c r="D901" s="1" t="s">
        <v>2382</v>
      </c>
      <c r="E901" s="1" t="s">
        <v>2379</v>
      </c>
      <c r="F901" s="1">
        <v>3.59</v>
      </c>
      <c r="G901" s="1">
        <v>3.93</v>
      </c>
      <c r="H901" s="1">
        <v>3.15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43697.795636574076</v>
      </c>
      <c r="B902" s="1" t="s">
        <v>2407</v>
      </c>
      <c r="C902" s="1" t="s">
        <v>2733</v>
      </c>
      <c r="D902" s="1" t="s">
        <v>2390</v>
      </c>
      <c r="E902" s="1"/>
      <c r="F902" s="1">
        <v>3.59</v>
      </c>
      <c r="G902" s="1">
        <v>3.93</v>
      </c>
      <c r="H902" s="1">
        <v>3.15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43697.795636574076</v>
      </c>
      <c r="B903" s="1" t="s">
        <v>2407</v>
      </c>
      <c r="C903" s="1" t="s">
        <v>2734</v>
      </c>
      <c r="D903" s="1" t="s">
        <v>2390</v>
      </c>
      <c r="E903" s="1"/>
      <c r="F903" s="1">
        <v>3.59</v>
      </c>
      <c r="G903" s="1">
        <v>3.93</v>
      </c>
      <c r="H903" s="1">
        <v>3.15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43697.795636574076</v>
      </c>
      <c r="B904" s="1" t="s">
        <v>2407</v>
      </c>
      <c r="C904" s="1" t="s">
        <v>2735</v>
      </c>
      <c r="D904" s="1" t="s">
        <v>2390</v>
      </c>
      <c r="E904" s="1"/>
      <c r="F904" s="1">
        <v>3.59</v>
      </c>
      <c r="G904" s="1">
        <v>3.93</v>
      </c>
      <c r="H904" s="1">
        <v>3.15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43697.795648148145</v>
      </c>
      <c r="B905" s="1" t="s">
        <v>2407</v>
      </c>
      <c r="C905" s="1" t="s">
        <v>2737</v>
      </c>
      <c r="D905" s="1"/>
      <c r="E905" s="1">
        <v>101</v>
      </c>
      <c r="F905" s="1">
        <v>3.59</v>
      </c>
      <c r="G905" s="1">
        <v>3.93</v>
      </c>
      <c r="H905" s="1">
        <v>3.15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43697.795648148145</v>
      </c>
      <c r="B906" s="1" t="s">
        <v>2407</v>
      </c>
      <c r="C906" s="1" t="s">
        <v>2738</v>
      </c>
      <c r="D906" s="1" t="s">
        <v>2390</v>
      </c>
      <c r="E906" s="1" t="s">
        <v>2739</v>
      </c>
      <c r="F906" s="1">
        <v>3.59</v>
      </c>
      <c r="G906" s="1">
        <v>3.93</v>
      </c>
      <c r="H906" s="1">
        <v>3.15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43697.795648148145</v>
      </c>
      <c r="B907" s="1" t="s">
        <v>2407</v>
      </c>
      <c r="C907" s="1" t="s">
        <v>2737</v>
      </c>
      <c r="D907" s="1"/>
      <c r="E907" s="1">
        <v>104</v>
      </c>
      <c r="F907" s="1">
        <v>3.59</v>
      </c>
      <c r="G907" s="1">
        <v>3.93</v>
      </c>
      <c r="H907" s="1">
        <v>3.15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43697.795648148145</v>
      </c>
      <c r="B908" s="1" t="s">
        <v>2407</v>
      </c>
      <c r="C908" s="1" t="s">
        <v>2737</v>
      </c>
      <c r="D908" s="1"/>
      <c r="E908" s="1">
        <v>104</v>
      </c>
      <c r="F908" s="1">
        <v>3.59</v>
      </c>
      <c r="G908" s="1">
        <v>3.93</v>
      </c>
      <c r="H908" s="1">
        <v>3.15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43697.795648148145</v>
      </c>
      <c r="B909" s="1" t="s">
        <v>2407</v>
      </c>
      <c r="C909" s="1" t="s">
        <v>2737</v>
      </c>
      <c r="D909" s="1"/>
      <c r="E909" s="1">
        <v>104</v>
      </c>
      <c r="F909" s="1">
        <v>3.59</v>
      </c>
      <c r="G909" s="1">
        <v>3.93</v>
      </c>
      <c r="H909" s="1">
        <v>3.15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43697.795648148145</v>
      </c>
      <c r="B910" s="1" t="s">
        <v>2407</v>
      </c>
      <c r="C910" s="1" t="s">
        <v>2740</v>
      </c>
      <c r="D910" s="1" t="s">
        <v>2390</v>
      </c>
      <c r="E910" s="1" t="s">
        <v>2741</v>
      </c>
      <c r="F910" s="1">
        <v>3.59</v>
      </c>
      <c r="G910" s="1">
        <v>3.93</v>
      </c>
      <c r="H910" s="1">
        <v>3.15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43697.795648148145</v>
      </c>
      <c r="B911" s="1" t="s">
        <v>2407</v>
      </c>
      <c r="C911" s="1" t="s">
        <v>2737</v>
      </c>
      <c r="D911" s="1"/>
      <c r="E911" s="1">
        <v>109</v>
      </c>
      <c r="F911" s="1">
        <v>3.59</v>
      </c>
      <c r="G911" s="1">
        <v>3.93</v>
      </c>
      <c r="H911" s="1">
        <v>3.15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43697.795648148145</v>
      </c>
      <c r="B912" s="1" t="s">
        <v>2407</v>
      </c>
      <c r="C912" s="1" t="s">
        <v>2737</v>
      </c>
      <c r="D912" s="1"/>
      <c r="E912" s="1">
        <v>109</v>
      </c>
      <c r="F912" s="1">
        <v>3.59</v>
      </c>
      <c r="G912" s="1">
        <v>3.93</v>
      </c>
      <c r="H912" s="1">
        <v>3.15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43697.795648148145</v>
      </c>
      <c r="B913" s="1" t="s">
        <v>2407</v>
      </c>
      <c r="C913" s="1" t="s">
        <v>2742</v>
      </c>
      <c r="D913" s="1" t="s">
        <v>2390</v>
      </c>
      <c r="E913" s="1" t="s">
        <v>2743</v>
      </c>
      <c r="F913" s="1">
        <v>3.59</v>
      </c>
      <c r="G913" s="1">
        <v>3.93</v>
      </c>
      <c r="H913" s="1">
        <v>3.15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43697.795648148145</v>
      </c>
      <c r="B914" s="1" t="s">
        <v>2407</v>
      </c>
      <c r="C914" s="1" t="s">
        <v>2737</v>
      </c>
      <c r="D914" s="1"/>
      <c r="E914" s="1">
        <v>105</v>
      </c>
      <c r="F914" s="1">
        <v>3.59</v>
      </c>
      <c r="G914" s="1">
        <v>3.93</v>
      </c>
      <c r="H914" s="1">
        <v>3.15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43697.795648148145</v>
      </c>
      <c r="B915" s="1" t="s">
        <v>2407</v>
      </c>
      <c r="C915" s="1" t="s">
        <v>2744</v>
      </c>
      <c r="D915" s="1"/>
      <c r="E915" s="1">
        <v>103</v>
      </c>
      <c r="F915" s="1">
        <v>3.59</v>
      </c>
      <c r="G915" s="1">
        <v>3.93</v>
      </c>
      <c r="H915" s="1">
        <v>3.15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x14ac:dyDescent="0.25">
      <c r="A916" s="11">
        <v>43697.795648148145</v>
      </c>
      <c r="B916" t="s">
        <v>2407</v>
      </c>
      <c r="C916" t="s">
        <v>2745</v>
      </c>
      <c r="D916" t="s">
        <v>2390</v>
      </c>
      <c r="E916" t="s">
        <v>2746</v>
      </c>
      <c r="F916">
        <v>3.59</v>
      </c>
      <c r="G916">
        <v>3.93</v>
      </c>
      <c r="H916">
        <v>3.15</v>
      </c>
      <c r="I916">
        <v>1</v>
      </c>
      <c r="J916" t="b">
        <v>0</v>
      </c>
      <c r="K916" t="b">
        <v>0</v>
      </c>
      <c r="L916" t="b">
        <v>0</v>
      </c>
      <c r="M916" t="b">
        <v>0</v>
      </c>
      <c r="N916" t="b">
        <v>1</v>
      </c>
      <c r="O916" t="b">
        <v>0</v>
      </c>
    </row>
    <row r="917" spans="1:15" x14ac:dyDescent="0.25">
      <c r="A917" s="11">
        <v>43697.795648148145</v>
      </c>
      <c r="B917" t="s">
        <v>2407</v>
      </c>
      <c r="C917" t="s">
        <v>2744</v>
      </c>
      <c r="E917">
        <v>112</v>
      </c>
      <c r="F917">
        <v>3.59</v>
      </c>
      <c r="G917">
        <v>3.93</v>
      </c>
      <c r="H917">
        <v>3.15</v>
      </c>
      <c r="I917">
        <v>1</v>
      </c>
      <c r="J917" t="b">
        <v>0</v>
      </c>
      <c r="K917" t="b">
        <v>0</v>
      </c>
      <c r="L917" t="b">
        <v>0</v>
      </c>
      <c r="M917" t="b">
        <v>0</v>
      </c>
      <c r="N917" t="b">
        <v>1</v>
      </c>
      <c r="O917" t="b">
        <v>0</v>
      </c>
    </row>
    <row r="918" spans="1:15" x14ac:dyDescent="0.25">
      <c r="A918" s="11">
        <v>43697.795648148145</v>
      </c>
      <c r="B918" t="s">
        <v>2407</v>
      </c>
      <c r="C918" t="s">
        <v>2744</v>
      </c>
      <c r="E918">
        <v>112</v>
      </c>
      <c r="F918">
        <v>3.59</v>
      </c>
      <c r="G918">
        <v>3.93</v>
      </c>
      <c r="H918">
        <v>3.15</v>
      </c>
      <c r="I918">
        <v>1</v>
      </c>
      <c r="J918" t="b">
        <v>0</v>
      </c>
      <c r="K918" t="b">
        <v>0</v>
      </c>
      <c r="L918" t="b">
        <v>0</v>
      </c>
      <c r="M918" t="b">
        <v>0</v>
      </c>
      <c r="N918" t="b">
        <v>1</v>
      </c>
      <c r="O918" t="b">
        <v>0</v>
      </c>
    </row>
    <row r="919" spans="1:15" x14ac:dyDescent="0.25">
      <c r="A919" s="11">
        <v>43697.795648148145</v>
      </c>
      <c r="B919" t="s">
        <v>2407</v>
      </c>
      <c r="C919" t="s">
        <v>2744</v>
      </c>
      <c r="E919">
        <v>112</v>
      </c>
      <c r="F919">
        <v>3.59</v>
      </c>
      <c r="G919">
        <v>3.93</v>
      </c>
      <c r="H919">
        <v>3.15</v>
      </c>
      <c r="I919">
        <v>1</v>
      </c>
      <c r="J919" t="b">
        <v>0</v>
      </c>
      <c r="K919" t="b">
        <v>0</v>
      </c>
      <c r="L919" t="b">
        <v>0</v>
      </c>
      <c r="M919" t="b">
        <v>0</v>
      </c>
      <c r="N919" t="b">
        <v>1</v>
      </c>
      <c r="O919" t="b">
        <v>0</v>
      </c>
    </row>
    <row r="920" spans="1:15" x14ac:dyDescent="0.25">
      <c r="A920" s="11">
        <v>43697.795648148145</v>
      </c>
      <c r="B920" t="s">
        <v>2407</v>
      </c>
      <c r="C920" t="s">
        <v>2747</v>
      </c>
      <c r="D920" t="s">
        <v>2390</v>
      </c>
      <c r="E920" t="s">
        <v>2748</v>
      </c>
      <c r="F920">
        <v>3.59</v>
      </c>
      <c r="G920">
        <v>3.93</v>
      </c>
      <c r="H920">
        <v>3.15</v>
      </c>
      <c r="I920">
        <v>1</v>
      </c>
      <c r="J920" t="b">
        <v>0</v>
      </c>
      <c r="K920" t="b">
        <v>0</v>
      </c>
      <c r="L920" t="b">
        <v>0</v>
      </c>
      <c r="M920" t="b">
        <v>0</v>
      </c>
      <c r="N920" t="b">
        <v>1</v>
      </c>
      <c r="O920" t="b">
        <v>0</v>
      </c>
    </row>
    <row r="921" spans="1:15" x14ac:dyDescent="0.25">
      <c r="A921" s="11">
        <v>43697.795648148145</v>
      </c>
      <c r="B921" t="s">
        <v>2407</v>
      </c>
      <c r="C921" t="s">
        <v>2383</v>
      </c>
      <c r="D921" t="s">
        <v>2384</v>
      </c>
      <c r="E921" s="12" t="s">
        <v>2385</v>
      </c>
      <c r="F921">
        <v>3.59</v>
      </c>
      <c r="G921">
        <v>3.93</v>
      </c>
      <c r="H921">
        <v>3.15</v>
      </c>
      <c r="I921">
        <v>1</v>
      </c>
      <c r="J921" t="b">
        <v>0</v>
      </c>
      <c r="K921" t="b">
        <v>0</v>
      </c>
      <c r="L921" t="b">
        <v>0</v>
      </c>
      <c r="M921" t="b">
        <v>0</v>
      </c>
      <c r="N921" t="b">
        <v>1</v>
      </c>
      <c r="O921" t="b">
        <v>0</v>
      </c>
    </row>
    <row r="922" spans="1:15" x14ac:dyDescent="0.25">
      <c r="A922" s="11">
        <v>43697.795648148145</v>
      </c>
      <c r="B922" t="s">
        <v>2407</v>
      </c>
      <c r="C922" t="s">
        <v>2383</v>
      </c>
      <c r="D922" t="s">
        <v>2386</v>
      </c>
      <c r="E922">
        <v>0</v>
      </c>
      <c r="F922">
        <v>3.59</v>
      </c>
      <c r="G922">
        <v>3.93</v>
      </c>
      <c r="H922">
        <v>3.15</v>
      </c>
      <c r="I922">
        <v>1</v>
      </c>
      <c r="J922" t="b">
        <v>0</v>
      </c>
      <c r="K922" t="b">
        <v>0</v>
      </c>
      <c r="L922" t="b">
        <v>0</v>
      </c>
      <c r="M922" t="b">
        <v>0</v>
      </c>
      <c r="N922" t="b">
        <v>1</v>
      </c>
      <c r="O922" t="b">
        <v>0</v>
      </c>
    </row>
    <row r="923" spans="1:15" x14ac:dyDescent="0.25">
      <c r="A923" s="11">
        <v>43697.795648148145</v>
      </c>
      <c r="B923" t="s">
        <v>2407</v>
      </c>
      <c r="C923" t="s">
        <v>2383</v>
      </c>
      <c r="D923" t="s">
        <v>2387</v>
      </c>
      <c r="E923">
        <v>1386</v>
      </c>
      <c r="F923">
        <v>3.59</v>
      </c>
      <c r="G923">
        <v>3.93</v>
      </c>
      <c r="H923">
        <v>3.15</v>
      </c>
      <c r="I923">
        <v>1</v>
      </c>
      <c r="J923" t="b">
        <v>0</v>
      </c>
      <c r="K923" t="b">
        <v>0</v>
      </c>
      <c r="L923" t="b">
        <v>0</v>
      </c>
      <c r="M923" t="b">
        <v>0</v>
      </c>
      <c r="N923" t="b">
        <v>1</v>
      </c>
      <c r="O923" t="b">
        <v>0</v>
      </c>
    </row>
    <row r="924" spans="1:15" x14ac:dyDescent="0.25">
      <c r="A924" s="11">
        <v>43697.795648148145</v>
      </c>
      <c r="B924" t="s">
        <v>2407</v>
      </c>
      <c r="C924" t="s">
        <v>2383</v>
      </c>
      <c r="D924" t="s">
        <v>2381</v>
      </c>
      <c r="E924">
        <v>0</v>
      </c>
      <c r="F924">
        <v>3.59</v>
      </c>
      <c r="G924">
        <v>3.93</v>
      </c>
      <c r="H924">
        <v>3.15</v>
      </c>
      <c r="I924">
        <v>1</v>
      </c>
      <c r="J924" t="b">
        <v>0</v>
      </c>
      <c r="K924" t="b">
        <v>0</v>
      </c>
      <c r="L924" t="b">
        <v>0</v>
      </c>
      <c r="M924" t="b">
        <v>0</v>
      </c>
      <c r="N924" t="b">
        <v>1</v>
      </c>
      <c r="O924" t="b">
        <v>0</v>
      </c>
    </row>
    <row r="925" spans="1:15" x14ac:dyDescent="0.25">
      <c r="A925" s="11">
        <v>43697.795648148145</v>
      </c>
      <c r="B925" t="s">
        <v>2407</v>
      </c>
      <c r="C925" t="s">
        <v>2383</v>
      </c>
      <c r="D925" t="s">
        <v>2388</v>
      </c>
      <c r="E925" t="s">
        <v>2749</v>
      </c>
      <c r="F925">
        <v>3.59</v>
      </c>
      <c r="G925">
        <v>3.93</v>
      </c>
      <c r="H925">
        <v>3.15</v>
      </c>
      <c r="I925">
        <v>1</v>
      </c>
      <c r="J925" t="b">
        <v>0</v>
      </c>
      <c r="K925" t="b">
        <v>0</v>
      </c>
      <c r="L925" t="b">
        <v>0</v>
      </c>
      <c r="M925" t="b">
        <v>0</v>
      </c>
      <c r="N925" t="b">
        <v>1</v>
      </c>
      <c r="O925" t="b">
        <v>0</v>
      </c>
    </row>
    <row r="926" spans="1:15" x14ac:dyDescent="0.25">
      <c r="A926" s="11">
        <v>43697.795648148145</v>
      </c>
      <c r="B926" t="s">
        <v>2407</v>
      </c>
      <c r="C926" t="s">
        <v>2383</v>
      </c>
      <c r="D926" t="s">
        <v>2389</v>
      </c>
      <c r="E926" s="12" t="s">
        <v>2385</v>
      </c>
      <c r="F926">
        <v>3.59</v>
      </c>
      <c r="G926">
        <v>3.93</v>
      </c>
      <c r="H926">
        <v>3.15</v>
      </c>
      <c r="I926">
        <v>1</v>
      </c>
      <c r="J926" t="b">
        <v>0</v>
      </c>
      <c r="K926" t="b">
        <v>0</v>
      </c>
      <c r="L926" t="b">
        <v>0</v>
      </c>
      <c r="M926" t="b">
        <v>0</v>
      </c>
      <c r="N926" t="b">
        <v>1</v>
      </c>
      <c r="O926" t="b">
        <v>0</v>
      </c>
    </row>
    <row r="927" spans="1:15" x14ac:dyDescent="0.25">
      <c r="A927" s="11">
        <v>43697.795659722222</v>
      </c>
      <c r="B927" t="s">
        <v>2407</v>
      </c>
      <c r="C927" t="s">
        <v>2736</v>
      </c>
      <c r="D927" t="s">
        <v>2382</v>
      </c>
      <c r="E927" t="s">
        <v>2378</v>
      </c>
      <c r="F927">
        <v>3.59</v>
      </c>
      <c r="G927">
        <v>3.93</v>
      </c>
      <c r="H927">
        <v>3.15</v>
      </c>
      <c r="I927">
        <v>1</v>
      </c>
      <c r="J927" t="b">
        <v>0</v>
      </c>
      <c r="K927" t="b">
        <v>0</v>
      </c>
      <c r="L927" t="b">
        <v>0</v>
      </c>
      <c r="M927" t="b">
        <v>0</v>
      </c>
      <c r="N927" t="b">
        <v>1</v>
      </c>
      <c r="O927" t="b">
        <v>0</v>
      </c>
    </row>
    <row r="928" spans="1:15" x14ac:dyDescent="0.25">
      <c r="A928" s="11">
        <v>43697.796122685184</v>
      </c>
      <c r="B928" t="s">
        <v>2407</v>
      </c>
      <c r="C928" t="s">
        <v>2733</v>
      </c>
      <c r="D928" t="s">
        <v>2390</v>
      </c>
      <c r="F928">
        <v>3.59</v>
      </c>
      <c r="G928">
        <v>3.93</v>
      </c>
      <c r="H928">
        <v>3.15</v>
      </c>
      <c r="I928">
        <v>1</v>
      </c>
      <c r="J928" t="b">
        <v>0</v>
      </c>
      <c r="K928" t="b">
        <v>0</v>
      </c>
      <c r="L928" t="b">
        <v>0</v>
      </c>
      <c r="M928" t="b">
        <v>0</v>
      </c>
      <c r="N928" t="b">
        <v>1</v>
      </c>
      <c r="O928" t="b">
        <v>0</v>
      </c>
    </row>
    <row r="929" spans="1:15" x14ac:dyDescent="0.25">
      <c r="A929" s="11">
        <v>43697.796122685184</v>
      </c>
      <c r="B929" t="s">
        <v>2407</v>
      </c>
      <c r="C929" t="s">
        <v>2734</v>
      </c>
      <c r="D929" t="s">
        <v>2390</v>
      </c>
      <c r="F929">
        <v>3.59</v>
      </c>
      <c r="G929">
        <v>3.93</v>
      </c>
      <c r="H929">
        <v>3.15</v>
      </c>
      <c r="I929">
        <v>1</v>
      </c>
      <c r="J929" t="b">
        <v>0</v>
      </c>
      <c r="K929" t="b">
        <v>0</v>
      </c>
      <c r="L929" t="b">
        <v>0</v>
      </c>
      <c r="M929" t="b">
        <v>0</v>
      </c>
      <c r="N929" t="b">
        <v>1</v>
      </c>
      <c r="O929" t="b">
        <v>0</v>
      </c>
    </row>
    <row r="930" spans="1:15" x14ac:dyDescent="0.25">
      <c r="A930" s="11">
        <v>43697.796122685184</v>
      </c>
      <c r="B930" t="s">
        <v>2407</v>
      </c>
      <c r="C930" t="s">
        <v>2735</v>
      </c>
      <c r="D930" t="s">
        <v>2390</v>
      </c>
      <c r="F930">
        <v>3.59</v>
      </c>
      <c r="G930">
        <v>3.93</v>
      </c>
      <c r="H930">
        <v>3.15</v>
      </c>
      <c r="I930">
        <v>1</v>
      </c>
      <c r="J930" t="b">
        <v>0</v>
      </c>
      <c r="K930" t="b">
        <v>0</v>
      </c>
      <c r="L930" t="b">
        <v>0</v>
      </c>
      <c r="M930" t="b">
        <v>0</v>
      </c>
      <c r="N930" t="b">
        <v>1</v>
      </c>
      <c r="O930" t="b">
        <v>0</v>
      </c>
    </row>
    <row r="931" spans="1:15" x14ac:dyDescent="0.25">
      <c r="A931" s="11">
        <v>43697.796134259261</v>
      </c>
      <c r="B931" t="s">
        <v>2407</v>
      </c>
      <c r="C931" t="s">
        <v>2737</v>
      </c>
      <c r="E931">
        <v>101</v>
      </c>
      <c r="F931">
        <v>3.59</v>
      </c>
      <c r="G931">
        <v>3.93</v>
      </c>
      <c r="H931">
        <v>3.15</v>
      </c>
      <c r="I931">
        <v>1</v>
      </c>
      <c r="J931" t="b">
        <v>0</v>
      </c>
      <c r="K931" t="b">
        <v>0</v>
      </c>
      <c r="L931" t="b">
        <v>0</v>
      </c>
      <c r="M931" t="b">
        <v>0</v>
      </c>
      <c r="N931" t="b">
        <v>1</v>
      </c>
      <c r="O931" t="b">
        <v>0</v>
      </c>
    </row>
    <row r="932" spans="1:15" x14ac:dyDescent="0.25">
      <c r="A932" s="11">
        <v>43697.799004629633</v>
      </c>
      <c r="B932" t="s">
        <v>2407</v>
      </c>
      <c r="C932" t="s">
        <v>2738</v>
      </c>
      <c r="D932" t="s">
        <v>2390</v>
      </c>
      <c r="E932" t="s">
        <v>2739</v>
      </c>
      <c r="F932">
        <v>3.59</v>
      </c>
      <c r="G932">
        <v>3.93</v>
      </c>
      <c r="H932">
        <v>3.15</v>
      </c>
      <c r="I932">
        <v>1</v>
      </c>
      <c r="J932" t="b">
        <v>0</v>
      </c>
      <c r="K932" t="b">
        <v>0</v>
      </c>
      <c r="L932" t="b">
        <v>0</v>
      </c>
      <c r="M932" t="b">
        <v>0</v>
      </c>
      <c r="N932" t="b">
        <v>1</v>
      </c>
      <c r="O932" t="b">
        <v>0</v>
      </c>
    </row>
    <row r="933" spans="1:15" x14ac:dyDescent="0.25">
      <c r="A933" s="11">
        <v>43697.799004629633</v>
      </c>
      <c r="B933" t="s">
        <v>2407</v>
      </c>
      <c r="C933" t="s">
        <v>2737</v>
      </c>
      <c r="E933">
        <v>104</v>
      </c>
      <c r="F933">
        <v>3.59</v>
      </c>
      <c r="G933">
        <v>3.93</v>
      </c>
      <c r="H933">
        <v>3.15</v>
      </c>
      <c r="I933">
        <v>1</v>
      </c>
      <c r="J933" t="b">
        <v>0</v>
      </c>
      <c r="K933" t="b">
        <v>0</v>
      </c>
      <c r="L933" t="b">
        <v>0</v>
      </c>
      <c r="M933" t="b">
        <v>0</v>
      </c>
      <c r="N933" t="b">
        <v>1</v>
      </c>
      <c r="O933" t="b">
        <v>0</v>
      </c>
    </row>
    <row r="934" spans="1:15" x14ac:dyDescent="0.25">
      <c r="A934" s="11">
        <v>43697.799004629633</v>
      </c>
      <c r="B934" t="s">
        <v>2407</v>
      </c>
      <c r="C934" t="s">
        <v>2737</v>
      </c>
      <c r="E934">
        <v>104</v>
      </c>
      <c r="F934">
        <v>3.59</v>
      </c>
      <c r="G934">
        <v>3.93</v>
      </c>
      <c r="H934">
        <v>3.15</v>
      </c>
      <c r="I934">
        <v>1</v>
      </c>
      <c r="J934" t="b">
        <v>0</v>
      </c>
      <c r="K934" t="b">
        <v>0</v>
      </c>
      <c r="L934" t="b">
        <v>0</v>
      </c>
      <c r="M934" t="b">
        <v>0</v>
      </c>
      <c r="N934" t="b">
        <v>1</v>
      </c>
      <c r="O934" t="b">
        <v>0</v>
      </c>
    </row>
    <row r="935" spans="1:15" x14ac:dyDescent="0.25">
      <c r="A935" s="11">
        <v>43697.799004629633</v>
      </c>
      <c r="B935" t="s">
        <v>2407</v>
      </c>
      <c r="C935" t="s">
        <v>2737</v>
      </c>
      <c r="E935">
        <v>104</v>
      </c>
      <c r="F935">
        <v>3.59</v>
      </c>
      <c r="G935">
        <v>3.93</v>
      </c>
      <c r="H935">
        <v>3.15</v>
      </c>
      <c r="I935">
        <v>1</v>
      </c>
      <c r="J935" t="b">
        <v>0</v>
      </c>
      <c r="K935" t="b">
        <v>0</v>
      </c>
      <c r="L935" t="b">
        <v>0</v>
      </c>
      <c r="M935" t="b">
        <v>0</v>
      </c>
      <c r="N935" t="b">
        <v>1</v>
      </c>
      <c r="O935" t="b">
        <v>0</v>
      </c>
    </row>
    <row r="936" spans="1:15" x14ac:dyDescent="0.25">
      <c r="A936" s="11">
        <v>43697.799050925925</v>
      </c>
      <c r="B936" t="s">
        <v>2407</v>
      </c>
      <c r="C936" t="s">
        <v>2740</v>
      </c>
      <c r="D936" t="s">
        <v>2390</v>
      </c>
      <c r="E936" t="s">
        <v>2741</v>
      </c>
      <c r="F936">
        <v>3.59</v>
      </c>
      <c r="G936">
        <v>3.93</v>
      </c>
      <c r="H936">
        <v>3.15</v>
      </c>
      <c r="I936">
        <v>1</v>
      </c>
      <c r="J936" t="b">
        <v>0</v>
      </c>
      <c r="K936" t="b">
        <v>0</v>
      </c>
      <c r="L936" t="b">
        <v>0</v>
      </c>
      <c r="M936" t="b">
        <v>0</v>
      </c>
      <c r="N936" t="b">
        <v>1</v>
      </c>
      <c r="O936" t="b">
        <v>0</v>
      </c>
    </row>
    <row r="937" spans="1:15" x14ac:dyDescent="0.25">
      <c r="A937" s="11">
        <v>43697.799050925925</v>
      </c>
      <c r="B937" t="s">
        <v>2407</v>
      </c>
      <c r="C937" t="s">
        <v>2737</v>
      </c>
      <c r="E937">
        <v>109</v>
      </c>
      <c r="F937">
        <v>3.59</v>
      </c>
      <c r="G937">
        <v>3.93</v>
      </c>
      <c r="H937">
        <v>3.15</v>
      </c>
      <c r="I937">
        <v>1</v>
      </c>
      <c r="J937" t="b">
        <v>0</v>
      </c>
      <c r="K937" t="b">
        <v>0</v>
      </c>
      <c r="L937" t="b">
        <v>0</v>
      </c>
      <c r="M937" t="b">
        <v>0</v>
      </c>
      <c r="N937" t="b">
        <v>1</v>
      </c>
      <c r="O937" t="b">
        <v>0</v>
      </c>
    </row>
    <row r="938" spans="1:15" x14ac:dyDescent="0.25">
      <c r="A938" s="11">
        <v>43697.799050925925</v>
      </c>
      <c r="B938" t="s">
        <v>2407</v>
      </c>
      <c r="C938" t="s">
        <v>2737</v>
      </c>
      <c r="E938">
        <v>109</v>
      </c>
      <c r="F938">
        <v>3.59</v>
      </c>
      <c r="G938">
        <v>3.93</v>
      </c>
      <c r="H938">
        <v>3.15</v>
      </c>
      <c r="I938">
        <v>1</v>
      </c>
      <c r="J938" t="b">
        <v>0</v>
      </c>
      <c r="K938" t="b">
        <v>0</v>
      </c>
      <c r="L938" t="b">
        <v>0</v>
      </c>
      <c r="M938" t="b">
        <v>0</v>
      </c>
      <c r="N938" t="b">
        <v>1</v>
      </c>
      <c r="O938" t="b">
        <v>0</v>
      </c>
    </row>
    <row r="939" spans="1:15" x14ac:dyDescent="0.25">
      <c r="A939" s="11">
        <v>43697.799050925925</v>
      </c>
      <c r="B939" t="s">
        <v>2407</v>
      </c>
      <c r="C939" t="s">
        <v>2742</v>
      </c>
      <c r="D939" t="s">
        <v>2390</v>
      </c>
      <c r="E939" t="s">
        <v>2743</v>
      </c>
      <c r="F939">
        <v>3.59</v>
      </c>
      <c r="G939">
        <v>3.93</v>
      </c>
      <c r="H939">
        <v>3.15</v>
      </c>
      <c r="I939">
        <v>1</v>
      </c>
      <c r="J939" t="b">
        <v>0</v>
      </c>
      <c r="K939" t="b">
        <v>0</v>
      </c>
      <c r="L939" t="b">
        <v>0</v>
      </c>
      <c r="M939" t="b">
        <v>0</v>
      </c>
      <c r="N939" t="b">
        <v>1</v>
      </c>
      <c r="O939" t="b">
        <v>0</v>
      </c>
    </row>
    <row r="940" spans="1:15" x14ac:dyDescent="0.25">
      <c r="A940" s="11">
        <v>43697.799050925925</v>
      </c>
      <c r="B940" t="s">
        <v>2407</v>
      </c>
      <c r="C940" t="s">
        <v>2737</v>
      </c>
      <c r="E940">
        <v>105</v>
      </c>
      <c r="F940">
        <v>3.59</v>
      </c>
      <c r="G940">
        <v>3.93</v>
      </c>
      <c r="H940">
        <v>3.15</v>
      </c>
      <c r="I940">
        <v>1</v>
      </c>
      <c r="J940" t="b">
        <v>0</v>
      </c>
      <c r="K940" t="b">
        <v>0</v>
      </c>
      <c r="L940" t="b">
        <v>0</v>
      </c>
      <c r="M940" t="b">
        <v>0</v>
      </c>
      <c r="N940" t="b">
        <v>1</v>
      </c>
      <c r="O940" t="b">
        <v>0</v>
      </c>
    </row>
    <row r="941" spans="1:15" x14ac:dyDescent="0.25">
      <c r="A941" s="11">
        <v>43697.799050925925</v>
      </c>
      <c r="B941" t="s">
        <v>2407</v>
      </c>
      <c r="C941" t="s">
        <v>2744</v>
      </c>
      <c r="E941">
        <v>103</v>
      </c>
      <c r="F941">
        <v>3.59</v>
      </c>
      <c r="G941">
        <v>3.93</v>
      </c>
      <c r="H941">
        <v>3.15</v>
      </c>
      <c r="I941">
        <v>1</v>
      </c>
      <c r="J941" t="b">
        <v>0</v>
      </c>
      <c r="K941" t="b">
        <v>0</v>
      </c>
      <c r="L941" t="b">
        <v>0</v>
      </c>
      <c r="M941" t="b">
        <v>0</v>
      </c>
      <c r="N941" t="b">
        <v>1</v>
      </c>
      <c r="O941" t="b">
        <v>0</v>
      </c>
    </row>
    <row r="942" spans="1:15" x14ac:dyDescent="0.25">
      <c r="A942" s="11">
        <v>43697.799050925925</v>
      </c>
      <c r="B942" t="s">
        <v>2407</v>
      </c>
      <c r="C942" t="s">
        <v>2745</v>
      </c>
      <c r="D942" t="s">
        <v>2390</v>
      </c>
      <c r="E942" t="s">
        <v>2746</v>
      </c>
      <c r="F942">
        <v>3.59</v>
      </c>
      <c r="G942">
        <v>3.93</v>
      </c>
      <c r="H942">
        <v>3.15</v>
      </c>
      <c r="I942">
        <v>1</v>
      </c>
      <c r="J942" t="b">
        <v>0</v>
      </c>
      <c r="K942" t="b">
        <v>0</v>
      </c>
      <c r="L942" t="b">
        <v>0</v>
      </c>
      <c r="M942" t="b">
        <v>0</v>
      </c>
      <c r="N942" t="b">
        <v>1</v>
      </c>
      <c r="O942" t="b">
        <v>0</v>
      </c>
    </row>
    <row r="943" spans="1:15" x14ac:dyDescent="0.25">
      <c r="A943" s="11">
        <v>43697.799050925925</v>
      </c>
      <c r="B943" t="s">
        <v>2407</v>
      </c>
      <c r="C943" t="s">
        <v>2744</v>
      </c>
      <c r="E943">
        <v>112</v>
      </c>
      <c r="F943">
        <v>3.59</v>
      </c>
      <c r="G943">
        <v>3.93</v>
      </c>
      <c r="H943">
        <v>3.15</v>
      </c>
      <c r="I943">
        <v>1</v>
      </c>
      <c r="J943" t="b">
        <v>0</v>
      </c>
      <c r="K943" t="b">
        <v>0</v>
      </c>
      <c r="L943" t="b">
        <v>0</v>
      </c>
      <c r="M943" t="b">
        <v>0</v>
      </c>
      <c r="N943" t="b">
        <v>1</v>
      </c>
      <c r="O943" t="b">
        <v>0</v>
      </c>
    </row>
    <row r="944" spans="1:15" x14ac:dyDescent="0.25">
      <c r="A944" s="11">
        <v>43697.799050925925</v>
      </c>
      <c r="B944" t="s">
        <v>2407</v>
      </c>
      <c r="C944" t="s">
        <v>2744</v>
      </c>
      <c r="E944">
        <v>112</v>
      </c>
      <c r="F944">
        <v>3.59</v>
      </c>
      <c r="G944">
        <v>3.93</v>
      </c>
      <c r="H944">
        <v>3.15</v>
      </c>
      <c r="I944">
        <v>1</v>
      </c>
      <c r="J944" t="b">
        <v>0</v>
      </c>
      <c r="K944" t="b">
        <v>0</v>
      </c>
      <c r="L944" t="b">
        <v>0</v>
      </c>
      <c r="M944" t="b">
        <v>0</v>
      </c>
      <c r="N944" t="b">
        <v>1</v>
      </c>
      <c r="O944" t="b">
        <v>0</v>
      </c>
    </row>
    <row r="945" spans="1:15" x14ac:dyDescent="0.25">
      <c r="A945" s="11">
        <v>43697.799050925925</v>
      </c>
      <c r="B945" t="s">
        <v>2407</v>
      </c>
      <c r="C945" t="s">
        <v>2744</v>
      </c>
      <c r="E945">
        <v>112</v>
      </c>
      <c r="F945">
        <v>3.59</v>
      </c>
      <c r="G945">
        <v>3.93</v>
      </c>
      <c r="H945">
        <v>3.15</v>
      </c>
      <c r="I945">
        <v>1</v>
      </c>
      <c r="J945" t="b">
        <v>0</v>
      </c>
      <c r="K945" t="b">
        <v>0</v>
      </c>
      <c r="L945" t="b">
        <v>0</v>
      </c>
      <c r="M945" t="b">
        <v>0</v>
      </c>
      <c r="N945" t="b">
        <v>1</v>
      </c>
      <c r="O945" t="b">
        <v>0</v>
      </c>
    </row>
    <row r="946" spans="1:15" x14ac:dyDescent="0.25">
      <c r="A946" s="11">
        <v>43697.799050925925</v>
      </c>
      <c r="B946" t="s">
        <v>2407</v>
      </c>
      <c r="C946" t="s">
        <v>2747</v>
      </c>
      <c r="D946" t="s">
        <v>2390</v>
      </c>
      <c r="E946" t="s">
        <v>2748</v>
      </c>
      <c r="F946">
        <v>3.59</v>
      </c>
      <c r="G946">
        <v>3.93</v>
      </c>
      <c r="H946">
        <v>3.15</v>
      </c>
      <c r="I946">
        <v>1</v>
      </c>
      <c r="J946" t="b">
        <v>0</v>
      </c>
      <c r="K946" t="b">
        <v>0</v>
      </c>
      <c r="L946" t="b">
        <v>0</v>
      </c>
      <c r="M946" t="b">
        <v>0</v>
      </c>
      <c r="N946" t="b">
        <v>1</v>
      </c>
      <c r="O946" t="b">
        <v>0</v>
      </c>
    </row>
    <row r="947" spans="1:15" x14ac:dyDescent="0.25">
      <c r="A947" s="11">
        <v>43697.799050925925</v>
      </c>
      <c r="B947" t="s">
        <v>2407</v>
      </c>
      <c r="C947" t="s">
        <v>2383</v>
      </c>
      <c r="D947" t="s">
        <v>2384</v>
      </c>
      <c r="E947" s="12" t="s">
        <v>2385</v>
      </c>
      <c r="F947">
        <v>3.59</v>
      </c>
      <c r="G947">
        <v>3.93</v>
      </c>
      <c r="H947">
        <v>3.15</v>
      </c>
      <c r="I947">
        <v>1</v>
      </c>
      <c r="J947" t="b">
        <v>0</v>
      </c>
      <c r="K947" t="b">
        <v>0</v>
      </c>
      <c r="L947" t="b">
        <v>0</v>
      </c>
      <c r="M947" t="b">
        <v>0</v>
      </c>
      <c r="N947" t="b">
        <v>1</v>
      </c>
      <c r="O947" t="b">
        <v>0</v>
      </c>
    </row>
    <row r="948" spans="1:15" x14ac:dyDescent="0.25">
      <c r="A948" s="11">
        <v>43697.799050925925</v>
      </c>
      <c r="B948" t="s">
        <v>2407</v>
      </c>
      <c r="C948" t="s">
        <v>2383</v>
      </c>
      <c r="D948" t="s">
        <v>2386</v>
      </c>
      <c r="E948">
        <v>440</v>
      </c>
      <c r="F948">
        <v>3.59</v>
      </c>
      <c r="G948">
        <v>3.93</v>
      </c>
      <c r="H948">
        <v>3.15</v>
      </c>
      <c r="I948">
        <v>1</v>
      </c>
      <c r="J948" t="b">
        <v>0</v>
      </c>
      <c r="K948" t="b">
        <v>0</v>
      </c>
      <c r="L948" t="b">
        <v>0</v>
      </c>
      <c r="M948" t="b">
        <v>0</v>
      </c>
      <c r="N948" t="b">
        <v>1</v>
      </c>
      <c r="O948" t="b">
        <v>0</v>
      </c>
    </row>
    <row r="949" spans="1:15" x14ac:dyDescent="0.25">
      <c r="A949" s="11">
        <v>43697.799050925925</v>
      </c>
      <c r="B949" t="s">
        <v>2407</v>
      </c>
      <c r="C949" t="s">
        <v>2383</v>
      </c>
      <c r="D949" t="s">
        <v>2387</v>
      </c>
      <c r="E949">
        <v>1386</v>
      </c>
      <c r="F949">
        <v>3.59</v>
      </c>
      <c r="G949">
        <v>3.93</v>
      </c>
      <c r="H949">
        <v>3.15</v>
      </c>
      <c r="I949">
        <v>1</v>
      </c>
      <c r="J949" t="b">
        <v>0</v>
      </c>
      <c r="K949" t="b">
        <v>0</v>
      </c>
      <c r="L949" t="b">
        <v>0</v>
      </c>
      <c r="M949" t="b">
        <v>0</v>
      </c>
      <c r="N949" t="b">
        <v>1</v>
      </c>
      <c r="O949" t="b">
        <v>0</v>
      </c>
    </row>
    <row r="950" spans="1:15" x14ac:dyDescent="0.25">
      <c r="A950" s="11">
        <v>43697.799050925925</v>
      </c>
      <c r="B950" t="s">
        <v>2407</v>
      </c>
      <c r="C950" t="s">
        <v>2383</v>
      </c>
      <c r="D950" t="s">
        <v>2381</v>
      </c>
      <c r="E950">
        <v>0</v>
      </c>
      <c r="F950">
        <v>3.59</v>
      </c>
      <c r="G950">
        <v>3.93</v>
      </c>
      <c r="H950">
        <v>3.15</v>
      </c>
      <c r="I950">
        <v>1</v>
      </c>
      <c r="J950" t="b">
        <v>0</v>
      </c>
      <c r="K950" t="b">
        <v>0</v>
      </c>
      <c r="L950" t="b">
        <v>0</v>
      </c>
      <c r="M950" t="b">
        <v>0</v>
      </c>
      <c r="N950" t="b">
        <v>1</v>
      </c>
      <c r="O950" t="b">
        <v>0</v>
      </c>
    </row>
    <row r="951" spans="1:15" x14ac:dyDescent="0.25">
      <c r="A951" s="11">
        <v>43697.799050925925</v>
      </c>
      <c r="B951" t="s">
        <v>2407</v>
      </c>
      <c r="C951" t="s">
        <v>2383</v>
      </c>
      <c r="D951" t="s">
        <v>2388</v>
      </c>
      <c r="E951" t="s">
        <v>2749</v>
      </c>
      <c r="F951">
        <v>3.59</v>
      </c>
      <c r="G951">
        <v>3.93</v>
      </c>
      <c r="H951">
        <v>3.15</v>
      </c>
      <c r="I951">
        <v>1</v>
      </c>
      <c r="J951" t="b">
        <v>0</v>
      </c>
      <c r="K951" t="b">
        <v>0</v>
      </c>
      <c r="L951" t="b">
        <v>0</v>
      </c>
      <c r="M951" t="b">
        <v>0</v>
      </c>
      <c r="N951" t="b">
        <v>1</v>
      </c>
      <c r="O951" t="b">
        <v>0</v>
      </c>
    </row>
    <row r="952" spans="1:15" x14ac:dyDescent="0.25">
      <c r="A952" s="11">
        <v>43697.799050925925</v>
      </c>
      <c r="B952" t="s">
        <v>2407</v>
      </c>
      <c r="C952" t="s">
        <v>2383</v>
      </c>
      <c r="D952" t="s">
        <v>2389</v>
      </c>
      <c r="E952" s="12" t="s">
        <v>2385</v>
      </c>
      <c r="F952">
        <v>3.59</v>
      </c>
      <c r="G952">
        <v>3.93</v>
      </c>
      <c r="H952">
        <v>3.15</v>
      </c>
      <c r="I952">
        <v>1</v>
      </c>
      <c r="J952" t="b">
        <v>0</v>
      </c>
      <c r="K952" t="b">
        <v>0</v>
      </c>
      <c r="L952" t="b">
        <v>0</v>
      </c>
      <c r="M952" t="b">
        <v>0</v>
      </c>
      <c r="N952" t="b">
        <v>1</v>
      </c>
      <c r="O952" t="b">
        <v>0</v>
      </c>
    </row>
    <row r="953" spans="1:15" x14ac:dyDescent="0.25">
      <c r="A953" s="11">
        <v>43697.799062500002</v>
      </c>
      <c r="B953" t="s">
        <v>2407</v>
      </c>
      <c r="C953" t="s">
        <v>2736</v>
      </c>
      <c r="E953" t="s">
        <v>2378</v>
      </c>
      <c r="F953">
        <v>3.59</v>
      </c>
      <c r="G953">
        <v>3.93</v>
      </c>
      <c r="H953">
        <v>3.15</v>
      </c>
      <c r="I953">
        <v>1</v>
      </c>
      <c r="J953" t="b">
        <v>0</v>
      </c>
      <c r="K953" t="b">
        <v>0</v>
      </c>
      <c r="L953" t="b">
        <v>0</v>
      </c>
      <c r="M953" t="b">
        <v>0</v>
      </c>
      <c r="N953" t="b">
        <v>1</v>
      </c>
      <c r="O953" t="b">
        <v>0</v>
      </c>
    </row>
    <row r="954" spans="1:15" x14ac:dyDescent="0.25">
      <c r="A954" s="11">
        <v>43697.799340277779</v>
      </c>
      <c r="B954" t="s">
        <v>2407</v>
      </c>
      <c r="C954" t="s">
        <v>2733</v>
      </c>
      <c r="D954" t="s">
        <v>2390</v>
      </c>
      <c r="F954">
        <v>3.59</v>
      </c>
      <c r="G954">
        <v>3.93</v>
      </c>
      <c r="H954">
        <v>3.15</v>
      </c>
      <c r="I954">
        <v>1</v>
      </c>
      <c r="J954" t="b">
        <v>0</v>
      </c>
      <c r="K954" t="b">
        <v>0</v>
      </c>
      <c r="L954" t="b">
        <v>0</v>
      </c>
      <c r="M954" t="b">
        <v>0</v>
      </c>
      <c r="N954" t="b">
        <v>1</v>
      </c>
      <c r="O954" t="b">
        <v>0</v>
      </c>
    </row>
    <row r="955" spans="1:15" x14ac:dyDescent="0.25">
      <c r="A955" s="11">
        <v>43697.799340277779</v>
      </c>
      <c r="B955" t="s">
        <v>2407</v>
      </c>
      <c r="C955" t="s">
        <v>2734</v>
      </c>
      <c r="D955" t="s">
        <v>2390</v>
      </c>
      <c r="F955">
        <v>3.59</v>
      </c>
      <c r="G955">
        <v>3.93</v>
      </c>
      <c r="H955">
        <v>3.15</v>
      </c>
      <c r="I955">
        <v>1</v>
      </c>
      <c r="J955" t="b">
        <v>0</v>
      </c>
      <c r="K955" t="b">
        <v>0</v>
      </c>
      <c r="L955" t="b">
        <v>0</v>
      </c>
      <c r="M955" t="b">
        <v>0</v>
      </c>
      <c r="N955" t="b">
        <v>1</v>
      </c>
      <c r="O955" t="b">
        <v>0</v>
      </c>
    </row>
    <row r="956" spans="1:15" x14ac:dyDescent="0.25">
      <c r="A956" s="11">
        <v>43697.799340277779</v>
      </c>
      <c r="B956" t="s">
        <v>2407</v>
      </c>
      <c r="C956" t="s">
        <v>2735</v>
      </c>
      <c r="D956" t="s">
        <v>2390</v>
      </c>
      <c r="F956">
        <v>3.59</v>
      </c>
      <c r="G956">
        <v>3.93</v>
      </c>
      <c r="H956">
        <v>3.15</v>
      </c>
      <c r="I956">
        <v>1</v>
      </c>
      <c r="J956" t="b">
        <v>0</v>
      </c>
      <c r="K956" t="b">
        <v>0</v>
      </c>
      <c r="L956" t="b">
        <v>0</v>
      </c>
      <c r="M956" t="b">
        <v>0</v>
      </c>
      <c r="N956" t="b">
        <v>1</v>
      </c>
      <c r="O956" t="b">
        <v>0</v>
      </c>
    </row>
    <row r="957" spans="1:15" x14ac:dyDescent="0.25">
      <c r="A957" s="11">
        <v>43697.799363425926</v>
      </c>
      <c r="B957" t="s">
        <v>2407</v>
      </c>
      <c r="C957" t="s">
        <v>2737</v>
      </c>
      <c r="E957">
        <v>101</v>
      </c>
      <c r="F957">
        <v>3.59</v>
      </c>
      <c r="G957">
        <v>3.93</v>
      </c>
      <c r="H957">
        <v>3.15</v>
      </c>
      <c r="I957">
        <v>1</v>
      </c>
      <c r="J957" t="b">
        <v>0</v>
      </c>
      <c r="K957" t="b">
        <v>0</v>
      </c>
      <c r="L957" t="b">
        <v>0</v>
      </c>
      <c r="M957" t="b">
        <v>0</v>
      </c>
      <c r="N957" t="b">
        <v>1</v>
      </c>
      <c r="O957" t="b">
        <v>0</v>
      </c>
    </row>
    <row r="958" spans="1:15" x14ac:dyDescent="0.25">
      <c r="A958" s="11">
        <v>43697.800196759257</v>
      </c>
      <c r="B958" t="s">
        <v>2407</v>
      </c>
      <c r="C958" t="s">
        <v>2738</v>
      </c>
      <c r="D958" t="s">
        <v>2390</v>
      </c>
      <c r="E958" t="s">
        <v>2739</v>
      </c>
      <c r="F958">
        <v>3.59</v>
      </c>
      <c r="G958">
        <v>3.93</v>
      </c>
      <c r="H958">
        <v>3.15</v>
      </c>
      <c r="I958">
        <v>1</v>
      </c>
      <c r="J958" t="b">
        <v>0</v>
      </c>
      <c r="K958" t="b">
        <v>0</v>
      </c>
      <c r="L958" t="b">
        <v>0</v>
      </c>
      <c r="M958" t="b">
        <v>0</v>
      </c>
      <c r="N958" t="b">
        <v>1</v>
      </c>
      <c r="O958" t="b">
        <v>0</v>
      </c>
    </row>
    <row r="959" spans="1:15" x14ac:dyDescent="0.25">
      <c r="A959" s="11">
        <v>43697.800196759257</v>
      </c>
      <c r="B959" t="s">
        <v>2407</v>
      </c>
      <c r="C959" t="s">
        <v>2737</v>
      </c>
      <c r="E959">
        <v>104</v>
      </c>
      <c r="F959">
        <v>3.59</v>
      </c>
      <c r="G959">
        <v>3.93</v>
      </c>
      <c r="H959">
        <v>3.15</v>
      </c>
      <c r="I959">
        <v>1</v>
      </c>
      <c r="J959" t="b">
        <v>0</v>
      </c>
      <c r="K959" t="b">
        <v>0</v>
      </c>
      <c r="L959" t="b">
        <v>0</v>
      </c>
      <c r="M959" t="b">
        <v>0</v>
      </c>
      <c r="N959" t="b">
        <v>1</v>
      </c>
      <c r="O959" t="b">
        <v>0</v>
      </c>
    </row>
    <row r="960" spans="1:15" x14ac:dyDescent="0.25">
      <c r="A960" s="11">
        <v>43697.800196759257</v>
      </c>
      <c r="B960" t="s">
        <v>2407</v>
      </c>
      <c r="C960" t="s">
        <v>2737</v>
      </c>
      <c r="E960">
        <v>104</v>
      </c>
      <c r="F960">
        <v>3.59</v>
      </c>
      <c r="G960">
        <v>3.93</v>
      </c>
      <c r="H960">
        <v>3.15</v>
      </c>
      <c r="I960">
        <v>1</v>
      </c>
      <c r="J960" t="b">
        <v>0</v>
      </c>
      <c r="K960" t="b">
        <v>0</v>
      </c>
      <c r="L960" t="b">
        <v>0</v>
      </c>
      <c r="M960" t="b">
        <v>0</v>
      </c>
      <c r="N960" t="b">
        <v>1</v>
      </c>
      <c r="O960" t="b">
        <v>0</v>
      </c>
    </row>
    <row r="961" spans="1:15" x14ac:dyDescent="0.25">
      <c r="A961" s="11">
        <v>43697.800196759257</v>
      </c>
      <c r="B961" t="s">
        <v>2407</v>
      </c>
      <c r="C961" t="s">
        <v>2737</v>
      </c>
      <c r="E961">
        <v>104</v>
      </c>
      <c r="F961">
        <v>3.59</v>
      </c>
      <c r="G961">
        <v>3.93</v>
      </c>
      <c r="H961">
        <v>3.15</v>
      </c>
      <c r="I961">
        <v>1</v>
      </c>
      <c r="J961" t="b">
        <v>0</v>
      </c>
      <c r="K961" t="b">
        <v>0</v>
      </c>
      <c r="L961" t="b">
        <v>0</v>
      </c>
      <c r="M961" t="b">
        <v>0</v>
      </c>
      <c r="N961" t="b">
        <v>1</v>
      </c>
      <c r="O961" t="b">
        <v>0</v>
      </c>
    </row>
    <row r="962" spans="1:15" x14ac:dyDescent="0.25">
      <c r="A962" s="11">
        <v>43697.80023148148</v>
      </c>
      <c r="B962" t="s">
        <v>2407</v>
      </c>
      <c r="C962" t="s">
        <v>2740</v>
      </c>
      <c r="D962" t="s">
        <v>2390</v>
      </c>
      <c r="E962" t="s">
        <v>2741</v>
      </c>
      <c r="F962">
        <v>3.59</v>
      </c>
      <c r="G962">
        <v>3.93</v>
      </c>
      <c r="H962">
        <v>3.15</v>
      </c>
      <c r="I962">
        <v>1</v>
      </c>
      <c r="J962" t="b">
        <v>0</v>
      </c>
      <c r="K962" t="b">
        <v>0</v>
      </c>
      <c r="L962" t="b">
        <v>0</v>
      </c>
      <c r="M962" t="b">
        <v>0</v>
      </c>
      <c r="N962" t="b">
        <v>1</v>
      </c>
      <c r="O962" t="b">
        <v>0</v>
      </c>
    </row>
    <row r="963" spans="1:15" x14ac:dyDescent="0.25">
      <c r="A963" s="11">
        <v>43697.80023148148</v>
      </c>
      <c r="B963" t="s">
        <v>2407</v>
      </c>
      <c r="C963" t="s">
        <v>2737</v>
      </c>
      <c r="E963">
        <v>109</v>
      </c>
      <c r="F963">
        <v>3.59</v>
      </c>
      <c r="G963">
        <v>3.93</v>
      </c>
      <c r="H963">
        <v>3.15</v>
      </c>
      <c r="I963">
        <v>1</v>
      </c>
      <c r="J963" t="b">
        <v>0</v>
      </c>
      <c r="K963" t="b">
        <v>0</v>
      </c>
      <c r="L963" t="b">
        <v>0</v>
      </c>
      <c r="M963" t="b">
        <v>0</v>
      </c>
      <c r="N963" t="b">
        <v>1</v>
      </c>
      <c r="O963" t="b">
        <v>0</v>
      </c>
    </row>
    <row r="964" spans="1:15" x14ac:dyDescent="0.25">
      <c r="A964" s="11">
        <v>43697.80023148148</v>
      </c>
      <c r="B964" t="s">
        <v>2407</v>
      </c>
      <c r="C964" t="s">
        <v>2737</v>
      </c>
      <c r="E964">
        <v>109</v>
      </c>
      <c r="F964">
        <v>3.59</v>
      </c>
      <c r="G964">
        <v>3.93</v>
      </c>
      <c r="H964">
        <v>3.15</v>
      </c>
      <c r="I964">
        <v>1</v>
      </c>
      <c r="J964" t="b">
        <v>0</v>
      </c>
      <c r="K964" t="b">
        <v>0</v>
      </c>
      <c r="L964" t="b">
        <v>0</v>
      </c>
      <c r="M964" t="b">
        <v>0</v>
      </c>
      <c r="N964" t="b">
        <v>1</v>
      </c>
      <c r="O964" t="b">
        <v>0</v>
      </c>
    </row>
    <row r="965" spans="1:15" x14ac:dyDescent="0.25">
      <c r="A965" s="11">
        <v>43697.80023148148</v>
      </c>
      <c r="B965" t="s">
        <v>2407</v>
      </c>
      <c r="C965" t="s">
        <v>2742</v>
      </c>
      <c r="D965" t="s">
        <v>2390</v>
      </c>
      <c r="E965" t="s">
        <v>2743</v>
      </c>
      <c r="F965">
        <v>3.59</v>
      </c>
      <c r="G965">
        <v>3.93</v>
      </c>
      <c r="H965">
        <v>3.15</v>
      </c>
      <c r="I965">
        <v>1</v>
      </c>
      <c r="J965" t="b">
        <v>0</v>
      </c>
      <c r="K965" t="b">
        <v>0</v>
      </c>
      <c r="L965" t="b">
        <v>0</v>
      </c>
      <c r="M965" t="b">
        <v>0</v>
      </c>
      <c r="N965" t="b">
        <v>1</v>
      </c>
      <c r="O965" t="b">
        <v>0</v>
      </c>
    </row>
    <row r="966" spans="1:15" x14ac:dyDescent="0.25">
      <c r="A966" s="11">
        <v>43697.80023148148</v>
      </c>
      <c r="B966" t="s">
        <v>2407</v>
      </c>
      <c r="C966" t="s">
        <v>2737</v>
      </c>
      <c r="E966">
        <v>105</v>
      </c>
      <c r="F966">
        <v>3.59</v>
      </c>
      <c r="G966">
        <v>3.93</v>
      </c>
      <c r="H966">
        <v>3.15</v>
      </c>
      <c r="I966">
        <v>1</v>
      </c>
      <c r="J966" t="b">
        <v>0</v>
      </c>
      <c r="K966" t="b">
        <v>0</v>
      </c>
      <c r="L966" t="b">
        <v>0</v>
      </c>
      <c r="M966" t="b">
        <v>0</v>
      </c>
      <c r="N966" t="b">
        <v>1</v>
      </c>
      <c r="O966" t="b">
        <v>0</v>
      </c>
    </row>
    <row r="967" spans="1:15" x14ac:dyDescent="0.25">
      <c r="A967" s="11">
        <v>43697.80023148148</v>
      </c>
      <c r="B967" t="s">
        <v>2407</v>
      </c>
      <c r="C967" t="s">
        <v>2744</v>
      </c>
      <c r="E967">
        <v>103</v>
      </c>
      <c r="F967">
        <v>3.59</v>
      </c>
      <c r="G967">
        <v>3.93</v>
      </c>
      <c r="H967">
        <v>3.15</v>
      </c>
      <c r="I967">
        <v>1</v>
      </c>
      <c r="J967" t="b">
        <v>0</v>
      </c>
      <c r="K967" t="b">
        <v>0</v>
      </c>
      <c r="L967" t="b">
        <v>0</v>
      </c>
      <c r="M967" t="b">
        <v>0</v>
      </c>
      <c r="N967" t="b">
        <v>1</v>
      </c>
      <c r="O967" t="b">
        <v>0</v>
      </c>
    </row>
    <row r="968" spans="1:15" x14ac:dyDescent="0.25">
      <c r="A968" s="11">
        <v>43697.80023148148</v>
      </c>
      <c r="B968" t="s">
        <v>2407</v>
      </c>
      <c r="C968" t="s">
        <v>2745</v>
      </c>
      <c r="D968" t="s">
        <v>2390</v>
      </c>
      <c r="E968" t="s">
        <v>2746</v>
      </c>
      <c r="F968">
        <v>3.59</v>
      </c>
      <c r="G968">
        <v>3.93</v>
      </c>
      <c r="H968">
        <v>3.15</v>
      </c>
      <c r="I968">
        <v>1</v>
      </c>
      <c r="J968" t="b">
        <v>0</v>
      </c>
      <c r="K968" t="b">
        <v>0</v>
      </c>
      <c r="L968" t="b">
        <v>0</v>
      </c>
      <c r="M968" t="b">
        <v>0</v>
      </c>
      <c r="N968" t="b">
        <v>1</v>
      </c>
      <c r="O968" t="b">
        <v>0</v>
      </c>
    </row>
    <row r="969" spans="1:15" x14ac:dyDescent="0.25">
      <c r="A969" s="11">
        <v>43697.80023148148</v>
      </c>
      <c r="B969" t="s">
        <v>2407</v>
      </c>
      <c r="C969" t="s">
        <v>2744</v>
      </c>
      <c r="E969">
        <v>112</v>
      </c>
      <c r="F969">
        <v>3.59</v>
      </c>
      <c r="G969">
        <v>3.93</v>
      </c>
      <c r="H969">
        <v>3.15</v>
      </c>
      <c r="I969">
        <v>1</v>
      </c>
      <c r="J969" t="b">
        <v>0</v>
      </c>
      <c r="K969" t="b">
        <v>0</v>
      </c>
      <c r="L969" t="b">
        <v>0</v>
      </c>
      <c r="M969" t="b">
        <v>0</v>
      </c>
      <c r="N969" t="b">
        <v>1</v>
      </c>
      <c r="O969" t="b">
        <v>0</v>
      </c>
    </row>
    <row r="970" spans="1:15" x14ac:dyDescent="0.25">
      <c r="A970" s="11">
        <v>43697.80023148148</v>
      </c>
      <c r="B970" t="s">
        <v>2407</v>
      </c>
      <c r="C970" t="s">
        <v>2744</v>
      </c>
      <c r="E970">
        <v>112</v>
      </c>
      <c r="F970">
        <v>3.59</v>
      </c>
      <c r="G970">
        <v>3.93</v>
      </c>
      <c r="H970">
        <v>3.15</v>
      </c>
      <c r="I970">
        <v>1</v>
      </c>
      <c r="J970" t="b">
        <v>0</v>
      </c>
      <c r="K970" t="b">
        <v>0</v>
      </c>
      <c r="L970" t="b">
        <v>0</v>
      </c>
      <c r="M970" t="b">
        <v>0</v>
      </c>
      <c r="N970" t="b">
        <v>1</v>
      </c>
      <c r="O970" t="b">
        <v>0</v>
      </c>
    </row>
    <row r="971" spans="1:15" x14ac:dyDescent="0.25">
      <c r="A971" s="11">
        <v>43697.80023148148</v>
      </c>
      <c r="B971" t="s">
        <v>2407</v>
      </c>
      <c r="C971" t="s">
        <v>2744</v>
      </c>
      <c r="E971">
        <v>112</v>
      </c>
      <c r="F971">
        <v>3.59</v>
      </c>
      <c r="G971">
        <v>3.93</v>
      </c>
      <c r="H971">
        <v>3.15</v>
      </c>
      <c r="I971">
        <v>1</v>
      </c>
      <c r="J971" t="b">
        <v>0</v>
      </c>
      <c r="K971" t="b">
        <v>0</v>
      </c>
      <c r="L971" t="b">
        <v>0</v>
      </c>
      <c r="M971" t="b">
        <v>0</v>
      </c>
      <c r="N971" t="b">
        <v>1</v>
      </c>
      <c r="O971" t="b">
        <v>0</v>
      </c>
    </row>
    <row r="972" spans="1:15" x14ac:dyDescent="0.25">
      <c r="A972" s="11">
        <v>43697.80023148148</v>
      </c>
      <c r="B972" t="s">
        <v>2407</v>
      </c>
      <c r="C972" t="s">
        <v>2747</v>
      </c>
      <c r="D972" t="s">
        <v>2390</v>
      </c>
      <c r="E972" t="s">
        <v>2748</v>
      </c>
      <c r="F972">
        <v>3.59</v>
      </c>
      <c r="G972">
        <v>3.93</v>
      </c>
      <c r="H972">
        <v>3.15</v>
      </c>
      <c r="I972">
        <v>1</v>
      </c>
      <c r="J972" t="b">
        <v>0</v>
      </c>
      <c r="K972" t="b">
        <v>0</v>
      </c>
      <c r="L972" t="b">
        <v>0</v>
      </c>
      <c r="M972" t="b">
        <v>0</v>
      </c>
      <c r="N972" t="b">
        <v>1</v>
      </c>
      <c r="O972" t="b">
        <v>0</v>
      </c>
    </row>
    <row r="973" spans="1:15" x14ac:dyDescent="0.25">
      <c r="A973" s="11">
        <v>43697.80023148148</v>
      </c>
      <c r="B973" t="s">
        <v>2407</v>
      </c>
      <c r="C973" t="s">
        <v>2383</v>
      </c>
      <c r="D973" t="s">
        <v>2384</v>
      </c>
      <c r="E973" s="12" t="s">
        <v>2385</v>
      </c>
      <c r="F973">
        <v>3.59</v>
      </c>
      <c r="G973">
        <v>3.93</v>
      </c>
      <c r="H973">
        <v>3.15</v>
      </c>
      <c r="I973">
        <v>1</v>
      </c>
      <c r="J973" t="b">
        <v>0</v>
      </c>
      <c r="K973" t="b">
        <v>0</v>
      </c>
      <c r="L973" t="b">
        <v>0</v>
      </c>
      <c r="M973" t="b">
        <v>0</v>
      </c>
      <c r="N973" t="b">
        <v>1</v>
      </c>
      <c r="O973" t="b">
        <v>0</v>
      </c>
    </row>
    <row r="974" spans="1:15" x14ac:dyDescent="0.25">
      <c r="A974" s="11">
        <v>43697.80023148148</v>
      </c>
      <c r="B974" t="s">
        <v>2407</v>
      </c>
      <c r="C974" t="s">
        <v>2383</v>
      </c>
      <c r="D974" t="s">
        <v>2386</v>
      </c>
      <c r="E974">
        <v>440</v>
      </c>
      <c r="F974">
        <v>3.59</v>
      </c>
      <c r="G974">
        <v>3.93</v>
      </c>
      <c r="H974">
        <v>3.15</v>
      </c>
      <c r="I974">
        <v>1</v>
      </c>
      <c r="J974" t="b">
        <v>0</v>
      </c>
      <c r="K974" t="b">
        <v>0</v>
      </c>
      <c r="L974" t="b">
        <v>0</v>
      </c>
      <c r="M974" t="b">
        <v>0</v>
      </c>
      <c r="N974" t="b">
        <v>1</v>
      </c>
      <c r="O974" t="b">
        <v>0</v>
      </c>
    </row>
    <row r="975" spans="1:15" x14ac:dyDescent="0.25">
      <c r="A975" s="11">
        <v>43697.80023148148</v>
      </c>
      <c r="B975" t="s">
        <v>2407</v>
      </c>
      <c r="C975" t="s">
        <v>2383</v>
      </c>
      <c r="D975" t="s">
        <v>2387</v>
      </c>
      <c r="E975">
        <v>1386</v>
      </c>
      <c r="F975">
        <v>3.59</v>
      </c>
      <c r="G975">
        <v>3.93</v>
      </c>
      <c r="H975">
        <v>3.15</v>
      </c>
      <c r="I975">
        <v>1</v>
      </c>
      <c r="J975" t="b">
        <v>0</v>
      </c>
      <c r="K975" t="b">
        <v>0</v>
      </c>
      <c r="L975" t="b">
        <v>0</v>
      </c>
      <c r="M975" t="b">
        <v>0</v>
      </c>
      <c r="N975" t="b">
        <v>1</v>
      </c>
      <c r="O975" t="b">
        <v>0</v>
      </c>
    </row>
    <row r="976" spans="1:15" x14ac:dyDescent="0.25">
      <c r="A976" s="11">
        <v>43697.80023148148</v>
      </c>
      <c r="B976" t="s">
        <v>2407</v>
      </c>
      <c r="C976" t="s">
        <v>2383</v>
      </c>
      <c r="D976" t="s">
        <v>2381</v>
      </c>
      <c r="E976">
        <v>0</v>
      </c>
      <c r="F976">
        <v>3.59</v>
      </c>
      <c r="G976">
        <v>3.93</v>
      </c>
      <c r="H976">
        <v>3.15</v>
      </c>
      <c r="I976">
        <v>1</v>
      </c>
      <c r="J976" t="b">
        <v>0</v>
      </c>
      <c r="K976" t="b">
        <v>0</v>
      </c>
      <c r="L976" t="b">
        <v>0</v>
      </c>
      <c r="M976" t="b">
        <v>0</v>
      </c>
      <c r="N976" t="b">
        <v>1</v>
      </c>
      <c r="O976" t="b">
        <v>0</v>
      </c>
    </row>
    <row r="977" spans="1:15" x14ac:dyDescent="0.25">
      <c r="A977" s="11">
        <v>43697.80023148148</v>
      </c>
      <c r="B977" t="s">
        <v>2407</v>
      </c>
      <c r="C977" t="s">
        <v>2383</v>
      </c>
      <c r="D977" t="s">
        <v>2388</v>
      </c>
      <c r="E977" t="s">
        <v>2749</v>
      </c>
      <c r="F977">
        <v>3.59</v>
      </c>
      <c r="G977">
        <v>3.93</v>
      </c>
      <c r="H977">
        <v>3.15</v>
      </c>
      <c r="I977">
        <v>1</v>
      </c>
      <c r="J977" t="b">
        <v>0</v>
      </c>
      <c r="K977" t="b">
        <v>0</v>
      </c>
      <c r="L977" t="b">
        <v>0</v>
      </c>
      <c r="M977" t="b">
        <v>0</v>
      </c>
      <c r="N977" t="b">
        <v>1</v>
      </c>
      <c r="O977" t="b">
        <v>0</v>
      </c>
    </row>
    <row r="978" spans="1:15" x14ac:dyDescent="0.25">
      <c r="A978" s="11">
        <v>43697.80023148148</v>
      </c>
      <c r="B978" t="s">
        <v>2407</v>
      </c>
      <c r="C978" t="s">
        <v>2383</v>
      </c>
      <c r="D978" t="s">
        <v>2389</v>
      </c>
      <c r="E978" s="12" t="s">
        <v>2385</v>
      </c>
      <c r="F978">
        <v>3.59</v>
      </c>
      <c r="G978">
        <v>3.93</v>
      </c>
      <c r="H978">
        <v>3.15</v>
      </c>
      <c r="I978">
        <v>1</v>
      </c>
      <c r="J978" t="b">
        <v>0</v>
      </c>
      <c r="K978" t="b">
        <v>0</v>
      </c>
      <c r="L978" t="b">
        <v>0</v>
      </c>
      <c r="M978" t="b">
        <v>0</v>
      </c>
      <c r="N978" t="b">
        <v>1</v>
      </c>
      <c r="O978" t="b">
        <v>0</v>
      </c>
    </row>
    <row r="979" spans="1:15" x14ac:dyDescent="0.25">
      <c r="A979" s="11">
        <v>43697.800243055557</v>
      </c>
      <c r="B979" t="s">
        <v>2407</v>
      </c>
      <c r="C979" t="s">
        <v>2736</v>
      </c>
      <c r="E979" t="s">
        <v>2378</v>
      </c>
      <c r="F979">
        <v>3.59</v>
      </c>
      <c r="G979">
        <v>3.93</v>
      </c>
      <c r="H979">
        <v>3.15</v>
      </c>
      <c r="I979">
        <v>1</v>
      </c>
      <c r="J979" t="b">
        <v>0</v>
      </c>
      <c r="K979" t="b">
        <v>0</v>
      </c>
      <c r="L979" t="b">
        <v>0</v>
      </c>
      <c r="M979" t="b">
        <v>0</v>
      </c>
      <c r="N979" t="b">
        <v>1</v>
      </c>
      <c r="O979" t="b">
        <v>0</v>
      </c>
    </row>
    <row r="980" spans="1:15" x14ac:dyDescent="0.25">
      <c r="A980" s="11">
        <v>43697.801006944443</v>
      </c>
      <c r="B980" t="s">
        <v>2407</v>
      </c>
      <c r="C980" t="s">
        <v>2733</v>
      </c>
      <c r="D980" t="s">
        <v>2390</v>
      </c>
      <c r="F980">
        <v>3.59</v>
      </c>
      <c r="G980">
        <v>3.93</v>
      </c>
      <c r="H980">
        <v>3.15</v>
      </c>
      <c r="I980">
        <v>1</v>
      </c>
      <c r="J980" t="b">
        <v>0</v>
      </c>
      <c r="K980" t="b">
        <v>0</v>
      </c>
      <c r="L980" t="b">
        <v>0</v>
      </c>
      <c r="M980" t="b">
        <v>0</v>
      </c>
      <c r="N980" t="b">
        <v>1</v>
      </c>
      <c r="O980" t="b">
        <v>0</v>
      </c>
    </row>
    <row r="981" spans="1:15" x14ac:dyDescent="0.25">
      <c r="A981" s="11">
        <v>43697.801006944443</v>
      </c>
      <c r="B981" t="s">
        <v>2407</v>
      </c>
      <c r="C981" t="s">
        <v>2734</v>
      </c>
      <c r="D981" t="s">
        <v>2390</v>
      </c>
      <c r="F981">
        <v>3.59</v>
      </c>
      <c r="G981">
        <v>3.93</v>
      </c>
      <c r="H981">
        <v>3.15</v>
      </c>
      <c r="I981">
        <v>1</v>
      </c>
      <c r="J981" t="b">
        <v>0</v>
      </c>
      <c r="K981" t="b">
        <v>0</v>
      </c>
      <c r="L981" t="b">
        <v>0</v>
      </c>
      <c r="M981" t="b">
        <v>0</v>
      </c>
      <c r="N981" t="b">
        <v>1</v>
      </c>
      <c r="O981" t="b">
        <v>0</v>
      </c>
    </row>
    <row r="982" spans="1:15" x14ac:dyDescent="0.25">
      <c r="A982" s="11">
        <v>43697.801006944443</v>
      </c>
      <c r="B982" t="s">
        <v>2407</v>
      </c>
      <c r="C982" t="s">
        <v>2735</v>
      </c>
      <c r="D982" t="s">
        <v>2390</v>
      </c>
      <c r="F982">
        <v>3.59</v>
      </c>
      <c r="G982">
        <v>3.93</v>
      </c>
      <c r="H982">
        <v>3.15</v>
      </c>
      <c r="I982">
        <v>1</v>
      </c>
      <c r="J982" t="b">
        <v>0</v>
      </c>
      <c r="K982" t="b">
        <v>0</v>
      </c>
      <c r="L982" t="b">
        <v>0</v>
      </c>
      <c r="M982" t="b">
        <v>0</v>
      </c>
      <c r="N982" t="b">
        <v>1</v>
      </c>
      <c r="O982" t="b">
        <v>0</v>
      </c>
    </row>
    <row r="983" spans="1:15" x14ac:dyDescent="0.25">
      <c r="A983" s="11">
        <v>43697.801030092596</v>
      </c>
      <c r="B983" t="s">
        <v>2407</v>
      </c>
      <c r="C983" t="s">
        <v>2737</v>
      </c>
      <c r="E983">
        <v>101</v>
      </c>
      <c r="F983">
        <v>3.59</v>
      </c>
      <c r="G983">
        <v>3.93</v>
      </c>
      <c r="H983">
        <v>3.15</v>
      </c>
      <c r="I983">
        <v>1</v>
      </c>
      <c r="J983" t="b">
        <v>0</v>
      </c>
      <c r="K983" t="b">
        <v>0</v>
      </c>
      <c r="L983" t="b">
        <v>0</v>
      </c>
      <c r="M983" t="b">
        <v>0</v>
      </c>
      <c r="N983" t="b">
        <v>1</v>
      </c>
      <c r="O983" t="b">
        <v>0</v>
      </c>
    </row>
    <row r="984" spans="1:15" x14ac:dyDescent="0.25">
      <c r="A984" s="11">
        <v>43697.801053240742</v>
      </c>
      <c r="B984" t="s">
        <v>2407</v>
      </c>
      <c r="C984" t="s">
        <v>2738</v>
      </c>
      <c r="D984" t="s">
        <v>2390</v>
      </c>
      <c r="E984" t="s">
        <v>2739</v>
      </c>
      <c r="F984">
        <v>3.59</v>
      </c>
      <c r="G984">
        <v>3.93</v>
      </c>
      <c r="H984">
        <v>3.15</v>
      </c>
      <c r="I984">
        <v>1</v>
      </c>
      <c r="J984" t="b">
        <v>0</v>
      </c>
      <c r="K984" t="b">
        <v>0</v>
      </c>
      <c r="L984" t="b">
        <v>0</v>
      </c>
      <c r="M984" t="b">
        <v>0</v>
      </c>
      <c r="N984" t="b">
        <v>1</v>
      </c>
      <c r="O984" t="b">
        <v>0</v>
      </c>
    </row>
    <row r="985" spans="1:15" x14ac:dyDescent="0.25">
      <c r="A985" s="11">
        <v>43697.801053240742</v>
      </c>
      <c r="B985" t="s">
        <v>2407</v>
      </c>
      <c r="C985" t="s">
        <v>2737</v>
      </c>
      <c r="E985">
        <v>104</v>
      </c>
      <c r="F985">
        <v>3.59</v>
      </c>
      <c r="G985">
        <v>3.93</v>
      </c>
      <c r="H985">
        <v>3.15</v>
      </c>
      <c r="I985">
        <v>1</v>
      </c>
      <c r="J985" t="b">
        <v>0</v>
      </c>
      <c r="K985" t="b">
        <v>0</v>
      </c>
      <c r="L985" t="b">
        <v>0</v>
      </c>
      <c r="M985" t="b">
        <v>0</v>
      </c>
      <c r="N985" t="b">
        <v>1</v>
      </c>
      <c r="O985" t="b">
        <v>0</v>
      </c>
    </row>
    <row r="986" spans="1:15" x14ac:dyDescent="0.25">
      <c r="A986" s="11">
        <v>43697.801053240742</v>
      </c>
      <c r="B986" t="s">
        <v>2407</v>
      </c>
      <c r="C986" t="s">
        <v>2737</v>
      </c>
      <c r="E986">
        <v>104</v>
      </c>
      <c r="F986">
        <v>3.59</v>
      </c>
      <c r="G986">
        <v>3.93</v>
      </c>
      <c r="H986">
        <v>3.15</v>
      </c>
      <c r="I986">
        <v>1</v>
      </c>
      <c r="J986" t="b">
        <v>0</v>
      </c>
      <c r="K986" t="b">
        <v>0</v>
      </c>
      <c r="L986" t="b">
        <v>0</v>
      </c>
      <c r="M986" t="b">
        <v>0</v>
      </c>
      <c r="N986" t="b">
        <v>1</v>
      </c>
      <c r="O986" t="b">
        <v>0</v>
      </c>
    </row>
    <row r="987" spans="1:15" x14ac:dyDescent="0.25">
      <c r="A987" s="11">
        <v>43697.801053240742</v>
      </c>
      <c r="B987" t="s">
        <v>2407</v>
      </c>
      <c r="C987" t="s">
        <v>2737</v>
      </c>
      <c r="E987">
        <v>104</v>
      </c>
      <c r="F987">
        <v>3.59</v>
      </c>
      <c r="G987">
        <v>3.93</v>
      </c>
      <c r="H987">
        <v>3.15</v>
      </c>
      <c r="I987">
        <v>1</v>
      </c>
      <c r="J987" t="b">
        <v>0</v>
      </c>
      <c r="K987" t="b">
        <v>0</v>
      </c>
      <c r="L987" t="b">
        <v>0</v>
      </c>
      <c r="M987" t="b">
        <v>0</v>
      </c>
      <c r="N987" t="b">
        <v>1</v>
      </c>
      <c r="O987" t="b">
        <v>0</v>
      </c>
    </row>
    <row r="988" spans="1:15" x14ac:dyDescent="0.25">
      <c r="A988" s="11">
        <v>43697.801053240742</v>
      </c>
      <c r="B988" t="s">
        <v>2407</v>
      </c>
      <c r="C988" t="s">
        <v>2740</v>
      </c>
      <c r="D988" t="s">
        <v>2390</v>
      </c>
      <c r="E988" t="s">
        <v>2741</v>
      </c>
      <c r="F988">
        <v>3.59</v>
      </c>
      <c r="G988">
        <v>3.93</v>
      </c>
      <c r="H988">
        <v>3.15</v>
      </c>
      <c r="I988">
        <v>1</v>
      </c>
      <c r="J988" t="b">
        <v>0</v>
      </c>
      <c r="K988" t="b">
        <v>0</v>
      </c>
      <c r="L988" t="b">
        <v>0</v>
      </c>
      <c r="M988" t="b">
        <v>0</v>
      </c>
      <c r="N988" t="b">
        <v>1</v>
      </c>
      <c r="O988" t="b">
        <v>0</v>
      </c>
    </row>
    <row r="989" spans="1:15" x14ac:dyDescent="0.25">
      <c r="A989" s="11">
        <v>43697.801053240742</v>
      </c>
      <c r="B989" t="s">
        <v>2407</v>
      </c>
      <c r="C989" t="s">
        <v>2737</v>
      </c>
      <c r="E989">
        <v>109</v>
      </c>
      <c r="F989">
        <v>3.59</v>
      </c>
      <c r="G989">
        <v>3.93</v>
      </c>
      <c r="H989">
        <v>3.15</v>
      </c>
      <c r="I989">
        <v>1</v>
      </c>
      <c r="J989" t="b">
        <v>0</v>
      </c>
      <c r="K989" t="b">
        <v>0</v>
      </c>
      <c r="L989" t="b">
        <v>0</v>
      </c>
      <c r="M989" t="b">
        <v>0</v>
      </c>
      <c r="N989" t="b">
        <v>1</v>
      </c>
      <c r="O989" t="b">
        <v>0</v>
      </c>
    </row>
    <row r="990" spans="1:15" x14ac:dyDescent="0.25">
      <c r="A990" s="11">
        <v>43697.801053240742</v>
      </c>
      <c r="B990" t="s">
        <v>2407</v>
      </c>
      <c r="C990" t="s">
        <v>2737</v>
      </c>
      <c r="E990">
        <v>109</v>
      </c>
      <c r="F990">
        <v>3.59</v>
      </c>
      <c r="G990">
        <v>3.93</v>
      </c>
      <c r="H990">
        <v>3.15</v>
      </c>
      <c r="I990">
        <v>1</v>
      </c>
      <c r="J990" t="b">
        <v>0</v>
      </c>
      <c r="K990" t="b">
        <v>0</v>
      </c>
      <c r="L990" t="b">
        <v>0</v>
      </c>
      <c r="M990" t="b">
        <v>0</v>
      </c>
      <c r="N990" t="b">
        <v>1</v>
      </c>
      <c r="O990" t="b">
        <v>0</v>
      </c>
    </row>
    <row r="991" spans="1:15" x14ac:dyDescent="0.25">
      <c r="A991" s="11">
        <v>43697.801053240742</v>
      </c>
      <c r="B991" t="s">
        <v>2407</v>
      </c>
      <c r="C991" t="s">
        <v>2742</v>
      </c>
      <c r="D991" t="s">
        <v>2390</v>
      </c>
      <c r="E991" t="s">
        <v>2743</v>
      </c>
      <c r="F991">
        <v>3.59</v>
      </c>
      <c r="G991">
        <v>3.93</v>
      </c>
      <c r="H991">
        <v>3.15</v>
      </c>
      <c r="I991">
        <v>1</v>
      </c>
      <c r="J991" t="b">
        <v>0</v>
      </c>
      <c r="K991" t="b">
        <v>0</v>
      </c>
      <c r="L991" t="b">
        <v>0</v>
      </c>
      <c r="M991" t="b">
        <v>0</v>
      </c>
      <c r="N991" t="b">
        <v>1</v>
      </c>
      <c r="O991" t="b">
        <v>0</v>
      </c>
    </row>
    <row r="992" spans="1:15" x14ac:dyDescent="0.25">
      <c r="A992" s="11">
        <v>43697.801053240742</v>
      </c>
      <c r="B992" t="s">
        <v>2407</v>
      </c>
      <c r="C992" t="s">
        <v>2737</v>
      </c>
      <c r="E992">
        <v>105</v>
      </c>
      <c r="F992">
        <v>3.59</v>
      </c>
      <c r="G992">
        <v>3.93</v>
      </c>
      <c r="H992">
        <v>3.15</v>
      </c>
      <c r="I992">
        <v>1</v>
      </c>
      <c r="J992" t="b">
        <v>0</v>
      </c>
      <c r="K992" t="b">
        <v>0</v>
      </c>
      <c r="L992" t="b">
        <v>0</v>
      </c>
      <c r="M992" t="b">
        <v>0</v>
      </c>
      <c r="N992" t="b">
        <v>1</v>
      </c>
      <c r="O992" t="b">
        <v>0</v>
      </c>
    </row>
    <row r="993" spans="1:15" x14ac:dyDescent="0.25">
      <c r="A993" s="11">
        <v>43697.801053240742</v>
      </c>
      <c r="B993" t="s">
        <v>2407</v>
      </c>
      <c r="C993" t="s">
        <v>2744</v>
      </c>
      <c r="E993">
        <v>103</v>
      </c>
      <c r="F993">
        <v>3.59</v>
      </c>
      <c r="G993">
        <v>3.93</v>
      </c>
      <c r="H993">
        <v>3.15</v>
      </c>
      <c r="I993">
        <v>1</v>
      </c>
      <c r="J993" t="b">
        <v>0</v>
      </c>
      <c r="K993" t="b">
        <v>0</v>
      </c>
      <c r="L993" t="b">
        <v>0</v>
      </c>
      <c r="M993" t="b">
        <v>0</v>
      </c>
      <c r="N993" t="b">
        <v>1</v>
      </c>
      <c r="O993" t="b">
        <v>0</v>
      </c>
    </row>
    <row r="994" spans="1:15" x14ac:dyDescent="0.25">
      <c r="A994" s="11">
        <v>43697.801053240742</v>
      </c>
      <c r="B994" t="s">
        <v>2407</v>
      </c>
      <c r="C994" t="s">
        <v>2745</v>
      </c>
      <c r="D994" t="s">
        <v>2390</v>
      </c>
      <c r="E994" t="s">
        <v>2746</v>
      </c>
      <c r="F994">
        <v>3.59</v>
      </c>
      <c r="G994">
        <v>3.93</v>
      </c>
      <c r="H994">
        <v>3.15</v>
      </c>
      <c r="I994">
        <v>1</v>
      </c>
      <c r="J994" t="b">
        <v>0</v>
      </c>
      <c r="K994" t="b">
        <v>0</v>
      </c>
      <c r="L994" t="b">
        <v>0</v>
      </c>
      <c r="M994" t="b">
        <v>0</v>
      </c>
      <c r="N994" t="b">
        <v>1</v>
      </c>
      <c r="O994" t="b">
        <v>0</v>
      </c>
    </row>
    <row r="995" spans="1:15" x14ac:dyDescent="0.25">
      <c r="A995" s="11">
        <v>43697.801053240742</v>
      </c>
      <c r="B995" t="s">
        <v>2407</v>
      </c>
      <c r="C995" t="s">
        <v>2744</v>
      </c>
      <c r="E995">
        <v>112</v>
      </c>
      <c r="F995">
        <v>3.59</v>
      </c>
      <c r="G995">
        <v>3.93</v>
      </c>
      <c r="H995">
        <v>3.15</v>
      </c>
      <c r="I995">
        <v>1</v>
      </c>
      <c r="J995" t="b">
        <v>0</v>
      </c>
      <c r="K995" t="b">
        <v>0</v>
      </c>
      <c r="L995" t="b">
        <v>0</v>
      </c>
      <c r="M995" t="b">
        <v>0</v>
      </c>
      <c r="N995" t="b">
        <v>1</v>
      </c>
      <c r="O995" t="b">
        <v>0</v>
      </c>
    </row>
    <row r="996" spans="1:15" x14ac:dyDescent="0.25">
      <c r="A996" s="11">
        <v>43697.801053240742</v>
      </c>
      <c r="B996" t="s">
        <v>2407</v>
      </c>
      <c r="C996" t="s">
        <v>2744</v>
      </c>
      <c r="E996">
        <v>112</v>
      </c>
      <c r="F996">
        <v>3.59</v>
      </c>
      <c r="G996">
        <v>3.93</v>
      </c>
      <c r="H996">
        <v>3.15</v>
      </c>
      <c r="I996">
        <v>1</v>
      </c>
      <c r="J996" t="b">
        <v>0</v>
      </c>
      <c r="K996" t="b">
        <v>0</v>
      </c>
      <c r="L996" t="b">
        <v>0</v>
      </c>
      <c r="M996" t="b">
        <v>0</v>
      </c>
      <c r="N996" t="b">
        <v>1</v>
      </c>
      <c r="O996" t="b">
        <v>0</v>
      </c>
    </row>
    <row r="997" spans="1:15" x14ac:dyDescent="0.25">
      <c r="A997" s="11">
        <v>43697.801053240742</v>
      </c>
      <c r="B997" t="s">
        <v>2407</v>
      </c>
      <c r="C997" t="s">
        <v>2744</v>
      </c>
      <c r="E997">
        <v>112</v>
      </c>
      <c r="F997">
        <v>3.59</v>
      </c>
      <c r="G997">
        <v>3.93</v>
      </c>
      <c r="H997">
        <v>3.15</v>
      </c>
      <c r="I997">
        <v>1</v>
      </c>
      <c r="J997" t="b">
        <v>0</v>
      </c>
      <c r="K997" t="b">
        <v>0</v>
      </c>
      <c r="L997" t="b">
        <v>0</v>
      </c>
      <c r="M997" t="b">
        <v>0</v>
      </c>
      <c r="N997" t="b">
        <v>1</v>
      </c>
      <c r="O997" t="b">
        <v>0</v>
      </c>
    </row>
    <row r="998" spans="1:15" x14ac:dyDescent="0.25">
      <c r="A998" s="11">
        <v>43697.801053240742</v>
      </c>
      <c r="B998" t="s">
        <v>2407</v>
      </c>
      <c r="C998" t="s">
        <v>2747</v>
      </c>
      <c r="D998" t="s">
        <v>2390</v>
      </c>
      <c r="E998" t="s">
        <v>2748</v>
      </c>
      <c r="F998">
        <v>3.59</v>
      </c>
      <c r="G998">
        <v>3.93</v>
      </c>
      <c r="H998">
        <v>3.15</v>
      </c>
      <c r="I998">
        <v>1</v>
      </c>
      <c r="J998" t="b">
        <v>0</v>
      </c>
      <c r="K998" t="b">
        <v>0</v>
      </c>
      <c r="L998" t="b">
        <v>0</v>
      </c>
      <c r="M998" t="b">
        <v>0</v>
      </c>
      <c r="N998" t="b">
        <v>1</v>
      </c>
      <c r="O998" t="b">
        <v>0</v>
      </c>
    </row>
    <row r="999" spans="1:15" x14ac:dyDescent="0.25">
      <c r="A999" s="11">
        <v>43697.801053240742</v>
      </c>
      <c r="B999" t="s">
        <v>2407</v>
      </c>
      <c r="C999" t="s">
        <v>2383</v>
      </c>
      <c r="D999" t="s">
        <v>2384</v>
      </c>
      <c r="E999" s="12" t="s">
        <v>2385</v>
      </c>
      <c r="F999">
        <v>3.59</v>
      </c>
      <c r="G999">
        <v>3.93</v>
      </c>
      <c r="H999">
        <v>3.15</v>
      </c>
      <c r="I999">
        <v>1</v>
      </c>
      <c r="J999" t="b">
        <v>0</v>
      </c>
      <c r="K999" t="b">
        <v>0</v>
      </c>
      <c r="L999" t="b">
        <v>0</v>
      </c>
      <c r="M999" t="b">
        <v>0</v>
      </c>
      <c r="N999" t="b">
        <v>1</v>
      </c>
      <c r="O999" t="b">
        <v>0</v>
      </c>
    </row>
    <row r="1000" spans="1:15" x14ac:dyDescent="0.25">
      <c r="A1000" s="11">
        <v>43697.801053240742</v>
      </c>
      <c r="B1000" t="s">
        <v>2407</v>
      </c>
      <c r="C1000" t="s">
        <v>2383</v>
      </c>
      <c r="D1000" t="s">
        <v>2386</v>
      </c>
      <c r="E1000">
        <v>440</v>
      </c>
      <c r="F1000">
        <v>3.59</v>
      </c>
      <c r="G1000">
        <v>3.93</v>
      </c>
      <c r="H1000">
        <v>3.15</v>
      </c>
      <c r="I1000">
        <v>1</v>
      </c>
      <c r="J1000" t="b">
        <v>0</v>
      </c>
      <c r="K1000" t="b">
        <v>0</v>
      </c>
      <c r="L1000" t="b">
        <v>0</v>
      </c>
      <c r="M1000" t="b">
        <v>0</v>
      </c>
      <c r="N1000" t="b">
        <v>1</v>
      </c>
      <c r="O1000" t="b">
        <v>0</v>
      </c>
    </row>
    <row r="1001" spans="1:15" x14ac:dyDescent="0.25">
      <c r="A1001" s="11">
        <v>43697.801053240742</v>
      </c>
      <c r="B1001" t="s">
        <v>2407</v>
      </c>
      <c r="C1001" t="s">
        <v>2383</v>
      </c>
      <c r="D1001" t="s">
        <v>2387</v>
      </c>
      <c r="E1001">
        <v>1386</v>
      </c>
      <c r="F1001">
        <v>3.59</v>
      </c>
      <c r="G1001">
        <v>3.93</v>
      </c>
      <c r="H1001">
        <v>3.15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1">
        <v>43697.801053240742</v>
      </c>
      <c r="B1002" t="s">
        <v>2407</v>
      </c>
      <c r="C1002" t="s">
        <v>2383</v>
      </c>
      <c r="D1002" t="s">
        <v>2381</v>
      </c>
      <c r="E1002">
        <v>0</v>
      </c>
      <c r="F1002">
        <v>3.59</v>
      </c>
      <c r="G1002">
        <v>3.93</v>
      </c>
      <c r="H1002">
        <v>3.15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1">
        <v>43697.801053240742</v>
      </c>
      <c r="B1003" t="s">
        <v>2407</v>
      </c>
      <c r="C1003" t="s">
        <v>2383</v>
      </c>
      <c r="D1003" t="s">
        <v>2388</v>
      </c>
      <c r="E1003" t="s">
        <v>2749</v>
      </c>
      <c r="F1003">
        <v>3.59</v>
      </c>
      <c r="G1003">
        <v>3.93</v>
      </c>
      <c r="H1003">
        <v>3.15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1">
        <v>43697.801053240742</v>
      </c>
      <c r="B1004" t="s">
        <v>2407</v>
      </c>
      <c r="C1004" t="s">
        <v>2383</v>
      </c>
      <c r="D1004" t="s">
        <v>2389</v>
      </c>
      <c r="E1004" s="12" t="s">
        <v>2385</v>
      </c>
      <c r="F1004">
        <v>3.59</v>
      </c>
      <c r="G1004">
        <v>3.93</v>
      </c>
      <c r="H1004">
        <v>3.15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1">
        <v>43697.801064814812</v>
      </c>
      <c r="B1005" t="s">
        <v>2407</v>
      </c>
      <c r="C1005" t="s">
        <v>2736</v>
      </c>
      <c r="E1005" t="s">
        <v>2378</v>
      </c>
      <c r="F1005">
        <v>3.59</v>
      </c>
      <c r="G1005">
        <v>3.93</v>
      </c>
      <c r="H1005">
        <v>3.15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1">
        <v>43697.802106481482</v>
      </c>
      <c r="B1006" t="s">
        <v>2407</v>
      </c>
      <c r="C1006" t="s">
        <v>2733</v>
      </c>
      <c r="D1006" t="s">
        <v>2390</v>
      </c>
      <c r="F1006">
        <v>3.59</v>
      </c>
      <c r="G1006">
        <v>3.93</v>
      </c>
      <c r="H1006">
        <v>3.15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1">
        <v>43697.802106481482</v>
      </c>
      <c r="B1007" t="s">
        <v>2407</v>
      </c>
      <c r="C1007" t="s">
        <v>2734</v>
      </c>
      <c r="D1007" t="s">
        <v>2390</v>
      </c>
      <c r="F1007">
        <v>3.59</v>
      </c>
      <c r="G1007">
        <v>3.93</v>
      </c>
      <c r="H1007">
        <v>3.15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1">
        <v>43697.802106481482</v>
      </c>
      <c r="B1008" t="s">
        <v>2407</v>
      </c>
      <c r="C1008" t="s">
        <v>2735</v>
      </c>
      <c r="D1008" t="s">
        <v>2390</v>
      </c>
      <c r="F1008">
        <v>3.59</v>
      </c>
      <c r="G1008">
        <v>3.93</v>
      </c>
      <c r="H1008">
        <v>3.15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1">
        <v>43697.802118055559</v>
      </c>
      <c r="B1009" t="s">
        <v>2407</v>
      </c>
      <c r="C1009" t="s">
        <v>2737</v>
      </c>
      <c r="E1009">
        <v>101</v>
      </c>
      <c r="F1009">
        <v>3.59</v>
      </c>
      <c r="G1009">
        <v>3.93</v>
      </c>
      <c r="H1009">
        <v>3.15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1">
        <v>43697.802118055559</v>
      </c>
      <c r="B1010" t="s">
        <v>2407</v>
      </c>
      <c r="C1010" t="s">
        <v>2738</v>
      </c>
      <c r="D1010" t="s">
        <v>2390</v>
      </c>
      <c r="E1010" t="s">
        <v>2739</v>
      </c>
      <c r="F1010">
        <v>3.59</v>
      </c>
      <c r="G1010">
        <v>3.93</v>
      </c>
      <c r="H1010">
        <v>3.15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1">
        <v>43697.802118055559</v>
      </c>
      <c r="B1011" t="s">
        <v>2407</v>
      </c>
      <c r="C1011" t="s">
        <v>2737</v>
      </c>
      <c r="E1011">
        <v>104</v>
      </c>
      <c r="F1011">
        <v>3.59</v>
      </c>
      <c r="G1011">
        <v>3.93</v>
      </c>
      <c r="H1011">
        <v>3.15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1">
        <v>43697.802118055559</v>
      </c>
      <c r="B1012" t="s">
        <v>2407</v>
      </c>
      <c r="C1012" t="s">
        <v>2737</v>
      </c>
      <c r="E1012">
        <v>104</v>
      </c>
      <c r="F1012">
        <v>3.59</v>
      </c>
      <c r="G1012">
        <v>3.93</v>
      </c>
      <c r="H1012">
        <v>3.15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1">
        <v>43697.802118055559</v>
      </c>
      <c r="B1013" t="s">
        <v>2407</v>
      </c>
      <c r="C1013" t="s">
        <v>2737</v>
      </c>
      <c r="E1013">
        <v>104</v>
      </c>
      <c r="F1013">
        <v>3.59</v>
      </c>
      <c r="G1013">
        <v>3.93</v>
      </c>
      <c r="H1013">
        <v>3.15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1">
        <v>43697.802118055559</v>
      </c>
      <c r="B1014" t="s">
        <v>2407</v>
      </c>
      <c r="C1014" t="s">
        <v>2740</v>
      </c>
      <c r="D1014" t="s">
        <v>2390</v>
      </c>
      <c r="E1014" t="s">
        <v>2741</v>
      </c>
      <c r="F1014">
        <v>3.59</v>
      </c>
      <c r="G1014">
        <v>3.93</v>
      </c>
      <c r="H1014">
        <v>3.15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1">
        <v>43697.802118055559</v>
      </c>
      <c r="B1015" t="s">
        <v>2407</v>
      </c>
      <c r="C1015" t="s">
        <v>2737</v>
      </c>
      <c r="E1015">
        <v>109</v>
      </c>
      <c r="F1015">
        <v>3.59</v>
      </c>
      <c r="G1015">
        <v>3.93</v>
      </c>
      <c r="H1015">
        <v>3.15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1">
        <v>43697.802118055559</v>
      </c>
      <c r="B1016" t="s">
        <v>2407</v>
      </c>
      <c r="C1016" t="s">
        <v>2737</v>
      </c>
      <c r="E1016">
        <v>109</v>
      </c>
      <c r="F1016">
        <v>3.59</v>
      </c>
      <c r="G1016">
        <v>3.93</v>
      </c>
      <c r="H1016">
        <v>3.15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1">
        <v>43697.802118055559</v>
      </c>
      <c r="B1017" t="s">
        <v>2407</v>
      </c>
      <c r="C1017" t="s">
        <v>2742</v>
      </c>
      <c r="D1017" t="s">
        <v>2390</v>
      </c>
      <c r="E1017" t="s">
        <v>2743</v>
      </c>
      <c r="F1017">
        <v>3.59</v>
      </c>
      <c r="G1017">
        <v>3.93</v>
      </c>
      <c r="H1017">
        <v>3.15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1">
        <v>43697.802118055559</v>
      </c>
      <c r="B1018" t="s">
        <v>2407</v>
      </c>
      <c r="C1018" t="s">
        <v>2737</v>
      </c>
      <c r="E1018">
        <v>105</v>
      </c>
      <c r="F1018">
        <v>3.59</v>
      </c>
      <c r="G1018">
        <v>3.93</v>
      </c>
      <c r="H1018">
        <v>3.15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1">
        <v>43697.802118055559</v>
      </c>
      <c r="B1019" t="s">
        <v>2407</v>
      </c>
      <c r="C1019" t="s">
        <v>2744</v>
      </c>
      <c r="E1019">
        <v>103</v>
      </c>
      <c r="F1019">
        <v>3.59</v>
      </c>
      <c r="G1019">
        <v>3.93</v>
      </c>
      <c r="H1019">
        <v>3.15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1">
        <v>43697.802118055559</v>
      </c>
      <c r="B1020" t="s">
        <v>2407</v>
      </c>
      <c r="C1020" t="s">
        <v>2745</v>
      </c>
      <c r="D1020" t="s">
        <v>2390</v>
      </c>
      <c r="E1020" t="s">
        <v>2746</v>
      </c>
      <c r="F1020">
        <v>3.59</v>
      </c>
      <c r="G1020">
        <v>3.93</v>
      </c>
      <c r="H1020">
        <v>3.15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1">
        <v>43697.802118055559</v>
      </c>
      <c r="B1021" t="s">
        <v>2407</v>
      </c>
      <c r="C1021" t="s">
        <v>2744</v>
      </c>
      <c r="E1021">
        <v>112</v>
      </c>
      <c r="F1021">
        <v>3.59</v>
      </c>
      <c r="G1021">
        <v>3.93</v>
      </c>
      <c r="H1021">
        <v>3.15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1">
        <v>43697.802118055559</v>
      </c>
      <c r="B1022" t="s">
        <v>2407</v>
      </c>
      <c r="C1022" t="s">
        <v>2744</v>
      </c>
      <c r="E1022">
        <v>112</v>
      </c>
      <c r="F1022">
        <v>3.59</v>
      </c>
      <c r="G1022">
        <v>3.93</v>
      </c>
      <c r="H1022">
        <v>3.15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1">
        <v>43697.802118055559</v>
      </c>
      <c r="B1023" t="s">
        <v>2407</v>
      </c>
      <c r="C1023" t="s">
        <v>2744</v>
      </c>
      <c r="E1023">
        <v>112</v>
      </c>
      <c r="F1023">
        <v>3.59</v>
      </c>
      <c r="G1023">
        <v>3.93</v>
      </c>
      <c r="H1023">
        <v>3.15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1">
        <v>43697.802118055559</v>
      </c>
      <c r="B1024" t="s">
        <v>2407</v>
      </c>
      <c r="C1024" t="s">
        <v>2747</v>
      </c>
      <c r="D1024" t="s">
        <v>2390</v>
      </c>
      <c r="E1024" t="s">
        <v>2748</v>
      </c>
      <c r="F1024">
        <v>3.59</v>
      </c>
      <c r="G1024">
        <v>3.93</v>
      </c>
      <c r="H1024">
        <v>3.15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1">
        <v>43697.802118055559</v>
      </c>
      <c r="B1025" t="s">
        <v>2407</v>
      </c>
      <c r="C1025" t="s">
        <v>2383</v>
      </c>
      <c r="D1025" t="s">
        <v>2384</v>
      </c>
      <c r="E1025" s="12" t="s">
        <v>2385</v>
      </c>
      <c r="F1025">
        <v>3.59</v>
      </c>
      <c r="G1025">
        <v>3.93</v>
      </c>
      <c r="H1025">
        <v>3.15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1">
        <v>43697.802118055559</v>
      </c>
      <c r="B1026" t="s">
        <v>2407</v>
      </c>
      <c r="C1026" t="s">
        <v>2383</v>
      </c>
      <c r="D1026" t="s">
        <v>2386</v>
      </c>
      <c r="E1026">
        <v>440</v>
      </c>
      <c r="F1026">
        <v>3.59</v>
      </c>
      <c r="G1026">
        <v>3.93</v>
      </c>
      <c r="H1026">
        <v>3.15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1">
        <v>43697.802118055559</v>
      </c>
      <c r="B1027" t="s">
        <v>2407</v>
      </c>
      <c r="C1027" t="s">
        <v>2383</v>
      </c>
      <c r="D1027" t="s">
        <v>2387</v>
      </c>
      <c r="E1027">
        <v>1386</v>
      </c>
      <c r="F1027">
        <v>3.59</v>
      </c>
      <c r="G1027">
        <v>3.93</v>
      </c>
      <c r="H1027">
        <v>3.15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1">
        <v>43697.802118055559</v>
      </c>
      <c r="B1028" t="s">
        <v>2407</v>
      </c>
      <c r="C1028" t="s">
        <v>2383</v>
      </c>
      <c r="D1028" t="s">
        <v>2381</v>
      </c>
      <c r="E1028">
        <v>0</v>
      </c>
      <c r="F1028">
        <v>3.59</v>
      </c>
      <c r="G1028">
        <v>3.93</v>
      </c>
      <c r="H1028">
        <v>3.15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1">
        <v>43697.802118055559</v>
      </c>
      <c r="B1029" t="s">
        <v>2407</v>
      </c>
      <c r="C1029" t="s">
        <v>2383</v>
      </c>
      <c r="D1029" t="s">
        <v>2388</v>
      </c>
      <c r="E1029" t="s">
        <v>2749</v>
      </c>
      <c r="F1029">
        <v>3.59</v>
      </c>
      <c r="G1029">
        <v>3.93</v>
      </c>
      <c r="H1029">
        <v>3.15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1">
        <v>43697.802118055559</v>
      </c>
      <c r="B1030" t="s">
        <v>2407</v>
      </c>
      <c r="C1030" t="s">
        <v>2383</v>
      </c>
      <c r="D1030" t="s">
        <v>2389</v>
      </c>
      <c r="E1030" s="12" t="s">
        <v>2385</v>
      </c>
      <c r="F1030">
        <v>3.59</v>
      </c>
      <c r="G1030">
        <v>3.93</v>
      </c>
      <c r="H1030">
        <v>3.15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1">
        <v>43697.802118055559</v>
      </c>
      <c r="B1031" t="s">
        <v>2407</v>
      </c>
      <c r="C1031" t="s">
        <v>2736</v>
      </c>
      <c r="E1031" t="s">
        <v>2378</v>
      </c>
      <c r="F1031">
        <v>3.59</v>
      </c>
      <c r="G1031">
        <v>3.93</v>
      </c>
      <c r="H1031">
        <v>3.15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1">
        <v>43697.802291666667</v>
      </c>
      <c r="B1032" t="s">
        <v>2407</v>
      </c>
      <c r="C1032" t="s">
        <v>2733</v>
      </c>
      <c r="D1032" t="s">
        <v>2390</v>
      </c>
      <c r="F1032">
        <v>3.59</v>
      </c>
      <c r="G1032">
        <v>3.93</v>
      </c>
      <c r="H1032">
        <v>3.15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1">
        <v>43697.802291666667</v>
      </c>
      <c r="B1033" t="s">
        <v>2407</v>
      </c>
      <c r="C1033" t="s">
        <v>2734</v>
      </c>
      <c r="D1033" t="s">
        <v>2390</v>
      </c>
      <c r="F1033">
        <v>3.59</v>
      </c>
      <c r="G1033">
        <v>3.93</v>
      </c>
      <c r="H1033">
        <v>3.15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1">
        <v>43697.802291666667</v>
      </c>
      <c r="B1034" t="s">
        <v>2407</v>
      </c>
      <c r="C1034" t="s">
        <v>2735</v>
      </c>
      <c r="D1034" t="s">
        <v>2390</v>
      </c>
      <c r="F1034">
        <v>3.59</v>
      </c>
      <c r="G1034">
        <v>3.93</v>
      </c>
      <c r="H1034">
        <v>3.15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1">
        <v>43697.802303240744</v>
      </c>
      <c r="B1035" t="s">
        <v>2407</v>
      </c>
      <c r="C1035" t="s">
        <v>2737</v>
      </c>
      <c r="E1035">
        <v>101</v>
      </c>
      <c r="F1035">
        <v>3.59</v>
      </c>
      <c r="G1035">
        <v>3.93</v>
      </c>
      <c r="H1035">
        <v>3.15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1">
        <v>43697.802303240744</v>
      </c>
      <c r="B1036" t="s">
        <v>2407</v>
      </c>
      <c r="C1036" t="s">
        <v>2744</v>
      </c>
      <c r="E1036">
        <v>103</v>
      </c>
      <c r="F1036">
        <v>3.59</v>
      </c>
      <c r="G1036">
        <v>3.93</v>
      </c>
      <c r="H1036">
        <v>3.15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1">
        <v>43697.802303240744</v>
      </c>
      <c r="B1037" t="s">
        <v>2407</v>
      </c>
      <c r="C1037" t="s">
        <v>2737</v>
      </c>
      <c r="E1037">
        <v>104</v>
      </c>
      <c r="F1037">
        <v>3.59</v>
      </c>
      <c r="G1037">
        <v>3.93</v>
      </c>
      <c r="H1037">
        <v>3.15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1">
        <v>43697.802303240744</v>
      </c>
      <c r="B1038" t="s">
        <v>2407</v>
      </c>
      <c r="C1038" t="s">
        <v>2737</v>
      </c>
      <c r="E1038">
        <v>104</v>
      </c>
      <c r="F1038">
        <v>3.59</v>
      </c>
      <c r="G1038">
        <v>3.93</v>
      </c>
      <c r="H1038">
        <v>3.15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1">
        <v>43697.802303240744</v>
      </c>
      <c r="B1039" t="s">
        <v>2407</v>
      </c>
      <c r="C1039" t="s">
        <v>2737</v>
      </c>
      <c r="E1039">
        <v>104</v>
      </c>
      <c r="F1039">
        <v>3.59</v>
      </c>
      <c r="G1039">
        <v>3.93</v>
      </c>
      <c r="H1039">
        <v>3.15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1">
        <v>43697.802303240744</v>
      </c>
      <c r="B1040" t="s">
        <v>2407</v>
      </c>
      <c r="C1040" t="s">
        <v>2737</v>
      </c>
      <c r="E1040">
        <v>105</v>
      </c>
      <c r="F1040">
        <v>3.59</v>
      </c>
      <c r="G1040">
        <v>3.93</v>
      </c>
      <c r="H1040">
        <v>3.15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1">
        <v>43697.802303240744</v>
      </c>
      <c r="B1041" t="s">
        <v>2407</v>
      </c>
      <c r="C1041" t="s">
        <v>2737</v>
      </c>
      <c r="E1041">
        <v>109</v>
      </c>
      <c r="F1041">
        <v>3.59</v>
      </c>
      <c r="G1041">
        <v>3.93</v>
      </c>
      <c r="H1041">
        <v>3.15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1">
        <v>43697.802303240744</v>
      </c>
      <c r="B1042" t="s">
        <v>2407</v>
      </c>
      <c r="C1042" t="s">
        <v>2737</v>
      </c>
      <c r="E1042">
        <v>109</v>
      </c>
      <c r="F1042">
        <v>3.59</v>
      </c>
      <c r="G1042">
        <v>3.93</v>
      </c>
      <c r="H1042">
        <v>3.15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1">
        <v>43697.802303240744</v>
      </c>
      <c r="B1043" t="s">
        <v>2407</v>
      </c>
      <c r="C1043" t="s">
        <v>2744</v>
      </c>
      <c r="E1043">
        <v>112</v>
      </c>
      <c r="F1043">
        <v>3.59</v>
      </c>
      <c r="G1043">
        <v>3.93</v>
      </c>
      <c r="H1043">
        <v>3.15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1">
        <v>43697.802303240744</v>
      </c>
      <c r="B1044" t="s">
        <v>2407</v>
      </c>
      <c r="C1044" t="s">
        <v>2744</v>
      </c>
      <c r="E1044">
        <v>112</v>
      </c>
      <c r="F1044">
        <v>3.59</v>
      </c>
      <c r="G1044">
        <v>3.93</v>
      </c>
      <c r="H1044">
        <v>3.15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1">
        <v>43697.802303240744</v>
      </c>
      <c r="B1045" t="s">
        <v>2407</v>
      </c>
      <c r="C1045" t="s">
        <v>2744</v>
      </c>
      <c r="E1045">
        <v>112</v>
      </c>
      <c r="F1045">
        <v>3.59</v>
      </c>
      <c r="G1045">
        <v>3.93</v>
      </c>
      <c r="H1045">
        <v>3.15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1">
        <v>43697.802303240744</v>
      </c>
      <c r="B1046" t="s">
        <v>2407</v>
      </c>
      <c r="C1046" t="s">
        <v>2383</v>
      </c>
      <c r="D1046" t="s">
        <v>2384</v>
      </c>
      <c r="E1046" s="12" t="s">
        <v>2385</v>
      </c>
      <c r="F1046">
        <v>3.59</v>
      </c>
      <c r="G1046">
        <v>3.93</v>
      </c>
      <c r="H1046">
        <v>3.15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1">
        <v>43697.802303240744</v>
      </c>
      <c r="B1047" t="s">
        <v>2407</v>
      </c>
      <c r="C1047" t="s">
        <v>2383</v>
      </c>
      <c r="D1047" t="s">
        <v>2386</v>
      </c>
      <c r="E1047" t="s">
        <v>2750</v>
      </c>
      <c r="F1047">
        <v>3.59</v>
      </c>
      <c r="G1047">
        <v>3.93</v>
      </c>
      <c r="H1047">
        <v>3.15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1">
        <v>43697.802303240744</v>
      </c>
      <c r="B1048" t="s">
        <v>2407</v>
      </c>
      <c r="C1048" t="s">
        <v>2383</v>
      </c>
      <c r="D1048" t="s">
        <v>2387</v>
      </c>
      <c r="E1048" t="s">
        <v>2751</v>
      </c>
      <c r="F1048">
        <v>3.59</v>
      </c>
      <c r="G1048">
        <v>3.93</v>
      </c>
      <c r="H1048">
        <v>3.15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1">
        <v>43697.802303240744</v>
      </c>
      <c r="B1049" t="s">
        <v>2407</v>
      </c>
      <c r="C1049" t="s">
        <v>2383</v>
      </c>
      <c r="D1049" t="s">
        <v>2381</v>
      </c>
      <c r="E1049">
        <v>0</v>
      </c>
      <c r="F1049">
        <v>3.59</v>
      </c>
      <c r="G1049">
        <v>3.93</v>
      </c>
      <c r="H1049">
        <v>3.15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1">
        <v>43697.802303240744</v>
      </c>
      <c r="B1050" t="s">
        <v>2407</v>
      </c>
      <c r="C1050" t="s">
        <v>2383</v>
      </c>
      <c r="D1050" t="s">
        <v>2388</v>
      </c>
      <c r="E1050" t="s">
        <v>2752</v>
      </c>
      <c r="F1050">
        <v>3.59</v>
      </c>
      <c r="G1050">
        <v>3.93</v>
      </c>
      <c r="H1050">
        <v>3.15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1">
        <v>43697.802303240744</v>
      </c>
      <c r="B1051" t="s">
        <v>2407</v>
      </c>
      <c r="C1051" t="s">
        <v>2383</v>
      </c>
      <c r="D1051" t="s">
        <v>2389</v>
      </c>
      <c r="E1051" s="12" t="s">
        <v>2385</v>
      </c>
      <c r="F1051">
        <v>3.59</v>
      </c>
      <c r="G1051">
        <v>3.93</v>
      </c>
      <c r="H1051">
        <v>3.15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1">
        <v>43697.802314814813</v>
      </c>
      <c r="B1052" t="s">
        <v>2407</v>
      </c>
      <c r="C1052" t="s">
        <v>2736</v>
      </c>
      <c r="E1052" t="s">
        <v>2378</v>
      </c>
      <c r="F1052">
        <v>3.59</v>
      </c>
      <c r="G1052">
        <v>3.93</v>
      </c>
      <c r="H1052">
        <v>3.15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1">
        <v>43697.80265046296</v>
      </c>
      <c r="B1053" t="s">
        <v>2407</v>
      </c>
      <c r="C1053" t="s">
        <v>2733</v>
      </c>
      <c r="D1053" t="s">
        <v>2390</v>
      </c>
      <c r="F1053">
        <v>3.59</v>
      </c>
      <c r="G1053">
        <v>3.93</v>
      </c>
      <c r="H1053">
        <v>3.15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1">
        <v>43697.80265046296</v>
      </c>
      <c r="B1054" t="s">
        <v>2407</v>
      </c>
      <c r="C1054" t="s">
        <v>2734</v>
      </c>
      <c r="D1054" t="s">
        <v>2390</v>
      </c>
      <c r="F1054">
        <v>3.59</v>
      </c>
      <c r="G1054">
        <v>3.93</v>
      </c>
      <c r="H1054">
        <v>3.15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1">
        <v>43697.80265046296</v>
      </c>
      <c r="B1055" t="s">
        <v>2407</v>
      </c>
      <c r="C1055" t="s">
        <v>2735</v>
      </c>
      <c r="D1055" t="s">
        <v>2390</v>
      </c>
      <c r="F1055">
        <v>3.59</v>
      </c>
      <c r="G1055">
        <v>3.93</v>
      </c>
      <c r="H1055">
        <v>3.15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1">
        <v>43697.802662037036</v>
      </c>
      <c r="B1056" t="s">
        <v>2407</v>
      </c>
      <c r="C1056" t="s">
        <v>2737</v>
      </c>
      <c r="E1056">
        <v>101</v>
      </c>
      <c r="F1056">
        <v>3.59</v>
      </c>
      <c r="G1056">
        <v>3.93</v>
      </c>
      <c r="H1056">
        <v>3.15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1">
        <v>43697.802662037036</v>
      </c>
      <c r="B1057" t="s">
        <v>2407</v>
      </c>
      <c r="C1057" t="s">
        <v>2738</v>
      </c>
      <c r="D1057" t="s">
        <v>2390</v>
      </c>
      <c r="E1057" t="s">
        <v>2739</v>
      </c>
      <c r="F1057">
        <v>3.59</v>
      </c>
      <c r="G1057">
        <v>3.93</v>
      </c>
      <c r="H1057">
        <v>3.15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1">
        <v>43697.802662037036</v>
      </c>
      <c r="B1058" t="s">
        <v>2407</v>
      </c>
      <c r="C1058" t="s">
        <v>2737</v>
      </c>
      <c r="E1058">
        <v>104</v>
      </c>
      <c r="F1058">
        <v>3.59</v>
      </c>
      <c r="G1058">
        <v>3.93</v>
      </c>
      <c r="H1058">
        <v>3.15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1">
        <v>43697.802662037036</v>
      </c>
      <c r="B1059" t="s">
        <v>2407</v>
      </c>
      <c r="C1059" t="s">
        <v>2737</v>
      </c>
      <c r="E1059">
        <v>104</v>
      </c>
      <c r="F1059">
        <v>3.59</v>
      </c>
      <c r="G1059">
        <v>3.93</v>
      </c>
      <c r="H1059">
        <v>3.15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1">
        <v>43697.802662037036</v>
      </c>
      <c r="B1060" t="s">
        <v>2407</v>
      </c>
      <c r="C1060" t="s">
        <v>2737</v>
      </c>
      <c r="E1060">
        <v>104</v>
      </c>
      <c r="F1060">
        <v>3.59</v>
      </c>
      <c r="G1060">
        <v>3.93</v>
      </c>
      <c r="H1060">
        <v>3.15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1">
        <v>43697.802662037036</v>
      </c>
      <c r="B1061" t="s">
        <v>2407</v>
      </c>
      <c r="C1061" t="s">
        <v>2740</v>
      </c>
      <c r="D1061" t="s">
        <v>2390</v>
      </c>
      <c r="E1061" t="s">
        <v>2741</v>
      </c>
      <c r="F1061">
        <v>3.59</v>
      </c>
      <c r="G1061">
        <v>3.93</v>
      </c>
      <c r="H1061">
        <v>3.15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1">
        <v>43697.802662037036</v>
      </c>
      <c r="B1062" t="s">
        <v>2407</v>
      </c>
      <c r="C1062" t="s">
        <v>2737</v>
      </c>
      <c r="E1062">
        <v>109</v>
      </c>
      <c r="F1062">
        <v>3.59</v>
      </c>
      <c r="G1062">
        <v>3.93</v>
      </c>
      <c r="H1062">
        <v>3.15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1">
        <v>43697.802662037036</v>
      </c>
      <c r="B1063" t="s">
        <v>2407</v>
      </c>
      <c r="C1063" t="s">
        <v>2737</v>
      </c>
      <c r="E1063">
        <v>109</v>
      </c>
      <c r="F1063">
        <v>3.59</v>
      </c>
      <c r="G1063">
        <v>3.93</v>
      </c>
      <c r="H1063">
        <v>3.15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1">
        <v>43697.802662037036</v>
      </c>
      <c r="B1064" t="s">
        <v>2407</v>
      </c>
      <c r="C1064" t="s">
        <v>2742</v>
      </c>
      <c r="D1064" t="s">
        <v>2390</v>
      </c>
      <c r="E1064" t="s">
        <v>2743</v>
      </c>
      <c r="F1064">
        <v>3.59</v>
      </c>
      <c r="G1064">
        <v>3.93</v>
      </c>
      <c r="H1064">
        <v>3.15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1">
        <v>43697.802662037036</v>
      </c>
      <c r="B1065" t="s">
        <v>2407</v>
      </c>
      <c r="C1065" t="s">
        <v>2737</v>
      </c>
      <c r="E1065">
        <v>105</v>
      </c>
      <c r="F1065">
        <v>3.59</v>
      </c>
      <c r="G1065">
        <v>3.93</v>
      </c>
      <c r="H1065">
        <v>3.15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1">
        <v>43697.802662037036</v>
      </c>
      <c r="B1066" t="s">
        <v>2407</v>
      </c>
      <c r="C1066" t="s">
        <v>2744</v>
      </c>
      <c r="E1066">
        <v>103</v>
      </c>
      <c r="F1066">
        <v>3.59</v>
      </c>
      <c r="G1066">
        <v>3.93</v>
      </c>
      <c r="H1066">
        <v>3.15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1">
        <v>43697.802662037036</v>
      </c>
      <c r="B1067" t="s">
        <v>2407</v>
      </c>
      <c r="C1067" t="s">
        <v>2745</v>
      </c>
      <c r="D1067" t="s">
        <v>2390</v>
      </c>
      <c r="E1067" t="s">
        <v>2746</v>
      </c>
      <c r="F1067">
        <v>3.59</v>
      </c>
      <c r="G1067">
        <v>3.93</v>
      </c>
      <c r="H1067">
        <v>3.15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1">
        <v>43697.802662037036</v>
      </c>
      <c r="B1068" t="s">
        <v>2407</v>
      </c>
      <c r="C1068" t="s">
        <v>2744</v>
      </c>
      <c r="E1068">
        <v>112</v>
      </c>
      <c r="F1068">
        <v>3.59</v>
      </c>
      <c r="G1068">
        <v>3.93</v>
      </c>
      <c r="H1068">
        <v>3.15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1">
        <v>43697.802662037036</v>
      </c>
      <c r="B1069" t="s">
        <v>2407</v>
      </c>
      <c r="C1069" t="s">
        <v>2744</v>
      </c>
      <c r="E1069">
        <v>112</v>
      </c>
      <c r="F1069">
        <v>3.59</v>
      </c>
      <c r="G1069">
        <v>3.93</v>
      </c>
      <c r="H1069">
        <v>3.15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1">
        <v>43697.802662037036</v>
      </c>
      <c r="B1070" t="s">
        <v>2407</v>
      </c>
      <c r="C1070" t="s">
        <v>2744</v>
      </c>
      <c r="E1070">
        <v>112</v>
      </c>
      <c r="F1070">
        <v>3.59</v>
      </c>
      <c r="G1070">
        <v>3.93</v>
      </c>
      <c r="H1070">
        <v>3.15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1">
        <v>43697.802662037036</v>
      </c>
      <c r="B1071" t="s">
        <v>2407</v>
      </c>
      <c r="C1071" t="s">
        <v>2747</v>
      </c>
      <c r="D1071" t="s">
        <v>2390</v>
      </c>
      <c r="E1071" t="s">
        <v>2748</v>
      </c>
      <c r="F1071">
        <v>3.59</v>
      </c>
      <c r="G1071">
        <v>3.93</v>
      </c>
      <c r="H1071">
        <v>3.15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1">
        <v>43697.802662037036</v>
      </c>
      <c r="B1072" t="s">
        <v>2407</v>
      </c>
      <c r="C1072" t="s">
        <v>2383</v>
      </c>
      <c r="D1072" t="s">
        <v>2384</v>
      </c>
      <c r="E1072" s="12" t="s">
        <v>2385</v>
      </c>
      <c r="F1072">
        <v>3.59</v>
      </c>
      <c r="G1072">
        <v>3.93</v>
      </c>
      <c r="H1072">
        <v>3.15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1">
        <v>43697.802662037036</v>
      </c>
      <c r="B1073" t="s">
        <v>2407</v>
      </c>
      <c r="C1073" t="s">
        <v>2383</v>
      </c>
      <c r="D1073" t="s">
        <v>2386</v>
      </c>
      <c r="E1073">
        <v>440</v>
      </c>
      <c r="F1073">
        <v>3.59</v>
      </c>
      <c r="G1073">
        <v>3.93</v>
      </c>
      <c r="H1073">
        <v>3.15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1">
        <v>43697.802662037036</v>
      </c>
      <c r="B1074" t="s">
        <v>2407</v>
      </c>
      <c r="C1074" t="s">
        <v>2383</v>
      </c>
      <c r="D1074" t="s">
        <v>2387</v>
      </c>
      <c r="E1074">
        <v>1386</v>
      </c>
      <c r="F1074">
        <v>3.59</v>
      </c>
      <c r="G1074">
        <v>3.93</v>
      </c>
      <c r="H1074">
        <v>3.15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1">
        <v>43697.802662037036</v>
      </c>
      <c r="B1075" t="s">
        <v>2407</v>
      </c>
      <c r="C1075" t="s">
        <v>2383</v>
      </c>
      <c r="D1075" t="s">
        <v>2381</v>
      </c>
      <c r="E1075">
        <v>0</v>
      </c>
      <c r="F1075">
        <v>3.59</v>
      </c>
      <c r="G1075">
        <v>3.93</v>
      </c>
      <c r="H1075">
        <v>3.15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1">
        <v>43697.802662037036</v>
      </c>
      <c r="B1076" t="s">
        <v>2407</v>
      </c>
      <c r="C1076" t="s">
        <v>2383</v>
      </c>
      <c r="D1076" t="s">
        <v>2388</v>
      </c>
      <c r="E1076" t="s">
        <v>2749</v>
      </c>
      <c r="F1076">
        <v>3.59</v>
      </c>
      <c r="G1076">
        <v>3.93</v>
      </c>
      <c r="H1076">
        <v>3.15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1">
        <v>43697.802662037036</v>
      </c>
      <c r="B1077" t="s">
        <v>2407</v>
      </c>
      <c r="C1077" t="s">
        <v>2383</v>
      </c>
      <c r="D1077" t="s">
        <v>2389</v>
      </c>
      <c r="E1077" s="12" t="s">
        <v>2385</v>
      </c>
      <c r="F1077">
        <v>3.59</v>
      </c>
      <c r="G1077">
        <v>3.93</v>
      </c>
      <c r="H1077">
        <v>3.15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1">
        <v>43697.802662037036</v>
      </c>
      <c r="B1078" t="s">
        <v>2407</v>
      </c>
      <c r="C1078" t="s">
        <v>2736</v>
      </c>
      <c r="E1078" t="s">
        <v>2378</v>
      </c>
      <c r="F1078">
        <v>3.59</v>
      </c>
      <c r="G1078">
        <v>3.93</v>
      </c>
      <c r="H1078">
        <v>3.15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1">
        <v>43697.805925925924</v>
      </c>
      <c r="B1079" t="s">
        <v>2407</v>
      </c>
      <c r="C1079" t="s">
        <v>2733</v>
      </c>
      <c r="D1079" t="s">
        <v>2390</v>
      </c>
      <c r="F1079">
        <v>3.59</v>
      </c>
      <c r="G1079">
        <v>3.93</v>
      </c>
      <c r="H1079">
        <v>3.15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1">
        <v>43697.805925925924</v>
      </c>
      <c r="B1080" t="s">
        <v>2407</v>
      </c>
      <c r="C1080" t="s">
        <v>2734</v>
      </c>
      <c r="D1080" t="s">
        <v>2390</v>
      </c>
      <c r="F1080">
        <v>3.59</v>
      </c>
      <c r="G1080">
        <v>3.93</v>
      </c>
      <c r="H1080">
        <v>3.15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1">
        <v>43697.805925925924</v>
      </c>
      <c r="B1081" t="s">
        <v>2407</v>
      </c>
      <c r="C1081" t="s">
        <v>2735</v>
      </c>
      <c r="D1081" t="s">
        <v>2390</v>
      </c>
      <c r="F1081">
        <v>3.59</v>
      </c>
      <c r="G1081">
        <v>3.93</v>
      </c>
      <c r="H1081">
        <v>3.15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1">
        <v>43697.805937500001</v>
      </c>
      <c r="B1082" t="s">
        <v>2407</v>
      </c>
      <c r="C1082" t="s">
        <v>2737</v>
      </c>
      <c r="E1082">
        <v>101</v>
      </c>
      <c r="F1082">
        <v>3.59</v>
      </c>
      <c r="G1082">
        <v>3.93</v>
      </c>
      <c r="H1082">
        <v>3.15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1">
        <v>43697.805937500001</v>
      </c>
      <c r="B1083" t="s">
        <v>2407</v>
      </c>
      <c r="C1083" t="s">
        <v>2738</v>
      </c>
      <c r="D1083" t="s">
        <v>2390</v>
      </c>
      <c r="E1083" t="s">
        <v>2739</v>
      </c>
      <c r="F1083">
        <v>3.59</v>
      </c>
      <c r="G1083">
        <v>3.93</v>
      </c>
      <c r="H1083">
        <v>3.15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1">
        <v>43697.805937500001</v>
      </c>
      <c r="B1084" t="s">
        <v>2407</v>
      </c>
      <c r="C1084" t="s">
        <v>2737</v>
      </c>
      <c r="E1084">
        <v>104</v>
      </c>
      <c r="F1084">
        <v>3.59</v>
      </c>
      <c r="G1084">
        <v>3.93</v>
      </c>
      <c r="H1084">
        <v>3.15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1">
        <v>43697.805937500001</v>
      </c>
      <c r="B1085" t="s">
        <v>2407</v>
      </c>
      <c r="C1085" t="s">
        <v>2737</v>
      </c>
      <c r="E1085">
        <v>104</v>
      </c>
      <c r="F1085">
        <v>3.59</v>
      </c>
      <c r="G1085">
        <v>3.93</v>
      </c>
      <c r="H1085">
        <v>3.15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1">
        <v>43697.805937500001</v>
      </c>
      <c r="B1086" t="s">
        <v>2407</v>
      </c>
      <c r="C1086" t="s">
        <v>2737</v>
      </c>
      <c r="E1086">
        <v>104</v>
      </c>
      <c r="F1086">
        <v>3.59</v>
      </c>
      <c r="G1086">
        <v>3.93</v>
      </c>
      <c r="H1086">
        <v>3.15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1">
        <v>43697.805937500001</v>
      </c>
      <c r="B1087" t="s">
        <v>2407</v>
      </c>
      <c r="C1087" t="s">
        <v>2740</v>
      </c>
      <c r="D1087" t="s">
        <v>2390</v>
      </c>
      <c r="E1087" t="s">
        <v>2741</v>
      </c>
      <c r="F1087">
        <v>3.59</v>
      </c>
      <c r="G1087">
        <v>3.93</v>
      </c>
      <c r="H1087">
        <v>3.15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1">
        <v>43697.805937500001</v>
      </c>
      <c r="B1088" t="s">
        <v>2407</v>
      </c>
      <c r="C1088" t="s">
        <v>2737</v>
      </c>
      <c r="E1088">
        <v>109</v>
      </c>
      <c r="F1088">
        <v>3.59</v>
      </c>
      <c r="G1088">
        <v>3.93</v>
      </c>
      <c r="H1088">
        <v>3.15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1">
        <v>43697.805937500001</v>
      </c>
      <c r="B1089" t="s">
        <v>2407</v>
      </c>
      <c r="C1089" t="s">
        <v>2737</v>
      </c>
      <c r="E1089">
        <v>109</v>
      </c>
      <c r="F1089">
        <v>3.59</v>
      </c>
      <c r="G1089">
        <v>3.93</v>
      </c>
      <c r="H1089">
        <v>3.15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1">
        <v>43697.805937500001</v>
      </c>
      <c r="B1090" t="s">
        <v>2407</v>
      </c>
      <c r="C1090" t="s">
        <v>2742</v>
      </c>
      <c r="D1090" t="s">
        <v>2390</v>
      </c>
      <c r="E1090" t="s">
        <v>2743</v>
      </c>
      <c r="F1090">
        <v>3.59</v>
      </c>
      <c r="G1090">
        <v>3.93</v>
      </c>
      <c r="H1090">
        <v>3.15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1">
        <v>43697.805937500001</v>
      </c>
      <c r="B1091" t="s">
        <v>2407</v>
      </c>
      <c r="C1091" t="s">
        <v>2737</v>
      </c>
      <c r="E1091">
        <v>105</v>
      </c>
      <c r="F1091">
        <v>3.59</v>
      </c>
      <c r="G1091">
        <v>3.93</v>
      </c>
      <c r="H1091">
        <v>3.15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1">
        <v>43697.805937500001</v>
      </c>
      <c r="B1092" t="s">
        <v>2407</v>
      </c>
      <c r="C1092" t="s">
        <v>2744</v>
      </c>
      <c r="E1092">
        <v>103</v>
      </c>
      <c r="F1092">
        <v>3.59</v>
      </c>
      <c r="G1092">
        <v>3.93</v>
      </c>
      <c r="H1092">
        <v>3.15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1">
        <v>43697.805937500001</v>
      </c>
      <c r="B1093" t="s">
        <v>2407</v>
      </c>
      <c r="C1093" t="s">
        <v>2745</v>
      </c>
      <c r="D1093" t="s">
        <v>2390</v>
      </c>
      <c r="E1093" t="s">
        <v>2746</v>
      </c>
      <c r="F1093">
        <v>3.59</v>
      </c>
      <c r="G1093">
        <v>3.93</v>
      </c>
      <c r="H1093">
        <v>3.15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1">
        <v>43697.805937500001</v>
      </c>
      <c r="B1094" t="s">
        <v>2407</v>
      </c>
      <c r="C1094" t="s">
        <v>2744</v>
      </c>
      <c r="E1094">
        <v>112</v>
      </c>
      <c r="F1094">
        <v>3.59</v>
      </c>
      <c r="G1094">
        <v>3.93</v>
      </c>
      <c r="H1094">
        <v>3.15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1">
        <v>43697.805937500001</v>
      </c>
      <c r="B1095" t="s">
        <v>2407</v>
      </c>
      <c r="C1095" t="s">
        <v>2744</v>
      </c>
      <c r="E1095">
        <v>112</v>
      </c>
      <c r="F1095">
        <v>3.59</v>
      </c>
      <c r="G1095">
        <v>3.93</v>
      </c>
      <c r="H1095">
        <v>3.15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1">
        <v>43697.805937500001</v>
      </c>
      <c r="B1096" t="s">
        <v>2407</v>
      </c>
      <c r="C1096" t="s">
        <v>2744</v>
      </c>
      <c r="E1096">
        <v>112</v>
      </c>
      <c r="F1096">
        <v>3.59</v>
      </c>
      <c r="G1096">
        <v>3.93</v>
      </c>
      <c r="H1096">
        <v>3.15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1">
        <v>43697.805937500001</v>
      </c>
      <c r="B1097" t="s">
        <v>2407</v>
      </c>
      <c r="C1097" t="s">
        <v>2747</v>
      </c>
      <c r="D1097" t="s">
        <v>2390</v>
      </c>
      <c r="E1097" t="s">
        <v>2748</v>
      </c>
      <c r="F1097">
        <v>3.59</v>
      </c>
      <c r="G1097">
        <v>3.93</v>
      </c>
      <c r="H1097">
        <v>3.15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1">
        <v>43697.805937500001</v>
      </c>
      <c r="B1098" t="s">
        <v>2407</v>
      </c>
      <c r="C1098" t="s">
        <v>2383</v>
      </c>
      <c r="D1098" t="s">
        <v>2384</v>
      </c>
      <c r="E1098" s="12" t="s">
        <v>2385</v>
      </c>
      <c r="F1098">
        <v>3.59</v>
      </c>
      <c r="G1098">
        <v>3.93</v>
      </c>
      <c r="H1098">
        <v>3.15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1">
        <v>43697.805949074071</v>
      </c>
      <c r="B1099" t="s">
        <v>2407</v>
      </c>
      <c r="C1099" t="s">
        <v>2383</v>
      </c>
      <c r="D1099" t="s">
        <v>2386</v>
      </c>
      <c r="E1099">
        <v>440</v>
      </c>
      <c r="F1099">
        <v>3.59</v>
      </c>
      <c r="G1099">
        <v>3.93</v>
      </c>
      <c r="H1099">
        <v>3.15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1">
        <v>43697.805949074071</v>
      </c>
      <c r="B1100" t="s">
        <v>2407</v>
      </c>
      <c r="C1100" t="s">
        <v>2383</v>
      </c>
      <c r="D1100" t="s">
        <v>2387</v>
      </c>
      <c r="E1100" t="s">
        <v>2753</v>
      </c>
      <c r="F1100">
        <v>3.59</v>
      </c>
      <c r="G1100">
        <v>3.93</v>
      </c>
      <c r="H1100">
        <v>3.15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1">
        <v>43697.805949074071</v>
      </c>
      <c r="B1101" t="s">
        <v>2407</v>
      </c>
      <c r="C1101" t="s">
        <v>2383</v>
      </c>
      <c r="D1101" t="s">
        <v>2381</v>
      </c>
      <c r="E1101">
        <v>360</v>
      </c>
      <c r="F1101">
        <v>3.59</v>
      </c>
      <c r="G1101">
        <v>3.93</v>
      </c>
      <c r="H1101">
        <v>3.15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1">
        <v>43697.805949074071</v>
      </c>
      <c r="B1102" t="s">
        <v>2407</v>
      </c>
      <c r="C1102" t="s">
        <v>2383</v>
      </c>
      <c r="D1102" t="s">
        <v>2388</v>
      </c>
      <c r="E1102" t="s">
        <v>2754</v>
      </c>
      <c r="F1102">
        <v>3.59</v>
      </c>
      <c r="G1102">
        <v>3.93</v>
      </c>
      <c r="H1102">
        <v>3.15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1">
        <v>43697.805949074071</v>
      </c>
      <c r="B1103" t="s">
        <v>2407</v>
      </c>
      <c r="C1103" t="s">
        <v>2383</v>
      </c>
      <c r="D1103" t="s">
        <v>2389</v>
      </c>
      <c r="E1103" s="12" t="s">
        <v>2385</v>
      </c>
      <c r="F1103">
        <v>3.59</v>
      </c>
      <c r="G1103">
        <v>3.93</v>
      </c>
      <c r="H1103">
        <v>3.15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1">
        <v>43697.805949074071</v>
      </c>
      <c r="B1104" t="s">
        <v>2407</v>
      </c>
      <c r="C1104" t="s">
        <v>2736</v>
      </c>
      <c r="E1104" t="s">
        <v>2378</v>
      </c>
      <c r="F1104">
        <v>3.59</v>
      </c>
      <c r="G1104">
        <v>3.93</v>
      </c>
      <c r="H1104">
        <v>3.15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1">
        <v>43697.806562500002</v>
      </c>
      <c r="B1105" t="s">
        <v>2407</v>
      </c>
      <c r="C1105" t="s">
        <v>2733</v>
      </c>
      <c r="D1105" t="s">
        <v>2390</v>
      </c>
      <c r="F1105">
        <v>3.59</v>
      </c>
      <c r="G1105">
        <v>3.93</v>
      </c>
      <c r="H1105">
        <v>3.15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1">
        <v>43697.806562500002</v>
      </c>
      <c r="B1106" t="s">
        <v>2407</v>
      </c>
      <c r="C1106" t="s">
        <v>2734</v>
      </c>
      <c r="D1106" t="s">
        <v>2390</v>
      </c>
      <c r="F1106">
        <v>3.59</v>
      </c>
      <c r="G1106">
        <v>3.93</v>
      </c>
      <c r="H1106">
        <v>3.15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1">
        <v>43697.806562500002</v>
      </c>
      <c r="B1107" t="s">
        <v>2407</v>
      </c>
      <c r="C1107" t="s">
        <v>2735</v>
      </c>
      <c r="D1107" t="s">
        <v>2390</v>
      </c>
      <c r="F1107">
        <v>3.59</v>
      </c>
      <c r="G1107">
        <v>3.93</v>
      </c>
      <c r="H1107">
        <v>3.15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1">
        <v>43697.807523148149</v>
      </c>
      <c r="B1108" t="s">
        <v>2407</v>
      </c>
      <c r="C1108" t="s">
        <v>2737</v>
      </c>
      <c r="E1108">
        <v>101</v>
      </c>
      <c r="F1108">
        <v>3.59</v>
      </c>
      <c r="G1108">
        <v>3.93</v>
      </c>
      <c r="H1108">
        <v>3.15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1">
        <v>43697.807523148149</v>
      </c>
      <c r="B1109" t="s">
        <v>2407</v>
      </c>
      <c r="C1109" t="s">
        <v>2738</v>
      </c>
      <c r="D1109" t="s">
        <v>2390</v>
      </c>
      <c r="E1109" t="s">
        <v>2739</v>
      </c>
      <c r="F1109">
        <v>3.59</v>
      </c>
      <c r="G1109">
        <v>3.93</v>
      </c>
      <c r="H1109">
        <v>3.15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1">
        <v>43697.807523148149</v>
      </c>
      <c r="B1110" t="s">
        <v>2407</v>
      </c>
      <c r="C1110" t="s">
        <v>2737</v>
      </c>
      <c r="E1110">
        <v>104</v>
      </c>
      <c r="F1110">
        <v>3.59</v>
      </c>
      <c r="G1110">
        <v>3.93</v>
      </c>
      <c r="H1110">
        <v>3.15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1">
        <v>43697.807523148149</v>
      </c>
      <c r="B1111" t="s">
        <v>2407</v>
      </c>
      <c r="C1111" t="s">
        <v>2737</v>
      </c>
      <c r="E1111">
        <v>104</v>
      </c>
      <c r="F1111">
        <v>3.59</v>
      </c>
      <c r="G1111">
        <v>3.93</v>
      </c>
      <c r="H1111">
        <v>3.15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1">
        <v>43697.807523148149</v>
      </c>
      <c r="B1112" t="s">
        <v>2407</v>
      </c>
      <c r="C1112" t="s">
        <v>2737</v>
      </c>
      <c r="E1112">
        <v>104</v>
      </c>
      <c r="F1112">
        <v>3.59</v>
      </c>
      <c r="G1112">
        <v>3.93</v>
      </c>
      <c r="H1112">
        <v>3.15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1">
        <v>43697.807523148149</v>
      </c>
      <c r="B1113" t="s">
        <v>2407</v>
      </c>
      <c r="C1113" t="s">
        <v>2740</v>
      </c>
      <c r="D1113" t="s">
        <v>2390</v>
      </c>
      <c r="E1113" t="s">
        <v>2741</v>
      </c>
      <c r="F1113">
        <v>3.59</v>
      </c>
      <c r="G1113">
        <v>3.93</v>
      </c>
      <c r="H1113">
        <v>3.15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1">
        <v>43697.807523148149</v>
      </c>
      <c r="B1114" t="s">
        <v>2407</v>
      </c>
      <c r="C1114" t="s">
        <v>2737</v>
      </c>
      <c r="E1114">
        <v>109</v>
      </c>
      <c r="F1114">
        <v>3.59</v>
      </c>
      <c r="G1114">
        <v>3.93</v>
      </c>
      <c r="H1114">
        <v>3.15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1">
        <v>43697.807523148149</v>
      </c>
      <c r="B1115" t="s">
        <v>2407</v>
      </c>
      <c r="C1115" t="s">
        <v>2737</v>
      </c>
      <c r="E1115">
        <v>109</v>
      </c>
      <c r="F1115">
        <v>3.59</v>
      </c>
      <c r="G1115">
        <v>3.93</v>
      </c>
      <c r="H1115">
        <v>3.15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1">
        <v>43697.807523148149</v>
      </c>
      <c r="B1116" t="s">
        <v>2407</v>
      </c>
      <c r="C1116" t="s">
        <v>2742</v>
      </c>
      <c r="D1116" t="s">
        <v>2390</v>
      </c>
      <c r="E1116" t="s">
        <v>2743</v>
      </c>
      <c r="F1116">
        <v>3.59</v>
      </c>
      <c r="G1116">
        <v>3.93</v>
      </c>
      <c r="H1116">
        <v>3.15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1">
        <v>43697.807523148149</v>
      </c>
      <c r="B1117" t="s">
        <v>2407</v>
      </c>
      <c r="C1117" t="s">
        <v>2737</v>
      </c>
      <c r="E1117">
        <v>105</v>
      </c>
      <c r="F1117">
        <v>3.59</v>
      </c>
      <c r="G1117">
        <v>3.93</v>
      </c>
      <c r="H1117">
        <v>3.15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1">
        <v>43697.807523148149</v>
      </c>
      <c r="B1118" t="s">
        <v>2407</v>
      </c>
      <c r="C1118" t="s">
        <v>2744</v>
      </c>
      <c r="E1118">
        <v>103</v>
      </c>
      <c r="F1118">
        <v>3.59</v>
      </c>
      <c r="G1118">
        <v>3.93</v>
      </c>
      <c r="H1118">
        <v>3.15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1">
        <v>43697.807523148149</v>
      </c>
      <c r="B1119" t="s">
        <v>2407</v>
      </c>
      <c r="C1119" t="s">
        <v>2745</v>
      </c>
      <c r="D1119" t="s">
        <v>2390</v>
      </c>
      <c r="E1119" t="s">
        <v>2746</v>
      </c>
      <c r="F1119">
        <v>3.59</v>
      </c>
      <c r="G1119">
        <v>3.93</v>
      </c>
      <c r="H1119">
        <v>3.15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1">
        <v>43697.807523148149</v>
      </c>
      <c r="B1120" t="s">
        <v>2407</v>
      </c>
      <c r="C1120" t="s">
        <v>2744</v>
      </c>
      <c r="E1120">
        <v>112</v>
      </c>
      <c r="F1120">
        <v>3.59</v>
      </c>
      <c r="G1120">
        <v>3.93</v>
      </c>
      <c r="H1120">
        <v>3.15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1">
        <v>43697.807523148149</v>
      </c>
      <c r="B1121" t="s">
        <v>2407</v>
      </c>
      <c r="C1121" t="s">
        <v>2744</v>
      </c>
      <c r="E1121">
        <v>112</v>
      </c>
      <c r="F1121">
        <v>3.59</v>
      </c>
      <c r="G1121">
        <v>3.93</v>
      </c>
      <c r="H1121">
        <v>3.15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1">
        <v>43697.807523148149</v>
      </c>
      <c r="B1122" t="s">
        <v>2407</v>
      </c>
      <c r="C1122" t="s">
        <v>2744</v>
      </c>
      <c r="E1122">
        <v>112</v>
      </c>
      <c r="F1122">
        <v>3.59</v>
      </c>
      <c r="G1122">
        <v>3.93</v>
      </c>
      <c r="H1122">
        <v>3.15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1">
        <v>43697.807523148149</v>
      </c>
      <c r="B1123" t="s">
        <v>2407</v>
      </c>
      <c r="C1123" t="s">
        <v>2747</v>
      </c>
      <c r="D1123" t="s">
        <v>2390</v>
      </c>
      <c r="E1123" t="s">
        <v>2748</v>
      </c>
      <c r="F1123">
        <v>3.59</v>
      </c>
      <c r="G1123">
        <v>3.93</v>
      </c>
      <c r="H1123">
        <v>3.15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1">
        <v>43697.807523148149</v>
      </c>
      <c r="B1124" t="s">
        <v>2407</v>
      </c>
      <c r="C1124" t="s">
        <v>2383</v>
      </c>
      <c r="D1124" t="s">
        <v>2384</v>
      </c>
      <c r="E1124" s="12" t="s">
        <v>2385</v>
      </c>
      <c r="F1124">
        <v>3.59</v>
      </c>
      <c r="G1124">
        <v>3.93</v>
      </c>
      <c r="H1124">
        <v>3.15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1">
        <v>43697.807523148149</v>
      </c>
      <c r="B1125" t="s">
        <v>2407</v>
      </c>
      <c r="C1125" t="s">
        <v>2383</v>
      </c>
      <c r="D1125" t="s">
        <v>2386</v>
      </c>
      <c r="E1125">
        <v>440</v>
      </c>
      <c r="F1125">
        <v>3.59</v>
      </c>
      <c r="G1125">
        <v>3.93</v>
      </c>
      <c r="H1125">
        <v>3.15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1">
        <v>43697.807523148149</v>
      </c>
      <c r="B1126" t="s">
        <v>2407</v>
      </c>
      <c r="C1126" t="s">
        <v>2383</v>
      </c>
      <c r="D1126" t="s">
        <v>2387</v>
      </c>
      <c r="E1126" t="s">
        <v>2753</v>
      </c>
      <c r="F1126">
        <v>3.59</v>
      </c>
      <c r="G1126">
        <v>3.93</v>
      </c>
      <c r="H1126">
        <v>3.15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1">
        <v>43697.807523148149</v>
      </c>
      <c r="B1127" t="s">
        <v>2407</v>
      </c>
      <c r="C1127" t="s">
        <v>2383</v>
      </c>
      <c r="D1127" t="s">
        <v>2381</v>
      </c>
      <c r="E1127">
        <v>0</v>
      </c>
      <c r="F1127">
        <v>3.59</v>
      </c>
      <c r="G1127">
        <v>3.93</v>
      </c>
      <c r="H1127">
        <v>3.15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1">
        <v>43697.807523148149</v>
      </c>
      <c r="B1128" t="s">
        <v>2407</v>
      </c>
      <c r="C1128" t="s">
        <v>2383</v>
      </c>
      <c r="D1128" t="s">
        <v>2388</v>
      </c>
      <c r="E1128" t="s">
        <v>2749</v>
      </c>
      <c r="F1128">
        <v>3.59</v>
      </c>
      <c r="G1128">
        <v>3.93</v>
      </c>
      <c r="H1128">
        <v>3.15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1">
        <v>43697.807523148149</v>
      </c>
      <c r="B1129" t="s">
        <v>2407</v>
      </c>
      <c r="C1129" t="s">
        <v>2383</v>
      </c>
      <c r="D1129" t="s">
        <v>2389</v>
      </c>
      <c r="E1129" s="12" t="s">
        <v>2385</v>
      </c>
      <c r="F1129">
        <v>3.59</v>
      </c>
      <c r="G1129">
        <v>3.93</v>
      </c>
      <c r="H1129">
        <v>3.15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1">
        <v>43697.807534722226</v>
      </c>
      <c r="B1130" t="s">
        <v>2407</v>
      </c>
      <c r="C1130" t="s">
        <v>2736</v>
      </c>
      <c r="E1130" t="s">
        <v>2378</v>
      </c>
      <c r="F1130">
        <v>3.59</v>
      </c>
      <c r="G1130">
        <v>3.93</v>
      </c>
      <c r="H1130">
        <v>3.15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1">
        <v>43697.807569444441</v>
      </c>
      <c r="B1131" t="s">
        <v>2407</v>
      </c>
      <c r="C1131" t="s">
        <v>2733</v>
      </c>
      <c r="D1131" t="s">
        <v>2390</v>
      </c>
      <c r="F1131">
        <v>3.59</v>
      </c>
      <c r="G1131">
        <v>3.93</v>
      </c>
      <c r="H1131">
        <v>3.15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1">
        <v>43697.807569444441</v>
      </c>
      <c r="B1132" t="s">
        <v>2407</v>
      </c>
      <c r="C1132" t="s">
        <v>2734</v>
      </c>
      <c r="D1132" t="s">
        <v>2390</v>
      </c>
      <c r="F1132">
        <v>3.59</v>
      </c>
      <c r="G1132">
        <v>3.93</v>
      </c>
      <c r="H1132">
        <v>3.15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1">
        <v>43697.807569444441</v>
      </c>
      <c r="B1133" t="s">
        <v>2407</v>
      </c>
      <c r="C1133" t="s">
        <v>2735</v>
      </c>
      <c r="D1133" t="s">
        <v>2390</v>
      </c>
      <c r="F1133">
        <v>3.59</v>
      </c>
      <c r="G1133">
        <v>3.93</v>
      </c>
      <c r="H1133">
        <v>3.15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1">
        <v>43697.807581018518</v>
      </c>
      <c r="B1134" t="s">
        <v>2407</v>
      </c>
      <c r="C1134" t="s">
        <v>2737</v>
      </c>
      <c r="E1134">
        <v>101</v>
      </c>
      <c r="F1134">
        <v>3.59</v>
      </c>
      <c r="G1134">
        <v>3.93</v>
      </c>
      <c r="H1134">
        <v>3.15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1">
        <v>43697.807581018518</v>
      </c>
      <c r="B1135" t="s">
        <v>2407</v>
      </c>
      <c r="C1135" t="s">
        <v>2738</v>
      </c>
      <c r="D1135" t="s">
        <v>2390</v>
      </c>
      <c r="E1135" t="s">
        <v>2739</v>
      </c>
      <c r="F1135">
        <v>3.59</v>
      </c>
      <c r="G1135">
        <v>3.93</v>
      </c>
      <c r="H1135">
        <v>3.15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1">
        <v>43697.807581018518</v>
      </c>
      <c r="B1136" t="s">
        <v>2407</v>
      </c>
      <c r="C1136" t="s">
        <v>2737</v>
      </c>
      <c r="E1136">
        <v>104</v>
      </c>
      <c r="F1136">
        <v>3.59</v>
      </c>
      <c r="G1136">
        <v>3.93</v>
      </c>
      <c r="H1136">
        <v>3.15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1">
        <v>43697.807581018518</v>
      </c>
      <c r="B1137" t="s">
        <v>2407</v>
      </c>
      <c r="C1137" t="s">
        <v>2737</v>
      </c>
      <c r="E1137">
        <v>104</v>
      </c>
      <c r="F1137">
        <v>3.59</v>
      </c>
      <c r="G1137">
        <v>3.93</v>
      </c>
      <c r="H1137">
        <v>3.15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1">
        <v>43697.807581018518</v>
      </c>
      <c r="B1138" t="s">
        <v>2407</v>
      </c>
      <c r="C1138" t="s">
        <v>2737</v>
      </c>
      <c r="E1138">
        <v>104</v>
      </c>
      <c r="F1138">
        <v>3.59</v>
      </c>
      <c r="G1138">
        <v>3.93</v>
      </c>
      <c r="H1138">
        <v>3.15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1">
        <v>43697.807581018518</v>
      </c>
      <c r="B1139" t="s">
        <v>2407</v>
      </c>
      <c r="C1139" t="s">
        <v>2740</v>
      </c>
      <c r="D1139" t="s">
        <v>2390</v>
      </c>
      <c r="E1139" t="s">
        <v>2741</v>
      </c>
      <c r="F1139">
        <v>3.59</v>
      </c>
      <c r="G1139">
        <v>3.93</v>
      </c>
      <c r="H1139">
        <v>3.15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1">
        <v>43697.807581018518</v>
      </c>
      <c r="B1140" t="s">
        <v>2407</v>
      </c>
      <c r="C1140" t="s">
        <v>2737</v>
      </c>
      <c r="E1140">
        <v>109</v>
      </c>
      <c r="F1140">
        <v>3.59</v>
      </c>
      <c r="G1140">
        <v>3.93</v>
      </c>
      <c r="H1140">
        <v>3.15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1">
        <v>43697.807581018518</v>
      </c>
      <c r="B1141" t="s">
        <v>2407</v>
      </c>
      <c r="C1141" t="s">
        <v>2737</v>
      </c>
      <c r="E1141">
        <v>109</v>
      </c>
      <c r="F1141">
        <v>3.59</v>
      </c>
      <c r="G1141">
        <v>3.93</v>
      </c>
      <c r="H1141">
        <v>3.15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1">
        <v>43697.807581018518</v>
      </c>
      <c r="B1142" t="s">
        <v>2407</v>
      </c>
      <c r="C1142" t="s">
        <v>2742</v>
      </c>
      <c r="D1142" t="s">
        <v>2390</v>
      </c>
      <c r="E1142" t="s">
        <v>2743</v>
      </c>
      <c r="F1142">
        <v>3.59</v>
      </c>
      <c r="G1142">
        <v>3.93</v>
      </c>
      <c r="H1142">
        <v>3.15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1">
        <v>43697.807581018518</v>
      </c>
      <c r="B1143" t="s">
        <v>2407</v>
      </c>
      <c r="C1143" t="s">
        <v>2737</v>
      </c>
      <c r="E1143">
        <v>105</v>
      </c>
      <c r="F1143">
        <v>3.59</v>
      </c>
      <c r="G1143">
        <v>3.93</v>
      </c>
      <c r="H1143">
        <v>3.15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1">
        <v>43697.807581018518</v>
      </c>
      <c r="B1144" t="s">
        <v>2407</v>
      </c>
      <c r="C1144" t="s">
        <v>2744</v>
      </c>
      <c r="E1144">
        <v>103</v>
      </c>
      <c r="F1144">
        <v>3.59</v>
      </c>
      <c r="G1144">
        <v>3.93</v>
      </c>
      <c r="H1144">
        <v>3.15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1">
        <v>43697.807581018518</v>
      </c>
      <c r="B1145" t="s">
        <v>2407</v>
      </c>
      <c r="C1145" t="s">
        <v>2745</v>
      </c>
      <c r="D1145" t="s">
        <v>2390</v>
      </c>
      <c r="E1145" t="s">
        <v>2746</v>
      </c>
      <c r="F1145">
        <v>3.59</v>
      </c>
      <c r="G1145">
        <v>3.93</v>
      </c>
      <c r="H1145">
        <v>3.15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1">
        <v>43697.807581018518</v>
      </c>
      <c r="B1146" t="s">
        <v>2407</v>
      </c>
      <c r="C1146" t="s">
        <v>2744</v>
      </c>
      <c r="E1146">
        <v>112</v>
      </c>
      <c r="F1146">
        <v>3.59</v>
      </c>
      <c r="G1146">
        <v>3.93</v>
      </c>
      <c r="H1146">
        <v>3.15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1">
        <v>43697.807581018518</v>
      </c>
      <c r="B1147" t="s">
        <v>2407</v>
      </c>
      <c r="C1147" t="s">
        <v>2744</v>
      </c>
      <c r="E1147">
        <v>112</v>
      </c>
      <c r="F1147">
        <v>3.59</v>
      </c>
      <c r="G1147">
        <v>3.93</v>
      </c>
      <c r="H1147">
        <v>3.15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1">
        <v>43697.807581018518</v>
      </c>
      <c r="B1148" t="s">
        <v>2407</v>
      </c>
      <c r="C1148" t="s">
        <v>2744</v>
      </c>
      <c r="E1148">
        <v>112</v>
      </c>
      <c r="F1148">
        <v>3.59</v>
      </c>
      <c r="G1148">
        <v>3.93</v>
      </c>
      <c r="H1148">
        <v>3.15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1">
        <v>43697.807581018518</v>
      </c>
      <c r="B1149" t="s">
        <v>2407</v>
      </c>
      <c r="C1149" t="s">
        <v>2747</v>
      </c>
      <c r="D1149" t="s">
        <v>2390</v>
      </c>
      <c r="E1149" t="s">
        <v>2748</v>
      </c>
      <c r="F1149">
        <v>3.59</v>
      </c>
      <c r="G1149">
        <v>3.93</v>
      </c>
      <c r="H1149">
        <v>3.15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1">
        <v>43697.807581018518</v>
      </c>
      <c r="B1150" t="s">
        <v>2407</v>
      </c>
      <c r="C1150" t="s">
        <v>2383</v>
      </c>
      <c r="D1150" t="s">
        <v>2384</v>
      </c>
      <c r="E1150" s="12" t="s">
        <v>2385</v>
      </c>
      <c r="F1150">
        <v>3.59</v>
      </c>
      <c r="G1150">
        <v>3.93</v>
      </c>
      <c r="H1150">
        <v>3.15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1">
        <v>43697.807581018518</v>
      </c>
      <c r="B1151" t="s">
        <v>2407</v>
      </c>
      <c r="C1151" t="s">
        <v>2383</v>
      </c>
      <c r="D1151" t="s">
        <v>2386</v>
      </c>
      <c r="E1151">
        <v>440</v>
      </c>
      <c r="F1151">
        <v>3.59</v>
      </c>
      <c r="G1151">
        <v>3.93</v>
      </c>
      <c r="H1151">
        <v>3.15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1">
        <v>43697.807581018518</v>
      </c>
      <c r="B1152" t="s">
        <v>2407</v>
      </c>
      <c r="C1152" t="s">
        <v>2383</v>
      </c>
      <c r="D1152" t="s">
        <v>2387</v>
      </c>
      <c r="E1152" t="s">
        <v>2753</v>
      </c>
      <c r="F1152">
        <v>3.59</v>
      </c>
      <c r="G1152">
        <v>3.93</v>
      </c>
      <c r="H1152">
        <v>3.15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1">
        <v>43697.807581018518</v>
      </c>
      <c r="B1153" t="s">
        <v>2407</v>
      </c>
      <c r="C1153" t="s">
        <v>2383</v>
      </c>
      <c r="D1153" t="s">
        <v>2381</v>
      </c>
      <c r="E1153">
        <v>0</v>
      </c>
      <c r="F1153">
        <v>3.59</v>
      </c>
      <c r="G1153">
        <v>3.93</v>
      </c>
      <c r="H1153">
        <v>3.15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1">
        <v>43697.807581018518</v>
      </c>
      <c r="B1154" t="s">
        <v>2407</v>
      </c>
      <c r="C1154" t="s">
        <v>2383</v>
      </c>
      <c r="D1154" t="s">
        <v>2388</v>
      </c>
      <c r="E1154" t="s">
        <v>2749</v>
      </c>
      <c r="F1154">
        <v>3.59</v>
      </c>
      <c r="G1154">
        <v>3.93</v>
      </c>
      <c r="H1154">
        <v>3.15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1">
        <v>43697.807581018518</v>
      </c>
      <c r="B1155" t="s">
        <v>2407</v>
      </c>
      <c r="C1155" t="s">
        <v>2383</v>
      </c>
      <c r="D1155" t="s">
        <v>2389</v>
      </c>
      <c r="E1155" s="12" t="s">
        <v>2385</v>
      </c>
      <c r="F1155">
        <v>3.59</v>
      </c>
      <c r="G1155">
        <v>3.93</v>
      </c>
      <c r="H1155">
        <v>3.15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1">
        <v>43697.807592592595</v>
      </c>
      <c r="B1156" t="s">
        <v>2407</v>
      </c>
      <c r="C1156" t="s">
        <v>2736</v>
      </c>
      <c r="E1156" t="s">
        <v>2378</v>
      </c>
      <c r="F1156">
        <v>3.59</v>
      </c>
      <c r="G1156">
        <v>3.93</v>
      </c>
      <c r="H1156">
        <v>3.15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1">
        <v>43697.807951388888</v>
      </c>
      <c r="B1157" t="s">
        <v>2407</v>
      </c>
      <c r="C1157" t="s">
        <v>2733</v>
      </c>
      <c r="D1157" t="s">
        <v>2390</v>
      </c>
      <c r="F1157">
        <v>3.59</v>
      </c>
      <c r="G1157">
        <v>3.93</v>
      </c>
      <c r="H1157">
        <v>3.15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1">
        <v>43697.807951388888</v>
      </c>
      <c r="B1158" t="s">
        <v>2407</v>
      </c>
      <c r="C1158" t="s">
        <v>2734</v>
      </c>
      <c r="D1158" t="s">
        <v>2390</v>
      </c>
      <c r="F1158">
        <v>3.59</v>
      </c>
      <c r="G1158">
        <v>3.93</v>
      </c>
      <c r="H1158">
        <v>3.15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1">
        <v>43697.807951388888</v>
      </c>
      <c r="B1159" t="s">
        <v>2407</v>
      </c>
      <c r="C1159" t="s">
        <v>2735</v>
      </c>
      <c r="D1159" t="s">
        <v>2390</v>
      </c>
      <c r="F1159">
        <v>3.59</v>
      </c>
      <c r="G1159">
        <v>3.93</v>
      </c>
      <c r="H1159">
        <v>3.15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1">
        <v>43697.808657407404</v>
      </c>
      <c r="B1160" t="s">
        <v>2407</v>
      </c>
      <c r="C1160" t="s">
        <v>2737</v>
      </c>
      <c r="E1160">
        <v>101</v>
      </c>
      <c r="F1160">
        <v>3.59</v>
      </c>
      <c r="G1160">
        <v>3.93</v>
      </c>
      <c r="H1160">
        <v>3.15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1">
        <v>43697.808657407404</v>
      </c>
      <c r="B1161" t="s">
        <v>2407</v>
      </c>
      <c r="C1161" t="s">
        <v>2738</v>
      </c>
      <c r="D1161" t="s">
        <v>2390</v>
      </c>
      <c r="E1161" t="s">
        <v>2739</v>
      </c>
      <c r="F1161">
        <v>3.59</v>
      </c>
      <c r="G1161">
        <v>3.93</v>
      </c>
      <c r="H1161">
        <v>3.15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1">
        <v>43697.808692129627</v>
      </c>
      <c r="B1162" t="s">
        <v>2407</v>
      </c>
      <c r="C1162" t="s">
        <v>2737</v>
      </c>
      <c r="E1162">
        <v>104</v>
      </c>
      <c r="F1162">
        <v>3.59</v>
      </c>
      <c r="G1162">
        <v>3.93</v>
      </c>
      <c r="H1162">
        <v>3.15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1">
        <v>43697.808692129627</v>
      </c>
      <c r="B1163" t="s">
        <v>2407</v>
      </c>
      <c r="C1163" t="s">
        <v>2737</v>
      </c>
      <c r="E1163">
        <v>104</v>
      </c>
      <c r="F1163">
        <v>3.59</v>
      </c>
      <c r="G1163">
        <v>3.93</v>
      </c>
      <c r="H1163">
        <v>3.15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1">
        <v>43697.808692129627</v>
      </c>
      <c r="B1164" t="s">
        <v>2407</v>
      </c>
      <c r="C1164" t="s">
        <v>2737</v>
      </c>
      <c r="E1164">
        <v>104</v>
      </c>
      <c r="F1164">
        <v>3.59</v>
      </c>
      <c r="G1164">
        <v>3.93</v>
      </c>
      <c r="H1164">
        <v>3.15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1">
        <v>43697.808692129627</v>
      </c>
      <c r="B1165" t="s">
        <v>2407</v>
      </c>
      <c r="C1165" t="s">
        <v>2740</v>
      </c>
      <c r="D1165" t="s">
        <v>2390</v>
      </c>
      <c r="E1165" t="s">
        <v>2741</v>
      </c>
      <c r="F1165">
        <v>3.59</v>
      </c>
      <c r="G1165">
        <v>3.93</v>
      </c>
      <c r="H1165">
        <v>3.15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1">
        <v>43697.808692129627</v>
      </c>
      <c r="B1166" t="s">
        <v>2407</v>
      </c>
      <c r="C1166" t="s">
        <v>2737</v>
      </c>
      <c r="E1166">
        <v>109</v>
      </c>
      <c r="F1166">
        <v>3.59</v>
      </c>
      <c r="G1166">
        <v>3.93</v>
      </c>
      <c r="H1166">
        <v>3.15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1">
        <v>43697.808692129627</v>
      </c>
      <c r="B1167" t="s">
        <v>2407</v>
      </c>
      <c r="C1167" t="s">
        <v>2737</v>
      </c>
      <c r="E1167">
        <v>109</v>
      </c>
      <c r="F1167">
        <v>3.59</v>
      </c>
      <c r="G1167">
        <v>3.93</v>
      </c>
      <c r="H1167">
        <v>3.15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1">
        <v>43697.808692129627</v>
      </c>
      <c r="B1168" t="s">
        <v>2407</v>
      </c>
      <c r="C1168" t="s">
        <v>2742</v>
      </c>
      <c r="D1168" t="s">
        <v>2390</v>
      </c>
      <c r="E1168" t="s">
        <v>2743</v>
      </c>
      <c r="F1168">
        <v>3.59</v>
      </c>
      <c r="G1168">
        <v>3.93</v>
      </c>
      <c r="H1168">
        <v>3.15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1">
        <v>43697.808692129627</v>
      </c>
      <c r="B1169" t="s">
        <v>2407</v>
      </c>
      <c r="C1169" t="s">
        <v>2737</v>
      </c>
      <c r="E1169">
        <v>105</v>
      </c>
      <c r="F1169">
        <v>3.59</v>
      </c>
      <c r="G1169">
        <v>3.93</v>
      </c>
      <c r="H1169">
        <v>3.15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1">
        <v>43697.808692129627</v>
      </c>
      <c r="B1170" t="s">
        <v>2407</v>
      </c>
      <c r="C1170" t="s">
        <v>2744</v>
      </c>
      <c r="E1170">
        <v>103</v>
      </c>
      <c r="F1170">
        <v>3.59</v>
      </c>
      <c r="G1170">
        <v>3.93</v>
      </c>
      <c r="H1170">
        <v>3.15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1">
        <v>43697.808692129627</v>
      </c>
      <c r="B1171" t="s">
        <v>2407</v>
      </c>
      <c r="C1171" t="s">
        <v>2745</v>
      </c>
      <c r="D1171" t="s">
        <v>2390</v>
      </c>
      <c r="E1171" t="s">
        <v>2746</v>
      </c>
      <c r="F1171">
        <v>3.59</v>
      </c>
      <c r="G1171">
        <v>3.93</v>
      </c>
      <c r="H1171">
        <v>3.15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1">
        <v>43697.808692129627</v>
      </c>
      <c r="B1172" t="s">
        <v>2407</v>
      </c>
      <c r="C1172" t="s">
        <v>2744</v>
      </c>
      <c r="E1172">
        <v>112</v>
      </c>
      <c r="F1172">
        <v>3.59</v>
      </c>
      <c r="G1172">
        <v>3.93</v>
      </c>
      <c r="H1172">
        <v>3.15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1">
        <v>43697.808692129627</v>
      </c>
      <c r="B1173" t="s">
        <v>2407</v>
      </c>
      <c r="C1173" t="s">
        <v>2744</v>
      </c>
      <c r="E1173">
        <v>112</v>
      </c>
      <c r="F1173">
        <v>3.59</v>
      </c>
      <c r="G1173">
        <v>3.93</v>
      </c>
      <c r="H1173">
        <v>3.15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1">
        <v>43697.808692129627</v>
      </c>
      <c r="B1174" t="s">
        <v>2407</v>
      </c>
      <c r="C1174" t="s">
        <v>2744</v>
      </c>
      <c r="E1174">
        <v>112</v>
      </c>
      <c r="F1174">
        <v>3.59</v>
      </c>
      <c r="G1174">
        <v>3.93</v>
      </c>
      <c r="H1174">
        <v>3.15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1">
        <v>43697.808692129627</v>
      </c>
      <c r="B1175" t="s">
        <v>2407</v>
      </c>
      <c r="C1175" t="s">
        <v>2747</v>
      </c>
      <c r="D1175" t="s">
        <v>2390</v>
      </c>
      <c r="E1175" t="s">
        <v>2748</v>
      </c>
      <c r="F1175">
        <v>3.59</v>
      </c>
      <c r="G1175">
        <v>3.93</v>
      </c>
      <c r="H1175">
        <v>3.15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1">
        <v>43697.808692129627</v>
      </c>
      <c r="B1176" t="s">
        <v>2407</v>
      </c>
      <c r="C1176" t="s">
        <v>2383</v>
      </c>
      <c r="D1176" t="s">
        <v>2384</v>
      </c>
      <c r="E1176" s="12" t="s">
        <v>2385</v>
      </c>
      <c r="F1176">
        <v>3.59</v>
      </c>
      <c r="G1176">
        <v>3.93</v>
      </c>
      <c r="H1176">
        <v>3.15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1">
        <v>43697.808692129627</v>
      </c>
      <c r="B1177" t="s">
        <v>2407</v>
      </c>
      <c r="C1177" t="s">
        <v>2383</v>
      </c>
      <c r="D1177" t="s">
        <v>2386</v>
      </c>
      <c r="E1177">
        <v>440</v>
      </c>
      <c r="F1177">
        <v>3.59</v>
      </c>
      <c r="G1177">
        <v>3.93</v>
      </c>
      <c r="H1177">
        <v>3.15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1">
        <v>43697.808692129627</v>
      </c>
      <c r="B1178" t="s">
        <v>2407</v>
      </c>
      <c r="C1178" t="s">
        <v>2383</v>
      </c>
      <c r="D1178" t="s">
        <v>2387</v>
      </c>
      <c r="E1178" t="s">
        <v>2753</v>
      </c>
      <c r="F1178">
        <v>3.59</v>
      </c>
      <c r="G1178">
        <v>3.93</v>
      </c>
      <c r="H1178">
        <v>3.15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1">
        <v>43697.808692129627</v>
      </c>
      <c r="B1179" t="s">
        <v>2407</v>
      </c>
      <c r="C1179" t="s">
        <v>2383</v>
      </c>
      <c r="D1179" t="s">
        <v>2381</v>
      </c>
      <c r="E1179">
        <v>360</v>
      </c>
      <c r="F1179">
        <v>3.59</v>
      </c>
      <c r="G1179">
        <v>3.93</v>
      </c>
      <c r="H1179">
        <v>3.15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1">
        <v>43697.808692129627</v>
      </c>
      <c r="B1180" t="s">
        <v>2407</v>
      </c>
      <c r="C1180" t="s">
        <v>2383</v>
      </c>
      <c r="D1180" t="s">
        <v>2388</v>
      </c>
      <c r="E1180" t="s">
        <v>2754</v>
      </c>
      <c r="F1180">
        <v>3.59</v>
      </c>
      <c r="G1180">
        <v>3.93</v>
      </c>
      <c r="H1180">
        <v>3.15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1">
        <v>43697.808692129627</v>
      </c>
      <c r="B1181" t="s">
        <v>2407</v>
      </c>
      <c r="C1181" t="s">
        <v>2383</v>
      </c>
      <c r="D1181" t="s">
        <v>2389</v>
      </c>
      <c r="E1181" s="12" t="s">
        <v>2385</v>
      </c>
      <c r="F1181">
        <v>3.59</v>
      </c>
      <c r="G1181">
        <v>3.93</v>
      </c>
      <c r="H1181">
        <v>3.15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1">
        <v>43697.808692129627</v>
      </c>
      <c r="B1182" t="s">
        <v>2407</v>
      </c>
      <c r="C1182" t="s">
        <v>2736</v>
      </c>
      <c r="E1182" t="s">
        <v>2378</v>
      </c>
      <c r="F1182">
        <v>3.59</v>
      </c>
      <c r="G1182">
        <v>3.93</v>
      </c>
      <c r="H1182">
        <v>3.15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1">
        <v>43697.81150462963</v>
      </c>
      <c r="B1183" t="s">
        <v>2407</v>
      </c>
      <c r="C1183" t="s">
        <v>2733</v>
      </c>
      <c r="D1183" t="s">
        <v>2390</v>
      </c>
      <c r="F1183">
        <v>3.59</v>
      </c>
      <c r="G1183">
        <v>3.93</v>
      </c>
      <c r="H1183">
        <v>3.15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1">
        <v>43697.81150462963</v>
      </c>
      <c r="B1184" t="s">
        <v>2407</v>
      </c>
      <c r="C1184" t="s">
        <v>2734</v>
      </c>
      <c r="D1184" t="s">
        <v>2390</v>
      </c>
      <c r="F1184">
        <v>3.59</v>
      </c>
      <c r="G1184">
        <v>3.93</v>
      </c>
      <c r="H1184">
        <v>3.15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1">
        <v>43697.81150462963</v>
      </c>
      <c r="B1185" t="s">
        <v>2407</v>
      </c>
      <c r="C1185" t="s">
        <v>2735</v>
      </c>
      <c r="D1185" t="s">
        <v>2390</v>
      </c>
      <c r="F1185">
        <v>3.59</v>
      </c>
      <c r="G1185">
        <v>3.93</v>
      </c>
      <c r="H1185">
        <v>3.15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1">
        <v>43697.811516203707</v>
      </c>
      <c r="B1186" t="s">
        <v>2407</v>
      </c>
      <c r="C1186" t="s">
        <v>2737</v>
      </c>
      <c r="E1186">
        <v>101</v>
      </c>
      <c r="F1186">
        <v>3.59</v>
      </c>
      <c r="G1186">
        <v>3.93</v>
      </c>
      <c r="H1186">
        <v>3.15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1">
        <v>43697.811516203707</v>
      </c>
      <c r="B1187" t="s">
        <v>2407</v>
      </c>
      <c r="C1187" t="s">
        <v>2738</v>
      </c>
      <c r="D1187" t="s">
        <v>2390</v>
      </c>
      <c r="E1187" t="s">
        <v>2739</v>
      </c>
      <c r="F1187">
        <v>3.59</v>
      </c>
      <c r="G1187">
        <v>3.93</v>
      </c>
      <c r="H1187">
        <v>3.15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1">
        <v>43697.811516203707</v>
      </c>
      <c r="B1188" t="s">
        <v>2407</v>
      </c>
      <c r="C1188" t="s">
        <v>2737</v>
      </c>
      <c r="E1188">
        <v>104</v>
      </c>
      <c r="F1188">
        <v>3.59</v>
      </c>
      <c r="G1188">
        <v>3.93</v>
      </c>
      <c r="H1188">
        <v>3.15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1">
        <v>43697.811516203707</v>
      </c>
      <c r="B1189" t="s">
        <v>2407</v>
      </c>
      <c r="C1189" t="s">
        <v>2737</v>
      </c>
      <c r="E1189">
        <v>104</v>
      </c>
      <c r="F1189">
        <v>3.59</v>
      </c>
      <c r="G1189">
        <v>3.93</v>
      </c>
      <c r="H1189">
        <v>3.15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1">
        <v>43697.811516203707</v>
      </c>
      <c r="B1190" t="s">
        <v>2407</v>
      </c>
      <c r="C1190" t="s">
        <v>2737</v>
      </c>
      <c r="E1190">
        <v>104</v>
      </c>
      <c r="F1190">
        <v>3.59</v>
      </c>
      <c r="G1190">
        <v>3.93</v>
      </c>
      <c r="H1190">
        <v>3.15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1">
        <v>43697.811516203707</v>
      </c>
      <c r="B1191" t="s">
        <v>2407</v>
      </c>
      <c r="C1191" t="s">
        <v>2740</v>
      </c>
      <c r="D1191" t="s">
        <v>2390</v>
      </c>
      <c r="E1191" t="s">
        <v>2741</v>
      </c>
      <c r="F1191">
        <v>3.59</v>
      </c>
      <c r="G1191">
        <v>3.93</v>
      </c>
      <c r="H1191">
        <v>3.15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1">
        <v>43697.811516203707</v>
      </c>
      <c r="B1192" t="s">
        <v>2407</v>
      </c>
      <c r="C1192" t="s">
        <v>2737</v>
      </c>
      <c r="E1192">
        <v>109</v>
      </c>
      <c r="F1192">
        <v>3.59</v>
      </c>
      <c r="G1192">
        <v>3.93</v>
      </c>
      <c r="H1192">
        <v>3.15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1">
        <v>43697.811516203707</v>
      </c>
      <c r="B1193" t="s">
        <v>2407</v>
      </c>
      <c r="C1193" t="s">
        <v>2737</v>
      </c>
      <c r="E1193">
        <v>109</v>
      </c>
      <c r="F1193">
        <v>3.59</v>
      </c>
      <c r="G1193">
        <v>3.93</v>
      </c>
      <c r="H1193">
        <v>3.15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1">
        <v>43697.811516203707</v>
      </c>
      <c r="B1194" t="s">
        <v>2407</v>
      </c>
      <c r="C1194" t="s">
        <v>2742</v>
      </c>
      <c r="D1194" t="s">
        <v>2390</v>
      </c>
      <c r="E1194" t="s">
        <v>2743</v>
      </c>
      <c r="F1194">
        <v>3.59</v>
      </c>
      <c r="G1194">
        <v>3.93</v>
      </c>
      <c r="H1194">
        <v>3.15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1">
        <v>43697.811516203707</v>
      </c>
      <c r="B1195" t="s">
        <v>2407</v>
      </c>
      <c r="C1195" t="s">
        <v>2737</v>
      </c>
      <c r="E1195">
        <v>105</v>
      </c>
      <c r="F1195">
        <v>3.59</v>
      </c>
      <c r="G1195">
        <v>3.93</v>
      </c>
      <c r="H1195">
        <v>3.15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1">
        <v>43697.811516203707</v>
      </c>
      <c r="B1196" t="s">
        <v>2407</v>
      </c>
      <c r="C1196" t="s">
        <v>2744</v>
      </c>
      <c r="E1196">
        <v>103</v>
      </c>
      <c r="F1196">
        <v>3.59</v>
      </c>
      <c r="G1196">
        <v>3.93</v>
      </c>
      <c r="H1196">
        <v>3.15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1">
        <v>43697.811516203707</v>
      </c>
      <c r="B1197" t="s">
        <v>2407</v>
      </c>
      <c r="C1197" t="s">
        <v>2745</v>
      </c>
      <c r="D1197" t="s">
        <v>2390</v>
      </c>
      <c r="E1197" t="s">
        <v>2746</v>
      </c>
      <c r="F1197">
        <v>3.59</v>
      </c>
      <c r="G1197">
        <v>3.93</v>
      </c>
      <c r="H1197">
        <v>3.15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1">
        <v>43697.811516203707</v>
      </c>
      <c r="B1198" t="s">
        <v>2407</v>
      </c>
      <c r="C1198" t="s">
        <v>2744</v>
      </c>
      <c r="E1198">
        <v>112</v>
      </c>
      <c r="F1198">
        <v>3.59</v>
      </c>
      <c r="G1198">
        <v>3.93</v>
      </c>
      <c r="H1198">
        <v>3.15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1">
        <v>43697.811516203707</v>
      </c>
      <c r="B1199" t="s">
        <v>2407</v>
      </c>
      <c r="C1199" t="s">
        <v>2744</v>
      </c>
      <c r="E1199">
        <v>112</v>
      </c>
      <c r="F1199">
        <v>3.59</v>
      </c>
      <c r="G1199">
        <v>3.93</v>
      </c>
      <c r="H1199">
        <v>3.15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1">
        <v>43697.811516203707</v>
      </c>
      <c r="B1200" t="s">
        <v>2407</v>
      </c>
      <c r="C1200" t="s">
        <v>2744</v>
      </c>
      <c r="E1200">
        <v>112</v>
      </c>
      <c r="F1200">
        <v>3.59</v>
      </c>
      <c r="G1200">
        <v>3.93</v>
      </c>
      <c r="H1200">
        <v>3.15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1">
        <v>43697.811516203707</v>
      </c>
      <c r="B1201" t="s">
        <v>2407</v>
      </c>
      <c r="C1201" t="s">
        <v>2747</v>
      </c>
      <c r="D1201" t="s">
        <v>2390</v>
      </c>
      <c r="E1201" t="s">
        <v>2748</v>
      </c>
      <c r="F1201">
        <v>3.59</v>
      </c>
      <c r="G1201">
        <v>3.93</v>
      </c>
      <c r="H1201">
        <v>3.15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1">
        <v>43697.811516203707</v>
      </c>
      <c r="B1202" t="s">
        <v>2407</v>
      </c>
      <c r="C1202" t="s">
        <v>2383</v>
      </c>
      <c r="D1202" t="s">
        <v>2384</v>
      </c>
      <c r="E1202" s="12" t="s">
        <v>2385</v>
      </c>
      <c r="F1202">
        <v>3.59</v>
      </c>
      <c r="G1202">
        <v>3.93</v>
      </c>
      <c r="H1202">
        <v>3.15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1">
        <v>43697.811516203707</v>
      </c>
      <c r="B1203" t="s">
        <v>2407</v>
      </c>
      <c r="C1203" t="s">
        <v>2383</v>
      </c>
      <c r="D1203" t="s">
        <v>2386</v>
      </c>
      <c r="E1203">
        <v>440</v>
      </c>
      <c r="F1203">
        <v>3.59</v>
      </c>
      <c r="G1203">
        <v>3.93</v>
      </c>
      <c r="H1203">
        <v>3.15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1">
        <v>43697.811516203707</v>
      </c>
      <c r="B1204" t="s">
        <v>2407</v>
      </c>
      <c r="C1204" t="s">
        <v>2383</v>
      </c>
      <c r="D1204" t="s">
        <v>2387</v>
      </c>
      <c r="E1204" t="s">
        <v>2755</v>
      </c>
      <c r="F1204">
        <v>3.59</v>
      </c>
      <c r="G1204">
        <v>3.93</v>
      </c>
      <c r="H1204">
        <v>3.15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1">
        <v>43697.811516203707</v>
      </c>
      <c r="B1205" t="s">
        <v>2407</v>
      </c>
      <c r="C1205" t="s">
        <v>2383</v>
      </c>
      <c r="D1205" t="s">
        <v>2381</v>
      </c>
      <c r="E1205">
        <v>360</v>
      </c>
      <c r="F1205">
        <v>3.59</v>
      </c>
      <c r="G1205">
        <v>3.93</v>
      </c>
      <c r="H1205">
        <v>3.15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1">
        <v>43697.811516203707</v>
      </c>
      <c r="B1206" t="s">
        <v>2407</v>
      </c>
      <c r="C1206" t="s">
        <v>2383</v>
      </c>
      <c r="D1206" t="s">
        <v>2388</v>
      </c>
      <c r="E1206" t="s">
        <v>2754</v>
      </c>
      <c r="F1206">
        <v>3.59</v>
      </c>
      <c r="G1206">
        <v>3.93</v>
      </c>
      <c r="H1206">
        <v>3.15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1">
        <v>43697.811516203707</v>
      </c>
      <c r="B1207" t="s">
        <v>2407</v>
      </c>
      <c r="C1207" t="s">
        <v>2383</v>
      </c>
      <c r="D1207" t="s">
        <v>2389</v>
      </c>
      <c r="E1207" s="12" t="s">
        <v>2385</v>
      </c>
      <c r="F1207">
        <v>3.59</v>
      </c>
      <c r="G1207">
        <v>3.93</v>
      </c>
      <c r="H1207">
        <v>3.15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1">
        <v>43697.811527777776</v>
      </c>
      <c r="B1208" t="s">
        <v>2407</v>
      </c>
      <c r="C1208" t="s">
        <v>2736</v>
      </c>
      <c r="E1208" t="s">
        <v>2378</v>
      </c>
      <c r="F1208">
        <v>3.59</v>
      </c>
      <c r="G1208">
        <v>3.93</v>
      </c>
      <c r="H1208">
        <v>3.15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1">
        <v>43697.811666666668</v>
      </c>
      <c r="B1209" t="s">
        <v>2407</v>
      </c>
      <c r="C1209" t="s">
        <v>2733</v>
      </c>
      <c r="D1209" t="s">
        <v>2390</v>
      </c>
      <c r="F1209">
        <v>3.59</v>
      </c>
      <c r="G1209">
        <v>3.93</v>
      </c>
      <c r="H1209">
        <v>3.15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1">
        <v>43697.811666666668</v>
      </c>
      <c r="B1210" t="s">
        <v>2407</v>
      </c>
      <c r="C1210" t="s">
        <v>2734</v>
      </c>
      <c r="D1210" t="s">
        <v>2390</v>
      </c>
      <c r="F1210">
        <v>3.59</v>
      </c>
      <c r="G1210">
        <v>3.93</v>
      </c>
      <c r="H1210">
        <v>3.15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1">
        <v>43697.811666666668</v>
      </c>
      <c r="B1211" t="s">
        <v>2407</v>
      </c>
      <c r="C1211" t="s">
        <v>2735</v>
      </c>
      <c r="D1211" t="s">
        <v>2390</v>
      </c>
      <c r="F1211">
        <v>3.59</v>
      </c>
      <c r="G1211">
        <v>3.93</v>
      </c>
      <c r="H1211">
        <v>3.15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1">
        <v>43697.811678240738</v>
      </c>
      <c r="B1212" t="s">
        <v>2407</v>
      </c>
      <c r="C1212" t="s">
        <v>2737</v>
      </c>
      <c r="E1212">
        <v>101</v>
      </c>
      <c r="F1212">
        <v>3.59</v>
      </c>
      <c r="G1212">
        <v>3.93</v>
      </c>
      <c r="H1212">
        <v>3.15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1">
        <v>43697.811678240738</v>
      </c>
      <c r="B1213" t="s">
        <v>2407</v>
      </c>
      <c r="C1213" t="s">
        <v>2738</v>
      </c>
      <c r="D1213" t="s">
        <v>2390</v>
      </c>
      <c r="E1213" t="s">
        <v>2739</v>
      </c>
      <c r="F1213">
        <v>3.59</v>
      </c>
      <c r="G1213">
        <v>3.93</v>
      </c>
      <c r="H1213">
        <v>3.15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1">
        <v>43697.811678240738</v>
      </c>
      <c r="B1214" t="s">
        <v>2407</v>
      </c>
      <c r="C1214" t="s">
        <v>2737</v>
      </c>
      <c r="E1214">
        <v>104</v>
      </c>
      <c r="F1214">
        <v>3.59</v>
      </c>
      <c r="G1214">
        <v>3.93</v>
      </c>
      <c r="H1214">
        <v>3.15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1">
        <v>43697.811678240738</v>
      </c>
      <c r="B1215" t="s">
        <v>2407</v>
      </c>
      <c r="C1215" t="s">
        <v>2737</v>
      </c>
      <c r="E1215">
        <v>104</v>
      </c>
      <c r="F1215">
        <v>3.59</v>
      </c>
      <c r="G1215">
        <v>3.93</v>
      </c>
      <c r="H1215">
        <v>3.15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1">
        <v>43697.811678240738</v>
      </c>
      <c r="B1216" t="s">
        <v>2407</v>
      </c>
      <c r="C1216" t="s">
        <v>2737</v>
      </c>
      <c r="E1216">
        <v>104</v>
      </c>
      <c r="F1216">
        <v>3.59</v>
      </c>
      <c r="G1216">
        <v>3.93</v>
      </c>
      <c r="H1216">
        <v>3.15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1">
        <v>43697.811678240738</v>
      </c>
      <c r="B1217" t="s">
        <v>2407</v>
      </c>
      <c r="C1217" t="s">
        <v>2740</v>
      </c>
      <c r="D1217" t="s">
        <v>2390</v>
      </c>
      <c r="E1217" t="s">
        <v>2741</v>
      </c>
      <c r="F1217">
        <v>3.59</v>
      </c>
      <c r="G1217">
        <v>3.93</v>
      </c>
      <c r="H1217">
        <v>3.15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1">
        <v>43697.811678240738</v>
      </c>
      <c r="B1218" t="s">
        <v>2407</v>
      </c>
      <c r="C1218" t="s">
        <v>2737</v>
      </c>
      <c r="E1218">
        <v>109</v>
      </c>
      <c r="F1218">
        <v>3.59</v>
      </c>
      <c r="G1218">
        <v>3.93</v>
      </c>
      <c r="H1218">
        <v>3.15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1">
        <v>43697.811678240738</v>
      </c>
      <c r="B1219" t="s">
        <v>2407</v>
      </c>
      <c r="C1219" t="s">
        <v>2737</v>
      </c>
      <c r="E1219">
        <v>109</v>
      </c>
      <c r="F1219">
        <v>3.59</v>
      </c>
      <c r="G1219">
        <v>3.93</v>
      </c>
      <c r="H1219">
        <v>3.15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1">
        <v>43697.811678240738</v>
      </c>
      <c r="B1220" t="s">
        <v>2407</v>
      </c>
      <c r="C1220" t="s">
        <v>2742</v>
      </c>
      <c r="D1220" t="s">
        <v>2390</v>
      </c>
      <c r="E1220" t="s">
        <v>2743</v>
      </c>
      <c r="F1220">
        <v>3.59</v>
      </c>
      <c r="G1220">
        <v>3.93</v>
      </c>
      <c r="H1220">
        <v>3.15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1">
        <v>43697.811678240738</v>
      </c>
      <c r="B1221" t="s">
        <v>2407</v>
      </c>
      <c r="C1221" t="s">
        <v>2737</v>
      </c>
      <c r="E1221">
        <v>105</v>
      </c>
      <c r="F1221">
        <v>3.59</v>
      </c>
      <c r="G1221">
        <v>3.93</v>
      </c>
      <c r="H1221">
        <v>3.15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1">
        <v>43697.811678240738</v>
      </c>
      <c r="B1222" t="s">
        <v>2407</v>
      </c>
      <c r="C1222" t="s">
        <v>2744</v>
      </c>
      <c r="E1222">
        <v>103</v>
      </c>
      <c r="F1222">
        <v>3.59</v>
      </c>
      <c r="G1222">
        <v>3.93</v>
      </c>
      <c r="H1222">
        <v>3.15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1">
        <v>43697.811678240738</v>
      </c>
      <c r="B1223" t="s">
        <v>2407</v>
      </c>
      <c r="C1223" t="s">
        <v>2745</v>
      </c>
      <c r="D1223" t="s">
        <v>2390</v>
      </c>
      <c r="E1223" t="s">
        <v>2746</v>
      </c>
      <c r="F1223">
        <v>3.59</v>
      </c>
      <c r="G1223">
        <v>3.93</v>
      </c>
      <c r="H1223">
        <v>3.15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1">
        <v>43697.811678240738</v>
      </c>
      <c r="B1224" t="s">
        <v>2407</v>
      </c>
      <c r="C1224" t="s">
        <v>2744</v>
      </c>
      <c r="E1224">
        <v>112</v>
      </c>
      <c r="F1224">
        <v>3.59</v>
      </c>
      <c r="G1224">
        <v>3.93</v>
      </c>
      <c r="H1224">
        <v>3.15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1">
        <v>43697.811678240738</v>
      </c>
      <c r="B1225" t="s">
        <v>2407</v>
      </c>
      <c r="C1225" t="s">
        <v>2744</v>
      </c>
      <c r="E1225">
        <v>112</v>
      </c>
      <c r="F1225">
        <v>3.59</v>
      </c>
      <c r="G1225">
        <v>3.93</v>
      </c>
      <c r="H1225">
        <v>3.15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1">
        <v>43697.811678240738</v>
      </c>
      <c r="B1226" t="s">
        <v>2407</v>
      </c>
      <c r="C1226" t="s">
        <v>2744</v>
      </c>
      <c r="E1226">
        <v>112</v>
      </c>
      <c r="F1226">
        <v>3.59</v>
      </c>
      <c r="G1226">
        <v>3.93</v>
      </c>
      <c r="H1226">
        <v>3.15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1">
        <v>43697.811678240738</v>
      </c>
      <c r="B1227" t="s">
        <v>2407</v>
      </c>
      <c r="C1227" t="s">
        <v>2747</v>
      </c>
      <c r="D1227" t="s">
        <v>2390</v>
      </c>
      <c r="E1227" t="s">
        <v>2748</v>
      </c>
      <c r="F1227">
        <v>3.59</v>
      </c>
      <c r="G1227">
        <v>3.93</v>
      </c>
      <c r="H1227">
        <v>3.15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1">
        <v>43697.811678240738</v>
      </c>
      <c r="B1228" t="s">
        <v>2407</v>
      </c>
      <c r="C1228" t="s">
        <v>2383</v>
      </c>
      <c r="D1228" t="s">
        <v>2384</v>
      </c>
      <c r="E1228" s="12" t="s">
        <v>2385</v>
      </c>
      <c r="F1228">
        <v>3.59</v>
      </c>
      <c r="G1228">
        <v>3.93</v>
      </c>
      <c r="H1228">
        <v>3.15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1">
        <v>43697.811678240738</v>
      </c>
      <c r="B1229" t="s">
        <v>2407</v>
      </c>
      <c r="C1229" t="s">
        <v>2383</v>
      </c>
      <c r="D1229" t="s">
        <v>2386</v>
      </c>
      <c r="E1229">
        <v>440</v>
      </c>
      <c r="F1229">
        <v>3.59</v>
      </c>
      <c r="G1229">
        <v>3.93</v>
      </c>
      <c r="H1229">
        <v>3.15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1">
        <v>43697.811678240738</v>
      </c>
      <c r="B1230" t="s">
        <v>2407</v>
      </c>
      <c r="C1230" t="s">
        <v>2383</v>
      </c>
      <c r="D1230" t="s">
        <v>2387</v>
      </c>
      <c r="E1230" t="s">
        <v>2755</v>
      </c>
      <c r="F1230">
        <v>3.59</v>
      </c>
      <c r="G1230">
        <v>3.93</v>
      </c>
      <c r="H1230">
        <v>3.15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1">
        <v>43697.811678240738</v>
      </c>
      <c r="B1231" t="s">
        <v>2407</v>
      </c>
      <c r="C1231" t="s">
        <v>2383</v>
      </c>
      <c r="D1231" t="s">
        <v>2381</v>
      </c>
      <c r="E1231">
        <v>360</v>
      </c>
      <c r="F1231">
        <v>3.59</v>
      </c>
      <c r="G1231">
        <v>3.93</v>
      </c>
      <c r="H1231">
        <v>3.15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1">
        <v>43697.811678240738</v>
      </c>
      <c r="B1232" t="s">
        <v>2407</v>
      </c>
      <c r="C1232" t="s">
        <v>2383</v>
      </c>
      <c r="D1232" t="s">
        <v>2388</v>
      </c>
      <c r="E1232" t="s">
        <v>2754</v>
      </c>
      <c r="F1232">
        <v>3.59</v>
      </c>
      <c r="G1232">
        <v>3.93</v>
      </c>
      <c r="H1232">
        <v>3.15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1">
        <v>43697.811678240738</v>
      </c>
      <c r="B1233" t="s">
        <v>2407</v>
      </c>
      <c r="C1233" t="s">
        <v>2383</v>
      </c>
      <c r="D1233" t="s">
        <v>2389</v>
      </c>
      <c r="E1233" s="12" t="s">
        <v>2385</v>
      </c>
      <c r="F1233">
        <v>3.59</v>
      </c>
      <c r="G1233">
        <v>3.93</v>
      </c>
      <c r="H1233">
        <v>3.15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1">
        <v>43697.811678240738</v>
      </c>
      <c r="B1234" t="s">
        <v>2407</v>
      </c>
      <c r="C1234" t="s">
        <v>2736</v>
      </c>
      <c r="E1234" t="s">
        <v>2378</v>
      </c>
      <c r="F1234">
        <v>3.59</v>
      </c>
      <c r="G1234">
        <v>3.93</v>
      </c>
      <c r="H1234">
        <v>3.15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1">
        <v>43697.813703703701</v>
      </c>
      <c r="B1235" t="s">
        <v>2407</v>
      </c>
      <c r="C1235" t="s">
        <v>2733</v>
      </c>
      <c r="D1235" t="s">
        <v>2390</v>
      </c>
      <c r="F1235">
        <v>3.59</v>
      </c>
      <c r="G1235">
        <v>3.93</v>
      </c>
      <c r="H1235">
        <v>3.15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1">
        <v>43697.813703703701</v>
      </c>
      <c r="B1236" t="s">
        <v>2407</v>
      </c>
      <c r="C1236" t="s">
        <v>2734</v>
      </c>
      <c r="D1236" t="s">
        <v>2390</v>
      </c>
      <c r="F1236">
        <v>3.59</v>
      </c>
      <c r="G1236">
        <v>3.93</v>
      </c>
      <c r="H1236">
        <v>3.15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1">
        <v>43697.813703703701</v>
      </c>
      <c r="B1237" t="s">
        <v>2407</v>
      </c>
      <c r="C1237" t="s">
        <v>2735</v>
      </c>
      <c r="D1237" t="s">
        <v>2390</v>
      </c>
      <c r="F1237">
        <v>3.59</v>
      </c>
      <c r="G1237">
        <v>3.93</v>
      </c>
      <c r="H1237">
        <v>3.15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1">
        <v>43697.813715277778</v>
      </c>
      <c r="B1238" t="s">
        <v>2407</v>
      </c>
      <c r="C1238" t="s">
        <v>2737</v>
      </c>
      <c r="E1238">
        <v>101</v>
      </c>
      <c r="F1238">
        <v>3.59</v>
      </c>
      <c r="G1238">
        <v>3.93</v>
      </c>
      <c r="H1238">
        <v>3.15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1">
        <v>43697.813715277778</v>
      </c>
      <c r="B1239" t="s">
        <v>2407</v>
      </c>
      <c r="C1239" t="s">
        <v>2738</v>
      </c>
      <c r="D1239" t="s">
        <v>2390</v>
      </c>
      <c r="E1239" t="s">
        <v>2739</v>
      </c>
      <c r="F1239">
        <v>3.59</v>
      </c>
      <c r="G1239">
        <v>3.93</v>
      </c>
      <c r="H1239">
        <v>3.15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1">
        <v>43697.813715277778</v>
      </c>
      <c r="B1240" t="s">
        <v>2407</v>
      </c>
      <c r="C1240" t="s">
        <v>2737</v>
      </c>
      <c r="E1240">
        <v>104</v>
      </c>
      <c r="F1240">
        <v>3.59</v>
      </c>
      <c r="G1240">
        <v>3.93</v>
      </c>
      <c r="H1240">
        <v>3.15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1">
        <v>43697.813715277778</v>
      </c>
      <c r="B1241" t="s">
        <v>2407</v>
      </c>
      <c r="C1241" t="s">
        <v>2737</v>
      </c>
      <c r="E1241">
        <v>104</v>
      </c>
      <c r="F1241">
        <v>3.59</v>
      </c>
      <c r="G1241">
        <v>3.93</v>
      </c>
      <c r="H1241">
        <v>3.15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1">
        <v>43697.813715277778</v>
      </c>
      <c r="B1242" t="s">
        <v>2407</v>
      </c>
      <c r="C1242" t="s">
        <v>2737</v>
      </c>
      <c r="E1242">
        <v>104</v>
      </c>
      <c r="F1242">
        <v>3.59</v>
      </c>
      <c r="G1242">
        <v>3.93</v>
      </c>
      <c r="H1242">
        <v>3.15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1">
        <v>43697.813715277778</v>
      </c>
      <c r="B1243" t="s">
        <v>2407</v>
      </c>
      <c r="C1243" t="s">
        <v>2740</v>
      </c>
      <c r="D1243" t="s">
        <v>2390</v>
      </c>
      <c r="E1243" t="s">
        <v>2741</v>
      </c>
      <c r="F1243">
        <v>3.59</v>
      </c>
      <c r="G1243">
        <v>3.93</v>
      </c>
      <c r="H1243">
        <v>3.15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1">
        <v>43697.813715277778</v>
      </c>
      <c r="B1244" t="s">
        <v>2407</v>
      </c>
      <c r="C1244" t="s">
        <v>2737</v>
      </c>
      <c r="E1244">
        <v>109</v>
      </c>
      <c r="F1244">
        <v>3.59</v>
      </c>
      <c r="G1244">
        <v>3.93</v>
      </c>
      <c r="H1244">
        <v>3.15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1">
        <v>43697.813715277778</v>
      </c>
      <c r="B1245" t="s">
        <v>2407</v>
      </c>
      <c r="C1245" t="s">
        <v>2737</v>
      </c>
      <c r="E1245">
        <v>109</v>
      </c>
      <c r="F1245">
        <v>3.59</v>
      </c>
      <c r="G1245">
        <v>3.93</v>
      </c>
      <c r="H1245">
        <v>3.15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1">
        <v>43697.813715277778</v>
      </c>
      <c r="B1246" t="s">
        <v>2407</v>
      </c>
      <c r="C1246" t="s">
        <v>2742</v>
      </c>
      <c r="D1246" t="s">
        <v>2390</v>
      </c>
      <c r="E1246" t="s">
        <v>2743</v>
      </c>
      <c r="F1246">
        <v>3.59</v>
      </c>
      <c r="G1246">
        <v>3.93</v>
      </c>
      <c r="H1246">
        <v>3.15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1">
        <v>43697.813715277778</v>
      </c>
      <c r="B1247" t="s">
        <v>2407</v>
      </c>
      <c r="C1247" t="s">
        <v>2737</v>
      </c>
      <c r="E1247">
        <v>105</v>
      </c>
      <c r="F1247">
        <v>3.59</v>
      </c>
      <c r="G1247">
        <v>3.93</v>
      </c>
      <c r="H1247">
        <v>3.15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1">
        <v>43697.813715277778</v>
      </c>
      <c r="B1248" t="s">
        <v>2407</v>
      </c>
      <c r="C1248" t="s">
        <v>2744</v>
      </c>
      <c r="E1248">
        <v>103</v>
      </c>
      <c r="F1248">
        <v>3.59</v>
      </c>
      <c r="G1248">
        <v>3.93</v>
      </c>
      <c r="H1248">
        <v>3.15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1">
        <v>43697.813715277778</v>
      </c>
      <c r="B1249" t="s">
        <v>2407</v>
      </c>
      <c r="C1249" t="s">
        <v>2745</v>
      </c>
      <c r="D1249" t="s">
        <v>2390</v>
      </c>
      <c r="E1249" t="s">
        <v>2746</v>
      </c>
      <c r="F1249">
        <v>3.59</v>
      </c>
      <c r="G1249">
        <v>3.93</v>
      </c>
      <c r="H1249">
        <v>3.15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1">
        <v>43697.813715277778</v>
      </c>
      <c r="B1250" t="s">
        <v>2407</v>
      </c>
      <c r="C1250" t="s">
        <v>2744</v>
      </c>
      <c r="E1250">
        <v>112</v>
      </c>
      <c r="F1250">
        <v>3.59</v>
      </c>
      <c r="G1250">
        <v>3.93</v>
      </c>
      <c r="H1250">
        <v>3.15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1">
        <v>43697.813715277778</v>
      </c>
      <c r="B1251" t="s">
        <v>2407</v>
      </c>
      <c r="C1251" t="s">
        <v>2744</v>
      </c>
      <c r="E1251">
        <v>112</v>
      </c>
      <c r="F1251">
        <v>3.59</v>
      </c>
      <c r="G1251">
        <v>3.93</v>
      </c>
      <c r="H1251">
        <v>3.15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1">
        <v>43697.813715277778</v>
      </c>
      <c r="B1252" t="s">
        <v>2407</v>
      </c>
      <c r="C1252" t="s">
        <v>2744</v>
      </c>
      <c r="E1252">
        <v>112</v>
      </c>
      <c r="F1252">
        <v>3.59</v>
      </c>
      <c r="G1252">
        <v>3.93</v>
      </c>
      <c r="H1252">
        <v>3.15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1">
        <v>43697.813715277778</v>
      </c>
      <c r="B1253" t="s">
        <v>2407</v>
      </c>
      <c r="C1253" t="s">
        <v>2747</v>
      </c>
      <c r="D1253" t="s">
        <v>2390</v>
      </c>
      <c r="E1253" t="s">
        <v>2748</v>
      </c>
      <c r="F1253">
        <v>3.59</v>
      </c>
      <c r="G1253">
        <v>3.93</v>
      </c>
      <c r="H1253">
        <v>3.15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1">
        <v>43697.813715277778</v>
      </c>
      <c r="B1254" t="s">
        <v>2407</v>
      </c>
      <c r="C1254" t="s">
        <v>2383</v>
      </c>
      <c r="D1254" t="s">
        <v>2384</v>
      </c>
      <c r="E1254" s="12" t="s">
        <v>2385</v>
      </c>
      <c r="F1254">
        <v>3.59</v>
      </c>
      <c r="G1254">
        <v>3.93</v>
      </c>
      <c r="H1254">
        <v>3.15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1">
        <v>43697.813715277778</v>
      </c>
      <c r="B1255" t="s">
        <v>2407</v>
      </c>
      <c r="C1255" t="s">
        <v>2383</v>
      </c>
      <c r="D1255" t="s">
        <v>2386</v>
      </c>
      <c r="E1255">
        <v>440</v>
      </c>
      <c r="F1255">
        <v>3.59</v>
      </c>
      <c r="G1255">
        <v>3.93</v>
      </c>
      <c r="H1255">
        <v>3.15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1">
        <v>43697.813715277778</v>
      </c>
      <c r="B1256" t="s">
        <v>2407</v>
      </c>
      <c r="C1256" t="s">
        <v>2383</v>
      </c>
      <c r="D1256" t="s">
        <v>2387</v>
      </c>
      <c r="E1256" t="s">
        <v>2755</v>
      </c>
      <c r="F1256">
        <v>3.59</v>
      </c>
      <c r="G1256">
        <v>3.93</v>
      </c>
      <c r="H1256">
        <v>3.15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1">
        <v>43697.813715277778</v>
      </c>
      <c r="B1257" t="s">
        <v>2407</v>
      </c>
      <c r="C1257" t="s">
        <v>2383</v>
      </c>
      <c r="D1257" t="s">
        <v>2381</v>
      </c>
      <c r="E1257">
        <v>360</v>
      </c>
      <c r="F1257">
        <v>3.59</v>
      </c>
      <c r="G1257">
        <v>3.93</v>
      </c>
      <c r="H1257">
        <v>3.15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1">
        <v>43697.813715277778</v>
      </c>
      <c r="B1258" t="s">
        <v>2407</v>
      </c>
      <c r="C1258" t="s">
        <v>2383</v>
      </c>
      <c r="D1258" t="s">
        <v>2388</v>
      </c>
      <c r="E1258" t="s">
        <v>2754</v>
      </c>
      <c r="F1258">
        <v>3.59</v>
      </c>
      <c r="G1258">
        <v>3.93</v>
      </c>
      <c r="H1258">
        <v>3.15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1">
        <v>43697.813715277778</v>
      </c>
      <c r="B1259" t="s">
        <v>2407</v>
      </c>
      <c r="C1259" t="s">
        <v>2383</v>
      </c>
      <c r="D1259" t="s">
        <v>2389</v>
      </c>
      <c r="E1259" s="12" t="s">
        <v>2385</v>
      </c>
      <c r="F1259">
        <v>3.59</v>
      </c>
      <c r="G1259">
        <v>3.93</v>
      </c>
      <c r="H1259">
        <v>3.15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1">
        <v>43697.813715277778</v>
      </c>
      <c r="B1260" t="s">
        <v>2407</v>
      </c>
      <c r="C1260" t="s">
        <v>2736</v>
      </c>
      <c r="E1260" t="s">
        <v>2378</v>
      </c>
      <c r="F1260">
        <v>3.59</v>
      </c>
      <c r="G1260">
        <v>3.93</v>
      </c>
      <c r="H1260">
        <v>3.15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1">
        <v>43697.814502314817</v>
      </c>
      <c r="B1261" t="s">
        <v>2407</v>
      </c>
      <c r="C1261" t="s">
        <v>2733</v>
      </c>
      <c r="D1261" t="s">
        <v>2390</v>
      </c>
      <c r="F1261">
        <v>3.59</v>
      </c>
      <c r="G1261">
        <v>3.93</v>
      </c>
      <c r="H1261">
        <v>3.15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1">
        <v>43697.814502314817</v>
      </c>
      <c r="B1262" t="s">
        <v>2407</v>
      </c>
      <c r="C1262" t="s">
        <v>2734</v>
      </c>
      <c r="D1262" t="s">
        <v>2390</v>
      </c>
      <c r="F1262">
        <v>3.59</v>
      </c>
      <c r="G1262">
        <v>3.93</v>
      </c>
      <c r="H1262">
        <v>3.15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1">
        <v>43697.814502314817</v>
      </c>
      <c r="B1263" t="s">
        <v>2407</v>
      </c>
      <c r="C1263" t="s">
        <v>2735</v>
      </c>
      <c r="D1263" t="s">
        <v>2390</v>
      </c>
      <c r="F1263">
        <v>3.59</v>
      </c>
      <c r="G1263">
        <v>3.93</v>
      </c>
      <c r="H1263">
        <v>3.15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1">
        <v>43697.814513888887</v>
      </c>
      <c r="B1264" t="s">
        <v>2407</v>
      </c>
      <c r="C1264" t="s">
        <v>2737</v>
      </c>
      <c r="E1264">
        <v>101</v>
      </c>
      <c r="F1264">
        <v>3.59</v>
      </c>
      <c r="G1264">
        <v>3.93</v>
      </c>
      <c r="H1264">
        <v>3.15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1">
        <v>43697.814513888887</v>
      </c>
      <c r="B1265" t="s">
        <v>2407</v>
      </c>
      <c r="C1265" t="s">
        <v>2738</v>
      </c>
      <c r="D1265" t="s">
        <v>2390</v>
      </c>
      <c r="E1265" t="s">
        <v>2739</v>
      </c>
      <c r="F1265">
        <v>3.59</v>
      </c>
      <c r="G1265">
        <v>3.93</v>
      </c>
      <c r="H1265">
        <v>3.15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1">
        <v>43697.814513888887</v>
      </c>
      <c r="B1266" t="s">
        <v>2407</v>
      </c>
      <c r="C1266" t="s">
        <v>2737</v>
      </c>
      <c r="E1266">
        <v>104</v>
      </c>
      <c r="F1266">
        <v>3.59</v>
      </c>
      <c r="G1266">
        <v>3.93</v>
      </c>
      <c r="H1266">
        <v>3.15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1">
        <v>43697.814513888887</v>
      </c>
      <c r="B1267" t="s">
        <v>2407</v>
      </c>
      <c r="C1267" t="s">
        <v>2737</v>
      </c>
      <c r="E1267">
        <v>104</v>
      </c>
      <c r="F1267">
        <v>3.59</v>
      </c>
      <c r="G1267">
        <v>3.93</v>
      </c>
      <c r="H1267">
        <v>3.15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1">
        <v>43697.814513888887</v>
      </c>
      <c r="B1268" t="s">
        <v>2407</v>
      </c>
      <c r="C1268" t="s">
        <v>2737</v>
      </c>
      <c r="E1268">
        <v>104</v>
      </c>
      <c r="F1268">
        <v>3.59</v>
      </c>
      <c r="G1268">
        <v>3.93</v>
      </c>
      <c r="H1268">
        <v>3.15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1">
        <v>43697.814513888887</v>
      </c>
      <c r="B1269" t="s">
        <v>2407</v>
      </c>
      <c r="C1269" t="s">
        <v>2740</v>
      </c>
      <c r="D1269" t="s">
        <v>2390</v>
      </c>
      <c r="E1269" t="s">
        <v>2741</v>
      </c>
      <c r="F1269">
        <v>3.59</v>
      </c>
      <c r="G1269">
        <v>3.93</v>
      </c>
      <c r="H1269">
        <v>3.15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1">
        <v>43697.814513888887</v>
      </c>
      <c r="B1270" t="s">
        <v>2407</v>
      </c>
      <c r="C1270" t="s">
        <v>2737</v>
      </c>
      <c r="E1270">
        <v>109</v>
      </c>
      <c r="F1270">
        <v>3.59</v>
      </c>
      <c r="G1270">
        <v>3.93</v>
      </c>
      <c r="H1270">
        <v>3.15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1">
        <v>43697.814513888887</v>
      </c>
      <c r="B1271" t="s">
        <v>2407</v>
      </c>
      <c r="C1271" t="s">
        <v>2737</v>
      </c>
      <c r="E1271">
        <v>109</v>
      </c>
      <c r="F1271">
        <v>3.59</v>
      </c>
      <c r="G1271">
        <v>3.93</v>
      </c>
      <c r="H1271">
        <v>3.15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1">
        <v>43697.814513888887</v>
      </c>
      <c r="B1272" t="s">
        <v>2407</v>
      </c>
      <c r="C1272" t="s">
        <v>2742</v>
      </c>
      <c r="D1272" t="s">
        <v>2390</v>
      </c>
      <c r="E1272" t="s">
        <v>2743</v>
      </c>
      <c r="F1272">
        <v>3.59</v>
      </c>
      <c r="G1272">
        <v>3.93</v>
      </c>
      <c r="H1272">
        <v>3.15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1">
        <v>43697.814513888887</v>
      </c>
      <c r="B1273" t="s">
        <v>2407</v>
      </c>
      <c r="C1273" t="s">
        <v>2737</v>
      </c>
      <c r="E1273">
        <v>105</v>
      </c>
      <c r="F1273">
        <v>3.59</v>
      </c>
      <c r="G1273">
        <v>3.93</v>
      </c>
      <c r="H1273">
        <v>3.15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1">
        <v>43697.814513888887</v>
      </c>
      <c r="B1274" t="s">
        <v>2407</v>
      </c>
      <c r="C1274" t="s">
        <v>2744</v>
      </c>
      <c r="E1274">
        <v>103</v>
      </c>
      <c r="F1274">
        <v>3.59</v>
      </c>
      <c r="G1274">
        <v>3.93</v>
      </c>
      <c r="H1274">
        <v>3.15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1">
        <v>43697.814513888887</v>
      </c>
      <c r="B1275" t="s">
        <v>2407</v>
      </c>
      <c r="C1275" t="s">
        <v>2745</v>
      </c>
      <c r="D1275" t="s">
        <v>2390</v>
      </c>
      <c r="E1275" t="s">
        <v>2746</v>
      </c>
      <c r="F1275">
        <v>3.59</v>
      </c>
      <c r="G1275">
        <v>3.93</v>
      </c>
      <c r="H1275">
        <v>3.15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1">
        <v>43697.814513888887</v>
      </c>
      <c r="B1276" t="s">
        <v>2407</v>
      </c>
      <c r="C1276" t="s">
        <v>2744</v>
      </c>
      <c r="E1276">
        <v>112</v>
      </c>
      <c r="F1276">
        <v>3.59</v>
      </c>
      <c r="G1276">
        <v>3.93</v>
      </c>
      <c r="H1276">
        <v>3.15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1">
        <v>43697.814513888887</v>
      </c>
      <c r="B1277" t="s">
        <v>2407</v>
      </c>
      <c r="C1277" t="s">
        <v>2744</v>
      </c>
      <c r="E1277">
        <v>112</v>
      </c>
      <c r="F1277">
        <v>3.59</v>
      </c>
      <c r="G1277">
        <v>3.93</v>
      </c>
      <c r="H1277">
        <v>3.15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1">
        <v>43697.814513888887</v>
      </c>
      <c r="B1278" t="s">
        <v>2407</v>
      </c>
      <c r="C1278" t="s">
        <v>2744</v>
      </c>
      <c r="E1278">
        <v>112</v>
      </c>
      <c r="F1278">
        <v>3.59</v>
      </c>
      <c r="G1278">
        <v>3.93</v>
      </c>
      <c r="H1278">
        <v>3.15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1">
        <v>43697.814513888887</v>
      </c>
      <c r="B1279" t="s">
        <v>2407</v>
      </c>
      <c r="C1279" t="s">
        <v>2747</v>
      </c>
      <c r="D1279" t="s">
        <v>2390</v>
      </c>
      <c r="E1279" t="s">
        <v>2748</v>
      </c>
      <c r="F1279">
        <v>3.59</v>
      </c>
      <c r="G1279">
        <v>3.93</v>
      </c>
      <c r="H1279">
        <v>3.15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1">
        <v>43697.814513888887</v>
      </c>
      <c r="B1280" t="s">
        <v>2407</v>
      </c>
      <c r="C1280" t="s">
        <v>2383</v>
      </c>
      <c r="D1280" t="s">
        <v>2384</v>
      </c>
      <c r="E1280" s="12" t="s">
        <v>2385</v>
      </c>
      <c r="F1280">
        <v>3.59</v>
      </c>
      <c r="G1280">
        <v>3.93</v>
      </c>
      <c r="H1280">
        <v>3.15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1">
        <v>43697.814513888887</v>
      </c>
      <c r="B1281" t="s">
        <v>2407</v>
      </c>
      <c r="C1281" t="s">
        <v>2383</v>
      </c>
      <c r="D1281" t="s">
        <v>2386</v>
      </c>
      <c r="E1281">
        <v>440</v>
      </c>
      <c r="F1281">
        <v>3.59</v>
      </c>
      <c r="G1281">
        <v>3.93</v>
      </c>
      <c r="H1281">
        <v>3.15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1">
        <v>43697.814513888887</v>
      </c>
      <c r="B1282" t="s">
        <v>2407</v>
      </c>
      <c r="C1282" t="s">
        <v>2383</v>
      </c>
      <c r="D1282" t="s">
        <v>2387</v>
      </c>
      <c r="E1282" t="s">
        <v>2755</v>
      </c>
      <c r="F1282">
        <v>3.59</v>
      </c>
      <c r="G1282">
        <v>3.93</v>
      </c>
      <c r="H1282">
        <v>3.15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1">
        <v>43697.814513888887</v>
      </c>
      <c r="B1283" t="s">
        <v>2407</v>
      </c>
      <c r="C1283" t="s">
        <v>2383</v>
      </c>
      <c r="D1283" t="s">
        <v>2381</v>
      </c>
      <c r="E1283">
        <v>360</v>
      </c>
      <c r="F1283">
        <v>3.59</v>
      </c>
      <c r="G1283">
        <v>3.93</v>
      </c>
      <c r="H1283">
        <v>3.15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1">
        <v>43697.814513888887</v>
      </c>
      <c r="B1284" t="s">
        <v>2407</v>
      </c>
      <c r="C1284" t="s">
        <v>2383</v>
      </c>
      <c r="D1284" t="s">
        <v>2388</v>
      </c>
      <c r="E1284" t="s">
        <v>2754</v>
      </c>
      <c r="F1284">
        <v>3.59</v>
      </c>
      <c r="G1284">
        <v>3.93</v>
      </c>
      <c r="H1284">
        <v>3.15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1">
        <v>43697.814513888887</v>
      </c>
      <c r="B1285" t="s">
        <v>2407</v>
      </c>
      <c r="C1285" t="s">
        <v>2383</v>
      </c>
      <c r="D1285" t="s">
        <v>2389</v>
      </c>
      <c r="E1285" s="12" t="s">
        <v>2385</v>
      </c>
      <c r="F1285">
        <v>3.59</v>
      </c>
      <c r="G1285">
        <v>3.93</v>
      </c>
      <c r="H1285">
        <v>3.15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1">
        <v>43697.814525462964</v>
      </c>
      <c r="B1286" t="s">
        <v>2407</v>
      </c>
      <c r="C1286" t="s">
        <v>2736</v>
      </c>
      <c r="E1286" t="s">
        <v>2378</v>
      </c>
      <c r="F1286">
        <v>3.59</v>
      </c>
      <c r="G1286">
        <v>3.93</v>
      </c>
      <c r="H1286">
        <v>3.15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1">
        <v>43697.814745370371</v>
      </c>
      <c r="B1287" t="s">
        <v>2407</v>
      </c>
      <c r="C1287" t="s">
        <v>2733</v>
      </c>
      <c r="D1287" t="s">
        <v>2390</v>
      </c>
      <c r="F1287">
        <v>3.59</v>
      </c>
      <c r="G1287">
        <v>3.93</v>
      </c>
      <c r="H1287">
        <v>3.15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1">
        <v>43697.814745370371</v>
      </c>
      <c r="B1288" t="s">
        <v>2407</v>
      </c>
      <c r="C1288" t="s">
        <v>2734</v>
      </c>
      <c r="D1288" t="s">
        <v>2390</v>
      </c>
      <c r="F1288">
        <v>3.59</v>
      </c>
      <c r="G1288">
        <v>3.93</v>
      </c>
      <c r="H1288">
        <v>3.15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1">
        <v>43697.814745370371</v>
      </c>
      <c r="B1289" t="s">
        <v>2407</v>
      </c>
      <c r="C1289" t="s">
        <v>2735</v>
      </c>
      <c r="D1289" t="s">
        <v>2390</v>
      </c>
      <c r="F1289">
        <v>3.59</v>
      </c>
      <c r="G1289">
        <v>3.93</v>
      </c>
      <c r="H1289">
        <v>3.15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1">
        <v>43697.815891203703</v>
      </c>
      <c r="B1290" t="s">
        <v>2407</v>
      </c>
      <c r="C1290" t="s">
        <v>2737</v>
      </c>
      <c r="E1290">
        <v>101</v>
      </c>
      <c r="F1290">
        <v>3.59</v>
      </c>
      <c r="G1290">
        <v>3.93</v>
      </c>
      <c r="H1290">
        <v>3.15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1">
        <v>43697.815891203703</v>
      </c>
      <c r="B1291" t="s">
        <v>2407</v>
      </c>
      <c r="C1291" t="s">
        <v>2738</v>
      </c>
      <c r="D1291" t="s">
        <v>2390</v>
      </c>
      <c r="E1291" t="s">
        <v>2739</v>
      </c>
      <c r="F1291">
        <v>3.59</v>
      </c>
      <c r="G1291">
        <v>3.93</v>
      </c>
      <c r="H1291">
        <v>3.15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1">
        <v>43697.815995370373</v>
      </c>
      <c r="B1292" t="s">
        <v>2407</v>
      </c>
      <c r="C1292" t="s">
        <v>2737</v>
      </c>
      <c r="E1292">
        <v>104</v>
      </c>
      <c r="F1292">
        <v>3.59</v>
      </c>
      <c r="G1292">
        <v>3.93</v>
      </c>
      <c r="H1292">
        <v>3.15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1">
        <v>43697.815995370373</v>
      </c>
      <c r="B1293" t="s">
        <v>2407</v>
      </c>
      <c r="C1293" t="s">
        <v>2737</v>
      </c>
      <c r="E1293">
        <v>104</v>
      </c>
      <c r="F1293">
        <v>3.59</v>
      </c>
      <c r="G1293">
        <v>3.93</v>
      </c>
      <c r="H1293">
        <v>3.15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1">
        <v>43697.815995370373</v>
      </c>
      <c r="B1294" t="s">
        <v>2407</v>
      </c>
      <c r="C1294" t="s">
        <v>2737</v>
      </c>
      <c r="E1294">
        <v>104</v>
      </c>
      <c r="F1294">
        <v>3.59</v>
      </c>
      <c r="G1294">
        <v>3.93</v>
      </c>
      <c r="H1294">
        <v>3.15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1">
        <v>43697.815995370373</v>
      </c>
      <c r="B1295" t="s">
        <v>2407</v>
      </c>
      <c r="C1295" t="s">
        <v>2740</v>
      </c>
      <c r="D1295" t="s">
        <v>2390</v>
      </c>
      <c r="E1295" t="s">
        <v>2741</v>
      </c>
      <c r="F1295">
        <v>3.59</v>
      </c>
      <c r="G1295">
        <v>3.93</v>
      </c>
      <c r="H1295">
        <v>3.15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1">
        <v>43697.816018518519</v>
      </c>
      <c r="B1296" t="s">
        <v>2407</v>
      </c>
      <c r="C1296" t="s">
        <v>2737</v>
      </c>
      <c r="E1296">
        <v>109</v>
      </c>
      <c r="F1296">
        <v>3.59</v>
      </c>
      <c r="G1296">
        <v>3.93</v>
      </c>
      <c r="H1296">
        <v>3.15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1">
        <v>43697.816018518519</v>
      </c>
      <c r="B1297" t="s">
        <v>2407</v>
      </c>
      <c r="C1297" t="s">
        <v>2737</v>
      </c>
      <c r="E1297">
        <v>109</v>
      </c>
      <c r="F1297">
        <v>3.59</v>
      </c>
      <c r="G1297">
        <v>3.93</v>
      </c>
      <c r="H1297">
        <v>3.15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1">
        <v>43697.816018518519</v>
      </c>
      <c r="B1298" t="s">
        <v>2407</v>
      </c>
      <c r="C1298" t="s">
        <v>2742</v>
      </c>
      <c r="D1298" t="s">
        <v>2390</v>
      </c>
      <c r="E1298" t="s">
        <v>2743</v>
      </c>
      <c r="F1298">
        <v>3.59</v>
      </c>
      <c r="G1298">
        <v>3.93</v>
      </c>
      <c r="H1298">
        <v>3.15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1">
        <v>43697.816018518519</v>
      </c>
      <c r="B1299" t="s">
        <v>2407</v>
      </c>
      <c r="C1299" t="s">
        <v>2737</v>
      </c>
      <c r="E1299">
        <v>105</v>
      </c>
      <c r="F1299">
        <v>3.59</v>
      </c>
      <c r="G1299">
        <v>3.93</v>
      </c>
      <c r="H1299">
        <v>3.15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1">
        <v>43697.816018518519</v>
      </c>
      <c r="B1300" t="s">
        <v>2407</v>
      </c>
      <c r="C1300" t="s">
        <v>2744</v>
      </c>
      <c r="E1300">
        <v>103</v>
      </c>
      <c r="F1300">
        <v>3.59</v>
      </c>
      <c r="G1300">
        <v>3.93</v>
      </c>
      <c r="H1300">
        <v>3.15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1">
        <v>43697.816018518519</v>
      </c>
      <c r="B1301" t="s">
        <v>2407</v>
      </c>
      <c r="C1301" t="s">
        <v>2745</v>
      </c>
      <c r="D1301" t="s">
        <v>2390</v>
      </c>
      <c r="E1301" t="s">
        <v>2746</v>
      </c>
      <c r="F1301">
        <v>3.59</v>
      </c>
      <c r="G1301">
        <v>3.93</v>
      </c>
      <c r="H1301">
        <v>3.15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1">
        <v>43697.816018518519</v>
      </c>
      <c r="B1302" t="s">
        <v>2407</v>
      </c>
      <c r="C1302" t="s">
        <v>2744</v>
      </c>
      <c r="E1302">
        <v>112</v>
      </c>
      <c r="F1302">
        <v>3.59</v>
      </c>
      <c r="G1302">
        <v>3.93</v>
      </c>
      <c r="H1302">
        <v>3.15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1">
        <v>43697.816018518519</v>
      </c>
      <c r="B1303" t="s">
        <v>2407</v>
      </c>
      <c r="C1303" t="s">
        <v>2744</v>
      </c>
      <c r="E1303">
        <v>112</v>
      </c>
      <c r="F1303">
        <v>3.59</v>
      </c>
      <c r="G1303">
        <v>3.93</v>
      </c>
      <c r="H1303">
        <v>3.15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1">
        <v>43697.816018518519</v>
      </c>
      <c r="B1304" t="s">
        <v>2407</v>
      </c>
      <c r="C1304" t="s">
        <v>2744</v>
      </c>
      <c r="E1304">
        <v>112</v>
      </c>
      <c r="F1304">
        <v>3.59</v>
      </c>
      <c r="G1304">
        <v>3.93</v>
      </c>
      <c r="H1304">
        <v>3.15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1">
        <v>43697.816018518519</v>
      </c>
      <c r="B1305" t="s">
        <v>2407</v>
      </c>
      <c r="C1305" t="s">
        <v>2747</v>
      </c>
      <c r="D1305" t="s">
        <v>2390</v>
      </c>
      <c r="E1305" t="s">
        <v>2748</v>
      </c>
      <c r="F1305">
        <v>3.59</v>
      </c>
      <c r="G1305">
        <v>3.93</v>
      </c>
      <c r="H1305">
        <v>3.15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1">
        <v>43697.816018518519</v>
      </c>
      <c r="B1306" t="s">
        <v>2407</v>
      </c>
      <c r="C1306" t="s">
        <v>2383</v>
      </c>
      <c r="D1306" t="s">
        <v>2384</v>
      </c>
      <c r="E1306" s="12" t="s">
        <v>2385</v>
      </c>
      <c r="F1306">
        <v>3.59</v>
      </c>
      <c r="G1306">
        <v>3.93</v>
      </c>
      <c r="H1306">
        <v>3.15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1">
        <v>43697.816018518519</v>
      </c>
      <c r="B1307" t="s">
        <v>2407</v>
      </c>
      <c r="C1307" t="s">
        <v>2383</v>
      </c>
      <c r="D1307" t="s">
        <v>2386</v>
      </c>
      <c r="E1307">
        <v>440</v>
      </c>
      <c r="F1307">
        <v>3.59</v>
      </c>
      <c r="G1307">
        <v>3.93</v>
      </c>
      <c r="H1307">
        <v>3.15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1">
        <v>43697.816018518519</v>
      </c>
      <c r="B1308" t="s">
        <v>2407</v>
      </c>
      <c r="C1308" t="s">
        <v>2383</v>
      </c>
      <c r="D1308" t="s">
        <v>2387</v>
      </c>
      <c r="E1308" t="s">
        <v>2755</v>
      </c>
      <c r="F1308">
        <v>3.59</v>
      </c>
      <c r="G1308">
        <v>3.93</v>
      </c>
      <c r="H1308">
        <v>3.15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1">
        <v>43697.816018518519</v>
      </c>
      <c r="B1309" t="s">
        <v>2407</v>
      </c>
      <c r="C1309" t="s">
        <v>2383</v>
      </c>
      <c r="D1309" t="s">
        <v>2381</v>
      </c>
      <c r="E1309">
        <v>360</v>
      </c>
      <c r="F1309">
        <v>3.59</v>
      </c>
      <c r="G1309">
        <v>3.93</v>
      </c>
      <c r="H1309">
        <v>3.15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1">
        <v>43697.816018518519</v>
      </c>
      <c r="B1310" t="s">
        <v>2407</v>
      </c>
      <c r="C1310" t="s">
        <v>2383</v>
      </c>
      <c r="D1310" t="s">
        <v>2388</v>
      </c>
      <c r="E1310" t="s">
        <v>2754</v>
      </c>
      <c r="F1310">
        <v>3.59</v>
      </c>
      <c r="G1310">
        <v>3.93</v>
      </c>
      <c r="H1310">
        <v>3.15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1">
        <v>43697.816018518519</v>
      </c>
      <c r="B1311" t="s">
        <v>2407</v>
      </c>
      <c r="C1311" t="s">
        <v>2383</v>
      </c>
      <c r="D1311" t="s">
        <v>2389</v>
      </c>
      <c r="E1311" s="12" t="s">
        <v>2385</v>
      </c>
      <c r="F1311">
        <v>3.59</v>
      </c>
      <c r="G1311">
        <v>3.93</v>
      </c>
      <c r="H1311">
        <v>3.15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1">
        <v>43697.816030092596</v>
      </c>
      <c r="B1312" t="s">
        <v>2407</v>
      </c>
      <c r="C1312" t="s">
        <v>2736</v>
      </c>
      <c r="E1312" t="s">
        <v>2378</v>
      </c>
      <c r="F1312">
        <v>3.59</v>
      </c>
      <c r="G1312">
        <v>3.93</v>
      </c>
      <c r="H1312">
        <v>3.15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1">
        <v>43697.816064814811</v>
      </c>
      <c r="B1313" t="s">
        <v>2407</v>
      </c>
      <c r="C1313" t="s">
        <v>2733</v>
      </c>
      <c r="D1313" t="s">
        <v>2390</v>
      </c>
      <c r="F1313">
        <v>3.59</v>
      </c>
      <c r="G1313">
        <v>3.93</v>
      </c>
      <c r="H1313">
        <v>3.15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1">
        <v>43697.816064814811</v>
      </c>
      <c r="B1314" t="s">
        <v>2407</v>
      </c>
      <c r="C1314" t="s">
        <v>2734</v>
      </c>
      <c r="D1314" t="s">
        <v>2390</v>
      </c>
      <c r="F1314">
        <v>3.59</v>
      </c>
      <c r="G1314">
        <v>3.93</v>
      </c>
      <c r="H1314">
        <v>3.15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1">
        <v>43697.816064814811</v>
      </c>
      <c r="B1315" t="s">
        <v>2407</v>
      </c>
      <c r="C1315" t="s">
        <v>2735</v>
      </c>
      <c r="D1315" t="s">
        <v>2390</v>
      </c>
      <c r="F1315">
        <v>3.59</v>
      </c>
      <c r="G1315">
        <v>3.93</v>
      </c>
      <c r="H1315">
        <v>3.15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1">
        <v>43697.816076388888</v>
      </c>
      <c r="B1316" t="s">
        <v>2407</v>
      </c>
      <c r="C1316" t="s">
        <v>2737</v>
      </c>
      <c r="E1316">
        <v>101</v>
      </c>
      <c r="F1316">
        <v>3.59</v>
      </c>
      <c r="G1316">
        <v>3.93</v>
      </c>
      <c r="H1316">
        <v>3.15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1">
        <v>43697.816076388888</v>
      </c>
      <c r="B1317" t="s">
        <v>2407</v>
      </c>
      <c r="C1317" t="s">
        <v>2738</v>
      </c>
      <c r="D1317" t="s">
        <v>2390</v>
      </c>
      <c r="E1317" t="s">
        <v>2739</v>
      </c>
      <c r="F1317">
        <v>3.59</v>
      </c>
      <c r="G1317">
        <v>3.93</v>
      </c>
      <c r="H1317">
        <v>3.15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1">
        <v>43697.816076388888</v>
      </c>
      <c r="B1318" t="s">
        <v>2407</v>
      </c>
      <c r="C1318" t="s">
        <v>2737</v>
      </c>
      <c r="E1318">
        <v>104</v>
      </c>
      <c r="F1318">
        <v>3.59</v>
      </c>
      <c r="G1318">
        <v>3.93</v>
      </c>
      <c r="H1318">
        <v>3.15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1">
        <v>43697.816076388888</v>
      </c>
      <c r="B1319" t="s">
        <v>2407</v>
      </c>
      <c r="C1319" t="s">
        <v>2737</v>
      </c>
      <c r="E1319">
        <v>104</v>
      </c>
      <c r="F1319">
        <v>3.59</v>
      </c>
      <c r="G1319">
        <v>3.93</v>
      </c>
      <c r="H1319">
        <v>3.15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1">
        <v>43697.816076388888</v>
      </c>
      <c r="B1320" t="s">
        <v>2407</v>
      </c>
      <c r="C1320" t="s">
        <v>2737</v>
      </c>
      <c r="E1320">
        <v>104</v>
      </c>
      <c r="F1320">
        <v>3.59</v>
      </c>
      <c r="G1320">
        <v>3.93</v>
      </c>
      <c r="H1320">
        <v>3.15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1">
        <v>43697.816076388888</v>
      </c>
      <c r="B1321" t="s">
        <v>2407</v>
      </c>
      <c r="C1321" t="s">
        <v>2740</v>
      </c>
      <c r="D1321" t="s">
        <v>2390</v>
      </c>
      <c r="E1321" t="s">
        <v>2741</v>
      </c>
      <c r="F1321">
        <v>3.59</v>
      </c>
      <c r="G1321">
        <v>3.93</v>
      </c>
      <c r="H1321">
        <v>3.15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1">
        <v>43697.816076388888</v>
      </c>
      <c r="B1322" t="s">
        <v>2407</v>
      </c>
      <c r="C1322" t="s">
        <v>2737</v>
      </c>
      <c r="E1322">
        <v>109</v>
      </c>
      <c r="F1322">
        <v>3.59</v>
      </c>
      <c r="G1322">
        <v>3.93</v>
      </c>
      <c r="H1322">
        <v>3.15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1">
        <v>43697.816076388888</v>
      </c>
      <c r="B1323" t="s">
        <v>2407</v>
      </c>
      <c r="C1323" t="s">
        <v>2737</v>
      </c>
      <c r="E1323">
        <v>109</v>
      </c>
      <c r="F1323">
        <v>3.59</v>
      </c>
      <c r="G1323">
        <v>3.93</v>
      </c>
      <c r="H1323">
        <v>3.15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1">
        <v>43697.816076388888</v>
      </c>
      <c r="B1324" t="s">
        <v>2407</v>
      </c>
      <c r="C1324" t="s">
        <v>2742</v>
      </c>
      <c r="D1324" t="s">
        <v>2390</v>
      </c>
      <c r="E1324" t="s">
        <v>2743</v>
      </c>
      <c r="F1324">
        <v>3.59</v>
      </c>
      <c r="G1324">
        <v>3.93</v>
      </c>
      <c r="H1324">
        <v>3.15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1">
        <v>43697.816076388888</v>
      </c>
      <c r="B1325" t="s">
        <v>2407</v>
      </c>
      <c r="C1325" t="s">
        <v>2737</v>
      </c>
      <c r="E1325">
        <v>105</v>
      </c>
      <c r="F1325">
        <v>3.59</v>
      </c>
      <c r="G1325">
        <v>3.93</v>
      </c>
      <c r="H1325">
        <v>3.15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1">
        <v>43697.816076388888</v>
      </c>
      <c r="B1326" t="s">
        <v>2407</v>
      </c>
      <c r="C1326" t="s">
        <v>2744</v>
      </c>
      <c r="E1326">
        <v>103</v>
      </c>
      <c r="F1326">
        <v>3.59</v>
      </c>
      <c r="G1326">
        <v>3.93</v>
      </c>
      <c r="H1326">
        <v>3.15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1">
        <v>43697.816076388888</v>
      </c>
      <c r="B1327" t="s">
        <v>2407</v>
      </c>
      <c r="C1327" t="s">
        <v>2745</v>
      </c>
      <c r="D1327" t="s">
        <v>2390</v>
      </c>
      <c r="E1327" t="s">
        <v>2746</v>
      </c>
      <c r="F1327">
        <v>3.59</v>
      </c>
      <c r="G1327">
        <v>3.93</v>
      </c>
      <c r="H1327">
        <v>3.15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1">
        <v>43697.816076388888</v>
      </c>
      <c r="B1328" t="s">
        <v>2407</v>
      </c>
      <c r="C1328" t="s">
        <v>2744</v>
      </c>
      <c r="E1328">
        <v>112</v>
      </c>
      <c r="F1328">
        <v>3.59</v>
      </c>
      <c r="G1328">
        <v>3.93</v>
      </c>
      <c r="H1328">
        <v>3.15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1">
        <v>43697.816076388888</v>
      </c>
      <c r="B1329" t="s">
        <v>2407</v>
      </c>
      <c r="C1329" t="s">
        <v>2744</v>
      </c>
      <c r="E1329">
        <v>112</v>
      </c>
      <c r="F1329">
        <v>3.59</v>
      </c>
      <c r="G1329">
        <v>3.93</v>
      </c>
      <c r="H1329">
        <v>3.15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1">
        <v>43697.816076388888</v>
      </c>
      <c r="B1330" t="s">
        <v>2407</v>
      </c>
      <c r="C1330" t="s">
        <v>2744</v>
      </c>
      <c r="E1330">
        <v>112</v>
      </c>
      <c r="F1330">
        <v>3.59</v>
      </c>
      <c r="G1330">
        <v>3.93</v>
      </c>
      <c r="H1330">
        <v>3.15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1">
        <v>43697.816076388888</v>
      </c>
      <c r="B1331" t="s">
        <v>2407</v>
      </c>
      <c r="C1331" t="s">
        <v>2747</v>
      </c>
      <c r="D1331" t="s">
        <v>2390</v>
      </c>
      <c r="E1331" t="s">
        <v>2748</v>
      </c>
      <c r="F1331">
        <v>3.59</v>
      </c>
      <c r="G1331">
        <v>3.93</v>
      </c>
      <c r="H1331">
        <v>3.15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1">
        <v>43697.816076388888</v>
      </c>
      <c r="B1332" t="s">
        <v>2407</v>
      </c>
      <c r="C1332" t="s">
        <v>2383</v>
      </c>
      <c r="D1332" t="s">
        <v>2384</v>
      </c>
      <c r="E1332" s="12" t="s">
        <v>2385</v>
      </c>
      <c r="F1332">
        <v>3.59</v>
      </c>
      <c r="G1332">
        <v>3.93</v>
      </c>
      <c r="H1332">
        <v>3.15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1">
        <v>43697.816076388888</v>
      </c>
      <c r="B1333" t="s">
        <v>2407</v>
      </c>
      <c r="C1333" t="s">
        <v>2383</v>
      </c>
      <c r="D1333" t="s">
        <v>2386</v>
      </c>
      <c r="E1333">
        <v>440</v>
      </c>
      <c r="F1333">
        <v>3.59</v>
      </c>
      <c r="G1333">
        <v>3.93</v>
      </c>
      <c r="H1333">
        <v>3.15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1">
        <v>43697.816076388888</v>
      </c>
      <c r="B1334" t="s">
        <v>2407</v>
      </c>
      <c r="C1334" t="s">
        <v>2383</v>
      </c>
      <c r="D1334" t="s">
        <v>2387</v>
      </c>
      <c r="E1334" t="s">
        <v>2755</v>
      </c>
      <c r="F1334">
        <v>3.59</v>
      </c>
      <c r="G1334">
        <v>3.93</v>
      </c>
      <c r="H1334">
        <v>3.15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1">
        <v>43697.816076388888</v>
      </c>
      <c r="B1335" t="s">
        <v>2407</v>
      </c>
      <c r="C1335" t="s">
        <v>2383</v>
      </c>
      <c r="D1335" t="s">
        <v>2381</v>
      </c>
      <c r="E1335">
        <v>360</v>
      </c>
      <c r="F1335">
        <v>3.59</v>
      </c>
      <c r="G1335">
        <v>3.93</v>
      </c>
      <c r="H1335">
        <v>3.15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1">
        <v>43697.816076388888</v>
      </c>
      <c r="B1336" t="s">
        <v>2407</v>
      </c>
      <c r="C1336" t="s">
        <v>2383</v>
      </c>
      <c r="D1336" t="s">
        <v>2388</v>
      </c>
      <c r="E1336" t="s">
        <v>2754</v>
      </c>
      <c r="F1336">
        <v>3.59</v>
      </c>
      <c r="G1336">
        <v>3.93</v>
      </c>
      <c r="H1336">
        <v>3.15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1">
        <v>43697.816076388888</v>
      </c>
      <c r="B1337" t="s">
        <v>2407</v>
      </c>
      <c r="C1337" t="s">
        <v>2383</v>
      </c>
      <c r="D1337" t="s">
        <v>2389</v>
      </c>
      <c r="E1337" s="12" t="s">
        <v>2385</v>
      </c>
      <c r="F1337">
        <v>3.59</v>
      </c>
      <c r="G1337">
        <v>3.93</v>
      </c>
      <c r="H1337">
        <v>3.15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1">
        <v>43697.816087962965</v>
      </c>
      <c r="B1338" t="s">
        <v>2407</v>
      </c>
      <c r="C1338" t="s">
        <v>2736</v>
      </c>
      <c r="E1338" t="s">
        <v>2378</v>
      </c>
      <c r="F1338">
        <v>3.59</v>
      </c>
      <c r="G1338">
        <v>3.93</v>
      </c>
      <c r="H1338">
        <v>3.15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1">
        <v>43697.816469907404</v>
      </c>
      <c r="B1339" t="s">
        <v>2407</v>
      </c>
      <c r="C1339" t="s">
        <v>2733</v>
      </c>
      <c r="D1339" t="s">
        <v>2390</v>
      </c>
      <c r="F1339">
        <v>3.59</v>
      </c>
      <c r="G1339">
        <v>3.93</v>
      </c>
      <c r="H1339">
        <v>3.15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1">
        <v>43697.816469907404</v>
      </c>
      <c r="B1340" t="s">
        <v>2407</v>
      </c>
      <c r="C1340" t="s">
        <v>2734</v>
      </c>
      <c r="D1340" t="s">
        <v>2390</v>
      </c>
      <c r="F1340">
        <v>3.59</v>
      </c>
      <c r="G1340">
        <v>3.93</v>
      </c>
      <c r="H1340">
        <v>3.15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1">
        <v>43697.816469907404</v>
      </c>
      <c r="B1341" t="s">
        <v>2407</v>
      </c>
      <c r="C1341" t="s">
        <v>2735</v>
      </c>
      <c r="D1341" t="s">
        <v>2390</v>
      </c>
      <c r="F1341">
        <v>3.59</v>
      </c>
      <c r="G1341">
        <v>3.93</v>
      </c>
      <c r="H1341">
        <v>3.15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1">
        <v>43697.817754629628</v>
      </c>
      <c r="B1342" t="s">
        <v>2407</v>
      </c>
      <c r="C1342" t="s">
        <v>2737</v>
      </c>
      <c r="E1342">
        <v>101</v>
      </c>
      <c r="F1342">
        <v>3.59</v>
      </c>
      <c r="G1342">
        <v>3.93</v>
      </c>
      <c r="H1342">
        <v>3.15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1">
        <v>43697.817754629628</v>
      </c>
      <c r="B1343" t="s">
        <v>2407</v>
      </c>
      <c r="C1343" t="s">
        <v>2738</v>
      </c>
      <c r="D1343" t="s">
        <v>2390</v>
      </c>
      <c r="E1343" t="s">
        <v>2739</v>
      </c>
      <c r="F1343">
        <v>3.59</v>
      </c>
      <c r="G1343">
        <v>3.93</v>
      </c>
      <c r="H1343">
        <v>3.15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1">
        <v>43697.817777777775</v>
      </c>
      <c r="B1344" t="s">
        <v>2407</v>
      </c>
      <c r="C1344" t="s">
        <v>2737</v>
      </c>
      <c r="E1344">
        <v>104</v>
      </c>
      <c r="F1344">
        <v>3.59</v>
      </c>
      <c r="G1344">
        <v>3.93</v>
      </c>
      <c r="H1344">
        <v>3.15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1">
        <v>43697.817777777775</v>
      </c>
      <c r="B1345" t="s">
        <v>2407</v>
      </c>
      <c r="C1345" t="s">
        <v>2737</v>
      </c>
      <c r="E1345">
        <v>104</v>
      </c>
      <c r="F1345">
        <v>3.59</v>
      </c>
      <c r="G1345">
        <v>3.93</v>
      </c>
      <c r="H1345">
        <v>3.15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1">
        <v>43697.817777777775</v>
      </c>
      <c r="B1346" t="s">
        <v>2407</v>
      </c>
      <c r="C1346" t="s">
        <v>2737</v>
      </c>
      <c r="E1346">
        <v>104</v>
      </c>
      <c r="F1346">
        <v>3.59</v>
      </c>
      <c r="G1346">
        <v>3.93</v>
      </c>
      <c r="H1346">
        <v>3.15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1">
        <v>43697.817777777775</v>
      </c>
      <c r="B1347" t="s">
        <v>2407</v>
      </c>
      <c r="C1347" t="s">
        <v>2740</v>
      </c>
      <c r="D1347" t="s">
        <v>2390</v>
      </c>
      <c r="E1347" t="s">
        <v>2741</v>
      </c>
      <c r="F1347">
        <v>3.59</v>
      </c>
      <c r="G1347">
        <v>3.93</v>
      </c>
      <c r="H1347">
        <v>3.15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1">
        <v>43697.817777777775</v>
      </c>
      <c r="B1348" t="s">
        <v>2407</v>
      </c>
      <c r="C1348" t="s">
        <v>2737</v>
      </c>
      <c r="E1348">
        <v>109</v>
      </c>
      <c r="F1348">
        <v>3.59</v>
      </c>
      <c r="G1348">
        <v>3.93</v>
      </c>
      <c r="H1348">
        <v>3.15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1">
        <v>43697.817777777775</v>
      </c>
      <c r="B1349" t="s">
        <v>2407</v>
      </c>
      <c r="C1349" t="s">
        <v>2737</v>
      </c>
      <c r="E1349">
        <v>109</v>
      </c>
      <c r="F1349">
        <v>3.59</v>
      </c>
      <c r="G1349">
        <v>3.93</v>
      </c>
      <c r="H1349">
        <v>3.15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1">
        <v>43697.817777777775</v>
      </c>
      <c r="B1350" t="s">
        <v>2407</v>
      </c>
      <c r="C1350" t="s">
        <v>2742</v>
      </c>
      <c r="D1350" t="s">
        <v>2390</v>
      </c>
      <c r="E1350" t="s">
        <v>2743</v>
      </c>
      <c r="F1350">
        <v>3.59</v>
      </c>
      <c r="G1350">
        <v>3.93</v>
      </c>
      <c r="H1350">
        <v>3.15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1">
        <v>43697.817777777775</v>
      </c>
      <c r="B1351" t="s">
        <v>2407</v>
      </c>
      <c r="C1351" t="s">
        <v>2737</v>
      </c>
      <c r="E1351">
        <v>105</v>
      </c>
      <c r="F1351">
        <v>3.59</v>
      </c>
      <c r="G1351">
        <v>3.93</v>
      </c>
      <c r="H1351">
        <v>3.15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1">
        <v>43697.817777777775</v>
      </c>
      <c r="B1352" t="s">
        <v>2407</v>
      </c>
      <c r="C1352" t="s">
        <v>2744</v>
      </c>
      <c r="E1352">
        <v>103</v>
      </c>
      <c r="F1352">
        <v>3.59</v>
      </c>
      <c r="G1352">
        <v>3.93</v>
      </c>
      <c r="H1352">
        <v>3.15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1">
        <v>43697.817777777775</v>
      </c>
      <c r="B1353" t="s">
        <v>2407</v>
      </c>
      <c r="C1353" t="s">
        <v>2745</v>
      </c>
      <c r="D1353" t="s">
        <v>2390</v>
      </c>
      <c r="E1353" t="s">
        <v>2746</v>
      </c>
      <c r="F1353">
        <v>3.59</v>
      </c>
      <c r="G1353">
        <v>3.93</v>
      </c>
      <c r="H1353">
        <v>3.15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1">
        <v>43697.817777777775</v>
      </c>
      <c r="B1354" t="s">
        <v>2407</v>
      </c>
      <c r="C1354" t="s">
        <v>2744</v>
      </c>
      <c r="E1354">
        <v>112</v>
      </c>
      <c r="F1354">
        <v>3.59</v>
      </c>
      <c r="G1354">
        <v>3.93</v>
      </c>
      <c r="H1354">
        <v>3.15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1">
        <v>43697.817777777775</v>
      </c>
      <c r="B1355" t="s">
        <v>2407</v>
      </c>
      <c r="C1355" t="s">
        <v>2744</v>
      </c>
      <c r="E1355">
        <v>112</v>
      </c>
      <c r="F1355">
        <v>3.59</v>
      </c>
      <c r="G1355">
        <v>3.93</v>
      </c>
      <c r="H1355">
        <v>3.15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1">
        <v>43697.817777777775</v>
      </c>
      <c r="B1356" t="s">
        <v>2407</v>
      </c>
      <c r="C1356" t="s">
        <v>2744</v>
      </c>
      <c r="E1356">
        <v>112</v>
      </c>
      <c r="F1356">
        <v>3.59</v>
      </c>
      <c r="G1356">
        <v>3.93</v>
      </c>
      <c r="H1356">
        <v>3.15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1">
        <v>43697.817777777775</v>
      </c>
      <c r="B1357" t="s">
        <v>2407</v>
      </c>
      <c r="C1357" t="s">
        <v>2747</v>
      </c>
      <c r="D1357" t="s">
        <v>2390</v>
      </c>
      <c r="E1357" t="s">
        <v>2748</v>
      </c>
      <c r="F1357">
        <v>3.59</v>
      </c>
      <c r="G1357">
        <v>3.93</v>
      </c>
      <c r="H1357">
        <v>3.15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1">
        <v>43697.817777777775</v>
      </c>
      <c r="B1358" t="s">
        <v>2407</v>
      </c>
      <c r="C1358" t="s">
        <v>2383</v>
      </c>
      <c r="D1358" t="s">
        <v>2384</v>
      </c>
      <c r="E1358" s="12" t="s">
        <v>2385</v>
      </c>
      <c r="F1358">
        <v>3.59</v>
      </c>
      <c r="G1358">
        <v>3.93</v>
      </c>
      <c r="H1358">
        <v>3.15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1">
        <v>43697.817777777775</v>
      </c>
      <c r="B1359" t="s">
        <v>2407</v>
      </c>
      <c r="C1359" t="s">
        <v>2383</v>
      </c>
      <c r="D1359" t="s">
        <v>2386</v>
      </c>
      <c r="E1359">
        <v>440</v>
      </c>
      <c r="F1359">
        <v>3.59</v>
      </c>
      <c r="G1359">
        <v>3.93</v>
      </c>
      <c r="H1359">
        <v>3.15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1">
        <v>43697.817777777775</v>
      </c>
      <c r="B1360" t="s">
        <v>2407</v>
      </c>
      <c r="C1360" t="s">
        <v>2383</v>
      </c>
      <c r="D1360" t="s">
        <v>2387</v>
      </c>
      <c r="E1360" t="s">
        <v>2755</v>
      </c>
      <c r="F1360">
        <v>3.59</v>
      </c>
      <c r="G1360">
        <v>3.93</v>
      </c>
      <c r="H1360">
        <v>3.15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1">
        <v>43697.817777777775</v>
      </c>
      <c r="B1361" t="s">
        <v>2407</v>
      </c>
      <c r="C1361" t="s">
        <v>2383</v>
      </c>
      <c r="D1361" t="s">
        <v>2381</v>
      </c>
      <c r="E1361">
        <v>360</v>
      </c>
      <c r="F1361">
        <v>3.59</v>
      </c>
      <c r="G1361">
        <v>3.93</v>
      </c>
      <c r="H1361">
        <v>3.15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1">
        <v>43697.817777777775</v>
      </c>
      <c r="B1362" t="s">
        <v>2407</v>
      </c>
      <c r="C1362" t="s">
        <v>2383</v>
      </c>
      <c r="D1362" t="s">
        <v>2388</v>
      </c>
      <c r="E1362" t="s">
        <v>2754</v>
      </c>
      <c r="F1362">
        <v>3.59</v>
      </c>
      <c r="G1362">
        <v>3.93</v>
      </c>
      <c r="H1362">
        <v>3.15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1">
        <v>43697.817777777775</v>
      </c>
      <c r="B1363" t="s">
        <v>2407</v>
      </c>
      <c r="C1363" t="s">
        <v>2383</v>
      </c>
      <c r="D1363" t="s">
        <v>2389</v>
      </c>
      <c r="E1363" s="12" t="s">
        <v>2385</v>
      </c>
      <c r="F1363">
        <v>3.59</v>
      </c>
      <c r="G1363">
        <v>3.93</v>
      </c>
      <c r="H1363">
        <v>3.15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1">
        <v>43697.817789351851</v>
      </c>
      <c r="B1364" t="s">
        <v>2407</v>
      </c>
      <c r="C1364" t="s">
        <v>2736</v>
      </c>
      <c r="E1364" t="s">
        <v>2378</v>
      </c>
      <c r="F1364">
        <v>3.59</v>
      </c>
      <c r="G1364">
        <v>3.93</v>
      </c>
      <c r="H1364">
        <v>3.15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1">
        <v>43697.817812499998</v>
      </c>
      <c r="B1365" t="s">
        <v>2407</v>
      </c>
      <c r="C1365" t="s">
        <v>2733</v>
      </c>
      <c r="D1365" t="s">
        <v>2390</v>
      </c>
      <c r="F1365">
        <v>3.59</v>
      </c>
      <c r="G1365">
        <v>3.93</v>
      </c>
      <c r="H1365">
        <v>3.15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1">
        <v>43697.817812499998</v>
      </c>
      <c r="B1366" t="s">
        <v>2407</v>
      </c>
      <c r="C1366" t="s">
        <v>2734</v>
      </c>
      <c r="D1366" t="s">
        <v>2390</v>
      </c>
      <c r="F1366">
        <v>3.59</v>
      </c>
      <c r="G1366">
        <v>3.93</v>
      </c>
      <c r="H1366">
        <v>3.15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1">
        <v>43697.817812499998</v>
      </c>
      <c r="B1367" t="s">
        <v>2407</v>
      </c>
      <c r="C1367" t="s">
        <v>2735</v>
      </c>
      <c r="D1367" t="s">
        <v>2390</v>
      </c>
      <c r="F1367">
        <v>3.59</v>
      </c>
      <c r="G1367">
        <v>3.93</v>
      </c>
      <c r="H1367">
        <v>3.15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1">
        <v>43697.817824074074</v>
      </c>
      <c r="B1368" t="s">
        <v>2407</v>
      </c>
      <c r="C1368" t="s">
        <v>2737</v>
      </c>
      <c r="E1368">
        <v>101</v>
      </c>
      <c r="F1368">
        <v>3.59</v>
      </c>
      <c r="G1368">
        <v>3.93</v>
      </c>
      <c r="H1368">
        <v>3.15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1">
        <v>43697.817824074074</v>
      </c>
      <c r="B1369" t="s">
        <v>2407</v>
      </c>
      <c r="C1369" t="s">
        <v>2738</v>
      </c>
      <c r="D1369" t="s">
        <v>2390</v>
      </c>
      <c r="E1369" t="s">
        <v>2739</v>
      </c>
      <c r="F1369">
        <v>3.59</v>
      </c>
      <c r="G1369">
        <v>3.93</v>
      </c>
      <c r="H1369">
        <v>3.15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1">
        <v>43697.817824074074</v>
      </c>
      <c r="B1370" t="s">
        <v>2407</v>
      </c>
      <c r="C1370" t="s">
        <v>2737</v>
      </c>
      <c r="E1370">
        <v>104</v>
      </c>
      <c r="F1370">
        <v>3.59</v>
      </c>
      <c r="G1370">
        <v>3.93</v>
      </c>
      <c r="H1370">
        <v>3.15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1">
        <v>43697.817824074074</v>
      </c>
      <c r="B1371" t="s">
        <v>2407</v>
      </c>
      <c r="C1371" t="s">
        <v>2737</v>
      </c>
      <c r="E1371">
        <v>104</v>
      </c>
      <c r="F1371">
        <v>3.59</v>
      </c>
      <c r="G1371">
        <v>3.93</v>
      </c>
      <c r="H1371">
        <v>3.15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1">
        <v>43697.817824074074</v>
      </c>
      <c r="B1372" t="s">
        <v>2407</v>
      </c>
      <c r="C1372" t="s">
        <v>2737</v>
      </c>
      <c r="E1372">
        <v>104</v>
      </c>
      <c r="F1372">
        <v>3.59</v>
      </c>
      <c r="G1372">
        <v>3.93</v>
      </c>
      <c r="H1372">
        <v>3.15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1">
        <v>43697.817824074074</v>
      </c>
      <c r="B1373" t="s">
        <v>2407</v>
      </c>
      <c r="C1373" t="s">
        <v>2740</v>
      </c>
      <c r="D1373" t="s">
        <v>2390</v>
      </c>
      <c r="E1373" t="s">
        <v>2741</v>
      </c>
      <c r="F1373">
        <v>3.59</v>
      </c>
      <c r="G1373">
        <v>3.93</v>
      </c>
      <c r="H1373">
        <v>3.15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1">
        <v>43697.817824074074</v>
      </c>
      <c r="B1374" t="s">
        <v>2407</v>
      </c>
      <c r="C1374" t="s">
        <v>2737</v>
      </c>
      <c r="E1374">
        <v>109</v>
      </c>
      <c r="F1374">
        <v>3.59</v>
      </c>
      <c r="G1374">
        <v>3.93</v>
      </c>
      <c r="H1374">
        <v>3.15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1">
        <v>43697.817824074074</v>
      </c>
      <c r="B1375" t="s">
        <v>2407</v>
      </c>
      <c r="C1375" t="s">
        <v>2737</v>
      </c>
      <c r="E1375">
        <v>109</v>
      </c>
      <c r="F1375">
        <v>3.59</v>
      </c>
      <c r="G1375">
        <v>3.93</v>
      </c>
      <c r="H1375">
        <v>3.15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1">
        <v>43697.817824074074</v>
      </c>
      <c r="B1376" t="s">
        <v>2407</v>
      </c>
      <c r="C1376" t="s">
        <v>2742</v>
      </c>
      <c r="D1376" t="s">
        <v>2390</v>
      </c>
      <c r="E1376" t="s">
        <v>2743</v>
      </c>
      <c r="F1376">
        <v>3.59</v>
      </c>
      <c r="G1376">
        <v>3.93</v>
      </c>
      <c r="H1376">
        <v>3.15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1">
        <v>43697.817824074074</v>
      </c>
      <c r="B1377" t="s">
        <v>2407</v>
      </c>
      <c r="C1377" t="s">
        <v>2737</v>
      </c>
      <c r="E1377">
        <v>105</v>
      </c>
      <c r="F1377">
        <v>3.59</v>
      </c>
      <c r="G1377">
        <v>3.93</v>
      </c>
      <c r="H1377">
        <v>3.15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1">
        <v>43697.817824074074</v>
      </c>
      <c r="B1378" t="s">
        <v>2407</v>
      </c>
      <c r="C1378" t="s">
        <v>2744</v>
      </c>
      <c r="E1378">
        <v>103</v>
      </c>
      <c r="F1378">
        <v>3.59</v>
      </c>
      <c r="G1378">
        <v>3.93</v>
      </c>
      <c r="H1378">
        <v>3.15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1">
        <v>43697.817824074074</v>
      </c>
      <c r="B1379" t="s">
        <v>2407</v>
      </c>
      <c r="C1379" t="s">
        <v>2745</v>
      </c>
      <c r="D1379" t="s">
        <v>2390</v>
      </c>
      <c r="E1379" t="s">
        <v>2746</v>
      </c>
      <c r="F1379">
        <v>3.59</v>
      </c>
      <c r="G1379">
        <v>3.93</v>
      </c>
      <c r="H1379">
        <v>3.15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1">
        <v>43697.817824074074</v>
      </c>
      <c r="B1380" t="s">
        <v>2407</v>
      </c>
      <c r="C1380" t="s">
        <v>2744</v>
      </c>
      <c r="E1380">
        <v>112</v>
      </c>
      <c r="F1380">
        <v>3.59</v>
      </c>
      <c r="G1380">
        <v>3.93</v>
      </c>
      <c r="H1380">
        <v>3.15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1">
        <v>43697.817824074074</v>
      </c>
      <c r="B1381" t="s">
        <v>2407</v>
      </c>
      <c r="C1381" t="s">
        <v>2744</v>
      </c>
      <c r="E1381">
        <v>112</v>
      </c>
      <c r="F1381">
        <v>3.59</v>
      </c>
      <c r="G1381">
        <v>3.93</v>
      </c>
      <c r="H1381">
        <v>3.15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1">
        <v>43697.817824074074</v>
      </c>
      <c r="B1382" t="s">
        <v>2407</v>
      </c>
      <c r="C1382" t="s">
        <v>2744</v>
      </c>
      <c r="E1382">
        <v>112</v>
      </c>
      <c r="F1382">
        <v>3.59</v>
      </c>
      <c r="G1382">
        <v>3.93</v>
      </c>
      <c r="H1382">
        <v>3.15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1">
        <v>43697.817824074074</v>
      </c>
      <c r="B1383" t="s">
        <v>2407</v>
      </c>
      <c r="C1383" t="s">
        <v>2747</v>
      </c>
      <c r="D1383" t="s">
        <v>2390</v>
      </c>
      <c r="E1383" t="s">
        <v>2748</v>
      </c>
      <c r="F1383">
        <v>3.59</v>
      </c>
      <c r="G1383">
        <v>3.93</v>
      </c>
      <c r="H1383">
        <v>3.15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1">
        <v>43697.817824074074</v>
      </c>
      <c r="B1384" t="s">
        <v>2407</v>
      </c>
      <c r="C1384" t="s">
        <v>2383</v>
      </c>
      <c r="D1384" t="s">
        <v>2384</v>
      </c>
      <c r="E1384" s="12" t="s">
        <v>2385</v>
      </c>
      <c r="F1384">
        <v>3.59</v>
      </c>
      <c r="G1384">
        <v>3.93</v>
      </c>
      <c r="H1384">
        <v>3.15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1">
        <v>43697.817824074074</v>
      </c>
      <c r="B1385" t="s">
        <v>2407</v>
      </c>
      <c r="C1385" t="s">
        <v>2383</v>
      </c>
      <c r="D1385" t="s">
        <v>2386</v>
      </c>
      <c r="E1385">
        <v>440</v>
      </c>
      <c r="F1385">
        <v>3.59</v>
      </c>
      <c r="G1385">
        <v>3.93</v>
      </c>
      <c r="H1385">
        <v>3.15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1">
        <v>43697.817824074074</v>
      </c>
      <c r="B1386" t="s">
        <v>2407</v>
      </c>
      <c r="C1386" t="s">
        <v>2383</v>
      </c>
      <c r="D1386" t="s">
        <v>2387</v>
      </c>
      <c r="E1386" t="s">
        <v>2755</v>
      </c>
      <c r="F1386">
        <v>3.59</v>
      </c>
      <c r="G1386">
        <v>3.93</v>
      </c>
      <c r="H1386">
        <v>3.15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1">
        <v>43697.817824074074</v>
      </c>
      <c r="B1387" t="s">
        <v>2407</v>
      </c>
      <c r="C1387" t="s">
        <v>2383</v>
      </c>
      <c r="D1387" t="s">
        <v>2381</v>
      </c>
      <c r="E1387">
        <v>360</v>
      </c>
      <c r="F1387">
        <v>3.59</v>
      </c>
      <c r="G1387">
        <v>3.93</v>
      </c>
      <c r="H1387">
        <v>3.15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1">
        <v>43697.817824074074</v>
      </c>
      <c r="B1388" t="s">
        <v>2407</v>
      </c>
      <c r="C1388" t="s">
        <v>2383</v>
      </c>
      <c r="D1388" t="s">
        <v>2388</v>
      </c>
      <c r="E1388" t="s">
        <v>2754</v>
      </c>
      <c r="F1388">
        <v>3.59</v>
      </c>
      <c r="G1388">
        <v>3.93</v>
      </c>
      <c r="H1388">
        <v>3.15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1">
        <v>43697.817824074074</v>
      </c>
      <c r="B1389" t="s">
        <v>2407</v>
      </c>
      <c r="C1389" t="s">
        <v>2383</v>
      </c>
      <c r="D1389" t="s">
        <v>2389</v>
      </c>
      <c r="E1389" s="12" t="s">
        <v>2385</v>
      </c>
      <c r="F1389">
        <v>3.59</v>
      </c>
      <c r="G1389">
        <v>3.93</v>
      </c>
      <c r="H1389">
        <v>3.15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1">
        <v>43697.817824074074</v>
      </c>
      <c r="B1390" t="s">
        <v>2407</v>
      </c>
      <c r="C1390" t="s">
        <v>2736</v>
      </c>
      <c r="E1390" t="s">
        <v>2378</v>
      </c>
      <c r="F1390">
        <v>3.59</v>
      </c>
      <c r="G1390">
        <v>3.93</v>
      </c>
      <c r="H1390">
        <v>3.15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1">
        <v>43697.819907407407</v>
      </c>
      <c r="B1391" t="s">
        <v>2407</v>
      </c>
      <c r="C1391" t="s">
        <v>2733</v>
      </c>
      <c r="D1391" t="s">
        <v>2390</v>
      </c>
      <c r="F1391">
        <v>3.59</v>
      </c>
      <c r="G1391">
        <v>3.93</v>
      </c>
      <c r="H1391">
        <v>3.15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1">
        <v>43697.819907407407</v>
      </c>
      <c r="B1392" t="s">
        <v>2407</v>
      </c>
      <c r="C1392" t="s">
        <v>2734</v>
      </c>
      <c r="D1392" t="s">
        <v>2390</v>
      </c>
      <c r="F1392">
        <v>3.59</v>
      </c>
      <c r="G1392">
        <v>3.93</v>
      </c>
      <c r="H1392">
        <v>3.15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1">
        <v>43697.819907407407</v>
      </c>
      <c r="B1393" t="s">
        <v>2407</v>
      </c>
      <c r="C1393" t="s">
        <v>2735</v>
      </c>
      <c r="D1393" t="s">
        <v>2390</v>
      </c>
      <c r="F1393">
        <v>3.59</v>
      </c>
      <c r="G1393">
        <v>3.93</v>
      </c>
      <c r="H1393">
        <v>3.15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1">
        <v>43697.819918981484</v>
      </c>
      <c r="B1394" t="s">
        <v>2407</v>
      </c>
      <c r="C1394" t="s">
        <v>2737</v>
      </c>
      <c r="E1394">
        <v>101</v>
      </c>
      <c r="F1394">
        <v>3.59</v>
      </c>
      <c r="G1394">
        <v>3.93</v>
      </c>
      <c r="H1394">
        <v>3.15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1">
        <v>43697.819918981484</v>
      </c>
      <c r="B1395" t="s">
        <v>2407</v>
      </c>
      <c r="C1395" t="s">
        <v>2738</v>
      </c>
      <c r="D1395" t="s">
        <v>2390</v>
      </c>
      <c r="E1395" t="s">
        <v>2739</v>
      </c>
      <c r="F1395">
        <v>3.59</v>
      </c>
      <c r="G1395">
        <v>3.93</v>
      </c>
      <c r="H1395">
        <v>3.15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1">
        <v>43697.819918981484</v>
      </c>
      <c r="B1396" t="s">
        <v>2407</v>
      </c>
      <c r="C1396" t="s">
        <v>2737</v>
      </c>
      <c r="E1396">
        <v>104</v>
      </c>
      <c r="F1396">
        <v>3.59</v>
      </c>
      <c r="G1396">
        <v>3.93</v>
      </c>
      <c r="H1396">
        <v>3.15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1">
        <v>43697.819918981484</v>
      </c>
      <c r="B1397" t="s">
        <v>2407</v>
      </c>
      <c r="C1397" t="s">
        <v>2737</v>
      </c>
      <c r="E1397">
        <v>104</v>
      </c>
      <c r="F1397">
        <v>3.59</v>
      </c>
      <c r="G1397">
        <v>3.93</v>
      </c>
      <c r="H1397">
        <v>3.15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1">
        <v>43697.819918981484</v>
      </c>
      <c r="B1398" t="s">
        <v>2407</v>
      </c>
      <c r="C1398" t="s">
        <v>2737</v>
      </c>
      <c r="E1398">
        <v>104</v>
      </c>
      <c r="F1398">
        <v>3.59</v>
      </c>
      <c r="G1398">
        <v>3.93</v>
      </c>
      <c r="H1398">
        <v>3.15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1">
        <v>43697.819918981484</v>
      </c>
      <c r="B1399" t="s">
        <v>2407</v>
      </c>
      <c r="C1399" t="s">
        <v>2740</v>
      </c>
      <c r="D1399" t="s">
        <v>2390</v>
      </c>
      <c r="E1399" t="s">
        <v>2741</v>
      </c>
      <c r="F1399">
        <v>3.59</v>
      </c>
      <c r="G1399">
        <v>3.93</v>
      </c>
      <c r="H1399">
        <v>3.15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1">
        <v>43697.819918981484</v>
      </c>
      <c r="B1400" t="s">
        <v>2407</v>
      </c>
      <c r="C1400" t="s">
        <v>2737</v>
      </c>
      <c r="E1400">
        <v>109</v>
      </c>
      <c r="F1400">
        <v>3.59</v>
      </c>
      <c r="G1400">
        <v>3.93</v>
      </c>
      <c r="H1400">
        <v>3.15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1">
        <v>43697.819918981484</v>
      </c>
      <c r="B1401" t="s">
        <v>2407</v>
      </c>
      <c r="C1401" t="s">
        <v>2737</v>
      </c>
      <c r="E1401">
        <v>109</v>
      </c>
      <c r="F1401">
        <v>3.59</v>
      </c>
      <c r="G1401">
        <v>3.93</v>
      </c>
      <c r="H1401">
        <v>3.15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1">
        <v>43697.819918981484</v>
      </c>
      <c r="B1402" t="s">
        <v>2407</v>
      </c>
      <c r="C1402" t="s">
        <v>2742</v>
      </c>
      <c r="D1402" t="s">
        <v>2390</v>
      </c>
      <c r="E1402" t="s">
        <v>2743</v>
      </c>
      <c r="F1402">
        <v>3.59</v>
      </c>
      <c r="G1402">
        <v>3.93</v>
      </c>
      <c r="H1402">
        <v>3.15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1">
        <v>43697.819918981484</v>
      </c>
      <c r="B1403" t="s">
        <v>2407</v>
      </c>
      <c r="C1403" t="s">
        <v>2737</v>
      </c>
      <c r="E1403">
        <v>105</v>
      </c>
      <c r="F1403">
        <v>3.59</v>
      </c>
      <c r="G1403">
        <v>3.93</v>
      </c>
      <c r="H1403">
        <v>3.15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1">
        <v>43697.819918981484</v>
      </c>
      <c r="B1404" t="s">
        <v>2407</v>
      </c>
      <c r="C1404" t="s">
        <v>2744</v>
      </c>
      <c r="E1404">
        <v>103</v>
      </c>
      <c r="F1404">
        <v>3.59</v>
      </c>
      <c r="G1404">
        <v>3.93</v>
      </c>
      <c r="H1404">
        <v>3.15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1">
        <v>43697.819918981484</v>
      </c>
      <c r="B1405" t="s">
        <v>2407</v>
      </c>
      <c r="C1405" t="s">
        <v>2745</v>
      </c>
      <c r="D1405" t="s">
        <v>2390</v>
      </c>
      <c r="E1405" t="s">
        <v>2746</v>
      </c>
      <c r="F1405">
        <v>3.59</v>
      </c>
      <c r="G1405">
        <v>3.93</v>
      </c>
      <c r="H1405">
        <v>3.15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1">
        <v>43697.819918981484</v>
      </c>
      <c r="B1406" t="s">
        <v>2407</v>
      </c>
      <c r="C1406" t="s">
        <v>2744</v>
      </c>
      <c r="E1406">
        <v>112</v>
      </c>
      <c r="F1406">
        <v>3.59</v>
      </c>
      <c r="G1406">
        <v>3.93</v>
      </c>
      <c r="H1406">
        <v>3.15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1">
        <v>43697.819918981484</v>
      </c>
      <c r="B1407" t="s">
        <v>2407</v>
      </c>
      <c r="C1407" t="s">
        <v>2744</v>
      </c>
      <c r="E1407">
        <v>112</v>
      </c>
      <c r="F1407">
        <v>3.59</v>
      </c>
      <c r="G1407">
        <v>3.93</v>
      </c>
      <c r="H1407">
        <v>3.15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1">
        <v>43697.819918981484</v>
      </c>
      <c r="B1408" t="s">
        <v>2407</v>
      </c>
      <c r="C1408" t="s">
        <v>2744</v>
      </c>
      <c r="E1408">
        <v>112</v>
      </c>
      <c r="F1408">
        <v>3.59</v>
      </c>
      <c r="G1408">
        <v>3.93</v>
      </c>
      <c r="H1408">
        <v>3.15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1">
        <v>43697.819918981484</v>
      </c>
      <c r="B1409" t="s">
        <v>2407</v>
      </c>
      <c r="C1409" t="s">
        <v>2747</v>
      </c>
      <c r="D1409" t="s">
        <v>2390</v>
      </c>
      <c r="E1409" t="s">
        <v>2748</v>
      </c>
      <c r="F1409">
        <v>3.59</v>
      </c>
      <c r="G1409">
        <v>3.93</v>
      </c>
      <c r="H1409">
        <v>3.15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1">
        <v>43697.819918981484</v>
      </c>
      <c r="B1410" t="s">
        <v>2407</v>
      </c>
      <c r="C1410" t="s">
        <v>2383</v>
      </c>
      <c r="D1410" t="s">
        <v>2384</v>
      </c>
      <c r="E1410" s="12" t="s">
        <v>2385</v>
      </c>
      <c r="F1410">
        <v>3.59</v>
      </c>
      <c r="G1410">
        <v>3.93</v>
      </c>
      <c r="H1410">
        <v>3.15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1">
        <v>43697.819918981484</v>
      </c>
      <c r="B1411" t="s">
        <v>2407</v>
      </c>
      <c r="C1411" t="s">
        <v>2383</v>
      </c>
      <c r="D1411" t="s">
        <v>2386</v>
      </c>
      <c r="E1411">
        <v>440</v>
      </c>
      <c r="F1411">
        <v>3.59</v>
      </c>
      <c r="G1411">
        <v>3.93</v>
      </c>
      <c r="H1411">
        <v>3.15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1">
        <v>43697.819918981484</v>
      </c>
      <c r="B1412" t="s">
        <v>2407</v>
      </c>
      <c r="C1412" t="s">
        <v>2383</v>
      </c>
      <c r="D1412" t="s">
        <v>2387</v>
      </c>
      <c r="E1412">
        <v>431</v>
      </c>
      <c r="F1412">
        <v>3.59</v>
      </c>
      <c r="G1412">
        <v>3.93</v>
      </c>
      <c r="H1412">
        <v>3.15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1">
        <v>43697.819918981484</v>
      </c>
      <c r="B1413" t="s">
        <v>2407</v>
      </c>
      <c r="C1413" t="s">
        <v>2383</v>
      </c>
      <c r="D1413" t="s">
        <v>2381</v>
      </c>
      <c r="E1413">
        <v>360</v>
      </c>
      <c r="F1413">
        <v>3.59</v>
      </c>
      <c r="G1413">
        <v>3.93</v>
      </c>
      <c r="H1413">
        <v>3.15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1">
        <v>43697.819918981484</v>
      </c>
      <c r="B1414" t="s">
        <v>2407</v>
      </c>
      <c r="C1414" t="s">
        <v>2383</v>
      </c>
      <c r="D1414" t="s">
        <v>2388</v>
      </c>
      <c r="E1414" t="s">
        <v>2754</v>
      </c>
      <c r="F1414">
        <v>3.59</v>
      </c>
      <c r="G1414">
        <v>3.93</v>
      </c>
      <c r="H1414">
        <v>3.15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1">
        <v>43697.819918981484</v>
      </c>
      <c r="B1415" t="s">
        <v>2407</v>
      </c>
      <c r="C1415" t="s">
        <v>2383</v>
      </c>
      <c r="D1415" t="s">
        <v>2389</v>
      </c>
      <c r="E1415" s="12" t="s">
        <v>2385</v>
      </c>
      <c r="F1415">
        <v>3.59</v>
      </c>
      <c r="G1415">
        <v>3.93</v>
      </c>
      <c r="H1415">
        <v>3.15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1">
        <v>43697.819930555554</v>
      </c>
      <c r="B1416" t="s">
        <v>2407</v>
      </c>
      <c r="C1416" t="s">
        <v>2736</v>
      </c>
      <c r="E1416" t="s">
        <v>2378</v>
      </c>
      <c r="F1416">
        <v>3.59</v>
      </c>
      <c r="G1416">
        <v>3.93</v>
      </c>
      <c r="H1416">
        <v>3.15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1">
        <v>43697.820185185185</v>
      </c>
      <c r="B1417" t="s">
        <v>2407</v>
      </c>
      <c r="C1417" t="s">
        <v>2733</v>
      </c>
      <c r="D1417" t="s">
        <v>2390</v>
      </c>
      <c r="F1417">
        <v>3.59</v>
      </c>
      <c r="G1417">
        <v>3.93</v>
      </c>
      <c r="H1417">
        <v>3.15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1">
        <v>43697.820185185185</v>
      </c>
      <c r="B1418" t="s">
        <v>2407</v>
      </c>
      <c r="C1418" t="s">
        <v>2734</v>
      </c>
      <c r="D1418" t="s">
        <v>2390</v>
      </c>
      <c r="F1418">
        <v>3.59</v>
      </c>
      <c r="G1418">
        <v>3.93</v>
      </c>
      <c r="H1418">
        <v>3.15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1">
        <v>43697.820185185185</v>
      </c>
      <c r="B1419" t="s">
        <v>2407</v>
      </c>
      <c r="C1419" t="s">
        <v>2735</v>
      </c>
      <c r="D1419" t="s">
        <v>2390</v>
      </c>
      <c r="F1419">
        <v>3.59</v>
      </c>
      <c r="G1419">
        <v>3.93</v>
      </c>
      <c r="H1419">
        <v>3.15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1">
        <v>43697.820196759261</v>
      </c>
      <c r="B1420" t="s">
        <v>2407</v>
      </c>
      <c r="C1420" t="s">
        <v>2737</v>
      </c>
      <c r="E1420">
        <v>101</v>
      </c>
      <c r="F1420">
        <v>3.59</v>
      </c>
      <c r="G1420">
        <v>3.93</v>
      </c>
      <c r="H1420">
        <v>3.15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1">
        <v>43697.820196759261</v>
      </c>
      <c r="B1421" t="s">
        <v>2407</v>
      </c>
      <c r="C1421" t="s">
        <v>2738</v>
      </c>
      <c r="D1421" t="s">
        <v>2390</v>
      </c>
      <c r="E1421" t="s">
        <v>2739</v>
      </c>
      <c r="F1421">
        <v>3.59</v>
      </c>
      <c r="G1421">
        <v>3.93</v>
      </c>
      <c r="H1421">
        <v>3.15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1">
        <v>43697.820196759261</v>
      </c>
      <c r="B1422" t="s">
        <v>2407</v>
      </c>
      <c r="C1422" t="s">
        <v>2737</v>
      </c>
      <c r="E1422">
        <v>104</v>
      </c>
      <c r="F1422">
        <v>3.59</v>
      </c>
      <c r="G1422">
        <v>3.93</v>
      </c>
      <c r="H1422">
        <v>3.15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1">
        <v>43697.820196759261</v>
      </c>
      <c r="B1423" t="s">
        <v>2407</v>
      </c>
      <c r="C1423" t="s">
        <v>2737</v>
      </c>
      <c r="E1423">
        <v>104</v>
      </c>
      <c r="F1423">
        <v>3.59</v>
      </c>
      <c r="G1423">
        <v>3.93</v>
      </c>
      <c r="H1423">
        <v>3.15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1">
        <v>43697.820196759261</v>
      </c>
      <c r="B1424" t="s">
        <v>2407</v>
      </c>
      <c r="C1424" t="s">
        <v>2737</v>
      </c>
      <c r="E1424">
        <v>104</v>
      </c>
      <c r="F1424">
        <v>3.59</v>
      </c>
      <c r="G1424">
        <v>3.93</v>
      </c>
      <c r="H1424">
        <v>3.15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1">
        <v>43697.820196759261</v>
      </c>
      <c r="B1425" t="s">
        <v>2407</v>
      </c>
      <c r="C1425" t="s">
        <v>2740</v>
      </c>
      <c r="D1425" t="s">
        <v>2390</v>
      </c>
      <c r="E1425" t="s">
        <v>2741</v>
      </c>
      <c r="F1425">
        <v>3.59</v>
      </c>
      <c r="G1425">
        <v>3.93</v>
      </c>
      <c r="H1425">
        <v>3.15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1">
        <v>43697.820196759261</v>
      </c>
      <c r="B1426" t="s">
        <v>2407</v>
      </c>
      <c r="C1426" t="s">
        <v>2737</v>
      </c>
      <c r="E1426">
        <v>109</v>
      </c>
      <c r="F1426">
        <v>3.59</v>
      </c>
      <c r="G1426">
        <v>3.93</v>
      </c>
      <c r="H1426">
        <v>3.15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1">
        <v>43697.820196759261</v>
      </c>
      <c r="B1427" t="s">
        <v>2407</v>
      </c>
      <c r="C1427" t="s">
        <v>2737</v>
      </c>
      <c r="E1427">
        <v>109</v>
      </c>
      <c r="F1427">
        <v>3.59</v>
      </c>
      <c r="G1427">
        <v>3.93</v>
      </c>
      <c r="H1427">
        <v>3.15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1">
        <v>43697.820196759261</v>
      </c>
      <c r="B1428" t="s">
        <v>2407</v>
      </c>
      <c r="C1428" t="s">
        <v>2742</v>
      </c>
      <c r="D1428" t="s">
        <v>2390</v>
      </c>
      <c r="E1428" t="s">
        <v>2743</v>
      </c>
      <c r="F1428">
        <v>3.59</v>
      </c>
      <c r="G1428">
        <v>3.93</v>
      </c>
      <c r="H1428">
        <v>3.15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1">
        <v>43697.820196759261</v>
      </c>
      <c r="B1429" t="s">
        <v>2407</v>
      </c>
      <c r="C1429" t="s">
        <v>2737</v>
      </c>
      <c r="E1429">
        <v>105</v>
      </c>
      <c r="F1429">
        <v>3.59</v>
      </c>
      <c r="G1429">
        <v>3.93</v>
      </c>
      <c r="H1429">
        <v>3.15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1">
        <v>43697.820196759261</v>
      </c>
      <c r="B1430" t="s">
        <v>2407</v>
      </c>
      <c r="C1430" t="s">
        <v>2744</v>
      </c>
      <c r="E1430">
        <v>103</v>
      </c>
      <c r="F1430">
        <v>3.59</v>
      </c>
      <c r="G1430">
        <v>3.93</v>
      </c>
      <c r="H1430">
        <v>3.15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1">
        <v>43697.820196759261</v>
      </c>
      <c r="B1431" t="s">
        <v>2407</v>
      </c>
      <c r="C1431" t="s">
        <v>2745</v>
      </c>
      <c r="D1431" t="s">
        <v>2390</v>
      </c>
      <c r="E1431" t="s">
        <v>2746</v>
      </c>
      <c r="F1431">
        <v>3.59</v>
      </c>
      <c r="G1431">
        <v>3.93</v>
      </c>
      <c r="H1431">
        <v>3.15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1">
        <v>43697.820196759261</v>
      </c>
      <c r="B1432" t="s">
        <v>2407</v>
      </c>
      <c r="C1432" t="s">
        <v>2744</v>
      </c>
      <c r="E1432">
        <v>112</v>
      </c>
      <c r="F1432">
        <v>3.59</v>
      </c>
      <c r="G1432">
        <v>3.93</v>
      </c>
      <c r="H1432">
        <v>3.15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1">
        <v>43697.820196759261</v>
      </c>
      <c r="B1433" t="s">
        <v>2407</v>
      </c>
      <c r="C1433" t="s">
        <v>2744</v>
      </c>
      <c r="E1433">
        <v>112</v>
      </c>
      <c r="F1433">
        <v>3.59</v>
      </c>
      <c r="G1433">
        <v>3.93</v>
      </c>
      <c r="H1433">
        <v>3.15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1">
        <v>43697.820196759261</v>
      </c>
      <c r="B1434" t="s">
        <v>2407</v>
      </c>
      <c r="C1434" t="s">
        <v>2744</v>
      </c>
      <c r="E1434">
        <v>112</v>
      </c>
      <c r="F1434">
        <v>3.59</v>
      </c>
      <c r="G1434">
        <v>3.93</v>
      </c>
      <c r="H1434">
        <v>3.15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1">
        <v>43697.820196759261</v>
      </c>
      <c r="B1435" t="s">
        <v>2407</v>
      </c>
      <c r="C1435" t="s">
        <v>2747</v>
      </c>
      <c r="D1435" t="s">
        <v>2390</v>
      </c>
      <c r="E1435" t="s">
        <v>2748</v>
      </c>
      <c r="F1435">
        <v>3.59</v>
      </c>
      <c r="G1435">
        <v>3.93</v>
      </c>
      <c r="H1435">
        <v>3.15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1">
        <v>43697.820196759261</v>
      </c>
      <c r="B1436" t="s">
        <v>2407</v>
      </c>
      <c r="C1436" t="s">
        <v>2383</v>
      </c>
      <c r="D1436" t="s">
        <v>2384</v>
      </c>
      <c r="E1436" s="12" t="s">
        <v>2385</v>
      </c>
      <c r="F1436">
        <v>3.59</v>
      </c>
      <c r="G1436">
        <v>3.93</v>
      </c>
      <c r="H1436">
        <v>3.15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1">
        <v>43697.820196759261</v>
      </c>
      <c r="B1437" t="s">
        <v>2407</v>
      </c>
      <c r="C1437" t="s">
        <v>2383</v>
      </c>
      <c r="D1437" t="s">
        <v>2386</v>
      </c>
      <c r="E1437">
        <v>440</v>
      </c>
      <c r="F1437">
        <v>3.59</v>
      </c>
      <c r="G1437">
        <v>3.93</v>
      </c>
      <c r="H1437">
        <v>3.15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1">
        <v>43697.820196759261</v>
      </c>
      <c r="B1438" t="s">
        <v>2407</v>
      </c>
      <c r="C1438" t="s">
        <v>2383</v>
      </c>
      <c r="D1438" t="s">
        <v>2387</v>
      </c>
      <c r="E1438" t="s">
        <v>2755</v>
      </c>
      <c r="F1438">
        <v>3.59</v>
      </c>
      <c r="G1438">
        <v>3.93</v>
      </c>
      <c r="H1438">
        <v>3.15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1">
        <v>43697.820196759261</v>
      </c>
      <c r="B1439" t="s">
        <v>2407</v>
      </c>
      <c r="C1439" t="s">
        <v>2383</v>
      </c>
      <c r="D1439" t="s">
        <v>2381</v>
      </c>
      <c r="E1439">
        <v>360</v>
      </c>
      <c r="F1439">
        <v>3.59</v>
      </c>
      <c r="G1439">
        <v>3.93</v>
      </c>
      <c r="H1439">
        <v>3.15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1">
        <v>43697.820196759261</v>
      </c>
      <c r="B1440" t="s">
        <v>2407</v>
      </c>
      <c r="C1440" t="s">
        <v>2383</v>
      </c>
      <c r="D1440" t="s">
        <v>2388</v>
      </c>
      <c r="E1440" t="s">
        <v>2754</v>
      </c>
      <c r="F1440">
        <v>3.59</v>
      </c>
      <c r="G1440">
        <v>3.93</v>
      </c>
      <c r="H1440">
        <v>3.15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1">
        <v>43697.820196759261</v>
      </c>
      <c r="B1441" t="s">
        <v>2407</v>
      </c>
      <c r="C1441" t="s">
        <v>2383</v>
      </c>
      <c r="D1441" t="s">
        <v>2389</v>
      </c>
      <c r="E1441" s="12" t="s">
        <v>2385</v>
      </c>
      <c r="F1441">
        <v>3.59</v>
      </c>
      <c r="G1441">
        <v>3.93</v>
      </c>
      <c r="H1441">
        <v>3.15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1">
        <v>43697.820208333331</v>
      </c>
      <c r="B1442" t="s">
        <v>2407</v>
      </c>
      <c r="C1442" t="s">
        <v>2736</v>
      </c>
      <c r="E1442" t="s">
        <v>2378</v>
      </c>
      <c r="F1442">
        <v>3.59</v>
      </c>
      <c r="G1442">
        <v>3.93</v>
      </c>
      <c r="H1442">
        <v>3.15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1">
        <v>43697.821527777778</v>
      </c>
      <c r="B1443" t="s">
        <v>2407</v>
      </c>
      <c r="C1443" t="s">
        <v>2733</v>
      </c>
      <c r="D1443" t="s">
        <v>2390</v>
      </c>
      <c r="F1443">
        <v>3.59</v>
      </c>
      <c r="G1443">
        <v>3.93</v>
      </c>
      <c r="H1443">
        <v>3.15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1">
        <v>43697.821527777778</v>
      </c>
      <c r="B1444" t="s">
        <v>2407</v>
      </c>
      <c r="C1444" t="s">
        <v>2734</v>
      </c>
      <c r="D1444" t="s">
        <v>2390</v>
      </c>
      <c r="F1444">
        <v>3.59</v>
      </c>
      <c r="G1444">
        <v>3.93</v>
      </c>
      <c r="H1444">
        <v>3.15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1">
        <v>43697.821527777778</v>
      </c>
      <c r="B1445" t="s">
        <v>2407</v>
      </c>
      <c r="C1445" t="s">
        <v>2735</v>
      </c>
      <c r="D1445" t="s">
        <v>2390</v>
      </c>
      <c r="F1445">
        <v>3.59</v>
      </c>
      <c r="G1445">
        <v>3.93</v>
      </c>
      <c r="H1445">
        <v>3.15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1">
        <v>43697.821539351855</v>
      </c>
      <c r="B1446" t="s">
        <v>2407</v>
      </c>
      <c r="C1446" t="s">
        <v>2737</v>
      </c>
      <c r="E1446">
        <v>101</v>
      </c>
      <c r="F1446">
        <v>3.59</v>
      </c>
      <c r="G1446">
        <v>3.93</v>
      </c>
      <c r="H1446">
        <v>3.15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1">
        <v>43697.821539351855</v>
      </c>
      <c r="B1447" t="s">
        <v>2407</v>
      </c>
      <c r="C1447" t="s">
        <v>2738</v>
      </c>
      <c r="D1447" t="s">
        <v>2390</v>
      </c>
      <c r="E1447" t="s">
        <v>2739</v>
      </c>
      <c r="F1447">
        <v>3.59</v>
      </c>
      <c r="G1447">
        <v>3.93</v>
      </c>
      <c r="H1447">
        <v>3.15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1">
        <v>43697.821539351855</v>
      </c>
      <c r="B1448" t="s">
        <v>2407</v>
      </c>
      <c r="C1448" t="s">
        <v>2737</v>
      </c>
      <c r="E1448">
        <v>104</v>
      </c>
      <c r="F1448">
        <v>3.59</v>
      </c>
      <c r="G1448">
        <v>3.93</v>
      </c>
      <c r="H1448">
        <v>3.15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1">
        <v>43697.821539351855</v>
      </c>
      <c r="B1449" t="s">
        <v>2407</v>
      </c>
      <c r="C1449" t="s">
        <v>2737</v>
      </c>
      <c r="E1449">
        <v>104</v>
      </c>
      <c r="F1449">
        <v>3.59</v>
      </c>
      <c r="G1449">
        <v>3.93</v>
      </c>
      <c r="H1449">
        <v>3.15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1">
        <v>43697.821539351855</v>
      </c>
      <c r="B1450" t="s">
        <v>2407</v>
      </c>
      <c r="C1450" t="s">
        <v>2737</v>
      </c>
      <c r="E1450">
        <v>104</v>
      </c>
      <c r="F1450">
        <v>3.59</v>
      </c>
      <c r="G1450">
        <v>3.93</v>
      </c>
      <c r="H1450">
        <v>3.15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1">
        <v>43697.821539351855</v>
      </c>
      <c r="B1451" t="s">
        <v>2407</v>
      </c>
      <c r="C1451" t="s">
        <v>2740</v>
      </c>
      <c r="D1451" t="s">
        <v>2390</v>
      </c>
      <c r="E1451" t="s">
        <v>2741</v>
      </c>
      <c r="F1451">
        <v>3.59</v>
      </c>
      <c r="G1451">
        <v>3.93</v>
      </c>
      <c r="H1451">
        <v>3.15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1">
        <v>43697.821539351855</v>
      </c>
      <c r="B1452" t="s">
        <v>2407</v>
      </c>
      <c r="C1452" t="s">
        <v>2737</v>
      </c>
      <c r="E1452">
        <v>109</v>
      </c>
      <c r="F1452">
        <v>3.59</v>
      </c>
      <c r="G1452">
        <v>3.93</v>
      </c>
      <c r="H1452">
        <v>3.15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1">
        <v>43697.821539351855</v>
      </c>
      <c r="B1453" t="s">
        <v>2407</v>
      </c>
      <c r="C1453" t="s">
        <v>2737</v>
      </c>
      <c r="E1453">
        <v>109</v>
      </c>
      <c r="F1453">
        <v>3.59</v>
      </c>
      <c r="G1453">
        <v>3.93</v>
      </c>
      <c r="H1453">
        <v>3.15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1">
        <v>43697.821539351855</v>
      </c>
      <c r="B1454" t="s">
        <v>2407</v>
      </c>
      <c r="C1454" t="s">
        <v>2742</v>
      </c>
      <c r="D1454" t="s">
        <v>2390</v>
      </c>
      <c r="E1454" t="s">
        <v>2743</v>
      </c>
      <c r="F1454">
        <v>3.59</v>
      </c>
      <c r="G1454">
        <v>3.93</v>
      </c>
      <c r="H1454">
        <v>3.15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1">
        <v>43697.821539351855</v>
      </c>
      <c r="B1455" t="s">
        <v>2407</v>
      </c>
      <c r="C1455" t="s">
        <v>2737</v>
      </c>
      <c r="E1455">
        <v>105</v>
      </c>
      <c r="F1455">
        <v>3.59</v>
      </c>
      <c r="G1455">
        <v>3.93</v>
      </c>
      <c r="H1455">
        <v>3.15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1">
        <v>43697.821539351855</v>
      </c>
      <c r="B1456" t="s">
        <v>2407</v>
      </c>
      <c r="C1456" t="s">
        <v>2744</v>
      </c>
      <c r="E1456">
        <v>103</v>
      </c>
      <c r="F1456">
        <v>3.59</v>
      </c>
      <c r="G1456">
        <v>3.93</v>
      </c>
      <c r="H1456">
        <v>3.15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1">
        <v>43697.821539351855</v>
      </c>
      <c r="B1457" t="s">
        <v>2407</v>
      </c>
      <c r="C1457" t="s">
        <v>2745</v>
      </c>
      <c r="D1457" t="s">
        <v>2390</v>
      </c>
      <c r="E1457" t="s">
        <v>2746</v>
      </c>
      <c r="F1457">
        <v>3.59</v>
      </c>
      <c r="G1457">
        <v>3.93</v>
      </c>
      <c r="H1457">
        <v>3.15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1">
        <v>43697.821539351855</v>
      </c>
      <c r="B1458" t="s">
        <v>2407</v>
      </c>
      <c r="C1458" t="s">
        <v>2744</v>
      </c>
      <c r="E1458">
        <v>112</v>
      </c>
      <c r="F1458">
        <v>3.59</v>
      </c>
      <c r="G1458">
        <v>3.93</v>
      </c>
      <c r="H1458">
        <v>3.15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1">
        <v>43697.821539351855</v>
      </c>
      <c r="B1459" t="s">
        <v>2407</v>
      </c>
      <c r="C1459" t="s">
        <v>2744</v>
      </c>
      <c r="E1459">
        <v>112</v>
      </c>
      <c r="F1459">
        <v>3.59</v>
      </c>
      <c r="G1459">
        <v>3.93</v>
      </c>
      <c r="H1459">
        <v>3.15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1">
        <v>43697.821539351855</v>
      </c>
      <c r="B1460" t="s">
        <v>2407</v>
      </c>
      <c r="C1460" t="s">
        <v>2744</v>
      </c>
      <c r="E1460">
        <v>112</v>
      </c>
      <c r="F1460">
        <v>3.59</v>
      </c>
      <c r="G1460">
        <v>3.93</v>
      </c>
      <c r="H1460">
        <v>3.15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1">
        <v>43697.821539351855</v>
      </c>
      <c r="B1461" t="s">
        <v>2407</v>
      </c>
      <c r="C1461" t="s">
        <v>2747</v>
      </c>
      <c r="D1461" t="s">
        <v>2390</v>
      </c>
      <c r="E1461" t="s">
        <v>2748</v>
      </c>
      <c r="F1461">
        <v>3.59</v>
      </c>
      <c r="G1461">
        <v>3.93</v>
      </c>
      <c r="H1461">
        <v>3.15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1">
        <v>43697.821539351855</v>
      </c>
      <c r="B1462" t="s">
        <v>2407</v>
      </c>
      <c r="C1462" t="s">
        <v>2383</v>
      </c>
      <c r="D1462" t="s">
        <v>2384</v>
      </c>
      <c r="E1462" s="12" t="s">
        <v>2385</v>
      </c>
      <c r="F1462">
        <v>3.59</v>
      </c>
      <c r="G1462">
        <v>3.93</v>
      </c>
      <c r="H1462">
        <v>3.15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1">
        <v>43697.821539351855</v>
      </c>
      <c r="B1463" t="s">
        <v>2407</v>
      </c>
      <c r="C1463" t="s">
        <v>2383</v>
      </c>
      <c r="D1463" t="s">
        <v>2386</v>
      </c>
      <c r="E1463">
        <v>440</v>
      </c>
      <c r="F1463">
        <v>3.59</v>
      </c>
      <c r="G1463">
        <v>3.93</v>
      </c>
      <c r="H1463">
        <v>3.15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1">
        <v>43697.821539351855</v>
      </c>
      <c r="B1464" t="s">
        <v>2407</v>
      </c>
      <c r="C1464" t="s">
        <v>2383</v>
      </c>
      <c r="D1464" t="s">
        <v>2387</v>
      </c>
      <c r="E1464" t="s">
        <v>2755</v>
      </c>
      <c r="F1464">
        <v>3.59</v>
      </c>
      <c r="G1464">
        <v>3.93</v>
      </c>
      <c r="H1464">
        <v>3.15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1">
        <v>43697.821539351855</v>
      </c>
      <c r="B1465" t="s">
        <v>2407</v>
      </c>
      <c r="C1465" t="s">
        <v>2383</v>
      </c>
      <c r="D1465" t="s">
        <v>2381</v>
      </c>
      <c r="E1465">
        <v>360</v>
      </c>
      <c r="F1465">
        <v>3.59</v>
      </c>
      <c r="G1465">
        <v>3.93</v>
      </c>
      <c r="H1465">
        <v>3.15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1">
        <v>43697.821539351855</v>
      </c>
      <c r="B1466" t="s">
        <v>2407</v>
      </c>
      <c r="C1466" t="s">
        <v>2383</v>
      </c>
      <c r="D1466" t="s">
        <v>2388</v>
      </c>
      <c r="E1466" t="s">
        <v>2754</v>
      </c>
      <c r="F1466">
        <v>3.59</v>
      </c>
      <c r="G1466">
        <v>3.93</v>
      </c>
      <c r="H1466">
        <v>3.15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1">
        <v>43697.821539351855</v>
      </c>
      <c r="B1467" t="s">
        <v>2407</v>
      </c>
      <c r="C1467" t="s">
        <v>2383</v>
      </c>
      <c r="D1467" t="s">
        <v>2389</v>
      </c>
      <c r="E1467" s="12" t="s">
        <v>2385</v>
      </c>
      <c r="F1467">
        <v>3.59</v>
      </c>
      <c r="G1467">
        <v>3.93</v>
      </c>
      <c r="H1467">
        <v>3.15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1">
        <v>43697.821539351855</v>
      </c>
      <c r="B1468" t="s">
        <v>2407</v>
      </c>
      <c r="C1468" t="s">
        <v>2736</v>
      </c>
      <c r="E1468" t="s">
        <v>2378</v>
      </c>
      <c r="F1468">
        <v>3.59</v>
      </c>
      <c r="G1468">
        <v>3.93</v>
      </c>
      <c r="H1468">
        <v>3.15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1">
        <v>43697.821736111109</v>
      </c>
      <c r="B1469" t="s">
        <v>2407</v>
      </c>
      <c r="C1469" t="s">
        <v>2733</v>
      </c>
      <c r="D1469" t="s">
        <v>2390</v>
      </c>
      <c r="F1469">
        <v>3.59</v>
      </c>
      <c r="G1469">
        <v>3.93</v>
      </c>
      <c r="H1469">
        <v>3.15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1">
        <v>43697.821736111109</v>
      </c>
      <c r="B1470" t="s">
        <v>2407</v>
      </c>
      <c r="C1470" t="s">
        <v>2734</v>
      </c>
      <c r="D1470" t="s">
        <v>2390</v>
      </c>
      <c r="F1470">
        <v>3.59</v>
      </c>
      <c r="G1470">
        <v>3.93</v>
      </c>
      <c r="H1470">
        <v>3.15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1">
        <v>43697.821736111109</v>
      </c>
      <c r="B1471" t="s">
        <v>2407</v>
      </c>
      <c r="C1471" t="s">
        <v>2735</v>
      </c>
      <c r="D1471" t="s">
        <v>2390</v>
      </c>
      <c r="F1471">
        <v>3.59</v>
      </c>
      <c r="G1471">
        <v>3.93</v>
      </c>
      <c r="H1471">
        <v>3.15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1">
        <v>43697.821747685186</v>
      </c>
      <c r="B1472" t="s">
        <v>2407</v>
      </c>
      <c r="C1472" t="s">
        <v>2737</v>
      </c>
      <c r="E1472">
        <v>101</v>
      </c>
      <c r="F1472">
        <v>3.59</v>
      </c>
      <c r="G1472">
        <v>3.93</v>
      </c>
      <c r="H1472">
        <v>3.15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1">
        <v>43697.821747685186</v>
      </c>
      <c r="B1473" t="s">
        <v>2407</v>
      </c>
      <c r="C1473" t="s">
        <v>2738</v>
      </c>
      <c r="D1473" t="s">
        <v>2390</v>
      </c>
      <c r="E1473" t="s">
        <v>2739</v>
      </c>
      <c r="F1473">
        <v>3.59</v>
      </c>
      <c r="G1473">
        <v>3.93</v>
      </c>
      <c r="H1473">
        <v>3.15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1">
        <v>43697.821747685186</v>
      </c>
      <c r="B1474" t="s">
        <v>2407</v>
      </c>
      <c r="C1474" t="s">
        <v>2737</v>
      </c>
      <c r="E1474">
        <v>104</v>
      </c>
      <c r="F1474">
        <v>3.59</v>
      </c>
      <c r="G1474">
        <v>3.93</v>
      </c>
      <c r="H1474">
        <v>3.15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1">
        <v>43697.821747685186</v>
      </c>
      <c r="B1475" t="s">
        <v>2407</v>
      </c>
      <c r="C1475" t="s">
        <v>2737</v>
      </c>
      <c r="E1475">
        <v>104</v>
      </c>
      <c r="F1475">
        <v>3.59</v>
      </c>
      <c r="G1475">
        <v>3.93</v>
      </c>
      <c r="H1475">
        <v>3.15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1">
        <v>43697.821747685186</v>
      </c>
      <c r="B1476" t="s">
        <v>2407</v>
      </c>
      <c r="C1476" t="s">
        <v>2737</v>
      </c>
      <c r="E1476">
        <v>104</v>
      </c>
      <c r="F1476">
        <v>3.59</v>
      </c>
      <c r="G1476">
        <v>3.93</v>
      </c>
      <c r="H1476">
        <v>3.15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1">
        <v>43697.821747685186</v>
      </c>
      <c r="B1477" t="s">
        <v>2407</v>
      </c>
      <c r="C1477" t="s">
        <v>2740</v>
      </c>
      <c r="D1477" t="s">
        <v>2390</v>
      </c>
      <c r="E1477" t="s">
        <v>2741</v>
      </c>
      <c r="F1477">
        <v>3.59</v>
      </c>
      <c r="G1477">
        <v>3.93</v>
      </c>
      <c r="H1477">
        <v>3.15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1">
        <v>43697.821747685186</v>
      </c>
      <c r="B1478" t="s">
        <v>2407</v>
      </c>
      <c r="C1478" t="s">
        <v>2737</v>
      </c>
      <c r="E1478">
        <v>109</v>
      </c>
      <c r="F1478">
        <v>3.59</v>
      </c>
      <c r="G1478">
        <v>3.93</v>
      </c>
      <c r="H1478">
        <v>3.15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1">
        <v>43697.821747685186</v>
      </c>
      <c r="B1479" t="s">
        <v>2407</v>
      </c>
      <c r="C1479" t="s">
        <v>2737</v>
      </c>
      <c r="E1479">
        <v>109</v>
      </c>
      <c r="F1479">
        <v>3.59</v>
      </c>
      <c r="G1479">
        <v>3.93</v>
      </c>
      <c r="H1479">
        <v>3.15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1">
        <v>43697.821747685186</v>
      </c>
      <c r="B1480" t="s">
        <v>2407</v>
      </c>
      <c r="C1480" t="s">
        <v>2742</v>
      </c>
      <c r="D1480" t="s">
        <v>2390</v>
      </c>
      <c r="E1480" t="s">
        <v>2743</v>
      </c>
      <c r="F1480">
        <v>3.59</v>
      </c>
      <c r="G1480">
        <v>3.93</v>
      </c>
      <c r="H1480">
        <v>3.15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1">
        <v>43697.821747685186</v>
      </c>
      <c r="B1481" t="s">
        <v>2407</v>
      </c>
      <c r="C1481" t="s">
        <v>2737</v>
      </c>
      <c r="E1481">
        <v>105</v>
      </c>
      <c r="F1481">
        <v>3.59</v>
      </c>
      <c r="G1481">
        <v>3.93</v>
      </c>
      <c r="H1481">
        <v>3.15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1">
        <v>43697.821747685186</v>
      </c>
      <c r="B1482" t="s">
        <v>2407</v>
      </c>
      <c r="C1482" t="s">
        <v>2744</v>
      </c>
      <c r="E1482">
        <v>103</v>
      </c>
      <c r="F1482">
        <v>3.59</v>
      </c>
      <c r="G1482">
        <v>3.93</v>
      </c>
      <c r="H1482">
        <v>3.15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1">
        <v>43697.821747685186</v>
      </c>
      <c r="B1483" t="s">
        <v>2407</v>
      </c>
      <c r="C1483" t="s">
        <v>2745</v>
      </c>
      <c r="D1483" t="s">
        <v>2390</v>
      </c>
      <c r="E1483" t="s">
        <v>2746</v>
      </c>
      <c r="F1483">
        <v>3.59</v>
      </c>
      <c r="G1483">
        <v>3.93</v>
      </c>
      <c r="H1483">
        <v>3.15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1">
        <v>43697.821747685186</v>
      </c>
      <c r="B1484" t="s">
        <v>2407</v>
      </c>
      <c r="C1484" t="s">
        <v>2744</v>
      </c>
      <c r="E1484">
        <v>112</v>
      </c>
      <c r="F1484">
        <v>3.59</v>
      </c>
      <c r="G1484">
        <v>3.93</v>
      </c>
      <c r="H1484">
        <v>3.15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1">
        <v>43697.821747685186</v>
      </c>
      <c r="B1485" t="s">
        <v>2407</v>
      </c>
      <c r="C1485" t="s">
        <v>2744</v>
      </c>
      <c r="E1485">
        <v>112</v>
      </c>
      <c r="F1485">
        <v>3.59</v>
      </c>
      <c r="G1485">
        <v>3.93</v>
      </c>
      <c r="H1485">
        <v>3.15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1">
        <v>43697.821747685186</v>
      </c>
      <c r="B1486" t="s">
        <v>2407</v>
      </c>
      <c r="C1486" t="s">
        <v>2744</v>
      </c>
      <c r="E1486">
        <v>112</v>
      </c>
      <c r="F1486">
        <v>3.59</v>
      </c>
      <c r="G1486">
        <v>3.93</v>
      </c>
      <c r="H1486">
        <v>3.15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1">
        <v>43697.821747685186</v>
      </c>
      <c r="B1487" t="s">
        <v>2407</v>
      </c>
      <c r="C1487" t="s">
        <v>2747</v>
      </c>
      <c r="D1487" t="s">
        <v>2390</v>
      </c>
      <c r="E1487" t="s">
        <v>2748</v>
      </c>
      <c r="F1487">
        <v>3.59</v>
      </c>
      <c r="G1487">
        <v>3.93</v>
      </c>
      <c r="H1487">
        <v>3.15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1">
        <v>43697.825115740743</v>
      </c>
      <c r="B1488" t="s">
        <v>2407</v>
      </c>
      <c r="C1488" t="s">
        <v>2383</v>
      </c>
      <c r="D1488" t="s">
        <v>2384</v>
      </c>
      <c r="E1488" s="12" t="s">
        <v>2385</v>
      </c>
      <c r="F1488">
        <v>3.59</v>
      </c>
      <c r="G1488">
        <v>3.93</v>
      </c>
      <c r="H1488">
        <v>3.15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1">
        <v>43697.825115740743</v>
      </c>
      <c r="B1489" t="s">
        <v>2407</v>
      </c>
      <c r="C1489" t="s">
        <v>2383</v>
      </c>
      <c r="D1489" t="s">
        <v>2386</v>
      </c>
      <c r="E1489">
        <v>440</v>
      </c>
      <c r="F1489">
        <v>3.59</v>
      </c>
      <c r="G1489">
        <v>3.93</v>
      </c>
      <c r="H1489">
        <v>3.15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1">
        <v>43697.825115740743</v>
      </c>
      <c r="B1490" t="s">
        <v>2407</v>
      </c>
      <c r="C1490" t="s">
        <v>2383</v>
      </c>
      <c r="D1490" t="s">
        <v>2387</v>
      </c>
      <c r="E1490" t="s">
        <v>2755</v>
      </c>
      <c r="F1490">
        <v>3.59</v>
      </c>
      <c r="G1490">
        <v>3.93</v>
      </c>
      <c r="H1490">
        <v>3.15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1">
        <v>43697.825115740743</v>
      </c>
      <c r="B1491" t="s">
        <v>2407</v>
      </c>
      <c r="C1491" t="s">
        <v>2383</v>
      </c>
      <c r="D1491" t="s">
        <v>2381</v>
      </c>
      <c r="E1491">
        <v>360</v>
      </c>
      <c r="F1491">
        <v>3.59</v>
      </c>
      <c r="G1491">
        <v>3.93</v>
      </c>
      <c r="H1491">
        <v>3.15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1">
        <v>43697.825115740743</v>
      </c>
      <c r="B1492" t="s">
        <v>2407</v>
      </c>
      <c r="C1492" t="s">
        <v>2383</v>
      </c>
      <c r="D1492" t="s">
        <v>2388</v>
      </c>
      <c r="E1492" t="s">
        <v>2754</v>
      </c>
      <c r="F1492">
        <v>3.59</v>
      </c>
      <c r="G1492">
        <v>3.93</v>
      </c>
      <c r="H1492">
        <v>3.15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1">
        <v>43697.825115740743</v>
      </c>
      <c r="B1493" t="s">
        <v>2407</v>
      </c>
      <c r="C1493" t="s">
        <v>2383</v>
      </c>
      <c r="D1493" t="s">
        <v>2389</v>
      </c>
      <c r="E1493" s="12" t="s">
        <v>2385</v>
      </c>
      <c r="F1493">
        <v>3.59</v>
      </c>
      <c r="G1493">
        <v>3.93</v>
      </c>
      <c r="H1493">
        <v>3.15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1">
        <v>43697.825115740743</v>
      </c>
      <c r="B1494" t="s">
        <v>2407</v>
      </c>
      <c r="C1494" t="s">
        <v>2736</v>
      </c>
      <c r="E1494" t="s">
        <v>2378</v>
      </c>
      <c r="F1494">
        <v>3.59</v>
      </c>
      <c r="G1494">
        <v>3.93</v>
      </c>
      <c r="H1494">
        <v>3.15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1">
        <v>43697.825173611112</v>
      </c>
      <c r="B1495" t="s">
        <v>2407</v>
      </c>
      <c r="C1495" t="s">
        <v>2733</v>
      </c>
      <c r="D1495" t="s">
        <v>2390</v>
      </c>
      <c r="F1495">
        <v>3.59</v>
      </c>
      <c r="G1495">
        <v>3.93</v>
      </c>
      <c r="H1495">
        <v>3.15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1">
        <v>43697.825173611112</v>
      </c>
      <c r="B1496" t="s">
        <v>2407</v>
      </c>
      <c r="C1496" t="s">
        <v>2734</v>
      </c>
      <c r="D1496" t="s">
        <v>2390</v>
      </c>
      <c r="F1496">
        <v>3.59</v>
      </c>
      <c r="G1496">
        <v>3.93</v>
      </c>
      <c r="H1496">
        <v>3.15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1">
        <v>43697.825173611112</v>
      </c>
      <c r="B1497" t="s">
        <v>2407</v>
      </c>
      <c r="C1497" t="s">
        <v>2735</v>
      </c>
      <c r="D1497" t="s">
        <v>2390</v>
      </c>
      <c r="F1497">
        <v>3.59</v>
      </c>
      <c r="G1497">
        <v>3.93</v>
      </c>
      <c r="H1497">
        <v>3.15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1">
        <v>43697.825185185182</v>
      </c>
      <c r="B1498" t="s">
        <v>2407</v>
      </c>
      <c r="C1498" t="s">
        <v>2737</v>
      </c>
      <c r="E1498">
        <v>101</v>
      </c>
      <c r="F1498">
        <v>3.59</v>
      </c>
      <c r="G1498">
        <v>3.93</v>
      </c>
      <c r="H1498">
        <v>3.15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1">
        <v>43697.825185185182</v>
      </c>
      <c r="B1499" t="s">
        <v>2407</v>
      </c>
      <c r="C1499" t="s">
        <v>2738</v>
      </c>
      <c r="D1499" t="s">
        <v>2390</v>
      </c>
      <c r="E1499" t="s">
        <v>2739</v>
      </c>
      <c r="F1499">
        <v>3.59</v>
      </c>
      <c r="G1499">
        <v>3.93</v>
      </c>
      <c r="H1499">
        <v>3.15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1">
        <v>43697.825185185182</v>
      </c>
      <c r="B1500" t="s">
        <v>2407</v>
      </c>
      <c r="C1500" t="s">
        <v>2737</v>
      </c>
      <c r="E1500">
        <v>104</v>
      </c>
      <c r="F1500">
        <v>3.59</v>
      </c>
      <c r="G1500">
        <v>3.93</v>
      </c>
      <c r="H1500">
        <v>3.15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1">
        <v>43697.825185185182</v>
      </c>
      <c r="B1501" t="s">
        <v>2407</v>
      </c>
      <c r="C1501" t="s">
        <v>2737</v>
      </c>
      <c r="E1501">
        <v>104</v>
      </c>
      <c r="F1501">
        <v>3.59</v>
      </c>
      <c r="G1501">
        <v>3.93</v>
      </c>
      <c r="H1501">
        <v>3.15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1">
        <v>43697.825185185182</v>
      </c>
      <c r="B1502" t="s">
        <v>2407</v>
      </c>
      <c r="C1502" t="s">
        <v>2737</v>
      </c>
      <c r="E1502">
        <v>104</v>
      </c>
      <c r="F1502">
        <v>3.59</v>
      </c>
      <c r="G1502">
        <v>3.93</v>
      </c>
      <c r="H1502">
        <v>3.15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1">
        <v>43697.825185185182</v>
      </c>
      <c r="B1503" t="s">
        <v>2407</v>
      </c>
      <c r="C1503" t="s">
        <v>2740</v>
      </c>
      <c r="D1503" t="s">
        <v>2390</v>
      </c>
      <c r="E1503" t="s">
        <v>2741</v>
      </c>
      <c r="F1503">
        <v>3.59</v>
      </c>
      <c r="G1503">
        <v>3.93</v>
      </c>
      <c r="H1503">
        <v>3.15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1">
        <v>43697.825185185182</v>
      </c>
      <c r="B1504" t="s">
        <v>2407</v>
      </c>
      <c r="C1504" t="s">
        <v>2737</v>
      </c>
      <c r="E1504">
        <v>109</v>
      </c>
      <c r="F1504">
        <v>3.59</v>
      </c>
      <c r="G1504">
        <v>3.93</v>
      </c>
      <c r="H1504">
        <v>3.15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1">
        <v>43697.825185185182</v>
      </c>
      <c r="B1505" t="s">
        <v>2407</v>
      </c>
      <c r="C1505" t="s">
        <v>2737</v>
      </c>
      <c r="E1505">
        <v>109</v>
      </c>
      <c r="F1505">
        <v>3.59</v>
      </c>
      <c r="G1505">
        <v>3.93</v>
      </c>
      <c r="H1505">
        <v>3.15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1">
        <v>43697.825185185182</v>
      </c>
      <c r="B1506" t="s">
        <v>2407</v>
      </c>
      <c r="C1506" t="s">
        <v>2742</v>
      </c>
      <c r="D1506" t="s">
        <v>2390</v>
      </c>
      <c r="E1506" t="s">
        <v>2743</v>
      </c>
      <c r="F1506">
        <v>3.59</v>
      </c>
      <c r="G1506">
        <v>3.93</v>
      </c>
      <c r="H1506">
        <v>3.15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1">
        <v>43697.825185185182</v>
      </c>
      <c r="B1507" t="s">
        <v>2407</v>
      </c>
      <c r="C1507" t="s">
        <v>2737</v>
      </c>
      <c r="E1507">
        <v>105</v>
      </c>
      <c r="F1507">
        <v>3.59</v>
      </c>
      <c r="G1507">
        <v>3.93</v>
      </c>
      <c r="H1507">
        <v>3.15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1">
        <v>43697.825185185182</v>
      </c>
      <c r="B1508" t="s">
        <v>2407</v>
      </c>
      <c r="C1508" t="s">
        <v>2744</v>
      </c>
      <c r="E1508">
        <v>103</v>
      </c>
      <c r="F1508">
        <v>3.59</v>
      </c>
      <c r="G1508">
        <v>3.93</v>
      </c>
      <c r="H1508">
        <v>3.15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1">
        <v>43697.825185185182</v>
      </c>
      <c r="B1509" t="s">
        <v>2407</v>
      </c>
      <c r="C1509" t="s">
        <v>2745</v>
      </c>
      <c r="D1509" t="s">
        <v>2390</v>
      </c>
      <c r="E1509" t="s">
        <v>2746</v>
      </c>
      <c r="F1509">
        <v>3.59</v>
      </c>
      <c r="G1509">
        <v>3.93</v>
      </c>
      <c r="H1509">
        <v>3.15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1">
        <v>43697.825185185182</v>
      </c>
      <c r="B1510" t="s">
        <v>2407</v>
      </c>
      <c r="C1510" t="s">
        <v>2744</v>
      </c>
      <c r="E1510">
        <v>112</v>
      </c>
      <c r="F1510">
        <v>3.59</v>
      </c>
      <c r="G1510">
        <v>3.93</v>
      </c>
      <c r="H1510">
        <v>3.15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1">
        <v>43697.825185185182</v>
      </c>
      <c r="B1511" t="s">
        <v>2407</v>
      </c>
      <c r="C1511" t="s">
        <v>2744</v>
      </c>
      <c r="E1511">
        <v>112</v>
      </c>
      <c r="F1511">
        <v>3.59</v>
      </c>
      <c r="G1511">
        <v>3.93</v>
      </c>
      <c r="H1511">
        <v>3.15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1">
        <v>43697.825185185182</v>
      </c>
      <c r="B1512" t="s">
        <v>2407</v>
      </c>
      <c r="C1512" t="s">
        <v>2744</v>
      </c>
      <c r="E1512">
        <v>112</v>
      </c>
      <c r="F1512">
        <v>3.59</v>
      </c>
      <c r="G1512">
        <v>3.93</v>
      </c>
      <c r="H1512">
        <v>3.15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1">
        <v>43697.825185185182</v>
      </c>
      <c r="B1513" t="s">
        <v>2407</v>
      </c>
      <c r="C1513" t="s">
        <v>2747</v>
      </c>
      <c r="D1513" t="s">
        <v>2390</v>
      </c>
      <c r="E1513" t="s">
        <v>2748</v>
      </c>
      <c r="F1513">
        <v>3.59</v>
      </c>
      <c r="G1513">
        <v>3.93</v>
      </c>
      <c r="H1513">
        <v>3.15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1">
        <v>43697.825185185182</v>
      </c>
      <c r="B1514" t="s">
        <v>2407</v>
      </c>
      <c r="C1514" t="s">
        <v>2383</v>
      </c>
      <c r="D1514" t="s">
        <v>2384</v>
      </c>
      <c r="E1514" s="12" t="s">
        <v>2385</v>
      </c>
      <c r="F1514">
        <v>3.59</v>
      </c>
      <c r="G1514">
        <v>3.93</v>
      </c>
      <c r="H1514">
        <v>3.15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1">
        <v>43697.825185185182</v>
      </c>
      <c r="B1515" t="s">
        <v>2407</v>
      </c>
      <c r="C1515" t="s">
        <v>2383</v>
      </c>
      <c r="D1515" t="s">
        <v>2386</v>
      </c>
      <c r="E1515">
        <v>440</v>
      </c>
      <c r="F1515">
        <v>3.59</v>
      </c>
      <c r="G1515">
        <v>3.93</v>
      </c>
      <c r="H1515">
        <v>3.15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1">
        <v>43697.825185185182</v>
      </c>
      <c r="B1516" t="s">
        <v>2407</v>
      </c>
      <c r="C1516" t="s">
        <v>2383</v>
      </c>
      <c r="D1516" t="s">
        <v>2387</v>
      </c>
      <c r="E1516" t="s">
        <v>2755</v>
      </c>
      <c r="F1516">
        <v>3.59</v>
      </c>
      <c r="G1516">
        <v>3.93</v>
      </c>
      <c r="H1516">
        <v>3.15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1">
        <v>43697.825185185182</v>
      </c>
      <c r="B1517" t="s">
        <v>2407</v>
      </c>
      <c r="C1517" t="s">
        <v>2383</v>
      </c>
      <c r="D1517" t="s">
        <v>2381</v>
      </c>
      <c r="E1517">
        <v>360</v>
      </c>
      <c r="F1517">
        <v>3.59</v>
      </c>
      <c r="G1517">
        <v>3.93</v>
      </c>
      <c r="H1517">
        <v>3.15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1">
        <v>43697.825185185182</v>
      </c>
      <c r="B1518" t="s">
        <v>2407</v>
      </c>
      <c r="C1518" t="s">
        <v>2383</v>
      </c>
      <c r="D1518" t="s">
        <v>2388</v>
      </c>
      <c r="E1518" t="s">
        <v>2754</v>
      </c>
      <c r="F1518">
        <v>3.59</v>
      </c>
      <c r="G1518">
        <v>3.93</v>
      </c>
      <c r="H1518">
        <v>3.15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1">
        <v>43697.825185185182</v>
      </c>
      <c r="B1519" t="s">
        <v>2407</v>
      </c>
      <c r="C1519" t="s">
        <v>2383</v>
      </c>
      <c r="D1519" t="s">
        <v>2389</v>
      </c>
      <c r="E1519" s="12" t="s">
        <v>2385</v>
      </c>
      <c r="F1519">
        <v>3.59</v>
      </c>
      <c r="G1519">
        <v>3.93</v>
      </c>
      <c r="H1519">
        <v>3.15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1">
        <v>43697.825196759259</v>
      </c>
      <c r="B1520" t="s">
        <v>2407</v>
      </c>
      <c r="C1520" t="s">
        <v>2736</v>
      </c>
      <c r="E1520" t="s">
        <v>2378</v>
      </c>
      <c r="F1520">
        <v>3.59</v>
      </c>
      <c r="G1520">
        <v>3.93</v>
      </c>
      <c r="H1520">
        <v>3.15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1">
        <v>43697.825590277775</v>
      </c>
      <c r="B1521" t="s">
        <v>2407</v>
      </c>
      <c r="C1521" t="s">
        <v>2733</v>
      </c>
      <c r="D1521" t="s">
        <v>2390</v>
      </c>
      <c r="F1521">
        <v>3.59</v>
      </c>
      <c r="G1521">
        <v>3.93</v>
      </c>
      <c r="H1521">
        <v>3.15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1">
        <v>43697.825590277775</v>
      </c>
      <c r="B1522" t="s">
        <v>2407</v>
      </c>
      <c r="C1522" t="s">
        <v>2734</v>
      </c>
      <c r="D1522" t="s">
        <v>2390</v>
      </c>
      <c r="F1522">
        <v>3.59</v>
      </c>
      <c r="G1522">
        <v>3.93</v>
      </c>
      <c r="H1522">
        <v>3.15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1">
        <v>43697.825590277775</v>
      </c>
      <c r="B1523" t="s">
        <v>2407</v>
      </c>
      <c r="C1523" t="s">
        <v>2735</v>
      </c>
      <c r="D1523" t="s">
        <v>2390</v>
      </c>
      <c r="F1523">
        <v>3.59</v>
      </c>
      <c r="G1523">
        <v>3.93</v>
      </c>
      <c r="H1523">
        <v>3.15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1">
        <v>43697.825601851851</v>
      </c>
      <c r="B1524" t="s">
        <v>2407</v>
      </c>
      <c r="C1524" t="s">
        <v>2737</v>
      </c>
      <c r="E1524">
        <v>101</v>
      </c>
      <c r="F1524">
        <v>3.59</v>
      </c>
      <c r="G1524">
        <v>3.93</v>
      </c>
      <c r="H1524">
        <v>3.15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1">
        <v>43697.825601851851</v>
      </c>
      <c r="B1525" t="s">
        <v>2407</v>
      </c>
      <c r="C1525" t="s">
        <v>2738</v>
      </c>
      <c r="D1525" t="s">
        <v>2390</v>
      </c>
      <c r="E1525" t="s">
        <v>2739</v>
      </c>
      <c r="F1525">
        <v>3.59</v>
      </c>
      <c r="G1525">
        <v>3.93</v>
      </c>
      <c r="H1525">
        <v>3.15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1">
        <v>43697.825601851851</v>
      </c>
      <c r="B1526" t="s">
        <v>2407</v>
      </c>
      <c r="C1526" t="s">
        <v>2737</v>
      </c>
      <c r="E1526">
        <v>104</v>
      </c>
      <c r="F1526">
        <v>3.59</v>
      </c>
      <c r="G1526">
        <v>3.93</v>
      </c>
      <c r="H1526">
        <v>3.15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1">
        <v>43697.825601851851</v>
      </c>
      <c r="B1527" t="s">
        <v>2407</v>
      </c>
      <c r="C1527" t="s">
        <v>2737</v>
      </c>
      <c r="E1527">
        <v>104</v>
      </c>
      <c r="F1527">
        <v>3.59</v>
      </c>
      <c r="G1527">
        <v>3.93</v>
      </c>
      <c r="H1527">
        <v>3.15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1">
        <v>43697.825601851851</v>
      </c>
      <c r="B1528" t="s">
        <v>2407</v>
      </c>
      <c r="C1528" t="s">
        <v>2737</v>
      </c>
      <c r="E1528">
        <v>104</v>
      </c>
      <c r="F1528">
        <v>3.59</v>
      </c>
      <c r="G1528">
        <v>3.93</v>
      </c>
      <c r="H1528">
        <v>3.15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1">
        <v>43697.825601851851</v>
      </c>
      <c r="B1529" t="s">
        <v>2407</v>
      </c>
      <c r="C1529" t="s">
        <v>2740</v>
      </c>
      <c r="D1529" t="s">
        <v>2390</v>
      </c>
      <c r="E1529" t="s">
        <v>2741</v>
      </c>
      <c r="F1529">
        <v>3.59</v>
      </c>
      <c r="G1529">
        <v>3.93</v>
      </c>
      <c r="H1529">
        <v>3.15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1">
        <v>43697.825601851851</v>
      </c>
      <c r="B1530" t="s">
        <v>2407</v>
      </c>
      <c r="C1530" t="s">
        <v>2737</v>
      </c>
      <c r="E1530">
        <v>109</v>
      </c>
      <c r="F1530">
        <v>3.59</v>
      </c>
      <c r="G1530">
        <v>3.93</v>
      </c>
      <c r="H1530">
        <v>3.15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1">
        <v>43697.825601851851</v>
      </c>
      <c r="B1531" t="s">
        <v>2407</v>
      </c>
      <c r="C1531" t="s">
        <v>2737</v>
      </c>
      <c r="E1531">
        <v>109</v>
      </c>
      <c r="F1531">
        <v>3.59</v>
      </c>
      <c r="G1531">
        <v>3.93</v>
      </c>
      <c r="H1531">
        <v>3.15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1">
        <v>43697.825601851851</v>
      </c>
      <c r="B1532" t="s">
        <v>2407</v>
      </c>
      <c r="C1532" t="s">
        <v>2742</v>
      </c>
      <c r="D1532" t="s">
        <v>2390</v>
      </c>
      <c r="E1532" t="s">
        <v>2743</v>
      </c>
      <c r="F1532">
        <v>3.59</v>
      </c>
      <c r="G1532">
        <v>3.93</v>
      </c>
      <c r="H1532">
        <v>3.15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1">
        <v>43697.825601851851</v>
      </c>
      <c r="B1533" t="s">
        <v>2407</v>
      </c>
      <c r="C1533" t="s">
        <v>2737</v>
      </c>
      <c r="E1533">
        <v>105</v>
      </c>
      <c r="F1533">
        <v>3.59</v>
      </c>
      <c r="G1533">
        <v>3.93</v>
      </c>
      <c r="H1533">
        <v>3.15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1">
        <v>43697.825601851851</v>
      </c>
      <c r="B1534" t="s">
        <v>2407</v>
      </c>
      <c r="C1534" t="s">
        <v>2744</v>
      </c>
      <c r="E1534">
        <v>103</v>
      </c>
      <c r="F1534">
        <v>3.59</v>
      </c>
      <c r="G1534">
        <v>3.93</v>
      </c>
      <c r="H1534">
        <v>3.15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1">
        <v>43697.825601851851</v>
      </c>
      <c r="B1535" t="s">
        <v>2407</v>
      </c>
      <c r="C1535" t="s">
        <v>2745</v>
      </c>
      <c r="D1535" t="s">
        <v>2390</v>
      </c>
      <c r="E1535" t="s">
        <v>2746</v>
      </c>
      <c r="F1535">
        <v>3.59</v>
      </c>
      <c r="G1535">
        <v>3.93</v>
      </c>
      <c r="H1535">
        <v>3.15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1">
        <v>43697.825601851851</v>
      </c>
      <c r="B1536" t="s">
        <v>2407</v>
      </c>
      <c r="C1536" t="s">
        <v>2744</v>
      </c>
      <c r="E1536">
        <v>112</v>
      </c>
      <c r="F1536">
        <v>3.59</v>
      </c>
      <c r="G1536">
        <v>3.93</v>
      </c>
      <c r="H1536">
        <v>3.15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1">
        <v>43697.825601851851</v>
      </c>
      <c r="B1537" t="s">
        <v>2407</v>
      </c>
      <c r="C1537" t="s">
        <v>2744</v>
      </c>
      <c r="E1537">
        <v>112</v>
      </c>
      <c r="F1537">
        <v>3.59</v>
      </c>
      <c r="G1537">
        <v>3.93</v>
      </c>
      <c r="H1537">
        <v>3.15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1">
        <v>43697.825601851851</v>
      </c>
      <c r="B1538" t="s">
        <v>2407</v>
      </c>
      <c r="C1538" t="s">
        <v>2744</v>
      </c>
      <c r="E1538">
        <v>112</v>
      </c>
      <c r="F1538">
        <v>3.59</v>
      </c>
      <c r="G1538">
        <v>3.93</v>
      </c>
      <c r="H1538">
        <v>3.15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1">
        <v>43697.825601851851</v>
      </c>
      <c r="B1539" t="s">
        <v>2407</v>
      </c>
      <c r="C1539" t="s">
        <v>2747</v>
      </c>
      <c r="D1539" t="s">
        <v>2390</v>
      </c>
      <c r="E1539" t="s">
        <v>2748</v>
      </c>
      <c r="F1539">
        <v>3.59</v>
      </c>
      <c r="G1539">
        <v>3.93</v>
      </c>
      <c r="H1539">
        <v>3.15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1">
        <v>43697.825601851851</v>
      </c>
      <c r="B1540" t="s">
        <v>2407</v>
      </c>
      <c r="C1540" t="s">
        <v>2383</v>
      </c>
      <c r="D1540" t="s">
        <v>2384</v>
      </c>
      <c r="E1540" s="12" t="s">
        <v>2385</v>
      </c>
      <c r="F1540">
        <v>3.59</v>
      </c>
      <c r="G1540">
        <v>3.93</v>
      </c>
      <c r="H1540">
        <v>3.15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1">
        <v>43697.825601851851</v>
      </c>
      <c r="B1541" t="s">
        <v>2407</v>
      </c>
      <c r="C1541" t="s">
        <v>2383</v>
      </c>
      <c r="D1541" t="s">
        <v>2386</v>
      </c>
      <c r="E1541">
        <v>440</v>
      </c>
      <c r="F1541">
        <v>3.59</v>
      </c>
      <c r="G1541">
        <v>3.93</v>
      </c>
      <c r="H1541">
        <v>3.15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1">
        <v>43697.825601851851</v>
      </c>
      <c r="B1542" t="s">
        <v>2407</v>
      </c>
      <c r="C1542" t="s">
        <v>2383</v>
      </c>
      <c r="D1542" t="s">
        <v>2387</v>
      </c>
      <c r="E1542" t="s">
        <v>2755</v>
      </c>
      <c r="F1542">
        <v>3.59</v>
      </c>
      <c r="G1542">
        <v>3.93</v>
      </c>
      <c r="H1542">
        <v>3.15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1">
        <v>43697.825601851851</v>
      </c>
      <c r="B1543" t="s">
        <v>2407</v>
      </c>
      <c r="C1543" t="s">
        <v>2383</v>
      </c>
      <c r="D1543" t="s">
        <v>2381</v>
      </c>
      <c r="E1543">
        <v>360</v>
      </c>
      <c r="F1543">
        <v>3.59</v>
      </c>
      <c r="G1543">
        <v>3.93</v>
      </c>
      <c r="H1543">
        <v>3.15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1">
        <v>43697.825601851851</v>
      </c>
      <c r="B1544" t="s">
        <v>2407</v>
      </c>
      <c r="C1544" t="s">
        <v>2383</v>
      </c>
      <c r="D1544" t="s">
        <v>2388</v>
      </c>
      <c r="E1544" t="s">
        <v>2754</v>
      </c>
      <c r="F1544">
        <v>3.59</v>
      </c>
      <c r="G1544">
        <v>3.93</v>
      </c>
      <c r="H1544">
        <v>3.15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1">
        <v>43697.825601851851</v>
      </c>
      <c r="B1545" t="s">
        <v>2407</v>
      </c>
      <c r="C1545" t="s">
        <v>2383</v>
      </c>
      <c r="D1545" t="s">
        <v>2389</v>
      </c>
      <c r="E1545" s="12" t="s">
        <v>2385</v>
      </c>
      <c r="F1545">
        <v>3.59</v>
      </c>
      <c r="G1545">
        <v>3.93</v>
      </c>
      <c r="H1545">
        <v>3.15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1">
        <v>43697.825613425928</v>
      </c>
      <c r="B1546" t="s">
        <v>2407</v>
      </c>
      <c r="C1546" t="s">
        <v>2736</v>
      </c>
      <c r="E1546" t="s">
        <v>2378</v>
      </c>
      <c r="F1546">
        <v>3.59</v>
      </c>
      <c r="G1546">
        <v>3.93</v>
      </c>
      <c r="H1546">
        <v>3.15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1">
        <v>43697.826585648145</v>
      </c>
      <c r="B1547" t="s">
        <v>2407</v>
      </c>
      <c r="C1547" t="s">
        <v>2733</v>
      </c>
      <c r="D1547" t="s">
        <v>2390</v>
      </c>
      <c r="F1547">
        <v>3.59</v>
      </c>
      <c r="G1547">
        <v>3.93</v>
      </c>
      <c r="H1547">
        <v>3.15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1">
        <v>43697.826585648145</v>
      </c>
      <c r="B1548" t="s">
        <v>2407</v>
      </c>
      <c r="C1548" t="s">
        <v>2734</v>
      </c>
      <c r="D1548" t="s">
        <v>2390</v>
      </c>
      <c r="F1548">
        <v>3.59</v>
      </c>
      <c r="G1548">
        <v>3.93</v>
      </c>
      <c r="H1548">
        <v>3.15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1">
        <v>43697.826585648145</v>
      </c>
      <c r="B1549" t="s">
        <v>2407</v>
      </c>
      <c r="C1549" t="s">
        <v>2735</v>
      </c>
      <c r="D1549" t="s">
        <v>2390</v>
      </c>
      <c r="F1549">
        <v>3.59</v>
      </c>
      <c r="G1549">
        <v>3.93</v>
      </c>
      <c r="H1549">
        <v>3.15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1">
        <v>43697.826597222222</v>
      </c>
      <c r="B1550" t="s">
        <v>2407</v>
      </c>
      <c r="C1550" t="s">
        <v>2737</v>
      </c>
      <c r="E1550">
        <v>101</v>
      </c>
      <c r="F1550">
        <v>3.59</v>
      </c>
      <c r="G1550">
        <v>3.93</v>
      </c>
      <c r="H1550">
        <v>3.15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1">
        <v>43697.826597222222</v>
      </c>
      <c r="B1551" t="s">
        <v>2407</v>
      </c>
      <c r="C1551" t="s">
        <v>2738</v>
      </c>
      <c r="D1551" t="s">
        <v>2390</v>
      </c>
      <c r="E1551" t="s">
        <v>2739</v>
      </c>
      <c r="F1551">
        <v>3.59</v>
      </c>
      <c r="G1551">
        <v>3.93</v>
      </c>
      <c r="H1551">
        <v>3.15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1">
        <v>43697.826597222222</v>
      </c>
      <c r="B1552" t="s">
        <v>2407</v>
      </c>
      <c r="C1552" t="s">
        <v>2737</v>
      </c>
      <c r="E1552">
        <v>104</v>
      </c>
      <c r="F1552">
        <v>3.59</v>
      </c>
      <c r="G1552">
        <v>3.93</v>
      </c>
      <c r="H1552">
        <v>3.15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1">
        <v>43697.826597222222</v>
      </c>
      <c r="B1553" t="s">
        <v>2407</v>
      </c>
      <c r="C1553" t="s">
        <v>2737</v>
      </c>
      <c r="E1553">
        <v>104</v>
      </c>
      <c r="F1553">
        <v>3.59</v>
      </c>
      <c r="G1553">
        <v>3.93</v>
      </c>
      <c r="H1553">
        <v>3.15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1">
        <v>43697.826597222222</v>
      </c>
      <c r="B1554" t="s">
        <v>2407</v>
      </c>
      <c r="C1554" t="s">
        <v>2737</v>
      </c>
      <c r="E1554">
        <v>104</v>
      </c>
      <c r="F1554">
        <v>3.59</v>
      </c>
      <c r="G1554">
        <v>3.93</v>
      </c>
      <c r="H1554">
        <v>3.15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1">
        <v>43697.826597222222</v>
      </c>
      <c r="B1555" t="s">
        <v>2407</v>
      </c>
      <c r="C1555" t="s">
        <v>2740</v>
      </c>
      <c r="D1555" t="s">
        <v>2390</v>
      </c>
      <c r="E1555" t="s">
        <v>2741</v>
      </c>
      <c r="F1555">
        <v>3.59</v>
      </c>
      <c r="G1555">
        <v>3.93</v>
      </c>
      <c r="H1555">
        <v>3.15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1">
        <v>43697.826597222222</v>
      </c>
      <c r="B1556" t="s">
        <v>2407</v>
      </c>
      <c r="C1556" t="s">
        <v>2737</v>
      </c>
      <c r="E1556">
        <v>109</v>
      </c>
      <c r="F1556">
        <v>3.59</v>
      </c>
      <c r="G1556">
        <v>3.93</v>
      </c>
      <c r="H1556">
        <v>3.15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1">
        <v>43697.826597222222</v>
      </c>
      <c r="B1557" t="s">
        <v>2407</v>
      </c>
      <c r="C1557" t="s">
        <v>2737</v>
      </c>
      <c r="E1557">
        <v>109</v>
      </c>
      <c r="F1557">
        <v>3.59</v>
      </c>
      <c r="G1557">
        <v>3.93</v>
      </c>
      <c r="H1557">
        <v>3.15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1">
        <v>43697.826597222222</v>
      </c>
      <c r="B1558" t="s">
        <v>2407</v>
      </c>
      <c r="C1558" t="s">
        <v>2742</v>
      </c>
      <c r="D1558" t="s">
        <v>2390</v>
      </c>
      <c r="E1558" t="s">
        <v>2743</v>
      </c>
      <c r="F1558">
        <v>3.59</v>
      </c>
      <c r="G1558">
        <v>3.93</v>
      </c>
      <c r="H1558">
        <v>3.15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1">
        <v>43697.826608796298</v>
      </c>
      <c r="B1559" t="s">
        <v>2407</v>
      </c>
      <c r="C1559" t="s">
        <v>2737</v>
      </c>
      <c r="E1559">
        <v>105</v>
      </c>
      <c r="F1559">
        <v>3.59</v>
      </c>
      <c r="G1559">
        <v>3.93</v>
      </c>
      <c r="H1559">
        <v>3.15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1">
        <v>43697.826608796298</v>
      </c>
      <c r="B1560" t="s">
        <v>2407</v>
      </c>
      <c r="C1560" t="s">
        <v>2744</v>
      </c>
      <c r="E1560">
        <v>103</v>
      </c>
      <c r="F1560">
        <v>3.59</v>
      </c>
      <c r="G1560">
        <v>3.93</v>
      </c>
      <c r="H1560">
        <v>3.15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1">
        <v>43697.826608796298</v>
      </c>
      <c r="B1561" t="s">
        <v>2407</v>
      </c>
      <c r="C1561" t="s">
        <v>2745</v>
      </c>
      <c r="D1561" t="s">
        <v>2390</v>
      </c>
      <c r="E1561" t="s">
        <v>2746</v>
      </c>
      <c r="F1561">
        <v>3.59</v>
      </c>
      <c r="G1561">
        <v>3.93</v>
      </c>
      <c r="H1561">
        <v>3.15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1">
        <v>43697.826608796298</v>
      </c>
      <c r="B1562" t="s">
        <v>2407</v>
      </c>
      <c r="C1562" t="s">
        <v>2744</v>
      </c>
      <c r="E1562">
        <v>112</v>
      </c>
      <c r="F1562">
        <v>3.59</v>
      </c>
      <c r="G1562">
        <v>3.93</v>
      </c>
      <c r="H1562">
        <v>3.15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1">
        <v>43697.826608796298</v>
      </c>
      <c r="B1563" t="s">
        <v>2407</v>
      </c>
      <c r="C1563" t="s">
        <v>2744</v>
      </c>
      <c r="E1563">
        <v>112</v>
      </c>
      <c r="F1563">
        <v>3.59</v>
      </c>
      <c r="G1563">
        <v>3.93</v>
      </c>
      <c r="H1563">
        <v>3.15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1">
        <v>43697.826608796298</v>
      </c>
      <c r="B1564" t="s">
        <v>2407</v>
      </c>
      <c r="C1564" t="s">
        <v>2744</v>
      </c>
      <c r="E1564">
        <v>112</v>
      </c>
      <c r="F1564">
        <v>3.59</v>
      </c>
      <c r="G1564">
        <v>3.93</v>
      </c>
      <c r="H1564">
        <v>3.15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1">
        <v>43697.826608796298</v>
      </c>
      <c r="B1565" t="s">
        <v>2407</v>
      </c>
      <c r="C1565" t="s">
        <v>2747</v>
      </c>
      <c r="D1565" t="s">
        <v>2390</v>
      </c>
      <c r="E1565" t="s">
        <v>2748</v>
      </c>
      <c r="F1565">
        <v>3.59</v>
      </c>
      <c r="G1565">
        <v>3.93</v>
      </c>
      <c r="H1565">
        <v>3.15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1">
        <v>43697.827303240738</v>
      </c>
      <c r="B1566" t="s">
        <v>2407</v>
      </c>
      <c r="C1566" t="s">
        <v>2733</v>
      </c>
      <c r="D1566" t="s">
        <v>2390</v>
      </c>
      <c r="F1566">
        <v>3.59</v>
      </c>
      <c r="G1566">
        <v>3.93</v>
      </c>
      <c r="H1566">
        <v>3.15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1">
        <v>43697.827303240738</v>
      </c>
      <c r="B1567" t="s">
        <v>2407</v>
      </c>
      <c r="C1567" t="s">
        <v>2734</v>
      </c>
      <c r="D1567" t="s">
        <v>2390</v>
      </c>
      <c r="F1567">
        <v>3.59</v>
      </c>
      <c r="G1567">
        <v>3.93</v>
      </c>
      <c r="H1567">
        <v>3.15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1">
        <v>43697.827303240738</v>
      </c>
      <c r="B1568" t="s">
        <v>2407</v>
      </c>
      <c r="C1568" t="s">
        <v>2735</v>
      </c>
      <c r="D1568" t="s">
        <v>2390</v>
      </c>
      <c r="F1568">
        <v>3.59</v>
      </c>
      <c r="G1568">
        <v>3.93</v>
      </c>
      <c r="H1568">
        <v>3.15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1">
        <v>43697.827314814815</v>
      </c>
      <c r="B1569" t="s">
        <v>2407</v>
      </c>
      <c r="C1569" t="s">
        <v>2737</v>
      </c>
      <c r="E1569">
        <v>101</v>
      </c>
      <c r="F1569">
        <v>3.59</v>
      </c>
      <c r="G1569">
        <v>3.93</v>
      </c>
      <c r="H1569">
        <v>3.15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1">
        <v>43697.827314814815</v>
      </c>
      <c r="B1570" t="s">
        <v>2407</v>
      </c>
      <c r="C1570" t="s">
        <v>2738</v>
      </c>
      <c r="D1570" t="s">
        <v>2390</v>
      </c>
      <c r="E1570" t="s">
        <v>2739</v>
      </c>
      <c r="F1570">
        <v>3.59</v>
      </c>
      <c r="G1570">
        <v>3.93</v>
      </c>
      <c r="H1570">
        <v>3.15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1">
        <v>43697.827314814815</v>
      </c>
      <c r="B1571" t="s">
        <v>2407</v>
      </c>
      <c r="C1571" t="s">
        <v>2737</v>
      </c>
      <c r="E1571">
        <v>104</v>
      </c>
      <c r="F1571">
        <v>3.59</v>
      </c>
      <c r="G1571">
        <v>3.93</v>
      </c>
      <c r="H1571">
        <v>3.15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1">
        <v>43697.827314814815</v>
      </c>
      <c r="B1572" t="s">
        <v>2407</v>
      </c>
      <c r="C1572" t="s">
        <v>2737</v>
      </c>
      <c r="E1572">
        <v>104</v>
      </c>
      <c r="F1572">
        <v>3.59</v>
      </c>
      <c r="G1572">
        <v>3.93</v>
      </c>
      <c r="H1572">
        <v>3.15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1">
        <v>43697.827314814815</v>
      </c>
      <c r="B1573" t="s">
        <v>2407</v>
      </c>
      <c r="C1573" t="s">
        <v>2737</v>
      </c>
      <c r="E1573">
        <v>104</v>
      </c>
      <c r="F1573">
        <v>3.59</v>
      </c>
      <c r="G1573">
        <v>3.93</v>
      </c>
      <c r="H1573">
        <v>3.15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1">
        <v>43697.827314814815</v>
      </c>
      <c r="B1574" t="s">
        <v>2407</v>
      </c>
      <c r="C1574" t="s">
        <v>2740</v>
      </c>
      <c r="D1574" t="s">
        <v>2390</v>
      </c>
      <c r="E1574" t="s">
        <v>2741</v>
      </c>
      <c r="F1574">
        <v>3.59</v>
      </c>
      <c r="G1574">
        <v>3.93</v>
      </c>
      <c r="H1574">
        <v>3.15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1">
        <v>43697.827314814815</v>
      </c>
      <c r="B1575" t="s">
        <v>2407</v>
      </c>
      <c r="C1575" t="s">
        <v>2737</v>
      </c>
      <c r="E1575">
        <v>109</v>
      </c>
      <c r="F1575">
        <v>3.59</v>
      </c>
      <c r="G1575">
        <v>3.93</v>
      </c>
      <c r="H1575">
        <v>3.15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1">
        <v>43697.827314814815</v>
      </c>
      <c r="B1576" t="s">
        <v>2407</v>
      </c>
      <c r="C1576" t="s">
        <v>2737</v>
      </c>
      <c r="E1576">
        <v>109</v>
      </c>
      <c r="F1576">
        <v>3.59</v>
      </c>
      <c r="G1576">
        <v>3.93</v>
      </c>
      <c r="H1576">
        <v>3.15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1">
        <v>43697.827314814815</v>
      </c>
      <c r="B1577" t="s">
        <v>2407</v>
      </c>
      <c r="C1577" t="s">
        <v>2742</v>
      </c>
      <c r="D1577" t="s">
        <v>2390</v>
      </c>
      <c r="E1577" t="s">
        <v>2743</v>
      </c>
      <c r="F1577">
        <v>3.59</v>
      </c>
      <c r="G1577">
        <v>3.93</v>
      </c>
      <c r="H1577">
        <v>3.15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1">
        <v>43697.827314814815</v>
      </c>
      <c r="B1578" t="s">
        <v>2407</v>
      </c>
      <c r="C1578" t="s">
        <v>2737</v>
      </c>
      <c r="E1578">
        <v>105</v>
      </c>
      <c r="F1578">
        <v>3.59</v>
      </c>
      <c r="G1578">
        <v>3.93</v>
      </c>
      <c r="H1578">
        <v>3.15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1">
        <v>43697.827314814815</v>
      </c>
      <c r="B1579" t="s">
        <v>2407</v>
      </c>
      <c r="C1579" t="s">
        <v>2744</v>
      </c>
      <c r="E1579">
        <v>103</v>
      </c>
      <c r="F1579">
        <v>3.59</v>
      </c>
      <c r="G1579">
        <v>3.93</v>
      </c>
      <c r="H1579">
        <v>3.15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1">
        <v>43697.827314814815</v>
      </c>
      <c r="B1580" t="s">
        <v>2407</v>
      </c>
      <c r="C1580" t="s">
        <v>2745</v>
      </c>
      <c r="D1580" t="s">
        <v>2390</v>
      </c>
      <c r="E1580" t="s">
        <v>2746</v>
      </c>
      <c r="F1580">
        <v>3.59</v>
      </c>
      <c r="G1580">
        <v>3.93</v>
      </c>
      <c r="H1580">
        <v>3.15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1">
        <v>43697.827314814815</v>
      </c>
      <c r="B1581" t="s">
        <v>2407</v>
      </c>
      <c r="C1581" t="s">
        <v>2744</v>
      </c>
      <c r="E1581">
        <v>112</v>
      </c>
      <c r="F1581">
        <v>3.59</v>
      </c>
      <c r="G1581">
        <v>3.93</v>
      </c>
      <c r="H1581">
        <v>3.15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1">
        <v>43697.827314814815</v>
      </c>
      <c r="B1582" t="s">
        <v>2407</v>
      </c>
      <c r="C1582" t="s">
        <v>2744</v>
      </c>
      <c r="E1582">
        <v>112</v>
      </c>
      <c r="F1582">
        <v>3.59</v>
      </c>
      <c r="G1582">
        <v>3.93</v>
      </c>
      <c r="H1582">
        <v>3.15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1">
        <v>43697.827314814815</v>
      </c>
      <c r="B1583" t="s">
        <v>2407</v>
      </c>
      <c r="C1583" t="s">
        <v>2744</v>
      </c>
      <c r="E1583">
        <v>112</v>
      </c>
      <c r="F1583">
        <v>3.59</v>
      </c>
      <c r="G1583">
        <v>3.93</v>
      </c>
      <c r="H1583">
        <v>3.15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1">
        <v>43697.827314814815</v>
      </c>
      <c r="B1584" t="s">
        <v>2407</v>
      </c>
      <c r="C1584" t="s">
        <v>2747</v>
      </c>
      <c r="D1584" t="s">
        <v>2390</v>
      </c>
      <c r="E1584" t="s">
        <v>2748</v>
      </c>
      <c r="F1584">
        <v>3.59</v>
      </c>
      <c r="G1584">
        <v>3.93</v>
      </c>
      <c r="H1584">
        <v>3.15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1">
        <v>43697.827314814815</v>
      </c>
      <c r="B1585" t="s">
        <v>2407</v>
      </c>
      <c r="C1585" t="s">
        <v>2383</v>
      </c>
      <c r="D1585" t="s">
        <v>2384</v>
      </c>
      <c r="E1585" s="12" t="s">
        <v>2385</v>
      </c>
      <c r="F1585">
        <v>3.59</v>
      </c>
      <c r="G1585">
        <v>3.93</v>
      </c>
      <c r="H1585">
        <v>3.15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1">
        <v>43697.827314814815</v>
      </c>
      <c r="B1586" t="s">
        <v>2407</v>
      </c>
      <c r="C1586" t="s">
        <v>2383</v>
      </c>
      <c r="D1586" t="s">
        <v>2386</v>
      </c>
      <c r="E1586">
        <v>440</v>
      </c>
      <c r="F1586">
        <v>3.59</v>
      </c>
      <c r="G1586">
        <v>3.93</v>
      </c>
      <c r="H1586">
        <v>3.15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1">
        <v>43697.827314814815</v>
      </c>
      <c r="B1587" t="s">
        <v>2407</v>
      </c>
      <c r="C1587" t="s">
        <v>2383</v>
      </c>
      <c r="D1587" t="s">
        <v>2387</v>
      </c>
      <c r="E1587" t="s">
        <v>2755</v>
      </c>
      <c r="F1587">
        <v>3.59</v>
      </c>
      <c r="G1587">
        <v>3.93</v>
      </c>
      <c r="H1587">
        <v>3.15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1">
        <v>43697.827314814815</v>
      </c>
      <c r="B1588" t="s">
        <v>2407</v>
      </c>
      <c r="C1588" t="s">
        <v>2383</v>
      </c>
      <c r="D1588" t="s">
        <v>2381</v>
      </c>
      <c r="E1588">
        <v>360</v>
      </c>
      <c r="F1588">
        <v>3.59</v>
      </c>
      <c r="G1588">
        <v>3.93</v>
      </c>
      <c r="H1588">
        <v>3.15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1">
        <v>43697.827314814815</v>
      </c>
      <c r="B1589" t="s">
        <v>2407</v>
      </c>
      <c r="C1589" t="s">
        <v>2383</v>
      </c>
      <c r="D1589" t="s">
        <v>2388</v>
      </c>
      <c r="E1589" t="s">
        <v>2754</v>
      </c>
      <c r="F1589">
        <v>3.59</v>
      </c>
      <c r="G1589">
        <v>3.93</v>
      </c>
      <c r="H1589">
        <v>3.15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1">
        <v>43697.827314814815</v>
      </c>
      <c r="B1590" t="s">
        <v>2407</v>
      </c>
      <c r="C1590" t="s">
        <v>2383</v>
      </c>
      <c r="D1590" t="s">
        <v>2389</v>
      </c>
      <c r="E1590" s="12" t="s">
        <v>2385</v>
      </c>
      <c r="F1590">
        <v>3.59</v>
      </c>
      <c r="G1590">
        <v>3.93</v>
      </c>
      <c r="H1590">
        <v>3.15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1">
        <v>43697.827326388891</v>
      </c>
      <c r="B1591" t="s">
        <v>2407</v>
      </c>
      <c r="C1591" t="s">
        <v>2736</v>
      </c>
      <c r="E1591" t="s">
        <v>2378</v>
      </c>
      <c r="F1591">
        <v>3.59</v>
      </c>
      <c r="G1591">
        <v>3.93</v>
      </c>
      <c r="H1591">
        <v>3.15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1">
        <v>43697.827476851853</v>
      </c>
      <c r="B1592" t="s">
        <v>2407</v>
      </c>
      <c r="C1592" t="s">
        <v>2733</v>
      </c>
      <c r="D1592" t="s">
        <v>2390</v>
      </c>
      <c r="F1592">
        <v>3.59</v>
      </c>
      <c r="G1592">
        <v>3.93</v>
      </c>
      <c r="H1592">
        <v>3.15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1">
        <v>43697.827476851853</v>
      </c>
      <c r="B1593" t="s">
        <v>2407</v>
      </c>
      <c r="C1593" t="s">
        <v>2734</v>
      </c>
      <c r="D1593" t="s">
        <v>2390</v>
      </c>
      <c r="F1593">
        <v>3.59</v>
      </c>
      <c r="G1593">
        <v>3.93</v>
      </c>
      <c r="H1593">
        <v>3.15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1">
        <v>43697.827476851853</v>
      </c>
      <c r="B1594" t="s">
        <v>2407</v>
      </c>
      <c r="C1594" t="s">
        <v>2735</v>
      </c>
      <c r="D1594" t="s">
        <v>2390</v>
      </c>
      <c r="F1594">
        <v>3.59</v>
      </c>
      <c r="G1594">
        <v>3.93</v>
      </c>
      <c r="H1594">
        <v>3.15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1">
        <v>43697.827499999999</v>
      </c>
      <c r="B1595" t="s">
        <v>2407</v>
      </c>
      <c r="C1595" t="s">
        <v>2737</v>
      </c>
      <c r="E1595">
        <v>101</v>
      </c>
      <c r="F1595">
        <v>3.59</v>
      </c>
      <c r="G1595">
        <v>3.93</v>
      </c>
      <c r="H1595">
        <v>3.15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1">
        <v>43697.827499999999</v>
      </c>
      <c r="B1596" t="s">
        <v>2407</v>
      </c>
      <c r="C1596" t="s">
        <v>2738</v>
      </c>
      <c r="D1596" t="s">
        <v>2390</v>
      </c>
      <c r="E1596" t="s">
        <v>2739</v>
      </c>
      <c r="F1596">
        <v>3.59</v>
      </c>
      <c r="G1596">
        <v>3.93</v>
      </c>
      <c r="H1596">
        <v>3.15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1">
        <v>43697.827499999999</v>
      </c>
      <c r="B1597" t="s">
        <v>2407</v>
      </c>
      <c r="C1597" t="s">
        <v>2737</v>
      </c>
      <c r="E1597">
        <v>104</v>
      </c>
      <c r="F1597">
        <v>3.59</v>
      </c>
      <c r="G1597">
        <v>3.93</v>
      </c>
      <c r="H1597">
        <v>3.15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1">
        <v>43697.827499999999</v>
      </c>
      <c r="B1598" t="s">
        <v>2407</v>
      </c>
      <c r="C1598" t="s">
        <v>2737</v>
      </c>
      <c r="E1598">
        <v>104</v>
      </c>
      <c r="F1598">
        <v>3.59</v>
      </c>
      <c r="G1598">
        <v>3.93</v>
      </c>
      <c r="H1598">
        <v>3.15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1">
        <v>43697.827499999999</v>
      </c>
      <c r="B1599" t="s">
        <v>2407</v>
      </c>
      <c r="C1599" t="s">
        <v>2737</v>
      </c>
      <c r="E1599">
        <v>104</v>
      </c>
      <c r="F1599">
        <v>3.59</v>
      </c>
      <c r="G1599">
        <v>3.93</v>
      </c>
      <c r="H1599">
        <v>3.15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1">
        <v>43697.827499999999</v>
      </c>
      <c r="B1600" t="s">
        <v>2407</v>
      </c>
      <c r="C1600" t="s">
        <v>2740</v>
      </c>
      <c r="D1600" t="s">
        <v>2390</v>
      </c>
      <c r="E1600" t="s">
        <v>2741</v>
      </c>
      <c r="F1600">
        <v>3.59</v>
      </c>
      <c r="G1600">
        <v>3.93</v>
      </c>
      <c r="H1600">
        <v>3.15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1">
        <v>43697.827499999999</v>
      </c>
      <c r="B1601" t="s">
        <v>2407</v>
      </c>
      <c r="C1601" t="s">
        <v>2737</v>
      </c>
      <c r="E1601">
        <v>109</v>
      </c>
      <c r="F1601">
        <v>3.59</v>
      </c>
      <c r="G1601">
        <v>3.93</v>
      </c>
      <c r="H1601">
        <v>3.15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1">
        <v>43697.827499999999</v>
      </c>
      <c r="B1602" t="s">
        <v>2407</v>
      </c>
      <c r="C1602" t="s">
        <v>2737</v>
      </c>
      <c r="E1602">
        <v>109</v>
      </c>
      <c r="F1602">
        <v>3.59</v>
      </c>
      <c r="G1602">
        <v>3.93</v>
      </c>
      <c r="H1602">
        <v>3.15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1">
        <v>43697.827499999999</v>
      </c>
      <c r="B1603" t="s">
        <v>2407</v>
      </c>
      <c r="C1603" t="s">
        <v>2742</v>
      </c>
      <c r="D1603" t="s">
        <v>2390</v>
      </c>
      <c r="E1603" t="s">
        <v>2743</v>
      </c>
      <c r="F1603">
        <v>3.59</v>
      </c>
      <c r="G1603">
        <v>3.93</v>
      </c>
      <c r="H1603">
        <v>3.15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1">
        <v>43697.827499999999</v>
      </c>
      <c r="B1604" t="s">
        <v>2407</v>
      </c>
      <c r="C1604" t="s">
        <v>2737</v>
      </c>
      <c r="E1604">
        <v>105</v>
      </c>
      <c r="F1604">
        <v>3.59</v>
      </c>
      <c r="G1604">
        <v>3.93</v>
      </c>
      <c r="H1604">
        <v>3.15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1">
        <v>43697.827499999999</v>
      </c>
      <c r="B1605" t="s">
        <v>2407</v>
      </c>
      <c r="C1605" t="s">
        <v>2744</v>
      </c>
      <c r="E1605">
        <v>103</v>
      </c>
      <c r="F1605">
        <v>3.59</v>
      </c>
      <c r="G1605">
        <v>3.93</v>
      </c>
      <c r="H1605">
        <v>3.15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1">
        <v>43697.827499999999</v>
      </c>
      <c r="B1606" t="s">
        <v>2407</v>
      </c>
      <c r="C1606" t="s">
        <v>2745</v>
      </c>
      <c r="D1606" t="s">
        <v>2390</v>
      </c>
      <c r="E1606" t="s">
        <v>2746</v>
      </c>
      <c r="F1606">
        <v>3.59</v>
      </c>
      <c r="G1606">
        <v>3.93</v>
      </c>
      <c r="H1606">
        <v>3.15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1">
        <v>43697.827499999999</v>
      </c>
      <c r="B1607" t="s">
        <v>2407</v>
      </c>
      <c r="C1607" t="s">
        <v>2744</v>
      </c>
      <c r="E1607">
        <v>112</v>
      </c>
      <c r="F1607">
        <v>3.59</v>
      </c>
      <c r="G1607">
        <v>3.93</v>
      </c>
      <c r="H1607">
        <v>3.15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1">
        <v>43697.827499999999</v>
      </c>
      <c r="B1608" t="s">
        <v>2407</v>
      </c>
      <c r="C1608" t="s">
        <v>2744</v>
      </c>
      <c r="E1608">
        <v>112</v>
      </c>
      <c r="F1608">
        <v>3.59</v>
      </c>
      <c r="G1608">
        <v>3.93</v>
      </c>
      <c r="H1608">
        <v>3.15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1">
        <v>43697.827499999999</v>
      </c>
      <c r="B1609" t="s">
        <v>2407</v>
      </c>
      <c r="C1609" t="s">
        <v>2744</v>
      </c>
      <c r="E1609">
        <v>112</v>
      </c>
      <c r="F1609">
        <v>3.59</v>
      </c>
      <c r="G1609">
        <v>3.93</v>
      </c>
      <c r="H1609">
        <v>3.15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1">
        <v>43697.827499999999</v>
      </c>
      <c r="B1610" t="s">
        <v>2407</v>
      </c>
      <c r="C1610" t="s">
        <v>2747</v>
      </c>
      <c r="D1610" t="s">
        <v>2390</v>
      </c>
      <c r="E1610" t="s">
        <v>2748</v>
      </c>
      <c r="F1610">
        <v>3.59</v>
      </c>
      <c r="G1610">
        <v>3.93</v>
      </c>
      <c r="H1610">
        <v>3.15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1">
        <v>43697.827499999999</v>
      </c>
      <c r="B1611" t="s">
        <v>2407</v>
      </c>
      <c r="C1611" t="s">
        <v>2383</v>
      </c>
      <c r="D1611" t="s">
        <v>2384</v>
      </c>
      <c r="E1611" s="12" t="s">
        <v>2385</v>
      </c>
      <c r="F1611">
        <v>3.59</v>
      </c>
      <c r="G1611">
        <v>3.93</v>
      </c>
      <c r="H1611">
        <v>3.15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1">
        <v>43697.827499999999</v>
      </c>
      <c r="B1612" t="s">
        <v>2407</v>
      </c>
      <c r="C1612" t="s">
        <v>2383</v>
      </c>
      <c r="D1612" t="s">
        <v>2386</v>
      </c>
      <c r="E1612">
        <v>440</v>
      </c>
      <c r="F1612">
        <v>3.59</v>
      </c>
      <c r="G1612">
        <v>3.93</v>
      </c>
      <c r="H1612">
        <v>3.15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1">
        <v>43697.827499999999</v>
      </c>
      <c r="B1613" t="s">
        <v>2407</v>
      </c>
      <c r="C1613" t="s">
        <v>2383</v>
      </c>
      <c r="D1613" t="s">
        <v>2387</v>
      </c>
      <c r="E1613" t="s">
        <v>2755</v>
      </c>
      <c r="F1613">
        <v>3.59</v>
      </c>
      <c r="G1613">
        <v>3.93</v>
      </c>
      <c r="H1613">
        <v>3.15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1">
        <v>43697.827499999999</v>
      </c>
      <c r="B1614" t="s">
        <v>2407</v>
      </c>
      <c r="C1614" t="s">
        <v>2383</v>
      </c>
      <c r="D1614" t="s">
        <v>2381</v>
      </c>
      <c r="E1614">
        <v>360</v>
      </c>
      <c r="F1614">
        <v>3.59</v>
      </c>
      <c r="G1614">
        <v>3.93</v>
      </c>
      <c r="H1614">
        <v>3.15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1">
        <v>43697.827499999999</v>
      </c>
      <c r="B1615" t="s">
        <v>2407</v>
      </c>
      <c r="C1615" t="s">
        <v>2383</v>
      </c>
      <c r="D1615" t="s">
        <v>2388</v>
      </c>
      <c r="E1615" t="s">
        <v>2754</v>
      </c>
      <c r="F1615">
        <v>3.59</v>
      </c>
      <c r="G1615">
        <v>3.93</v>
      </c>
      <c r="H1615">
        <v>3.15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1">
        <v>43697.827499999999</v>
      </c>
      <c r="B1616" t="s">
        <v>2407</v>
      </c>
      <c r="C1616" t="s">
        <v>2383</v>
      </c>
      <c r="D1616" t="s">
        <v>2389</v>
      </c>
      <c r="E1616" s="12" t="s">
        <v>2385</v>
      </c>
      <c r="F1616">
        <v>3.59</v>
      </c>
      <c r="G1616">
        <v>3.93</v>
      </c>
      <c r="H1616">
        <v>3.15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1">
        <v>43697.827499999999</v>
      </c>
      <c r="B1617" t="s">
        <v>2407</v>
      </c>
      <c r="C1617" t="s">
        <v>2736</v>
      </c>
      <c r="E1617" t="s">
        <v>2378</v>
      </c>
      <c r="F1617">
        <v>3.59</v>
      </c>
      <c r="G1617">
        <v>3.93</v>
      </c>
      <c r="H1617">
        <v>3.15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1">
        <v>43697.827766203707</v>
      </c>
      <c r="B1618" t="s">
        <v>2407</v>
      </c>
      <c r="C1618" t="s">
        <v>2733</v>
      </c>
      <c r="D1618" t="s">
        <v>2390</v>
      </c>
      <c r="F1618">
        <v>3.59</v>
      </c>
      <c r="G1618">
        <v>3.93</v>
      </c>
      <c r="H1618">
        <v>3.15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1">
        <v>43697.827766203707</v>
      </c>
      <c r="B1619" t="s">
        <v>2407</v>
      </c>
      <c r="C1619" t="s">
        <v>2734</v>
      </c>
      <c r="D1619" t="s">
        <v>2390</v>
      </c>
      <c r="F1619">
        <v>3.59</v>
      </c>
      <c r="G1619">
        <v>3.93</v>
      </c>
      <c r="H1619">
        <v>3.15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1">
        <v>43697.827766203707</v>
      </c>
      <c r="B1620" t="s">
        <v>2407</v>
      </c>
      <c r="C1620" t="s">
        <v>2735</v>
      </c>
      <c r="D1620" t="s">
        <v>2390</v>
      </c>
      <c r="F1620">
        <v>3.59</v>
      </c>
      <c r="G1620">
        <v>3.93</v>
      </c>
      <c r="H1620">
        <v>3.15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1">
        <v>43697.827766203707</v>
      </c>
      <c r="B1621" t="s">
        <v>2407</v>
      </c>
      <c r="C1621" t="s">
        <v>2737</v>
      </c>
      <c r="E1621">
        <v>101</v>
      </c>
      <c r="F1621">
        <v>3.59</v>
      </c>
      <c r="G1621">
        <v>3.93</v>
      </c>
      <c r="H1621">
        <v>3.15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1">
        <v>43697.827766203707</v>
      </c>
      <c r="B1622" t="s">
        <v>2407</v>
      </c>
      <c r="C1622" t="s">
        <v>2738</v>
      </c>
      <c r="D1622" t="s">
        <v>2390</v>
      </c>
      <c r="E1622" t="s">
        <v>2739</v>
      </c>
      <c r="F1622">
        <v>3.59</v>
      </c>
      <c r="G1622">
        <v>3.93</v>
      </c>
      <c r="H1622">
        <v>3.15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1">
        <v>43697.827766203707</v>
      </c>
      <c r="B1623" t="s">
        <v>2407</v>
      </c>
      <c r="C1623" t="s">
        <v>2737</v>
      </c>
      <c r="E1623">
        <v>104</v>
      </c>
      <c r="F1623">
        <v>3.59</v>
      </c>
      <c r="G1623">
        <v>3.93</v>
      </c>
      <c r="H1623">
        <v>3.15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1">
        <v>43697.827766203707</v>
      </c>
      <c r="B1624" t="s">
        <v>2407</v>
      </c>
      <c r="C1624" t="s">
        <v>2737</v>
      </c>
      <c r="E1624">
        <v>104</v>
      </c>
      <c r="F1624">
        <v>3.59</v>
      </c>
      <c r="G1624">
        <v>3.93</v>
      </c>
      <c r="H1624">
        <v>3.15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1">
        <v>43697.827766203707</v>
      </c>
      <c r="B1625" t="s">
        <v>2407</v>
      </c>
      <c r="C1625" t="s">
        <v>2737</v>
      </c>
      <c r="E1625">
        <v>104</v>
      </c>
      <c r="F1625">
        <v>3.59</v>
      </c>
      <c r="G1625">
        <v>3.93</v>
      </c>
      <c r="H1625">
        <v>3.15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1">
        <v>43697.827766203707</v>
      </c>
      <c r="B1626" t="s">
        <v>2407</v>
      </c>
      <c r="C1626" t="s">
        <v>2740</v>
      </c>
      <c r="D1626" t="s">
        <v>2390</v>
      </c>
      <c r="E1626" t="s">
        <v>2741</v>
      </c>
      <c r="F1626">
        <v>3.59</v>
      </c>
      <c r="G1626">
        <v>3.93</v>
      </c>
      <c r="H1626">
        <v>3.15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1">
        <v>43697.827766203707</v>
      </c>
      <c r="B1627" t="s">
        <v>2407</v>
      </c>
      <c r="C1627" t="s">
        <v>2737</v>
      </c>
      <c r="E1627">
        <v>109</v>
      </c>
      <c r="F1627">
        <v>3.59</v>
      </c>
      <c r="G1627">
        <v>3.93</v>
      </c>
      <c r="H1627">
        <v>3.15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1">
        <v>43697.827766203707</v>
      </c>
      <c r="B1628" t="s">
        <v>2407</v>
      </c>
      <c r="C1628" t="s">
        <v>2737</v>
      </c>
      <c r="E1628">
        <v>109</v>
      </c>
      <c r="F1628">
        <v>3.59</v>
      </c>
      <c r="G1628">
        <v>3.93</v>
      </c>
      <c r="H1628">
        <v>3.15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1">
        <v>43697.827766203707</v>
      </c>
      <c r="B1629" t="s">
        <v>2407</v>
      </c>
      <c r="C1629" t="s">
        <v>2742</v>
      </c>
      <c r="D1629" t="s">
        <v>2390</v>
      </c>
      <c r="E1629" t="s">
        <v>2743</v>
      </c>
      <c r="F1629">
        <v>3.59</v>
      </c>
      <c r="G1629">
        <v>3.93</v>
      </c>
      <c r="H1629">
        <v>3.15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1">
        <v>43697.827766203707</v>
      </c>
      <c r="B1630" t="s">
        <v>2407</v>
      </c>
      <c r="C1630" t="s">
        <v>2737</v>
      </c>
      <c r="E1630">
        <v>105</v>
      </c>
      <c r="F1630">
        <v>3.59</v>
      </c>
      <c r="G1630">
        <v>3.93</v>
      </c>
      <c r="H1630">
        <v>3.15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1">
        <v>43697.827766203707</v>
      </c>
      <c r="B1631" t="s">
        <v>2407</v>
      </c>
      <c r="C1631" t="s">
        <v>2744</v>
      </c>
      <c r="E1631">
        <v>103</v>
      </c>
      <c r="F1631">
        <v>3.59</v>
      </c>
      <c r="G1631">
        <v>3.93</v>
      </c>
      <c r="H1631">
        <v>3.15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1">
        <v>43697.827766203707</v>
      </c>
      <c r="B1632" t="s">
        <v>2407</v>
      </c>
      <c r="C1632" t="s">
        <v>2745</v>
      </c>
      <c r="D1632" t="s">
        <v>2390</v>
      </c>
      <c r="E1632" t="s">
        <v>2746</v>
      </c>
      <c r="F1632">
        <v>3.59</v>
      </c>
      <c r="G1632">
        <v>3.93</v>
      </c>
      <c r="H1632">
        <v>3.15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1">
        <v>43697.827766203707</v>
      </c>
      <c r="B1633" t="s">
        <v>2407</v>
      </c>
      <c r="C1633" t="s">
        <v>2744</v>
      </c>
      <c r="E1633">
        <v>112</v>
      </c>
      <c r="F1633">
        <v>3.59</v>
      </c>
      <c r="G1633">
        <v>3.93</v>
      </c>
      <c r="H1633">
        <v>3.15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1">
        <v>43697.827766203707</v>
      </c>
      <c r="B1634" t="s">
        <v>2407</v>
      </c>
      <c r="C1634" t="s">
        <v>2744</v>
      </c>
      <c r="E1634">
        <v>112</v>
      </c>
      <c r="F1634">
        <v>3.59</v>
      </c>
      <c r="G1634">
        <v>3.93</v>
      </c>
      <c r="H1634">
        <v>3.15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1">
        <v>43697.827766203707</v>
      </c>
      <c r="B1635" t="s">
        <v>2407</v>
      </c>
      <c r="C1635" t="s">
        <v>2744</v>
      </c>
      <c r="E1635">
        <v>112</v>
      </c>
      <c r="F1635">
        <v>3.59</v>
      </c>
      <c r="G1635">
        <v>3.93</v>
      </c>
      <c r="H1635">
        <v>3.15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1">
        <v>43697.827766203707</v>
      </c>
      <c r="B1636" t="s">
        <v>2407</v>
      </c>
      <c r="C1636" t="s">
        <v>2747</v>
      </c>
      <c r="D1636" t="s">
        <v>2390</v>
      </c>
      <c r="E1636" t="s">
        <v>2748</v>
      </c>
      <c r="F1636">
        <v>3.59</v>
      </c>
      <c r="G1636">
        <v>3.93</v>
      </c>
      <c r="H1636">
        <v>3.15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1">
        <v>43697.827766203707</v>
      </c>
      <c r="B1637" t="s">
        <v>2407</v>
      </c>
      <c r="C1637" t="s">
        <v>2383</v>
      </c>
      <c r="D1637" t="s">
        <v>2384</v>
      </c>
      <c r="E1637" s="12" t="s">
        <v>2385</v>
      </c>
      <c r="F1637">
        <v>3.59</v>
      </c>
      <c r="G1637">
        <v>3.93</v>
      </c>
      <c r="H1637">
        <v>3.15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1">
        <v>43697.827766203707</v>
      </c>
      <c r="B1638" t="s">
        <v>2407</v>
      </c>
      <c r="C1638" t="s">
        <v>2383</v>
      </c>
      <c r="D1638" t="s">
        <v>2386</v>
      </c>
      <c r="E1638">
        <v>440</v>
      </c>
      <c r="F1638">
        <v>3.59</v>
      </c>
      <c r="G1638">
        <v>3.93</v>
      </c>
      <c r="H1638">
        <v>3.15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1">
        <v>43697.827766203707</v>
      </c>
      <c r="B1639" t="s">
        <v>2407</v>
      </c>
      <c r="C1639" t="s">
        <v>2383</v>
      </c>
      <c r="D1639" t="s">
        <v>2387</v>
      </c>
      <c r="E1639" t="s">
        <v>2755</v>
      </c>
      <c r="F1639">
        <v>3.59</v>
      </c>
      <c r="G1639">
        <v>3.93</v>
      </c>
      <c r="H1639">
        <v>3.15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1">
        <v>43697.827766203707</v>
      </c>
      <c r="B1640" t="s">
        <v>2407</v>
      </c>
      <c r="C1640" t="s">
        <v>2383</v>
      </c>
      <c r="D1640" t="s">
        <v>2381</v>
      </c>
      <c r="E1640">
        <v>360</v>
      </c>
      <c r="F1640">
        <v>3.59</v>
      </c>
      <c r="G1640">
        <v>3.93</v>
      </c>
      <c r="H1640">
        <v>3.15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1">
        <v>43697.827766203707</v>
      </c>
      <c r="B1641" t="s">
        <v>2407</v>
      </c>
      <c r="C1641" t="s">
        <v>2383</v>
      </c>
      <c r="D1641" t="s">
        <v>2388</v>
      </c>
      <c r="E1641" t="s">
        <v>2754</v>
      </c>
      <c r="F1641">
        <v>3.59</v>
      </c>
      <c r="G1641">
        <v>3.93</v>
      </c>
      <c r="H1641">
        <v>3.15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1">
        <v>43697.827766203707</v>
      </c>
      <c r="B1642" t="s">
        <v>2407</v>
      </c>
      <c r="C1642" t="s">
        <v>2383</v>
      </c>
      <c r="D1642" t="s">
        <v>2389</v>
      </c>
      <c r="E1642" s="12" t="s">
        <v>2385</v>
      </c>
      <c r="F1642">
        <v>3.59</v>
      </c>
      <c r="G1642">
        <v>3.93</v>
      </c>
      <c r="H1642">
        <v>3.15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1">
        <v>43697.827777777777</v>
      </c>
      <c r="B1643" t="s">
        <v>2407</v>
      </c>
      <c r="C1643" t="s">
        <v>2736</v>
      </c>
      <c r="E1643" t="s">
        <v>2378</v>
      </c>
      <c r="F1643">
        <v>3.59</v>
      </c>
      <c r="G1643">
        <v>3.93</v>
      </c>
      <c r="H1643">
        <v>3.15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1">
        <v>43697.827962962961</v>
      </c>
      <c r="B1644" t="s">
        <v>2407</v>
      </c>
      <c r="C1644" t="s">
        <v>2733</v>
      </c>
      <c r="D1644" t="s">
        <v>2390</v>
      </c>
      <c r="F1644">
        <v>3.59</v>
      </c>
      <c r="G1644">
        <v>3.93</v>
      </c>
      <c r="H1644">
        <v>3.15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1">
        <v>43697.827962962961</v>
      </c>
      <c r="B1645" t="s">
        <v>2407</v>
      </c>
      <c r="C1645" t="s">
        <v>2734</v>
      </c>
      <c r="D1645" t="s">
        <v>2390</v>
      </c>
      <c r="F1645">
        <v>3.59</v>
      </c>
      <c r="G1645">
        <v>3.93</v>
      </c>
      <c r="H1645">
        <v>3.15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1">
        <v>43697.827962962961</v>
      </c>
      <c r="B1646" t="s">
        <v>2407</v>
      </c>
      <c r="C1646" t="s">
        <v>2735</v>
      </c>
      <c r="D1646" t="s">
        <v>2390</v>
      </c>
      <c r="F1646">
        <v>3.59</v>
      </c>
      <c r="G1646">
        <v>3.93</v>
      </c>
      <c r="H1646">
        <v>3.15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1">
        <v>43697.827974537038</v>
      </c>
      <c r="B1647" t="s">
        <v>2407</v>
      </c>
      <c r="C1647" t="s">
        <v>2737</v>
      </c>
      <c r="E1647">
        <v>101</v>
      </c>
      <c r="F1647">
        <v>3.59</v>
      </c>
      <c r="G1647">
        <v>3.93</v>
      </c>
      <c r="H1647">
        <v>3.15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1">
        <v>43697.827974537038</v>
      </c>
      <c r="B1648" t="s">
        <v>2407</v>
      </c>
      <c r="C1648" t="s">
        <v>2738</v>
      </c>
      <c r="D1648" t="s">
        <v>2390</v>
      </c>
      <c r="E1648" t="s">
        <v>2739</v>
      </c>
      <c r="F1648">
        <v>3.59</v>
      </c>
      <c r="G1648">
        <v>3.93</v>
      </c>
      <c r="H1648">
        <v>3.15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1">
        <v>43697.827974537038</v>
      </c>
      <c r="B1649" t="s">
        <v>2407</v>
      </c>
      <c r="C1649" t="s">
        <v>2737</v>
      </c>
      <c r="E1649">
        <v>104</v>
      </c>
      <c r="F1649">
        <v>3.59</v>
      </c>
      <c r="G1649">
        <v>3.93</v>
      </c>
      <c r="H1649">
        <v>3.15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1">
        <v>43697.827974537038</v>
      </c>
      <c r="B1650" t="s">
        <v>2407</v>
      </c>
      <c r="C1650" t="s">
        <v>2737</v>
      </c>
      <c r="E1650">
        <v>104</v>
      </c>
      <c r="F1650">
        <v>3.59</v>
      </c>
      <c r="G1650">
        <v>3.93</v>
      </c>
      <c r="H1650">
        <v>3.15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1">
        <v>43697.827974537038</v>
      </c>
      <c r="B1651" t="s">
        <v>2407</v>
      </c>
      <c r="C1651" t="s">
        <v>2737</v>
      </c>
      <c r="E1651">
        <v>104</v>
      </c>
      <c r="F1651">
        <v>3.59</v>
      </c>
      <c r="G1651">
        <v>3.93</v>
      </c>
      <c r="H1651">
        <v>3.15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1">
        <v>43697.827974537038</v>
      </c>
      <c r="B1652" t="s">
        <v>2407</v>
      </c>
      <c r="C1652" t="s">
        <v>2740</v>
      </c>
      <c r="D1652" t="s">
        <v>2390</v>
      </c>
      <c r="E1652" t="s">
        <v>2741</v>
      </c>
      <c r="F1652">
        <v>3.59</v>
      </c>
      <c r="G1652">
        <v>3.93</v>
      </c>
      <c r="H1652">
        <v>3.15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1">
        <v>43697.827974537038</v>
      </c>
      <c r="B1653" t="s">
        <v>2407</v>
      </c>
      <c r="C1653" t="s">
        <v>2737</v>
      </c>
      <c r="E1653">
        <v>109</v>
      </c>
      <c r="F1653">
        <v>3.59</v>
      </c>
      <c r="G1653">
        <v>3.93</v>
      </c>
      <c r="H1653">
        <v>3.15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1">
        <v>43697.827974537038</v>
      </c>
      <c r="B1654" t="s">
        <v>2407</v>
      </c>
      <c r="C1654" t="s">
        <v>2737</v>
      </c>
      <c r="E1654">
        <v>109</v>
      </c>
      <c r="F1654">
        <v>3.59</v>
      </c>
      <c r="G1654">
        <v>3.93</v>
      </c>
      <c r="H1654">
        <v>3.15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1">
        <v>43697.827974537038</v>
      </c>
      <c r="B1655" t="s">
        <v>2407</v>
      </c>
      <c r="C1655" t="s">
        <v>2742</v>
      </c>
      <c r="D1655" t="s">
        <v>2390</v>
      </c>
      <c r="E1655" t="s">
        <v>2743</v>
      </c>
      <c r="F1655">
        <v>3.59</v>
      </c>
      <c r="G1655">
        <v>3.93</v>
      </c>
      <c r="H1655">
        <v>3.15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1">
        <v>43697.827974537038</v>
      </c>
      <c r="B1656" t="s">
        <v>2407</v>
      </c>
      <c r="C1656" t="s">
        <v>2737</v>
      </c>
      <c r="E1656">
        <v>105</v>
      </c>
      <c r="F1656">
        <v>3.59</v>
      </c>
      <c r="G1656">
        <v>3.93</v>
      </c>
      <c r="H1656">
        <v>3.15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1">
        <v>43697.827974537038</v>
      </c>
      <c r="B1657" t="s">
        <v>2407</v>
      </c>
      <c r="C1657" t="s">
        <v>2744</v>
      </c>
      <c r="E1657">
        <v>103</v>
      </c>
      <c r="F1657">
        <v>3.59</v>
      </c>
      <c r="G1657">
        <v>3.93</v>
      </c>
      <c r="H1657">
        <v>3.15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1">
        <v>43697.827974537038</v>
      </c>
      <c r="B1658" t="s">
        <v>2407</v>
      </c>
      <c r="C1658" t="s">
        <v>2745</v>
      </c>
      <c r="D1658" t="s">
        <v>2390</v>
      </c>
      <c r="E1658" t="s">
        <v>2746</v>
      </c>
      <c r="F1658">
        <v>3.59</v>
      </c>
      <c r="G1658">
        <v>3.93</v>
      </c>
      <c r="H1658">
        <v>3.15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1">
        <v>43697.827974537038</v>
      </c>
      <c r="B1659" t="s">
        <v>2407</v>
      </c>
      <c r="C1659" t="s">
        <v>2744</v>
      </c>
      <c r="E1659">
        <v>112</v>
      </c>
      <c r="F1659">
        <v>3.59</v>
      </c>
      <c r="G1659">
        <v>3.93</v>
      </c>
      <c r="H1659">
        <v>3.15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1">
        <v>43697.827974537038</v>
      </c>
      <c r="B1660" t="s">
        <v>2407</v>
      </c>
      <c r="C1660" t="s">
        <v>2744</v>
      </c>
      <c r="E1660">
        <v>112</v>
      </c>
      <c r="F1660">
        <v>3.59</v>
      </c>
      <c r="G1660">
        <v>3.93</v>
      </c>
      <c r="H1660">
        <v>3.15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1">
        <v>43697.827974537038</v>
      </c>
      <c r="B1661" t="s">
        <v>2407</v>
      </c>
      <c r="C1661" t="s">
        <v>2744</v>
      </c>
      <c r="E1661">
        <v>112</v>
      </c>
      <c r="F1661">
        <v>3.59</v>
      </c>
      <c r="G1661">
        <v>3.93</v>
      </c>
      <c r="H1661">
        <v>3.15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1">
        <v>43697.827974537038</v>
      </c>
      <c r="B1662" t="s">
        <v>2407</v>
      </c>
      <c r="C1662" t="s">
        <v>2747</v>
      </c>
      <c r="D1662" t="s">
        <v>2390</v>
      </c>
      <c r="E1662" t="s">
        <v>2748</v>
      </c>
      <c r="F1662">
        <v>3.59</v>
      </c>
      <c r="G1662">
        <v>3.93</v>
      </c>
      <c r="H1662">
        <v>3.15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1">
        <v>43697.827974537038</v>
      </c>
      <c r="B1663" t="s">
        <v>2407</v>
      </c>
      <c r="C1663" t="s">
        <v>2383</v>
      </c>
      <c r="D1663" t="s">
        <v>2384</v>
      </c>
      <c r="E1663" s="12" t="s">
        <v>2385</v>
      </c>
      <c r="F1663">
        <v>3.59</v>
      </c>
      <c r="G1663">
        <v>3.93</v>
      </c>
      <c r="H1663">
        <v>3.15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1">
        <v>43697.827974537038</v>
      </c>
      <c r="B1664" t="s">
        <v>2407</v>
      </c>
      <c r="C1664" t="s">
        <v>2383</v>
      </c>
      <c r="D1664" t="s">
        <v>2386</v>
      </c>
      <c r="E1664">
        <v>440</v>
      </c>
      <c r="F1664">
        <v>3.59</v>
      </c>
      <c r="G1664">
        <v>3.93</v>
      </c>
      <c r="H1664">
        <v>3.15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1">
        <v>43697.827974537038</v>
      </c>
      <c r="B1665" t="s">
        <v>2407</v>
      </c>
      <c r="C1665" t="s">
        <v>2383</v>
      </c>
      <c r="D1665" t="s">
        <v>2387</v>
      </c>
      <c r="E1665" t="s">
        <v>2755</v>
      </c>
      <c r="F1665">
        <v>3.59</v>
      </c>
      <c r="G1665">
        <v>3.93</v>
      </c>
      <c r="H1665">
        <v>3.15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1">
        <v>43697.827974537038</v>
      </c>
      <c r="B1666" t="s">
        <v>2407</v>
      </c>
      <c r="C1666" t="s">
        <v>2383</v>
      </c>
      <c r="D1666" t="s">
        <v>2381</v>
      </c>
      <c r="E1666">
        <v>360</v>
      </c>
      <c r="F1666">
        <v>3.59</v>
      </c>
      <c r="G1666">
        <v>3.93</v>
      </c>
      <c r="H1666">
        <v>3.15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1">
        <v>43697.827974537038</v>
      </c>
      <c r="B1667" t="s">
        <v>2407</v>
      </c>
      <c r="C1667" t="s">
        <v>2383</v>
      </c>
      <c r="D1667" t="s">
        <v>2388</v>
      </c>
      <c r="E1667" t="s">
        <v>2754</v>
      </c>
      <c r="F1667">
        <v>3.59</v>
      </c>
      <c r="G1667">
        <v>3.93</v>
      </c>
      <c r="H1667">
        <v>3.15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1">
        <v>43697.827974537038</v>
      </c>
      <c r="B1668" t="s">
        <v>2407</v>
      </c>
      <c r="C1668" t="s">
        <v>2383</v>
      </c>
      <c r="D1668" t="s">
        <v>2389</v>
      </c>
      <c r="E1668" s="12" t="s">
        <v>2385</v>
      </c>
      <c r="F1668">
        <v>3.59</v>
      </c>
      <c r="G1668">
        <v>3.93</v>
      </c>
      <c r="H1668">
        <v>3.15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1">
        <v>43697.827986111108</v>
      </c>
      <c r="B1669" t="s">
        <v>2407</v>
      </c>
      <c r="C1669" t="s">
        <v>2736</v>
      </c>
      <c r="E1669" t="s">
        <v>2378</v>
      </c>
      <c r="F1669">
        <v>3.59</v>
      </c>
      <c r="G1669">
        <v>3.93</v>
      </c>
      <c r="H1669">
        <v>3.15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1">
        <v>43697.828750000001</v>
      </c>
      <c r="B1670" t="s">
        <v>2407</v>
      </c>
      <c r="C1670" t="s">
        <v>2733</v>
      </c>
      <c r="D1670" t="s">
        <v>2390</v>
      </c>
      <c r="F1670">
        <v>3.59</v>
      </c>
      <c r="G1670">
        <v>3.93</v>
      </c>
      <c r="H1670">
        <v>3.15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1">
        <v>43697.828750000001</v>
      </c>
      <c r="B1671" t="s">
        <v>2407</v>
      </c>
      <c r="C1671" t="s">
        <v>2734</v>
      </c>
      <c r="D1671" t="s">
        <v>2390</v>
      </c>
      <c r="F1671">
        <v>3.59</v>
      </c>
      <c r="G1671">
        <v>3.93</v>
      </c>
      <c r="H1671">
        <v>3.15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1">
        <v>43697.828750000001</v>
      </c>
      <c r="B1672" t="s">
        <v>2407</v>
      </c>
      <c r="C1672" t="s">
        <v>2735</v>
      </c>
      <c r="D1672" t="s">
        <v>2390</v>
      </c>
      <c r="F1672">
        <v>3.59</v>
      </c>
      <c r="G1672">
        <v>3.93</v>
      </c>
      <c r="H1672">
        <v>3.15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1">
        <v>43697.828761574077</v>
      </c>
      <c r="B1673" t="s">
        <v>2407</v>
      </c>
      <c r="C1673" t="s">
        <v>2737</v>
      </c>
      <c r="E1673">
        <v>101</v>
      </c>
      <c r="F1673">
        <v>3.59</v>
      </c>
      <c r="G1673">
        <v>3.93</v>
      </c>
      <c r="H1673">
        <v>3.15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1">
        <v>43697.828761574077</v>
      </c>
      <c r="B1674" t="s">
        <v>2407</v>
      </c>
      <c r="C1674" t="s">
        <v>2738</v>
      </c>
      <c r="D1674" t="s">
        <v>2390</v>
      </c>
      <c r="E1674" t="s">
        <v>2739</v>
      </c>
      <c r="F1674">
        <v>3.59</v>
      </c>
      <c r="G1674">
        <v>3.93</v>
      </c>
      <c r="H1674">
        <v>3.15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1">
        <v>43697.828761574077</v>
      </c>
      <c r="B1675" t="s">
        <v>2407</v>
      </c>
      <c r="C1675" t="s">
        <v>2737</v>
      </c>
      <c r="E1675">
        <v>104</v>
      </c>
      <c r="F1675">
        <v>3.59</v>
      </c>
      <c r="G1675">
        <v>3.93</v>
      </c>
      <c r="H1675">
        <v>3.15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1">
        <v>43697.828761574077</v>
      </c>
      <c r="B1676" t="s">
        <v>2407</v>
      </c>
      <c r="C1676" t="s">
        <v>2737</v>
      </c>
      <c r="E1676">
        <v>104</v>
      </c>
      <c r="F1676">
        <v>3.59</v>
      </c>
      <c r="G1676">
        <v>3.93</v>
      </c>
      <c r="H1676">
        <v>3.15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1">
        <v>43697.828761574077</v>
      </c>
      <c r="B1677" t="s">
        <v>2407</v>
      </c>
      <c r="C1677" t="s">
        <v>2737</v>
      </c>
      <c r="E1677">
        <v>104</v>
      </c>
      <c r="F1677">
        <v>3.59</v>
      </c>
      <c r="G1677">
        <v>3.93</v>
      </c>
      <c r="H1677">
        <v>3.15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1">
        <v>43697.828761574077</v>
      </c>
      <c r="B1678" t="s">
        <v>2407</v>
      </c>
      <c r="C1678" t="s">
        <v>2740</v>
      </c>
      <c r="D1678" t="s">
        <v>2390</v>
      </c>
      <c r="E1678" t="s">
        <v>2741</v>
      </c>
      <c r="F1678">
        <v>3.59</v>
      </c>
      <c r="G1678">
        <v>3.93</v>
      </c>
      <c r="H1678">
        <v>3.15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1">
        <v>43697.828761574077</v>
      </c>
      <c r="B1679" t="s">
        <v>2407</v>
      </c>
      <c r="C1679" t="s">
        <v>2737</v>
      </c>
      <c r="E1679">
        <v>109</v>
      </c>
      <c r="F1679">
        <v>3.59</v>
      </c>
      <c r="G1679">
        <v>3.93</v>
      </c>
      <c r="H1679">
        <v>3.15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1">
        <v>43697.828761574077</v>
      </c>
      <c r="B1680" t="s">
        <v>2407</v>
      </c>
      <c r="C1680" t="s">
        <v>2737</v>
      </c>
      <c r="E1680">
        <v>109</v>
      </c>
      <c r="F1680">
        <v>3.59</v>
      </c>
      <c r="G1680">
        <v>3.93</v>
      </c>
      <c r="H1680">
        <v>3.15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1">
        <v>43697.828761574077</v>
      </c>
      <c r="B1681" t="s">
        <v>2407</v>
      </c>
      <c r="C1681" t="s">
        <v>2742</v>
      </c>
      <c r="D1681" t="s">
        <v>2390</v>
      </c>
      <c r="E1681" t="s">
        <v>2743</v>
      </c>
      <c r="F1681">
        <v>3.59</v>
      </c>
      <c r="G1681">
        <v>3.93</v>
      </c>
      <c r="H1681">
        <v>3.15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1">
        <v>43697.828761574077</v>
      </c>
      <c r="B1682" t="s">
        <v>2407</v>
      </c>
      <c r="C1682" t="s">
        <v>2737</v>
      </c>
      <c r="E1682">
        <v>105</v>
      </c>
      <c r="F1682">
        <v>3.59</v>
      </c>
      <c r="G1682">
        <v>3.93</v>
      </c>
      <c r="H1682">
        <v>3.15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1">
        <v>43697.828761574077</v>
      </c>
      <c r="B1683" t="s">
        <v>2407</v>
      </c>
      <c r="C1683" t="s">
        <v>2744</v>
      </c>
      <c r="E1683">
        <v>103</v>
      </c>
      <c r="F1683">
        <v>3.59</v>
      </c>
      <c r="G1683">
        <v>3.93</v>
      </c>
      <c r="H1683">
        <v>3.15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1">
        <v>43697.828761574077</v>
      </c>
      <c r="B1684" t="s">
        <v>2407</v>
      </c>
      <c r="C1684" t="s">
        <v>2745</v>
      </c>
      <c r="D1684" t="s">
        <v>2390</v>
      </c>
      <c r="E1684" t="s">
        <v>2746</v>
      </c>
      <c r="F1684">
        <v>3.59</v>
      </c>
      <c r="G1684">
        <v>3.93</v>
      </c>
      <c r="H1684">
        <v>3.15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1">
        <v>43697.828761574077</v>
      </c>
      <c r="B1685" t="s">
        <v>2407</v>
      </c>
      <c r="C1685" t="s">
        <v>2744</v>
      </c>
      <c r="E1685">
        <v>112</v>
      </c>
      <c r="F1685">
        <v>3.59</v>
      </c>
      <c r="G1685">
        <v>3.93</v>
      </c>
      <c r="H1685">
        <v>3.15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1">
        <v>43697.828761574077</v>
      </c>
      <c r="B1686" t="s">
        <v>2407</v>
      </c>
      <c r="C1686" t="s">
        <v>2744</v>
      </c>
      <c r="E1686">
        <v>112</v>
      </c>
      <c r="F1686">
        <v>3.59</v>
      </c>
      <c r="G1686">
        <v>3.93</v>
      </c>
      <c r="H1686">
        <v>3.15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1">
        <v>43697.828761574077</v>
      </c>
      <c r="B1687" t="s">
        <v>2407</v>
      </c>
      <c r="C1687" t="s">
        <v>2744</v>
      </c>
      <c r="E1687">
        <v>112</v>
      </c>
      <c r="F1687">
        <v>3.59</v>
      </c>
      <c r="G1687">
        <v>3.93</v>
      </c>
      <c r="H1687">
        <v>3.15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1">
        <v>43697.828761574077</v>
      </c>
      <c r="B1688" t="s">
        <v>2407</v>
      </c>
      <c r="C1688" t="s">
        <v>2747</v>
      </c>
      <c r="D1688" t="s">
        <v>2390</v>
      </c>
      <c r="E1688" t="s">
        <v>2748</v>
      </c>
      <c r="F1688">
        <v>3.59</v>
      </c>
      <c r="G1688">
        <v>3.93</v>
      </c>
      <c r="H1688">
        <v>3.15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1">
        <v>43697.828761574077</v>
      </c>
      <c r="B1689" t="s">
        <v>2407</v>
      </c>
      <c r="C1689" t="s">
        <v>2383</v>
      </c>
      <c r="D1689" t="s">
        <v>2384</v>
      </c>
      <c r="E1689" s="12" t="s">
        <v>2385</v>
      </c>
      <c r="F1689">
        <v>3.59</v>
      </c>
      <c r="G1689">
        <v>3.93</v>
      </c>
      <c r="H1689">
        <v>3.15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1">
        <v>43697.828761574077</v>
      </c>
      <c r="B1690" t="s">
        <v>2407</v>
      </c>
      <c r="C1690" t="s">
        <v>2383</v>
      </c>
      <c r="D1690" t="s">
        <v>2386</v>
      </c>
      <c r="E1690">
        <v>440</v>
      </c>
      <c r="F1690">
        <v>3.59</v>
      </c>
      <c r="G1690">
        <v>3.93</v>
      </c>
      <c r="H1690">
        <v>3.15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1">
        <v>43697.828761574077</v>
      </c>
      <c r="B1691" t="s">
        <v>2407</v>
      </c>
      <c r="C1691" t="s">
        <v>2383</v>
      </c>
      <c r="D1691" t="s">
        <v>2387</v>
      </c>
      <c r="E1691" t="s">
        <v>2756</v>
      </c>
      <c r="F1691">
        <v>3.59</v>
      </c>
      <c r="G1691">
        <v>3.93</v>
      </c>
      <c r="H1691">
        <v>3.15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1">
        <v>43697.828761574077</v>
      </c>
      <c r="B1692" t="s">
        <v>2407</v>
      </c>
      <c r="C1692" t="s">
        <v>2383</v>
      </c>
      <c r="D1692" t="s">
        <v>2381</v>
      </c>
      <c r="E1692">
        <v>360</v>
      </c>
      <c r="F1692">
        <v>3.59</v>
      </c>
      <c r="G1692">
        <v>3.93</v>
      </c>
      <c r="H1692">
        <v>3.15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1">
        <v>43697.828761574077</v>
      </c>
      <c r="B1693" t="s">
        <v>2407</v>
      </c>
      <c r="C1693" t="s">
        <v>2383</v>
      </c>
      <c r="D1693" t="s">
        <v>2388</v>
      </c>
      <c r="E1693" t="s">
        <v>2754</v>
      </c>
      <c r="F1693">
        <v>3.59</v>
      </c>
      <c r="G1693">
        <v>3.93</v>
      </c>
      <c r="H1693">
        <v>3.15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1">
        <v>43697.828761574077</v>
      </c>
      <c r="B1694" t="s">
        <v>2407</v>
      </c>
      <c r="C1694" t="s">
        <v>2383</v>
      </c>
      <c r="D1694" t="s">
        <v>2389</v>
      </c>
      <c r="E1694" s="12" t="s">
        <v>2385</v>
      </c>
      <c r="F1694">
        <v>3.59</v>
      </c>
      <c r="G1694">
        <v>3.93</v>
      </c>
      <c r="H1694">
        <v>3.15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1">
        <v>43697.828761574077</v>
      </c>
      <c r="B1695" t="s">
        <v>2407</v>
      </c>
      <c r="C1695" t="s">
        <v>2736</v>
      </c>
      <c r="E1695" t="s">
        <v>2378</v>
      </c>
      <c r="F1695">
        <v>3.59</v>
      </c>
      <c r="G1695">
        <v>3.93</v>
      </c>
      <c r="H1695">
        <v>3.15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1">
        <v>43697.829988425925</v>
      </c>
      <c r="B1696" t="s">
        <v>2407</v>
      </c>
      <c r="C1696" t="s">
        <v>2733</v>
      </c>
      <c r="D1696" t="s">
        <v>2390</v>
      </c>
      <c r="F1696">
        <v>3.59</v>
      </c>
      <c r="G1696">
        <v>3.93</v>
      </c>
      <c r="H1696">
        <v>3.15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1">
        <v>43697.829988425925</v>
      </c>
      <c r="B1697" t="s">
        <v>2407</v>
      </c>
      <c r="C1697" t="s">
        <v>2734</v>
      </c>
      <c r="D1697" t="s">
        <v>2390</v>
      </c>
      <c r="F1697">
        <v>3.59</v>
      </c>
      <c r="G1697">
        <v>3.93</v>
      </c>
      <c r="H1697">
        <v>3.15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1">
        <v>43697.829988425925</v>
      </c>
      <c r="B1698" t="s">
        <v>2407</v>
      </c>
      <c r="C1698" t="s">
        <v>2735</v>
      </c>
      <c r="D1698" t="s">
        <v>2390</v>
      </c>
      <c r="F1698">
        <v>3.59</v>
      </c>
      <c r="G1698">
        <v>3.93</v>
      </c>
      <c r="H1698">
        <v>3.15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1">
        <v>43697.83</v>
      </c>
      <c r="B1699" t="s">
        <v>2407</v>
      </c>
      <c r="C1699" t="s">
        <v>2737</v>
      </c>
      <c r="E1699">
        <v>101</v>
      </c>
      <c r="F1699">
        <v>3.59</v>
      </c>
      <c r="G1699">
        <v>3.93</v>
      </c>
      <c r="H1699">
        <v>3.15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1">
        <v>43697.83</v>
      </c>
      <c r="B1700" t="s">
        <v>2407</v>
      </c>
      <c r="C1700" t="s">
        <v>2738</v>
      </c>
      <c r="D1700" t="s">
        <v>2390</v>
      </c>
      <c r="E1700" t="s">
        <v>2739</v>
      </c>
      <c r="F1700">
        <v>3.59</v>
      </c>
      <c r="G1700">
        <v>3.93</v>
      </c>
      <c r="H1700">
        <v>3.15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1">
        <v>43697.83</v>
      </c>
      <c r="B1701" t="s">
        <v>2407</v>
      </c>
      <c r="C1701" t="s">
        <v>2737</v>
      </c>
      <c r="E1701">
        <v>104</v>
      </c>
      <c r="F1701">
        <v>3.59</v>
      </c>
      <c r="G1701">
        <v>3.93</v>
      </c>
      <c r="H1701">
        <v>3.15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1">
        <v>43697.83</v>
      </c>
      <c r="B1702" t="s">
        <v>2407</v>
      </c>
      <c r="C1702" t="s">
        <v>2737</v>
      </c>
      <c r="E1702">
        <v>104</v>
      </c>
      <c r="F1702">
        <v>3.59</v>
      </c>
      <c r="G1702">
        <v>3.93</v>
      </c>
      <c r="H1702">
        <v>3.15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1">
        <v>43697.83</v>
      </c>
      <c r="B1703" t="s">
        <v>2407</v>
      </c>
      <c r="C1703" t="s">
        <v>2737</v>
      </c>
      <c r="E1703">
        <v>104</v>
      </c>
      <c r="F1703">
        <v>3.59</v>
      </c>
      <c r="G1703">
        <v>3.93</v>
      </c>
      <c r="H1703">
        <v>3.15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1">
        <v>43697.83</v>
      </c>
      <c r="B1704" t="s">
        <v>2407</v>
      </c>
      <c r="C1704" t="s">
        <v>2740</v>
      </c>
      <c r="D1704" t="s">
        <v>2390</v>
      </c>
      <c r="E1704" t="s">
        <v>2741</v>
      </c>
      <c r="F1704">
        <v>3.59</v>
      </c>
      <c r="G1704">
        <v>3.93</v>
      </c>
      <c r="H1704">
        <v>3.15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1">
        <v>43697.83</v>
      </c>
      <c r="B1705" t="s">
        <v>2407</v>
      </c>
      <c r="C1705" t="s">
        <v>2737</v>
      </c>
      <c r="E1705">
        <v>109</v>
      </c>
      <c r="F1705">
        <v>3.59</v>
      </c>
      <c r="G1705">
        <v>3.93</v>
      </c>
      <c r="H1705">
        <v>3.15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1">
        <v>43697.83</v>
      </c>
      <c r="B1706" t="s">
        <v>2407</v>
      </c>
      <c r="C1706" t="s">
        <v>2737</v>
      </c>
      <c r="E1706">
        <v>109</v>
      </c>
      <c r="F1706">
        <v>3.59</v>
      </c>
      <c r="G1706">
        <v>3.93</v>
      </c>
      <c r="H1706">
        <v>3.15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1">
        <v>43697.83</v>
      </c>
      <c r="B1707" t="s">
        <v>2407</v>
      </c>
      <c r="C1707" t="s">
        <v>2742</v>
      </c>
      <c r="D1707" t="s">
        <v>2390</v>
      </c>
      <c r="E1707" t="s">
        <v>2743</v>
      </c>
      <c r="F1707">
        <v>3.59</v>
      </c>
      <c r="G1707">
        <v>3.93</v>
      </c>
      <c r="H1707">
        <v>3.15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1">
        <v>43697.83</v>
      </c>
      <c r="B1708" t="s">
        <v>2407</v>
      </c>
      <c r="C1708" t="s">
        <v>2737</v>
      </c>
      <c r="E1708">
        <v>105</v>
      </c>
      <c r="F1708">
        <v>3.59</v>
      </c>
      <c r="G1708">
        <v>3.93</v>
      </c>
      <c r="H1708">
        <v>3.15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1">
        <v>43697.83</v>
      </c>
      <c r="B1709" t="s">
        <v>2407</v>
      </c>
      <c r="C1709" t="s">
        <v>2744</v>
      </c>
      <c r="E1709">
        <v>103</v>
      </c>
      <c r="F1709">
        <v>3.59</v>
      </c>
      <c r="G1709">
        <v>3.93</v>
      </c>
      <c r="H1709">
        <v>3.15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1">
        <v>43697.83</v>
      </c>
      <c r="B1710" t="s">
        <v>2407</v>
      </c>
      <c r="C1710" t="s">
        <v>2745</v>
      </c>
      <c r="D1710" t="s">
        <v>2390</v>
      </c>
      <c r="E1710" t="s">
        <v>2746</v>
      </c>
      <c r="F1710">
        <v>3.59</v>
      </c>
      <c r="G1710">
        <v>3.93</v>
      </c>
      <c r="H1710">
        <v>3.15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1">
        <v>43697.83</v>
      </c>
      <c r="B1711" t="s">
        <v>2407</v>
      </c>
      <c r="C1711" t="s">
        <v>2744</v>
      </c>
      <c r="E1711">
        <v>112</v>
      </c>
      <c r="F1711">
        <v>3.59</v>
      </c>
      <c r="G1711">
        <v>3.93</v>
      </c>
      <c r="H1711">
        <v>3.15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1">
        <v>43697.83</v>
      </c>
      <c r="B1712" t="s">
        <v>2407</v>
      </c>
      <c r="C1712" t="s">
        <v>2744</v>
      </c>
      <c r="E1712">
        <v>112</v>
      </c>
      <c r="F1712">
        <v>3.59</v>
      </c>
      <c r="G1712">
        <v>3.93</v>
      </c>
      <c r="H1712">
        <v>3.15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1">
        <v>43697.83</v>
      </c>
      <c r="B1713" t="s">
        <v>2407</v>
      </c>
      <c r="C1713" t="s">
        <v>2744</v>
      </c>
      <c r="E1713">
        <v>112</v>
      </c>
      <c r="F1713">
        <v>3.59</v>
      </c>
      <c r="G1713">
        <v>3.93</v>
      </c>
      <c r="H1713">
        <v>3.15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1">
        <v>43697.83</v>
      </c>
      <c r="B1714" t="s">
        <v>2407</v>
      </c>
      <c r="C1714" t="s">
        <v>2747</v>
      </c>
      <c r="D1714" t="s">
        <v>2390</v>
      </c>
      <c r="E1714" t="s">
        <v>2748</v>
      </c>
      <c r="F1714">
        <v>3.59</v>
      </c>
      <c r="G1714">
        <v>3.93</v>
      </c>
      <c r="H1714">
        <v>3.15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1">
        <v>43697.83</v>
      </c>
      <c r="B1715" t="s">
        <v>2407</v>
      </c>
      <c r="C1715" t="s">
        <v>2383</v>
      </c>
      <c r="D1715" t="s">
        <v>2384</v>
      </c>
      <c r="E1715" s="12" t="s">
        <v>2385</v>
      </c>
      <c r="F1715">
        <v>3.59</v>
      </c>
      <c r="G1715">
        <v>3.93</v>
      </c>
      <c r="H1715">
        <v>3.15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1">
        <v>43697.83</v>
      </c>
      <c r="B1716" t="s">
        <v>2407</v>
      </c>
      <c r="C1716" t="s">
        <v>2383</v>
      </c>
      <c r="D1716" t="s">
        <v>2386</v>
      </c>
      <c r="E1716">
        <v>440</v>
      </c>
      <c r="F1716">
        <v>3.59</v>
      </c>
      <c r="G1716">
        <v>3.93</v>
      </c>
      <c r="H1716">
        <v>3.15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1">
        <v>43697.83</v>
      </c>
      <c r="B1717" t="s">
        <v>2407</v>
      </c>
      <c r="C1717" t="s">
        <v>2383</v>
      </c>
      <c r="D1717" t="s">
        <v>2387</v>
      </c>
      <c r="E1717" t="s">
        <v>2756</v>
      </c>
      <c r="F1717">
        <v>3.59</v>
      </c>
      <c r="G1717">
        <v>3.93</v>
      </c>
      <c r="H1717">
        <v>3.15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1">
        <v>43697.83</v>
      </c>
      <c r="B1718" t="s">
        <v>2407</v>
      </c>
      <c r="C1718" t="s">
        <v>2383</v>
      </c>
      <c r="D1718" t="s">
        <v>2381</v>
      </c>
      <c r="E1718">
        <v>0</v>
      </c>
      <c r="F1718">
        <v>3.59</v>
      </c>
      <c r="G1718">
        <v>3.93</v>
      </c>
      <c r="H1718">
        <v>3.15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1">
        <v>43697.83</v>
      </c>
      <c r="B1719" t="s">
        <v>2407</v>
      </c>
      <c r="C1719" t="s">
        <v>2383</v>
      </c>
      <c r="D1719" t="s">
        <v>2388</v>
      </c>
      <c r="E1719" t="s">
        <v>2749</v>
      </c>
      <c r="F1719">
        <v>3.59</v>
      </c>
      <c r="G1719">
        <v>3.93</v>
      </c>
      <c r="H1719">
        <v>3.15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1">
        <v>43697.83</v>
      </c>
      <c r="B1720" t="s">
        <v>2407</v>
      </c>
      <c r="C1720" t="s">
        <v>2383</v>
      </c>
      <c r="D1720" t="s">
        <v>2389</v>
      </c>
      <c r="E1720" s="12" t="s">
        <v>2385</v>
      </c>
      <c r="F1720">
        <v>3.59</v>
      </c>
      <c r="G1720">
        <v>3.93</v>
      </c>
      <c r="H1720">
        <v>3.15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1">
        <v>43697.83</v>
      </c>
      <c r="B1721" t="s">
        <v>2407</v>
      </c>
      <c r="C1721" t="s">
        <v>2736</v>
      </c>
      <c r="E1721" t="s">
        <v>2378</v>
      </c>
      <c r="F1721">
        <v>3.59</v>
      </c>
      <c r="G1721">
        <v>3.93</v>
      </c>
      <c r="H1721">
        <v>3.15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1">
        <v>43698.479398148149</v>
      </c>
      <c r="B1722" t="s">
        <v>2407</v>
      </c>
      <c r="C1722" t="s">
        <v>2733</v>
      </c>
      <c r="D1722" t="s">
        <v>2390</v>
      </c>
      <c r="F1722">
        <v>3.59</v>
      </c>
      <c r="G1722">
        <v>3.93</v>
      </c>
      <c r="H1722">
        <v>3.15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1">
        <v>43698.479398148149</v>
      </c>
      <c r="B1723" t="s">
        <v>2407</v>
      </c>
      <c r="C1723" t="s">
        <v>2734</v>
      </c>
      <c r="D1723" t="s">
        <v>2390</v>
      </c>
      <c r="F1723">
        <v>3.59</v>
      </c>
      <c r="G1723">
        <v>3.93</v>
      </c>
      <c r="H1723">
        <v>3.15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1">
        <v>43698.479398148149</v>
      </c>
      <c r="B1724" t="s">
        <v>2407</v>
      </c>
      <c r="C1724" t="s">
        <v>2735</v>
      </c>
      <c r="D1724" t="s">
        <v>2390</v>
      </c>
      <c r="F1724">
        <v>3.59</v>
      </c>
      <c r="G1724">
        <v>3.93</v>
      </c>
      <c r="H1724">
        <v>3.15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1">
        <v>43698.479409722226</v>
      </c>
      <c r="B1725" t="s">
        <v>2407</v>
      </c>
      <c r="C1725" t="s">
        <v>2737</v>
      </c>
      <c r="E1725">
        <v>101</v>
      </c>
      <c r="F1725">
        <v>3.59</v>
      </c>
      <c r="G1725">
        <v>3.93</v>
      </c>
      <c r="H1725">
        <v>3.15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1">
        <v>43698.479409722226</v>
      </c>
      <c r="B1726" t="s">
        <v>2407</v>
      </c>
      <c r="C1726" t="s">
        <v>2738</v>
      </c>
      <c r="D1726" t="s">
        <v>2390</v>
      </c>
      <c r="E1726" t="s">
        <v>2739</v>
      </c>
      <c r="F1726">
        <v>3.59</v>
      </c>
      <c r="G1726">
        <v>3.93</v>
      </c>
      <c r="H1726">
        <v>3.15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1">
        <v>43698.479409722226</v>
      </c>
      <c r="B1727" t="s">
        <v>2407</v>
      </c>
      <c r="C1727" t="s">
        <v>2737</v>
      </c>
      <c r="E1727">
        <v>104</v>
      </c>
      <c r="F1727">
        <v>3.59</v>
      </c>
      <c r="G1727">
        <v>3.93</v>
      </c>
      <c r="H1727">
        <v>3.15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1">
        <v>43698.479409722226</v>
      </c>
      <c r="B1728" t="s">
        <v>2407</v>
      </c>
      <c r="C1728" t="s">
        <v>2737</v>
      </c>
      <c r="E1728">
        <v>104</v>
      </c>
      <c r="F1728">
        <v>3.59</v>
      </c>
      <c r="G1728">
        <v>3.93</v>
      </c>
      <c r="H1728">
        <v>3.15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1">
        <v>43698.479409722226</v>
      </c>
      <c r="B1729" t="s">
        <v>2407</v>
      </c>
      <c r="C1729" t="s">
        <v>2737</v>
      </c>
      <c r="E1729">
        <v>104</v>
      </c>
      <c r="F1729">
        <v>3.59</v>
      </c>
      <c r="G1729">
        <v>3.93</v>
      </c>
      <c r="H1729">
        <v>3.15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1">
        <v>43698.479409722226</v>
      </c>
      <c r="B1730" t="s">
        <v>2407</v>
      </c>
      <c r="C1730" t="s">
        <v>2740</v>
      </c>
      <c r="D1730" t="s">
        <v>2390</v>
      </c>
      <c r="E1730" t="s">
        <v>2741</v>
      </c>
      <c r="F1730">
        <v>3.59</v>
      </c>
      <c r="G1730">
        <v>3.93</v>
      </c>
      <c r="H1730">
        <v>3.15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1">
        <v>43698.479409722226</v>
      </c>
      <c r="B1731" t="s">
        <v>2407</v>
      </c>
      <c r="C1731" t="s">
        <v>2737</v>
      </c>
      <c r="E1731">
        <v>109</v>
      </c>
      <c r="F1731">
        <v>3.59</v>
      </c>
      <c r="G1731">
        <v>3.93</v>
      </c>
      <c r="H1731">
        <v>3.15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11">
        <v>43698.479409722226</v>
      </c>
      <c r="B1732" t="s">
        <v>2407</v>
      </c>
      <c r="C1732" t="s">
        <v>2737</v>
      </c>
      <c r="E1732">
        <v>109</v>
      </c>
      <c r="F1732">
        <v>3.59</v>
      </c>
      <c r="G1732">
        <v>3.93</v>
      </c>
      <c r="H1732">
        <v>3.15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11">
        <v>43698.479409722226</v>
      </c>
      <c r="B1733" t="s">
        <v>2407</v>
      </c>
      <c r="C1733" t="s">
        <v>2742</v>
      </c>
      <c r="D1733" t="s">
        <v>2390</v>
      </c>
      <c r="E1733" t="s">
        <v>2743</v>
      </c>
      <c r="F1733">
        <v>3.59</v>
      </c>
      <c r="G1733">
        <v>3.93</v>
      </c>
      <c r="H1733">
        <v>3.15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11">
        <v>43698.479409722226</v>
      </c>
      <c r="B1734" t="s">
        <v>2407</v>
      </c>
      <c r="C1734" t="s">
        <v>2737</v>
      </c>
      <c r="E1734">
        <v>105</v>
      </c>
      <c r="F1734">
        <v>3.59</v>
      </c>
      <c r="G1734">
        <v>3.93</v>
      </c>
      <c r="H1734">
        <v>3.15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11">
        <v>43698.479409722226</v>
      </c>
      <c r="B1735" t="s">
        <v>2407</v>
      </c>
      <c r="C1735" t="s">
        <v>2744</v>
      </c>
      <c r="E1735">
        <v>103</v>
      </c>
      <c r="F1735">
        <v>3.59</v>
      </c>
      <c r="G1735">
        <v>3.93</v>
      </c>
      <c r="H1735">
        <v>3.15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11">
        <v>43698.479409722226</v>
      </c>
      <c r="B1736" t="s">
        <v>2407</v>
      </c>
      <c r="C1736" t="s">
        <v>2745</v>
      </c>
      <c r="D1736" t="s">
        <v>2390</v>
      </c>
      <c r="E1736" t="s">
        <v>2746</v>
      </c>
      <c r="F1736">
        <v>3.59</v>
      </c>
      <c r="G1736">
        <v>3.93</v>
      </c>
      <c r="H1736">
        <v>3.15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11">
        <v>43698.479409722226</v>
      </c>
      <c r="B1737" t="s">
        <v>2407</v>
      </c>
      <c r="C1737" t="s">
        <v>2744</v>
      </c>
      <c r="E1737">
        <v>112</v>
      </c>
      <c r="F1737">
        <v>3.59</v>
      </c>
      <c r="G1737">
        <v>3.93</v>
      </c>
      <c r="H1737">
        <v>3.15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11">
        <v>43698.479409722226</v>
      </c>
      <c r="B1738" t="s">
        <v>2407</v>
      </c>
      <c r="C1738" t="s">
        <v>2744</v>
      </c>
      <c r="E1738">
        <v>112</v>
      </c>
      <c r="F1738">
        <v>3.59</v>
      </c>
      <c r="G1738">
        <v>3.93</v>
      </c>
      <c r="H1738">
        <v>3.15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11">
        <v>43698.479409722226</v>
      </c>
      <c r="B1739" t="s">
        <v>2407</v>
      </c>
      <c r="C1739" t="s">
        <v>2744</v>
      </c>
      <c r="E1739">
        <v>112</v>
      </c>
      <c r="F1739">
        <v>3.59</v>
      </c>
      <c r="G1739">
        <v>3.93</v>
      </c>
      <c r="H1739">
        <v>3.15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11">
        <v>43698.479409722226</v>
      </c>
      <c r="B1740" t="s">
        <v>2407</v>
      </c>
      <c r="C1740" t="s">
        <v>2747</v>
      </c>
      <c r="D1740" t="s">
        <v>2390</v>
      </c>
      <c r="E1740" t="s">
        <v>2748</v>
      </c>
      <c r="F1740">
        <v>3.59</v>
      </c>
      <c r="G1740">
        <v>3.93</v>
      </c>
      <c r="H1740">
        <v>3.15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11">
        <v>43698.479409722226</v>
      </c>
      <c r="B1741" t="s">
        <v>2407</v>
      </c>
      <c r="C1741" t="s">
        <v>2383</v>
      </c>
      <c r="D1741" t="s">
        <v>2384</v>
      </c>
      <c r="E1741" s="12" t="s">
        <v>2385</v>
      </c>
      <c r="F1741">
        <v>3.59</v>
      </c>
      <c r="G1741">
        <v>3.93</v>
      </c>
      <c r="H1741">
        <v>3.15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11">
        <v>43698.479409722226</v>
      </c>
      <c r="B1742" t="s">
        <v>2407</v>
      </c>
      <c r="C1742" t="s">
        <v>2383</v>
      </c>
      <c r="D1742" t="s">
        <v>2386</v>
      </c>
      <c r="E1742">
        <v>440</v>
      </c>
      <c r="F1742">
        <v>3.59</v>
      </c>
      <c r="G1742">
        <v>3.93</v>
      </c>
      <c r="H1742">
        <v>3.15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11">
        <v>43698.479409722226</v>
      </c>
      <c r="B1743" t="s">
        <v>2407</v>
      </c>
      <c r="C1743" t="s">
        <v>2383</v>
      </c>
      <c r="D1743" t="s">
        <v>2387</v>
      </c>
      <c r="E1743" t="s">
        <v>2756</v>
      </c>
      <c r="F1743">
        <v>3.59</v>
      </c>
      <c r="G1743">
        <v>3.93</v>
      </c>
      <c r="H1743">
        <v>3.15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11">
        <v>43698.479409722226</v>
      </c>
      <c r="B1744" t="s">
        <v>2407</v>
      </c>
      <c r="C1744" t="s">
        <v>2383</v>
      </c>
      <c r="D1744" t="s">
        <v>2381</v>
      </c>
      <c r="E1744">
        <v>250</v>
      </c>
      <c r="F1744">
        <v>3.59</v>
      </c>
      <c r="G1744">
        <v>3.93</v>
      </c>
      <c r="H1744">
        <v>3.15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11">
        <v>43698.479409722226</v>
      </c>
      <c r="B1745" t="s">
        <v>2407</v>
      </c>
      <c r="C1745" t="s">
        <v>2383</v>
      </c>
      <c r="D1745" t="s">
        <v>2388</v>
      </c>
      <c r="E1745" t="s">
        <v>2757</v>
      </c>
      <c r="F1745">
        <v>3.59</v>
      </c>
      <c r="G1745">
        <v>3.93</v>
      </c>
      <c r="H1745">
        <v>3.15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11">
        <v>43698.479409722226</v>
      </c>
      <c r="B1746" t="s">
        <v>2407</v>
      </c>
      <c r="C1746" t="s">
        <v>2383</v>
      </c>
      <c r="D1746" t="s">
        <v>2389</v>
      </c>
      <c r="E1746" s="12" t="s">
        <v>2385</v>
      </c>
      <c r="F1746">
        <v>3.59</v>
      </c>
      <c r="G1746">
        <v>3.93</v>
      </c>
      <c r="H1746">
        <v>3.15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11">
        <v>43698.479421296295</v>
      </c>
      <c r="B1747" t="s">
        <v>2407</v>
      </c>
      <c r="C1747" t="s">
        <v>2736</v>
      </c>
      <c r="E1747" t="s">
        <v>2378</v>
      </c>
      <c r="F1747">
        <v>3.59</v>
      </c>
      <c r="G1747">
        <v>3.93</v>
      </c>
      <c r="H1747">
        <v>3.15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11">
        <v>43698.479861111111</v>
      </c>
      <c r="B1748" t="s">
        <v>2407</v>
      </c>
      <c r="C1748" t="s">
        <v>2733</v>
      </c>
      <c r="D1748" t="s">
        <v>2390</v>
      </c>
      <c r="F1748">
        <v>3.59</v>
      </c>
      <c r="G1748">
        <v>3.93</v>
      </c>
      <c r="H1748">
        <v>3.15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11">
        <v>43698.479861111111</v>
      </c>
      <c r="B1749" t="s">
        <v>2407</v>
      </c>
      <c r="C1749" t="s">
        <v>2734</v>
      </c>
      <c r="D1749" t="s">
        <v>2390</v>
      </c>
      <c r="F1749">
        <v>3.59</v>
      </c>
      <c r="G1749">
        <v>3.93</v>
      </c>
      <c r="H1749">
        <v>3.15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11">
        <v>43698.479861111111</v>
      </c>
      <c r="B1750" t="s">
        <v>2407</v>
      </c>
      <c r="C1750" t="s">
        <v>2735</v>
      </c>
      <c r="D1750" t="s">
        <v>2390</v>
      </c>
      <c r="F1750">
        <v>3.59</v>
      </c>
      <c r="G1750">
        <v>3.93</v>
      </c>
      <c r="H1750">
        <v>3.15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11">
        <v>43698.480578703704</v>
      </c>
      <c r="B1751" t="s">
        <v>2407</v>
      </c>
      <c r="C1751" t="s">
        <v>2737</v>
      </c>
      <c r="E1751">
        <v>101</v>
      </c>
      <c r="F1751">
        <v>3.59</v>
      </c>
      <c r="G1751">
        <v>3.93</v>
      </c>
      <c r="H1751">
        <v>3.15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11">
        <v>43698.480578703704</v>
      </c>
      <c r="B1752" t="s">
        <v>2407</v>
      </c>
      <c r="C1752" t="s">
        <v>2738</v>
      </c>
      <c r="D1752" t="s">
        <v>2390</v>
      </c>
      <c r="E1752" t="s">
        <v>2739</v>
      </c>
      <c r="F1752">
        <v>3.59</v>
      </c>
      <c r="G1752">
        <v>3.93</v>
      </c>
      <c r="H1752">
        <v>3.15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11">
        <v>43698.480636574073</v>
      </c>
      <c r="B1753" t="s">
        <v>2407</v>
      </c>
      <c r="C1753" t="s">
        <v>2737</v>
      </c>
      <c r="E1753">
        <v>104</v>
      </c>
      <c r="F1753">
        <v>3.59</v>
      </c>
      <c r="G1753">
        <v>3.93</v>
      </c>
      <c r="H1753">
        <v>3.15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11">
        <v>43698.480636574073</v>
      </c>
      <c r="B1754" t="s">
        <v>2407</v>
      </c>
      <c r="C1754" t="s">
        <v>2737</v>
      </c>
      <c r="E1754">
        <v>104</v>
      </c>
      <c r="F1754">
        <v>3.59</v>
      </c>
      <c r="G1754">
        <v>3.93</v>
      </c>
      <c r="H1754">
        <v>3.15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11">
        <v>43698.480636574073</v>
      </c>
      <c r="B1755" t="s">
        <v>2407</v>
      </c>
      <c r="C1755" t="s">
        <v>2737</v>
      </c>
      <c r="E1755">
        <v>104</v>
      </c>
      <c r="F1755">
        <v>3.59</v>
      </c>
      <c r="G1755">
        <v>3.93</v>
      </c>
      <c r="H1755">
        <v>3.15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11">
        <v>43698.480636574073</v>
      </c>
      <c r="B1756" t="s">
        <v>2407</v>
      </c>
      <c r="C1756" t="s">
        <v>2740</v>
      </c>
      <c r="D1756" t="s">
        <v>2390</v>
      </c>
      <c r="E1756" t="s">
        <v>2741</v>
      </c>
      <c r="F1756">
        <v>3.59</v>
      </c>
      <c r="G1756">
        <v>3.93</v>
      </c>
      <c r="H1756">
        <v>3.15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11">
        <v>43698.480775462966</v>
      </c>
      <c r="B1757" t="s">
        <v>2407</v>
      </c>
      <c r="C1757" t="s">
        <v>2737</v>
      </c>
      <c r="E1757">
        <v>109</v>
      </c>
      <c r="F1757">
        <v>3.59</v>
      </c>
      <c r="G1757">
        <v>3.93</v>
      </c>
      <c r="H1757">
        <v>3.15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11">
        <v>43698.480775462966</v>
      </c>
      <c r="B1758" t="s">
        <v>2407</v>
      </c>
      <c r="C1758" t="s">
        <v>2737</v>
      </c>
      <c r="E1758">
        <v>109</v>
      </c>
      <c r="F1758">
        <v>3.59</v>
      </c>
      <c r="G1758">
        <v>3.93</v>
      </c>
      <c r="H1758">
        <v>3.15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11">
        <v>43698.480775462966</v>
      </c>
      <c r="B1759" t="s">
        <v>2407</v>
      </c>
      <c r="C1759" t="s">
        <v>2742</v>
      </c>
      <c r="D1759" t="s">
        <v>2390</v>
      </c>
      <c r="E1759" t="s">
        <v>2743</v>
      </c>
      <c r="F1759">
        <v>3.59</v>
      </c>
      <c r="G1759">
        <v>3.93</v>
      </c>
      <c r="H1759">
        <v>3.15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11">
        <v>43698.480798611112</v>
      </c>
      <c r="B1760" t="s">
        <v>2407</v>
      </c>
      <c r="C1760" t="s">
        <v>2737</v>
      </c>
      <c r="E1760">
        <v>105</v>
      </c>
      <c r="F1760">
        <v>3.59</v>
      </c>
      <c r="G1760">
        <v>3.93</v>
      </c>
      <c r="H1760">
        <v>3.15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11">
        <v>43698.480833333335</v>
      </c>
      <c r="B1761" t="s">
        <v>2407</v>
      </c>
      <c r="C1761" t="s">
        <v>2744</v>
      </c>
      <c r="E1761">
        <v>103</v>
      </c>
      <c r="F1761">
        <v>3.59</v>
      </c>
      <c r="G1761">
        <v>3.93</v>
      </c>
      <c r="H1761">
        <v>3.15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11">
        <v>43698.480833333335</v>
      </c>
      <c r="B1762" t="s">
        <v>2407</v>
      </c>
      <c r="C1762" t="s">
        <v>2745</v>
      </c>
      <c r="D1762" t="s">
        <v>2390</v>
      </c>
      <c r="E1762" t="s">
        <v>2746</v>
      </c>
      <c r="F1762">
        <v>3.59</v>
      </c>
      <c r="G1762">
        <v>3.93</v>
      </c>
      <c r="H1762">
        <v>3.15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11">
        <v>43698.480856481481</v>
      </c>
      <c r="B1763" t="s">
        <v>2407</v>
      </c>
      <c r="C1763" t="s">
        <v>2744</v>
      </c>
      <c r="E1763">
        <v>112</v>
      </c>
      <c r="F1763">
        <v>3.59</v>
      </c>
      <c r="G1763">
        <v>3.93</v>
      </c>
      <c r="H1763">
        <v>3.15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11">
        <v>43698.480856481481</v>
      </c>
      <c r="B1764" t="s">
        <v>2407</v>
      </c>
      <c r="C1764" t="s">
        <v>2744</v>
      </c>
      <c r="E1764">
        <v>112</v>
      </c>
      <c r="F1764">
        <v>3.59</v>
      </c>
      <c r="G1764">
        <v>3.93</v>
      </c>
      <c r="H1764">
        <v>3.15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11">
        <v>43698.480856481481</v>
      </c>
      <c r="B1765" t="s">
        <v>2407</v>
      </c>
      <c r="C1765" t="s">
        <v>2744</v>
      </c>
      <c r="E1765">
        <v>112</v>
      </c>
      <c r="F1765">
        <v>3.59</v>
      </c>
      <c r="G1765">
        <v>3.93</v>
      </c>
      <c r="H1765">
        <v>3.15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11">
        <v>43698.481087962966</v>
      </c>
      <c r="B1766" t="s">
        <v>2407</v>
      </c>
      <c r="C1766" t="s">
        <v>2747</v>
      </c>
      <c r="D1766" t="s">
        <v>2390</v>
      </c>
      <c r="E1766" t="s">
        <v>2748</v>
      </c>
      <c r="F1766">
        <v>3.59</v>
      </c>
      <c r="G1766">
        <v>3.93</v>
      </c>
      <c r="H1766">
        <v>3.15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11">
        <v>43698.481087962966</v>
      </c>
      <c r="B1767" t="s">
        <v>2407</v>
      </c>
      <c r="C1767" t="s">
        <v>2383</v>
      </c>
      <c r="D1767" t="s">
        <v>2384</v>
      </c>
      <c r="E1767" s="12" t="s">
        <v>2385</v>
      </c>
      <c r="F1767">
        <v>3.59</v>
      </c>
      <c r="G1767">
        <v>3.93</v>
      </c>
      <c r="H1767">
        <v>3.15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11">
        <v>43698.481087962966</v>
      </c>
      <c r="B1768" t="s">
        <v>2407</v>
      </c>
      <c r="C1768" t="s">
        <v>2383</v>
      </c>
      <c r="D1768" t="s">
        <v>2386</v>
      </c>
      <c r="E1768">
        <v>440</v>
      </c>
      <c r="F1768">
        <v>3.59</v>
      </c>
      <c r="G1768">
        <v>3.93</v>
      </c>
      <c r="H1768">
        <v>3.15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11">
        <v>43698.481087962966</v>
      </c>
      <c r="B1769" t="s">
        <v>2407</v>
      </c>
      <c r="C1769" t="s">
        <v>2383</v>
      </c>
      <c r="D1769" t="s">
        <v>2387</v>
      </c>
      <c r="E1769" t="s">
        <v>2756</v>
      </c>
      <c r="F1769">
        <v>3.59</v>
      </c>
      <c r="G1769">
        <v>3.93</v>
      </c>
      <c r="H1769">
        <v>3.15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11">
        <v>43698.481087962966</v>
      </c>
      <c r="B1770" t="s">
        <v>2407</v>
      </c>
      <c r="C1770" t="s">
        <v>2383</v>
      </c>
      <c r="D1770" t="s">
        <v>2381</v>
      </c>
      <c r="E1770">
        <v>250</v>
      </c>
      <c r="F1770">
        <v>3.59</v>
      </c>
      <c r="G1770">
        <v>3.93</v>
      </c>
      <c r="H1770">
        <v>3.15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11">
        <v>43698.481087962966</v>
      </c>
      <c r="B1771" t="s">
        <v>2407</v>
      </c>
      <c r="C1771" t="s">
        <v>2383</v>
      </c>
      <c r="D1771" t="s">
        <v>2388</v>
      </c>
      <c r="E1771" t="s">
        <v>2757</v>
      </c>
      <c r="F1771">
        <v>3.59</v>
      </c>
      <c r="G1771">
        <v>3.93</v>
      </c>
      <c r="H1771">
        <v>3.15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11">
        <v>43698.481087962966</v>
      </c>
      <c r="B1772" t="s">
        <v>2407</v>
      </c>
      <c r="C1772" t="s">
        <v>2383</v>
      </c>
      <c r="D1772" t="s">
        <v>2389</v>
      </c>
      <c r="E1772" s="12" t="s">
        <v>2385</v>
      </c>
      <c r="F1772">
        <v>3.59</v>
      </c>
      <c r="G1772">
        <v>3.93</v>
      </c>
      <c r="H1772">
        <v>3.15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11">
        <v>43698.481087962966</v>
      </c>
      <c r="B1773" t="s">
        <v>2407</v>
      </c>
      <c r="C1773" t="s">
        <v>2736</v>
      </c>
      <c r="E1773" t="s">
        <v>2378</v>
      </c>
      <c r="F1773">
        <v>3.59</v>
      </c>
      <c r="G1773">
        <v>3.93</v>
      </c>
      <c r="H1773">
        <v>3.15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11">
        <v>43698.481168981481</v>
      </c>
      <c r="B1774" t="s">
        <v>2407</v>
      </c>
      <c r="C1774" t="s">
        <v>2733</v>
      </c>
      <c r="D1774" t="s">
        <v>2390</v>
      </c>
      <c r="F1774">
        <v>3.59</v>
      </c>
      <c r="G1774">
        <v>3.93</v>
      </c>
      <c r="H1774">
        <v>3.15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11">
        <v>43698.481168981481</v>
      </c>
      <c r="B1775" t="s">
        <v>2407</v>
      </c>
      <c r="C1775" t="s">
        <v>2734</v>
      </c>
      <c r="D1775" t="s">
        <v>2390</v>
      </c>
      <c r="F1775">
        <v>3.59</v>
      </c>
      <c r="G1775">
        <v>3.93</v>
      </c>
      <c r="H1775">
        <v>3.15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11">
        <v>43698.481168981481</v>
      </c>
      <c r="B1776" t="s">
        <v>2407</v>
      </c>
      <c r="C1776" t="s">
        <v>2735</v>
      </c>
      <c r="D1776" t="s">
        <v>2390</v>
      </c>
      <c r="F1776">
        <v>3.59</v>
      </c>
      <c r="G1776">
        <v>3.93</v>
      </c>
      <c r="H1776">
        <v>3.15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11">
        <v>43698.481180555558</v>
      </c>
      <c r="B1777" t="s">
        <v>2407</v>
      </c>
      <c r="C1777" t="s">
        <v>2737</v>
      </c>
      <c r="E1777">
        <v>101</v>
      </c>
      <c r="F1777">
        <v>3.59</v>
      </c>
      <c r="G1777">
        <v>3.93</v>
      </c>
      <c r="H1777">
        <v>3.15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11">
        <v>43698.481180555558</v>
      </c>
      <c r="B1778" t="s">
        <v>2407</v>
      </c>
      <c r="C1778" t="s">
        <v>2738</v>
      </c>
      <c r="D1778" t="s">
        <v>2390</v>
      </c>
      <c r="E1778" t="s">
        <v>2739</v>
      </c>
      <c r="F1778">
        <v>3.59</v>
      </c>
      <c r="G1778">
        <v>3.93</v>
      </c>
      <c r="H1778">
        <v>3.15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11">
        <v>43698.481180555558</v>
      </c>
      <c r="B1779" t="s">
        <v>2407</v>
      </c>
      <c r="C1779" t="s">
        <v>2737</v>
      </c>
      <c r="E1779">
        <v>104</v>
      </c>
      <c r="F1779">
        <v>3.59</v>
      </c>
      <c r="G1779">
        <v>3.93</v>
      </c>
      <c r="H1779">
        <v>3.15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11">
        <v>43698.481180555558</v>
      </c>
      <c r="B1780" t="s">
        <v>2407</v>
      </c>
      <c r="C1780" t="s">
        <v>2737</v>
      </c>
      <c r="E1780">
        <v>104</v>
      </c>
      <c r="F1780">
        <v>3.59</v>
      </c>
      <c r="G1780">
        <v>3.93</v>
      </c>
      <c r="H1780">
        <v>3.15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11">
        <v>43698.481180555558</v>
      </c>
      <c r="B1781" t="s">
        <v>2407</v>
      </c>
      <c r="C1781" t="s">
        <v>2737</v>
      </c>
      <c r="E1781">
        <v>104</v>
      </c>
      <c r="F1781">
        <v>3.59</v>
      </c>
      <c r="G1781">
        <v>3.93</v>
      </c>
      <c r="H1781">
        <v>3.15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11">
        <v>43698.481180555558</v>
      </c>
      <c r="B1782" t="s">
        <v>2407</v>
      </c>
      <c r="C1782" t="s">
        <v>2740</v>
      </c>
      <c r="D1782" t="s">
        <v>2390</v>
      </c>
      <c r="E1782" t="s">
        <v>2741</v>
      </c>
      <c r="F1782">
        <v>3.59</v>
      </c>
      <c r="G1782">
        <v>3.93</v>
      </c>
      <c r="H1782">
        <v>3.15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11">
        <v>43698.481180555558</v>
      </c>
      <c r="B1783" t="s">
        <v>2407</v>
      </c>
      <c r="C1783" t="s">
        <v>2737</v>
      </c>
      <c r="E1783">
        <v>109</v>
      </c>
      <c r="F1783">
        <v>3.59</v>
      </c>
      <c r="G1783">
        <v>3.93</v>
      </c>
      <c r="H1783">
        <v>3.15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11">
        <v>43698.481180555558</v>
      </c>
      <c r="B1784" t="s">
        <v>2407</v>
      </c>
      <c r="C1784" t="s">
        <v>2737</v>
      </c>
      <c r="E1784">
        <v>109</v>
      </c>
      <c r="F1784">
        <v>3.59</v>
      </c>
      <c r="G1784">
        <v>3.93</v>
      </c>
      <c r="H1784">
        <v>3.15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11">
        <v>43698.481180555558</v>
      </c>
      <c r="B1785" t="s">
        <v>2407</v>
      </c>
      <c r="C1785" t="s">
        <v>2742</v>
      </c>
      <c r="D1785" t="s">
        <v>2390</v>
      </c>
      <c r="E1785" t="s">
        <v>2743</v>
      </c>
      <c r="F1785">
        <v>3.59</v>
      </c>
      <c r="G1785">
        <v>3.93</v>
      </c>
      <c r="H1785">
        <v>3.15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11">
        <v>43698.481180555558</v>
      </c>
      <c r="B1786" t="s">
        <v>2407</v>
      </c>
      <c r="C1786" t="s">
        <v>2737</v>
      </c>
      <c r="E1786">
        <v>105</v>
      </c>
      <c r="F1786">
        <v>3.59</v>
      </c>
      <c r="G1786">
        <v>3.93</v>
      </c>
      <c r="H1786">
        <v>3.15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11">
        <v>43698.481180555558</v>
      </c>
      <c r="B1787" t="s">
        <v>2407</v>
      </c>
      <c r="C1787" t="s">
        <v>2744</v>
      </c>
      <c r="E1787">
        <v>103</v>
      </c>
      <c r="F1787">
        <v>3.59</v>
      </c>
      <c r="G1787">
        <v>3.93</v>
      </c>
      <c r="H1787">
        <v>3.15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11">
        <v>43698.481180555558</v>
      </c>
      <c r="B1788" t="s">
        <v>2407</v>
      </c>
      <c r="C1788" t="s">
        <v>2745</v>
      </c>
      <c r="D1788" t="s">
        <v>2390</v>
      </c>
      <c r="E1788" t="s">
        <v>2746</v>
      </c>
      <c r="F1788">
        <v>3.59</v>
      </c>
      <c r="G1788">
        <v>3.93</v>
      </c>
      <c r="H1788">
        <v>3.15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11">
        <v>43698.481180555558</v>
      </c>
      <c r="B1789" t="s">
        <v>2407</v>
      </c>
      <c r="C1789" t="s">
        <v>2744</v>
      </c>
      <c r="E1789">
        <v>112</v>
      </c>
      <c r="F1789">
        <v>3.59</v>
      </c>
      <c r="G1789">
        <v>3.93</v>
      </c>
      <c r="H1789">
        <v>3.15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11">
        <v>43698.481180555558</v>
      </c>
      <c r="B1790" t="s">
        <v>2407</v>
      </c>
      <c r="C1790" t="s">
        <v>2744</v>
      </c>
      <c r="E1790">
        <v>112</v>
      </c>
      <c r="F1790">
        <v>3.59</v>
      </c>
      <c r="G1790">
        <v>3.93</v>
      </c>
      <c r="H1790">
        <v>3.15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11">
        <v>43698.481180555558</v>
      </c>
      <c r="B1791" t="s">
        <v>2407</v>
      </c>
      <c r="C1791" t="s">
        <v>2744</v>
      </c>
      <c r="E1791">
        <v>112</v>
      </c>
      <c r="F1791">
        <v>3.59</v>
      </c>
      <c r="G1791">
        <v>3.93</v>
      </c>
      <c r="H1791">
        <v>3.15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11">
        <v>43698.481180555558</v>
      </c>
      <c r="B1792" t="s">
        <v>2407</v>
      </c>
      <c r="C1792" t="s">
        <v>2747</v>
      </c>
      <c r="D1792" t="s">
        <v>2390</v>
      </c>
      <c r="E1792" t="s">
        <v>2748</v>
      </c>
      <c r="F1792">
        <v>3.59</v>
      </c>
      <c r="G1792">
        <v>3.93</v>
      </c>
      <c r="H1792">
        <v>3.15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11">
        <v>43698.481180555558</v>
      </c>
      <c r="B1793" t="s">
        <v>2407</v>
      </c>
      <c r="C1793" t="s">
        <v>2383</v>
      </c>
      <c r="D1793" t="s">
        <v>2384</v>
      </c>
      <c r="E1793" s="12" t="s">
        <v>2385</v>
      </c>
      <c r="F1793">
        <v>3.59</v>
      </c>
      <c r="G1793">
        <v>3.93</v>
      </c>
      <c r="H1793">
        <v>3.15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11">
        <v>43698.481180555558</v>
      </c>
      <c r="B1794" t="s">
        <v>2407</v>
      </c>
      <c r="C1794" t="s">
        <v>2383</v>
      </c>
      <c r="D1794" t="s">
        <v>2386</v>
      </c>
      <c r="E1794">
        <v>440</v>
      </c>
      <c r="F1794">
        <v>3.59</v>
      </c>
      <c r="G1794">
        <v>3.93</v>
      </c>
      <c r="H1794">
        <v>3.15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11">
        <v>43698.481180555558</v>
      </c>
      <c r="B1795" t="s">
        <v>2407</v>
      </c>
      <c r="C1795" t="s">
        <v>2383</v>
      </c>
      <c r="D1795" t="s">
        <v>2387</v>
      </c>
      <c r="E1795" t="s">
        <v>2756</v>
      </c>
      <c r="F1795">
        <v>3.59</v>
      </c>
      <c r="G1795">
        <v>3.93</v>
      </c>
      <c r="H1795">
        <v>3.15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11">
        <v>43698.481180555558</v>
      </c>
      <c r="B1796" t="s">
        <v>2407</v>
      </c>
      <c r="C1796" t="s">
        <v>2383</v>
      </c>
      <c r="D1796" t="s">
        <v>2381</v>
      </c>
      <c r="E1796" t="s">
        <v>2758</v>
      </c>
      <c r="F1796">
        <v>3.59</v>
      </c>
      <c r="G1796">
        <v>3.93</v>
      </c>
      <c r="H1796">
        <v>3.15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11">
        <v>43698.481180555558</v>
      </c>
      <c r="B1797" t="s">
        <v>2407</v>
      </c>
      <c r="C1797" t="s">
        <v>2383</v>
      </c>
      <c r="D1797" t="s">
        <v>2388</v>
      </c>
      <c r="E1797" t="s">
        <v>2759</v>
      </c>
      <c r="F1797">
        <v>3.59</v>
      </c>
      <c r="G1797">
        <v>3.93</v>
      </c>
      <c r="H1797">
        <v>3.15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11">
        <v>43698.481180555558</v>
      </c>
      <c r="B1798" t="s">
        <v>2407</v>
      </c>
      <c r="C1798" t="s">
        <v>2383</v>
      </c>
      <c r="D1798" t="s">
        <v>2389</v>
      </c>
      <c r="E1798" s="12" t="s">
        <v>2385</v>
      </c>
      <c r="F1798">
        <v>3.59</v>
      </c>
      <c r="G1798">
        <v>3.93</v>
      </c>
      <c r="H1798">
        <v>3.15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11">
        <v>43698.481192129628</v>
      </c>
      <c r="B1799" t="s">
        <v>2407</v>
      </c>
      <c r="C1799" t="s">
        <v>2736</v>
      </c>
      <c r="E1799" t="s">
        <v>2378</v>
      </c>
      <c r="F1799">
        <v>3.59</v>
      </c>
      <c r="G1799">
        <v>3.93</v>
      </c>
      <c r="H1799">
        <v>3.15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11">
        <v>43698.481400462966</v>
      </c>
      <c r="B1800" t="s">
        <v>2407</v>
      </c>
      <c r="C1800" t="s">
        <v>2733</v>
      </c>
      <c r="D1800" t="s">
        <v>2390</v>
      </c>
      <c r="F1800">
        <v>3.59</v>
      </c>
      <c r="G1800">
        <v>3.93</v>
      </c>
      <c r="H1800">
        <v>3.15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11">
        <v>43698.481400462966</v>
      </c>
      <c r="B1801" t="s">
        <v>2407</v>
      </c>
      <c r="C1801" t="s">
        <v>2734</v>
      </c>
      <c r="D1801" t="s">
        <v>2390</v>
      </c>
      <c r="F1801">
        <v>3.59</v>
      </c>
      <c r="G1801">
        <v>3.93</v>
      </c>
      <c r="H1801">
        <v>3.15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11">
        <v>43698.481400462966</v>
      </c>
      <c r="B1802" t="s">
        <v>2407</v>
      </c>
      <c r="C1802" t="s">
        <v>2735</v>
      </c>
      <c r="D1802" t="s">
        <v>2390</v>
      </c>
      <c r="F1802">
        <v>3.59</v>
      </c>
      <c r="G1802">
        <v>3.93</v>
      </c>
      <c r="H1802">
        <v>3.15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11">
        <v>43698.481412037036</v>
      </c>
      <c r="B1803" t="s">
        <v>2407</v>
      </c>
      <c r="C1803" t="s">
        <v>2737</v>
      </c>
      <c r="E1803">
        <v>101</v>
      </c>
      <c r="F1803">
        <v>3.59</v>
      </c>
      <c r="G1803">
        <v>3.93</v>
      </c>
      <c r="H1803">
        <v>3.15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11">
        <v>43698.481412037036</v>
      </c>
      <c r="B1804" t="s">
        <v>2407</v>
      </c>
      <c r="C1804" t="s">
        <v>2738</v>
      </c>
      <c r="D1804" t="s">
        <v>2390</v>
      </c>
      <c r="E1804" t="s">
        <v>2739</v>
      </c>
      <c r="F1804">
        <v>3.59</v>
      </c>
      <c r="G1804">
        <v>3.93</v>
      </c>
      <c r="H1804">
        <v>3.15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11">
        <v>43698.481412037036</v>
      </c>
      <c r="B1805" t="s">
        <v>2407</v>
      </c>
      <c r="C1805" t="s">
        <v>2737</v>
      </c>
      <c r="E1805">
        <v>104</v>
      </c>
      <c r="F1805">
        <v>3.59</v>
      </c>
      <c r="G1805">
        <v>3.93</v>
      </c>
      <c r="H1805">
        <v>3.15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11">
        <v>43698.481412037036</v>
      </c>
      <c r="B1806" t="s">
        <v>2407</v>
      </c>
      <c r="C1806" t="s">
        <v>2737</v>
      </c>
      <c r="E1806">
        <v>104</v>
      </c>
      <c r="F1806">
        <v>3.59</v>
      </c>
      <c r="G1806">
        <v>3.93</v>
      </c>
      <c r="H1806">
        <v>3.15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11">
        <v>43698.481412037036</v>
      </c>
      <c r="B1807" t="s">
        <v>2407</v>
      </c>
      <c r="C1807" t="s">
        <v>2737</v>
      </c>
      <c r="E1807">
        <v>104</v>
      </c>
      <c r="F1807">
        <v>3.59</v>
      </c>
      <c r="G1807">
        <v>3.93</v>
      </c>
      <c r="H1807">
        <v>3.15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11">
        <v>43698.481412037036</v>
      </c>
      <c r="B1808" t="s">
        <v>2407</v>
      </c>
      <c r="C1808" t="s">
        <v>2740</v>
      </c>
      <c r="D1808" t="s">
        <v>2390</v>
      </c>
      <c r="E1808" t="s">
        <v>2741</v>
      </c>
      <c r="F1808">
        <v>3.59</v>
      </c>
      <c r="G1808">
        <v>3.93</v>
      </c>
      <c r="H1808">
        <v>3.15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11">
        <v>43698.481412037036</v>
      </c>
      <c r="B1809" t="s">
        <v>2407</v>
      </c>
      <c r="C1809" t="s">
        <v>2737</v>
      </c>
      <c r="E1809">
        <v>109</v>
      </c>
      <c r="F1809">
        <v>3.59</v>
      </c>
      <c r="G1809">
        <v>3.93</v>
      </c>
      <c r="H1809">
        <v>3.15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11">
        <v>43698.481412037036</v>
      </c>
      <c r="B1810" t="s">
        <v>2407</v>
      </c>
      <c r="C1810" t="s">
        <v>2737</v>
      </c>
      <c r="E1810">
        <v>109</v>
      </c>
      <c r="F1810">
        <v>3.59</v>
      </c>
      <c r="G1810">
        <v>3.93</v>
      </c>
      <c r="H1810">
        <v>3.15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11">
        <v>43698.481412037036</v>
      </c>
      <c r="B1811" t="s">
        <v>2407</v>
      </c>
      <c r="C1811" t="s">
        <v>2742</v>
      </c>
      <c r="D1811" t="s">
        <v>2390</v>
      </c>
      <c r="E1811" t="s">
        <v>2743</v>
      </c>
      <c r="F1811">
        <v>3.59</v>
      </c>
      <c r="G1811">
        <v>3.93</v>
      </c>
      <c r="H1811">
        <v>3.15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11">
        <v>43698.481412037036</v>
      </c>
      <c r="B1812" t="s">
        <v>2407</v>
      </c>
      <c r="C1812" t="s">
        <v>2737</v>
      </c>
      <c r="E1812">
        <v>105</v>
      </c>
      <c r="F1812">
        <v>3.59</v>
      </c>
      <c r="G1812">
        <v>3.93</v>
      </c>
      <c r="H1812">
        <v>3.15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11">
        <v>43698.481412037036</v>
      </c>
      <c r="B1813" t="s">
        <v>2407</v>
      </c>
      <c r="C1813" t="s">
        <v>2744</v>
      </c>
      <c r="E1813">
        <v>103</v>
      </c>
      <c r="F1813">
        <v>3.59</v>
      </c>
      <c r="G1813">
        <v>3.93</v>
      </c>
      <c r="H1813">
        <v>3.15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11">
        <v>43698.481412037036</v>
      </c>
      <c r="B1814" t="s">
        <v>2407</v>
      </c>
      <c r="C1814" t="s">
        <v>2745</v>
      </c>
      <c r="D1814" t="s">
        <v>2390</v>
      </c>
      <c r="E1814" t="s">
        <v>2746</v>
      </c>
      <c r="F1814">
        <v>3.59</v>
      </c>
      <c r="G1814">
        <v>3.93</v>
      </c>
      <c r="H1814">
        <v>3.15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11">
        <v>43698.481412037036</v>
      </c>
      <c r="B1815" t="s">
        <v>2407</v>
      </c>
      <c r="C1815" t="s">
        <v>2744</v>
      </c>
      <c r="E1815">
        <v>112</v>
      </c>
      <c r="F1815">
        <v>3.59</v>
      </c>
      <c r="G1815">
        <v>3.93</v>
      </c>
      <c r="H1815">
        <v>3.15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11">
        <v>43698.481412037036</v>
      </c>
      <c r="B1816" t="s">
        <v>2407</v>
      </c>
      <c r="C1816" t="s">
        <v>2744</v>
      </c>
      <c r="E1816">
        <v>112</v>
      </c>
      <c r="F1816">
        <v>3.59</v>
      </c>
      <c r="G1816">
        <v>3.93</v>
      </c>
      <c r="H1816">
        <v>3.15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11">
        <v>43698.481412037036</v>
      </c>
      <c r="B1817" t="s">
        <v>2407</v>
      </c>
      <c r="C1817" t="s">
        <v>2744</v>
      </c>
      <c r="E1817">
        <v>112</v>
      </c>
      <c r="F1817">
        <v>3.59</v>
      </c>
      <c r="G1817">
        <v>3.93</v>
      </c>
      <c r="H1817">
        <v>3.15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11">
        <v>43698.481412037036</v>
      </c>
      <c r="B1818" t="s">
        <v>2407</v>
      </c>
      <c r="C1818" t="s">
        <v>2747</v>
      </c>
      <c r="D1818" t="s">
        <v>2390</v>
      </c>
      <c r="E1818" t="s">
        <v>2748</v>
      </c>
      <c r="F1818">
        <v>3.59</v>
      </c>
      <c r="G1818">
        <v>3.93</v>
      </c>
      <c r="H1818">
        <v>3.15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11">
        <v>43698.481412037036</v>
      </c>
      <c r="B1819" t="s">
        <v>2407</v>
      </c>
      <c r="C1819" t="s">
        <v>2383</v>
      </c>
      <c r="D1819" t="s">
        <v>2384</v>
      </c>
      <c r="E1819" s="12" t="s">
        <v>2385</v>
      </c>
      <c r="F1819">
        <v>3.59</v>
      </c>
      <c r="G1819">
        <v>3.93</v>
      </c>
      <c r="H1819">
        <v>3.15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11">
        <v>43698.481412037036</v>
      </c>
      <c r="B1820" t="s">
        <v>2407</v>
      </c>
      <c r="C1820" t="s">
        <v>2383</v>
      </c>
      <c r="D1820" t="s">
        <v>2386</v>
      </c>
      <c r="E1820">
        <v>440</v>
      </c>
      <c r="F1820">
        <v>3.59</v>
      </c>
      <c r="G1820">
        <v>3.93</v>
      </c>
      <c r="H1820">
        <v>3.15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11">
        <v>43698.481412037036</v>
      </c>
      <c r="B1821" t="s">
        <v>2407</v>
      </c>
      <c r="C1821" t="s">
        <v>2383</v>
      </c>
      <c r="D1821" t="s">
        <v>2387</v>
      </c>
      <c r="E1821" t="s">
        <v>2756</v>
      </c>
      <c r="F1821">
        <v>3.59</v>
      </c>
      <c r="G1821">
        <v>3.93</v>
      </c>
      <c r="H1821">
        <v>3.15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11">
        <v>43698.481412037036</v>
      </c>
      <c r="B1822" t="s">
        <v>2407</v>
      </c>
      <c r="C1822" t="s">
        <v>2383</v>
      </c>
      <c r="D1822" t="s">
        <v>2381</v>
      </c>
      <c r="E1822">
        <v>250</v>
      </c>
      <c r="F1822">
        <v>3.59</v>
      </c>
      <c r="G1822">
        <v>3.93</v>
      </c>
      <c r="H1822">
        <v>3.15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11">
        <v>43698.481412037036</v>
      </c>
      <c r="B1823" t="s">
        <v>2407</v>
      </c>
      <c r="C1823" t="s">
        <v>2383</v>
      </c>
      <c r="D1823" t="s">
        <v>2388</v>
      </c>
      <c r="E1823" t="s">
        <v>2757</v>
      </c>
      <c r="F1823">
        <v>3.59</v>
      </c>
      <c r="G1823">
        <v>3.93</v>
      </c>
      <c r="H1823">
        <v>3.15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11">
        <v>43698.481412037036</v>
      </c>
      <c r="B1824" t="s">
        <v>2407</v>
      </c>
      <c r="C1824" t="s">
        <v>2383</v>
      </c>
      <c r="D1824" t="s">
        <v>2389</v>
      </c>
      <c r="E1824" s="12" t="s">
        <v>2385</v>
      </c>
      <c r="F1824">
        <v>3.59</v>
      </c>
      <c r="G1824">
        <v>3.93</v>
      </c>
      <c r="H1824">
        <v>3.15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11">
        <v>43698.481423611112</v>
      </c>
      <c r="B1825" t="s">
        <v>2407</v>
      </c>
      <c r="C1825" t="s">
        <v>2736</v>
      </c>
      <c r="E1825" t="s">
        <v>2378</v>
      </c>
      <c r="F1825">
        <v>3.59</v>
      </c>
      <c r="G1825">
        <v>3.93</v>
      </c>
      <c r="H1825">
        <v>3.15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11">
        <v>43698.481608796297</v>
      </c>
      <c r="B1826" t="s">
        <v>2407</v>
      </c>
      <c r="C1826" t="s">
        <v>2733</v>
      </c>
      <c r="D1826" t="s">
        <v>2390</v>
      </c>
      <c r="F1826">
        <v>3.59</v>
      </c>
      <c r="G1826">
        <v>3.93</v>
      </c>
      <c r="H1826">
        <v>3.15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11">
        <v>43698.481608796297</v>
      </c>
      <c r="B1827" t="s">
        <v>2407</v>
      </c>
      <c r="C1827" t="s">
        <v>2734</v>
      </c>
      <c r="D1827" t="s">
        <v>2390</v>
      </c>
      <c r="F1827">
        <v>3.59</v>
      </c>
      <c r="G1827">
        <v>3.93</v>
      </c>
      <c r="H1827">
        <v>3.15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11">
        <v>43698.481608796297</v>
      </c>
      <c r="B1828" t="s">
        <v>2407</v>
      </c>
      <c r="C1828" t="s">
        <v>2735</v>
      </c>
      <c r="D1828" t="s">
        <v>2390</v>
      </c>
      <c r="F1828">
        <v>3.59</v>
      </c>
      <c r="G1828">
        <v>3.93</v>
      </c>
      <c r="H1828">
        <v>3.15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11">
        <v>43698.481620370374</v>
      </c>
      <c r="B1829" t="s">
        <v>2407</v>
      </c>
      <c r="C1829" t="s">
        <v>2737</v>
      </c>
      <c r="E1829">
        <v>101</v>
      </c>
      <c r="F1829">
        <v>3.59</v>
      </c>
      <c r="G1829">
        <v>3.93</v>
      </c>
      <c r="H1829">
        <v>3.15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11">
        <v>43698.481620370374</v>
      </c>
      <c r="B1830" t="s">
        <v>2407</v>
      </c>
      <c r="C1830" t="s">
        <v>2744</v>
      </c>
      <c r="E1830">
        <v>103</v>
      </c>
      <c r="F1830">
        <v>3.59</v>
      </c>
      <c r="G1830">
        <v>3.93</v>
      </c>
      <c r="H1830">
        <v>3.15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11">
        <v>43698.481620370374</v>
      </c>
      <c r="B1831" t="s">
        <v>2407</v>
      </c>
      <c r="C1831" t="s">
        <v>2737</v>
      </c>
      <c r="E1831">
        <v>104</v>
      </c>
      <c r="F1831">
        <v>3.59</v>
      </c>
      <c r="G1831">
        <v>3.93</v>
      </c>
      <c r="H1831">
        <v>3.15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11">
        <v>43698.481620370374</v>
      </c>
      <c r="B1832" t="s">
        <v>2407</v>
      </c>
      <c r="C1832" t="s">
        <v>2737</v>
      </c>
      <c r="E1832">
        <v>104</v>
      </c>
      <c r="F1832">
        <v>3.59</v>
      </c>
      <c r="G1832">
        <v>3.93</v>
      </c>
      <c r="H1832">
        <v>3.15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11">
        <v>43698.481620370374</v>
      </c>
      <c r="B1833" t="s">
        <v>2407</v>
      </c>
      <c r="C1833" t="s">
        <v>2737</v>
      </c>
      <c r="E1833">
        <v>104</v>
      </c>
      <c r="F1833">
        <v>3.59</v>
      </c>
      <c r="G1833">
        <v>3.93</v>
      </c>
      <c r="H1833">
        <v>3.15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11">
        <v>43698.481620370374</v>
      </c>
      <c r="B1834" t="s">
        <v>2407</v>
      </c>
      <c r="C1834" t="s">
        <v>2737</v>
      </c>
      <c r="E1834">
        <v>105</v>
      </c>
      <c r="F1834">
        <v>3.59</v>
      </c>
      <c r="G1834">
        <v>3.93</v>
      </c>
      <c r="H1834">
        <v>3.15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11">
        <v>43698.481620370374</v>
      </c>
      <c r="B1835" t="s">
        <v>2407</v>
      </c>
      <c r="C1835" t="s">
        <v>2737</v>
      </c>
      <c r="E1835">
        <v>109</v>
      </c>
      <c r="F1835">
        <v>3.59</v>
      </c>
      <c r="G1835">
        <v>3.93</v>
      </c>
      <c r="H1835">
        <v>3.15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11">
        <v>43698.481620370374</v>
      </c>
      <c r="B1836" t="s">
        <v>2407</v>
      </c>
      <c r="C1836" t="s">
        <v>2737</v>
      </c>
      <c r="E1836">
        <v>109</v>
      </c>
      <c r="F1836">
        <v>3.59</v>
      </c>
      <c r="G1836">
        <v>3.93</v>
      </c>
      <c r="H1836">
        <v>3.15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11">
        <v>43698.481620370374</v>
      </c>
      <c r="B1837" t="s">
        <v>2407</v>
      </c>
      <c r="C1837" t="s">
        <v>2744</v>
      </c>
      <c r="E1837">
        <v>112</v>
      </c>
      <c r="F1837">
        <v>3.59</v>
      </c>
      <c r="G1837">
        <v>3.93</v>
      </c>
      <c r="H1837">
        <v>3.15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11">
        <v>43698.481620370374</v>
      </c>
      <c r="B1838" t="s">
        <v>2407</v>
      </c>
      <c r="C1838" t="s">
        <v>2744</v>
      </c>
      <c r="E1838">
        <v>112</v>
      </c>
      <c r="F1838">
        <v>3.59</v>
      </c>
      <c r="G1838">
        <v>3.93</v>
      </c>
      <c r="H1838">
        <v>3.15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11">
        <v>43698.481620370374</v>
      </c>
      <c r="B1839" t="s">
        <v>2407</v>
      </c>
      <c r="C1839" t="s">
        <v>2744</v>
      </c>
      <c r="E1839">
        <v>112</v>
      </c>
      <c r="F1839">
        <v>3.59</v>
      </c>
      <c r="G1839">
        <v>3.93</v>
      </c>
      <c r="H1839">
        <v>3.15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11">
        <v>43698.481620370374</v>
      </c>
      <c r="B1840" t="s">
        <v>2407</v>
      </c>
      <c r="C1840" t="s">
        <v>2383</v>
      </c>
      <c r="D1840" t="s">
        <v>2384</v>
      </c>
      <c r="E1840" s="12" t="s">
        <v>2385</v>
      </c>
      <c r="F1840">
        <v>3.59</v>
      </c>
      <c r="G1840">
        <v>3.93</v>
      </c>
      <c r="H1840">
        <v>3.15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11">
        <v>43698.481620370374</v>
      </c>
      <c r="B1841" t="s">
        <v>2407</v>
      </c>
      <c r="C1841" t="s">
        <v>2383</v>
      </c>
      <c r="D1841" t="s">
        <v>2386</v>
      </c>
      <c r="E1841" t="s">
        <v>2750</v>
      </c>
      <c r="F1841">
        <v>3.59</v>
      </c>
      <c r="G1841">
        <v>3.93</v>
      </c>
      <c r="H1841">
        <v>3.15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11">
        <v>43698.481620370374</v>
      </c>
      <c r="B1842" t="s">
        <v>2407</v>
      </c>
      <c r="C1842" t="s">
        <v>2383</v>
      </c>
      <c r="D1842" t="s">
        <v>2387</v>
      </c>
      <c r="E1842" t="s">
        <v>2760</v>
      </c>
      <c r="F1842">
        <v>3.59</v>
      </c>
      <c r="G1842">
        <v>3.93</v>
      </c>
      <c r="H1842">
        <v>3.15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11">
        <v>43698.481620370374</v>
      </c>
      <c r="B1843" t="s">
        <v>2407</v>
      </c>
      <c r="C1843" t="s">
        <v>2383</v>
      </c>
      <c r="D1843" t="s">
        <v>2381</v>
      </c>
      <c r="E1843" t="s">
        <v>2761</v>
      </c>
      <c r="F1843">
        <v>3.59</v>
      </c>
      <c r="G1843">
        <v>3.93</v>
      </c>
      <c r="H1843">
        <v>3.15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11">
        <v>43698.481620370374</v>
      </c>
      <c r="B1844" t="s">
        <v>2407</v>
      </c>
      <c r="C1844" t="s">
        <v>2383</v>
      </c>
      <c r="D1844" t="s">
        <v>2388</v>
      </c>
      <c r="E1844" t="s">
        <v>2762</v>
      </c>
      <c r="F1844">
        <v>3.59</v>
      </c>
      <c r="G1844">
        <v>3.93</v>
      </c>
      <c r="H1844">
        <v>3.15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11">
        <v>43698.481620370374</v>
      </c>
      <c r="B1845" t="s">
        <v>2407</v>
      </c>
      <c r="C1845" t="s">
        <v>2383</v>
      </c>
      <c r="D1845" t="s">
        <v>2389</v>
      </c>
      <c r="E1845" s="12" t="s">
        <v>2385</v>
      </c>
      <c r="F1845">
        <v>3.59</v>
      </c>
      <c r="G1845">
        <v>3.93</v>
      </c>
      <c r="H1845">
        <v>3.15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11">
        <v>43698.481631944444</v>
      </c>
      <c r="B1846" t="s">
        <v>2407</v>
      </c>
      <c r="C1846" t="s">
        <v>2736</v>
      </c>
      <c r="E1846" t="s">
        <v>2378</v>
      </c>
      <c r="F1846">
        <v>3.59</v>
      </c>
      <c r="G1846">
        <v>3.93</v>
      </c>
      <c r="H1846">
        <v>3.15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11">
        <v>43698.483414351853</v>
      </c>
      <c r="B1847" t="s">
        <v>2407</v>
      </c>
      <c r="C1847" t="s">
        <v>2733</v>
      </c>
      <c r="D1847" t="s">
        <v>2390</v>
      </c>
      <c r="F1847">
        <v>3.59</v>
      </c>
      <c r="G1847">
        <v>3.93</v>
      </c>
      <c r="H1847">
        <v>3.15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11">
        <v>43698.483414351853</v>
      </c>
      <c r="B1848" t="s">
        <v>2407</v>
      </c>
      <c r="C1848" t="s">
        <v>2734</v>
      </c>
      <c r="D1848" t="s">
        <v>2390</v>
      </c>
      <c r="F1848">
        <v>3.59</v>
      </c>
      <c r="G1848">
        <v>3.93</v>
      </c>
      <c r="H1848">
        <v>3.15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11">
        <v>43698.483414351853</v>
      </c>
      <c r="B1849" t="s">
        <v>2407</v>
      </c>
      <c r="C1849" t="s">
        <v>2735</v>
      </c>
      <c r="D1849" t="s">
        <v>2390</v>
      </c>
      <c r="F1849">
        <v>3.59</v>
      </c>
      <c r="G1849">
        <v>3.93</v>
      </c>
      <c r="H1849">
        <v>3.15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11">
        <v>43698.483425925922</v>
      </c>
      <c r="B1850" t="s">
        <v>2407</v>
      </c>
      <c r="C1850" t="s">
        <v>2737</v>
      </c>
      <c r="E1850">
        <v>101</v>
      </c>
      <c r="F1850">
        <v>3.59</v>
      </c>
      <c r="G1850">
        <v>3.93</v>
      </c>
      <c r="H1850">
        <v>3.15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11">
        <v>43698.483425925922</v>
      </c>
      <c r="B1851" t="s">
        <v>2407</v>
      </c>
      <c r="C1851" t="s">
        <v>2744</v>
      </c>
      <c r="E1851">
        <v>103</v>
      </c>
      <c r="F1851">
        <v>3.59</v>
      </c>
      <c r="G1851">
        <v>3.93</v>
      </c>
      <c r="H1851">
        <v>3.15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11">
        <v>43698.483425925922</v>
      </c>
      <c r="B1852" t="s">
        <v>2407</v>
      </c>
      <c r="C1852" t="s">
        <v>2737</v>
      </c>
      <c r="E1852">
        <v>104</v>
      </c>
      <c r="F1852">
        <v>3.59</v>
      </c>
      <c r="G1852">
        <v>3.93</v>
      </c>
      <c r="H1852">
        <v>3.15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11">
        <v>43698.483425925922</v>
      </c>
      <c r="B1853" t="s">
        <v>2407</v>
      </c>
      <c r="C1853" t="s">
        <v>2737</v>
      </c>
      <c r="E1853">
        <v>104</v>
      </c>
      <c r="F1853">
        <v>3.59</v>
      </c>
      <c r="G1853">
        <v>3.93</v>
      </c>
      <c r="H1853">
        <v>3.15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11">
        <v>43698.483425925922</v>
      </c>
      <c r="B1854" t="s">
        <v>2407</v>
      </c>
      <c r="C1854" t="s">
        <v>2737</v>
      </c>
      <c r="E1854">
        <v>104</v>
      </c>
      <c r="F1854">
        <v>3.59</v>
      </c>
      <c r="G1854">
        <v>3.93</v>
      </c>
      <c r="H1854">
        <v>3.15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11">
        <v>43698.483425925922</v>
      </c>
      <c r="B1855" t="s">
        <v>2407</v>
      </c>
      <c r="C1855" t="s">
        <v>2737</v>
      </c>
      <c r="E1855">
        <v>105</v>
      </c>
      <c r="F1855">
        <v>3.59</v>
      </c>
      <c r="G1855">
        <v>3.93</v>
      </c>
      <c r="H1855">
        <v>3.15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11">
        <v>43698.483425925922</v>
      </c>
      <c r="B1856" t="s">
        <v>2407</v>
      </c>
      <c r="C1856" t="s">
        <v>2737</v>
      </c>
      <c r="E1856">
        <v>109</v>
      </c>
      <c r="F1856">
        <v>3.59</v>
      </c>
      <c r="G1856">
        <v>3.93</v>
      </c>
      <c r="H1856">
        <v>3.15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11">
        <v>43698.483425925922</v>
      </c>
      <c r="B1857" t="s">
        <v>2407</v>
      </c>
      <c r="C1857" t="s">
        <v>2737</v>
      </c>
      <c r="E1857">
        <v>109</v>
      </c>
      <c r="F1857">
        <v>3.59</v>
      </c>
      <c r="G1857">
        <v>3.93</v>
      </c>
      <c r="H1857">
        <v>3.15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11">
        <v>43698.483425925922</v>
      </c>
      <c r="B1858" t="s">
        <v>2407</v>
      </c>
      <c r="C1858" t="s">
        <v>2744</v>
      </c>
      <c r="E1858">
        <v>112</v>
      </c>
      <c r="F1858">
        <v>3.59</v>
      </c>
      <c r="G1858">
        <v>3.93</v>
      </c>
      <c r="H1858">
        <v>3.15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11">
        <v>43698.483425925922</v>
      </c>
      <c r="B1859" t="s">
        <v>2407</v>
      </c>
      <c r="C1859" t="s">
        <v>2744</v>
      </c>
      <c r="E1859">
        <v>112</v>
      </c>
      <c r="F1859">
        <v>3.59</v>
      </c>
      <c r="G1859">
        <v>3.93</v>
      </c>
      <c r="H1859">
        <v>3.15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11">
        <v>43698.483425925922</v>
      </c>
      <c r="B1860" t="s">
        <v>2407</v>
      </c>
      <c r="C1860" t="s">
        <v>2744</v>
      </c>
      <c r="E1860">
        <v>112</v>
      </c>
      <c r="F1860">
        <v>3.59</v>
      </c>
      <c r="G1860">
        <v>3.93</v>
      </c>
      <c r="H1860">
        <v>3.15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11">
        <v>43698.483425925922</v>
      </c>
      <c r="B1861" t="s">
        <v>2407</v>
      </c>
      <c r="C1861" t="s">
        <v>2383</v>
      </c>
      <c r="D1861" t="s">
        <v>2384</v>
      </c>
      <c r="E1861" s="12" t="s">
        <v>2385</v>
      </c>
      <c r="F1861">
        <v>3.59</v>
      </c>
      <c r="G1861">
        <v>3.93</v>
      </c>
      <c r="H1861">
        <v>3.15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11">
        <v>43698.483425925922</v>
      </c>
      <c r="B1862" t="s">
        <v>2407</v>
      </c>
      <c r="C1862" t="s">
        <v>2383</v>
      </c>
      <c r="D1862" t="s">
        <v>2386</v>
      </c>
      <c r="E1862" t="s">
        <v>2750</v>
      </c>
      <c r="F1862">
        <v>3.59</v>
      </c>
      <c r="G1862">
        <v>3.93</v>
      </c>
      <c r="H1862">
        <v>3.15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11">
        <v>43698.483425925922</v>
      </c>
      <c r="B1863" t="s">
        <v>2407</v>
      </c>
      <c r="C1863" t="s">
        <v>2383</v>
      </c>
      <c r="D1863" t="s">
        <v>2387</v>
      </c>
      <c r="E1863" t="s">
        <v>2760</v>
      </c>
      <c r="F1863">
        <v>3.59</v>
      </c>
      <c r="G1863">
        <v>3.93</v>
      </c>
      <c r="H1863">
        <v>3.15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11">
        <v>43698.483425925922</v>
      </c>
      <c r="B1864" t="s">
        <v>2407</v>
      </c>
      <c r="C1864" t="s">
        <v>2383</v>
      </c>
      <c r="D1864" t="s">
        <v>2381</v>
      </c>
      <c r="E1864" t="s">
        <v>2763</v>
      </c>
      <c r="F1864">
        <v>3.59</v>
      </c>
      <c r="G1864">
        <v>3.93</v>
      </c>
      <c r="H1864">
        <v>3.15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11">
        <v>43698.483425925922</v>
      </c>
      <c r="B1865" t="s">
        <v>2407</v>
      </c>
      <c r="C1865" t="s">
        <v>2383</v>
      </c>
      <c r="D1865" t="s">
        <v>2388</v>
      </c>
      <c r="E1865" t="s">
        <v>2764</v>
      </c>
      <c r="F1865">
        <v>3.59</v>
      </c>
      <c r="G1865">
        <v>3.93</v>
      </c>
      <c r="H1865">
        <v>3.15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11">
        <v>43698.483425925922</v>
      </c>
      <c r="B1866" t="s">
        <v>2407</v>
      </c>
      <c r="C1866" t="s">
        <v>2383</v>
      </c>
      <c r="D1866" t="s">
        <v>2389</v>
      </c>
      <c r="E1866" s="12" t="s">
        <v>2385</v>
      </c>
      <c r="F1866">
        <v>3.59</v>
      </c>
      <c r="G1866">
        <v>3.93</v>
      </c>
      <c r="H1866">
        <v>3.15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11">
        <v>43698.483437499999</v>
      </c>
      <c r="B1867" t="s">
        <v>2407</v>
      </c>
      <c r="C1867" t="s">
        <v>2736</v>
      </c>
      <c r="E1867" t="s">
        <v>2378</v>
      </c>
      <c r="F1867">
        <v>3.59</v>
      </c>
      <c r="G1867">
        <v>3.93</v>
      </c>
      <c r="H1867">
        <v>3.15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11">
        <v>43698.483611111114</v>
      </c>
      <c r="B1868" t="s">
        <v>2407</v>
      </c>
      <c r="C1868" t="s">
        <v>2733</v>
      </c>
      <c r="D1868" t="s">
        <v>2390</v>
      </c>
      <c r="F1868">
        <v>3.59</v>
      </c>
      <c r="G1868">
        <v>3.93</v>
      </c>
      <c r="H1868">
        <v>3.15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11">
        <v>43698.483611111114</v>
      </c>
      <c r="B1869" t="s">
        <v>2407</v>
      </c>
      <c r="C1869" t="s">
        <v>2734</v>
      </c>
      <c r="D1869" t="s">
        <v>2390</v>
      </c>
      <c r="F1869">
        <v>3.59</v>
      </c>
      <c r="G1869">
        <v>3.93</v>
      </c>
      <c r="H1869">
        <v>3.15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11">
        <v>43698.483611111114</v>
      </c>
      <c r="B1870" t="s">
        <v>2407</v>
      </c>
      <c r="C1870" t="s">
        <v>2735</v>
      </c>
      <c r="D1870" t="s">
        <v>2390</v>
      </c>
      <c r="F1870">
        <v>3.59</v>
      </c>
      <c r="G1870">
        <v>3.93</v>
      </c>
      <c r="H1870">
        <v>3.15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11">
        <v>43698.483715277776</v>
      </c>
      <c r="B1871" t="s">
        <v>2407</v>
      </c>
      <c r="C1871" t="s">
        <v>2737</v>
      </c>
      <c r="E1871">
        <v>101</v>
      </c>
      <c r="F1871">
        <v>3.59</v>
      </c>
      <c r="G1871">
        <v>3.93</v>
      </c>
      <c r="H1871">
        <v>3.15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11">
        <v>43698.487824074073</v>
      </c>
      <c r="B1872" t="s">
        <v>2407</v>
      </c>
      <c r="C1872" t="s">
        <v>2744</v>
      </c>
      <c r="E1872">
        <v>103</v>
      </c>
      <c r="F1872">
        <v>3.59</v>
      </c>
      <c r="G1872">
        <v>3.93</v>
      </c>
      <c r="H1872">
        <v>3.15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11">
        <v>43698.487824074073</v>
      </c>
      <c r="B1873" t="s">
        <v>2407</v>
      </c>
      <c r="C1873" t="s">
        <v>2737</v>
      </c>
      <c r="E1873">
        <v>104</v>
      </c>
      <c r="F1873">
        <v>3.59</v>
      </c>
      <c r="G1873">
        <v>3.93</v>
      </c>
      <c r="H1873">
        <v>3.15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11">
        <v>43698.487824074073</v>
      </c>
      <c r="B1874" t="s">
        <v>2407</v>
      </c>
      <c r="C1874" t="s">
        <v>2737</v>
      </c>
      <c r="E1874">
        <v>104</v>
      </c>
      <c r="F1874">
        <v>3.59</v>
      </c>
      <c r="G1874">
        <v>3.93</v>
      </c>
      <c r="H1874">
        <v>3.15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11">
        <v>43698.487824074073</v>
      </c>
      <c r="B1875" t="s">
        <v>2407</v>
      </c>
      <c r="C1875" t="s">
        <v>2737</v>
      </c>
      <c r="E1875">
        <v>104</v>
      </c>
      <c r="F1875">
        <v>3.59</v>
      </c>
      <c r="G1875">
        <v>3.93</v>
      </c>
      <c r="H1875">
        <v>3.15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11">
        <v>43698.487824074073</v>
      </c>
      <c r="B1876" t="s">
        <v>2407</v>
      </c>
      <c r="C1876" t="s">
        <v>2737</v>
      </c>
      <c r="E1876">
        <v>105</v>
      </c>
      <c r="F1876">
        <v>3.59</v>
      </c>
      <c r="G1876">
        <v>3.93</v>
      </c>
      <c r="H1876">
        <v>3.15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11">
        <v>43698.487824074073</v>
      </c>
      <c r="B1877" t="s">
        <v>2407</v>
      </c>
      <c r="C1877" t="s">
        <v>2737</v>
      </c>
      <c r="E1877">
        <v>109</v>
      </c>
      <c r="F1877">
        <v>3.59</v>
      </c>
      <c r="G1877">
        <v>3.93</v>
      </c>
      <c r="H1877">
        <v>3.15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11">
        <v>43698.487824074073</v>
      </c>
      <c r="B1878" t="s">
        <v>2407</v>
      </c>
      <c r="C1878" t="s">
        <v>2737</v>
      </c>
      <c r="E1878">
        <v>109</v>
      </c>
      <c r="F1878">
        <v>3.59</v>
      </c>
      <c r="G1878">
        <v>3.93</v>
      </c>
      <c r="H1878">
        <v>3.15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11">
        <v>43698.487824074073</v>
      </c>
      <c r="B1879" t="s">
        <v>2407</v>
      </c>
      <c r="C1879" t="s">
        <v>2744</v>
      </c>
      <c r="E1879">
        <v>112</v>
      </c>
      <c r="F1879">
        <v>3.59</v>
      </c>
      <c r="G1879">
        <v>3.93</v>
      </c>
      <c r="H1879">
        <v>3.15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11">
        <v>43698.487824074073</v>
      </c>
      <c r="B1880" t="s">
        <v>2407</v>
      </c>
      <c r="C1880" t="s">
        <v>2744</v>
      </c>
      <c r="E1880">
        <v>112</v>
      </c>
      <c r="F1880">
        <v>3.59</v>
      </c>
      <c r="G1880">
        <v>3.93</v>
      </c>
      <c r="H1880">
        <v>3.15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11">
        <v>43698.487824074073</v>
      </c>
      <c r="B1881" t="s">
        <v>2407</v>
      </c>
      <c r="C1881" t="s">
        <v>2744</v>
      </c>
      <c r="E1881">
        <v>112</v>
      </c>
      <c r="F1881">
        <v>3.59</v>
      </c>
      <c r="G1881">
        <v>3.93</v>
      </c>
      <c r="H1881">
        <v>3.15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11">
        <v>43698.487824074073</v>
      </c>
      <c r="B1882" t="s">
        <v>2407</v>
      </c>
      <c r="C1882" t="s">
        <v>2383</v>
      </c>
      <c r="D1882" t="s">
        <v>2384</v>
      </c>
      <c r="E1882" s="12" t="s">
        <v>2385</v>
      </c>
      <c r="F1882">
        <v>3.59</v>
      </c>
      <c r="G1882">
        <v>3.93</v>
      </c>
      <c r="H1882">
        <v>3.15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11">
        <v>43698.487824074073</v>
      </c>
      <c r="B1883" t="s">
        <v>2407</v>
      </c>
      <c r="C1883" t="s">
        <v>2383</v>
      </c>
      <c r="D1883" t="s">
        <v>2386</v>
      </c>
      <c r="E1883" t="s">
        <v>2765</v>
      </c>
      <c r="F1883">
        <v>3.59</v>
      </c>
      <c r="G1883">
        <v>3.93</v>
      </c>
      <c r="H1883">
        <v>3.15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11">
        <v>43698.487824074073</v>
      </c>
      <c r="B1884" t="s">
        <v>2407</v>
      </c>
      <c r="C1884" t="s">
        <v>2383</v>
      </c>
      <c r="D1884" t="s">
        <v>2387</v>
      </c>
      <c r="E1884" t="s">
        <v>2760</v>
      </c>
      <c r="F1884">
        <v>3.59</v>
      </c>
      <c r="G1884">
        <v>3.93</v>
      </c>
      <c r="H1884">
        <v>3.15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11">
        <v>43698.487824074073</v>
      </c>
      <c r="B1885" t="s">
        <v>2407</v>
      </c>
      <c r="C1885" t="s">
        <v>2383</v>
      </c>
      <c r="D1885" t="s">
        <v>2381</v>
      </c>
      <c r="E1885" t="s">
        <v>2763</v>
      </c>
      <c r="F1885">
        <v>3.59</v>
      </c>
      <c r="G1885">
        <v>3.93</v>
      </c>
      <c r="H1885">
        <v>3.15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11">
        <v>43698.487824074073</v>
      </c>
      <c r="B1886" t="s">
        <v>2407</v>
      </c>
      <c r="C1886" t="s">
        <v>2383</v>
      </c>
      <c r="D1886" t="s">
        <v>2388</v>
      </c>
      <c r="E1886" t="s">
        <v>2764</v>
      </c>
      <c r="F1886">
        <v>3.59</v>
      </c>
      <c r="G1886">
        <v>3.93</v>
      </c>
      <c r="H1886">
        <v>3.15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11">
        <v>43698.487824074073</v>
      </c>
      <c r="B1887" t="s">
        <v>2407</v>
      </c>
      <c r="C1887" t="s">
        <v>2383</v>
      </c>
      <c r="D1887" t="s">
        <v>2389</v>
      </c>
      <c r="E1887" s="12" t="s">
        <v>2385</v>
      </c>
      <c r="F1887">
        <v>3.59</v>
      </c>
      <c r="G1887">
        <v>3.93</v>
      </c>
      <c r="H1887">
        <v>3.15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11">
        <v>43698.487835648149</v>
      </c>
      <c r="B1888" t="s">
        <v>2407</v>
      </c>
      <c r="C1888" t="s">
        <v>2736</v>
      </c>
      <c r="E1888" t="s">
        <v>2378</v>
      </c>
      <c r="F1888">
        <v>3.59</v>
      </c>
      <c r="G1888">
        <v>3.93</v>
      </c>
      <c r="H1888">
        <v>3.15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11">
        <v>43698.488020833334</v>
      </c>
      <c r="B1889" t="s">
        <v>2407</v>
      </c>
      <c r="C1889" t="s">
        <v>2733</v>
      </c>
      <c r="D1889" t="s">
        <v>2390</v>
      </c>
      <c r="F1889">
        <v>3.59</v>
      </c>
      <c r="G1889">
        <v>3.93</v>
      </c>
      <c r="H1889">
        <v>3.15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11">
        <v>43698.488020833334</v>
      </c>
      <c r="B1890" t="s">
        <v>2407</v>
      </c>
      <c r="C1890" t="s">
        <v>2734</v>
      </c>
      <c r="D1890" t="s">
        <v>2390</v>
      </c>
      <c r="F1890">
        <v>3.59</v>
      </c>
      <c r="G1890">
        <v>3.93</v>
      </c>
      <c r="H1890">
        <v>3.15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11">
        <v>43698.488020833334</v>
      </c>
      <c r="B1891" t="s">
        <v>2407</v>
      </c>
      <c r="C1891" t="s">
        <v>2735</v>
      </c>
      <c r="D1891" t="s">
        <v>2390</v>
      </c>
      <c r="F1891">
        <v>3.59</v>
      </c>
      <c r="G1891">
        <v>3.93</v>
      </c>
      <c r="H1891">
        <v>3.15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11">
        <v>43698.488020833334</v>
      </c>
      <c r="B1892" t="s">
        <v>2407</v>
      </c>
      <c r="C1892" t="s">
        <v>2737</v>
      </c>
      <c r="E1892">
        <v>101</v>
      </c>
      <c r="F1892">
        <v>3.59</v>
      </c>
      <c r="G1892">
        <v>3.93</v>
      </c>
      <c r="H1892">
        <v>3.15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11">
        <v>43698.488032407404</v>
      </c>
      <c r="B1893" t="s">
        <v>2407</v>
      </c>
      <c r="C1893" t="s">
        <v>2744</v>
      </c>
      <c r="E1893">
        <v>103</v>
      </c>
      <c r="F1893">
        <v>3.59</v>
      </c>
      <c r="G1893">
        <v>3.93</v>
      </c>
      <c r="H1893">
        <v>3.15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11">
        <v>43698.488032407404</v>
      </c>
      <c r="B1894" t="s">
        <v>2407</v>
      </c>
      <c r="C1894" t="s">
        <v>2737</v>
      </c>
      <c r="E1894">
        <v>104</v>
      </c>
      <c r="F1894">
        <v>3.59</v>
      </c>
      <c r="G1894">
        <v>3.93</v>
      </c>
      <c r="H1894">
        <v>3.15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11">
        <v>43698.488032407404</v>
      </c>
      <c r="B1895" t="s">
        <v>2407</v>
      </c>
      <c r="C1895" t="s">
        <v>2737</v>
      </c>
      <c r="E1895">
        <v>104</v>
      </c>
      <c r="F1895">
        <v>3.59</v>
      </c>
      <c r="G1895">
        <v>3.93</v>
      </c>
      <c r="H1895">
        <v>3.15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11">
        <v>43698.488032407404</v>
      </c>
      <c r="B1896" t="s">
        <v>2407</v>
      </c>
      <c r="C1896" t="s">
        <v>2737</v>
      </c>
      <c r="E1896">
        <v>104</v>
      </c>
      <c r="F1896">
        <v>3.59</v>
      </c>
      <c r="G1896">
        <v>3.93</v>
      </c>
      <c r="H1896">
        <v>3.15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11">
        <v>43698.488032407404</v>
      </c>
      <c r="B1897" t="s">
        <v>2407</v>
      </c>
      <c r="C1897" t="s">
        <v>2737</v>
      </c>
      <c r="E1897">
        <v>105</v>
      </c>
      <c r="F1897">
        <v>3.59</v>
      </c>
      <c r="G1897">
        <v>3.93</v>
      </c>
      <c r="H1897">
        <v>3.15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11">
        <v>43698.488032407404</v>
      </c>
      <c r="B1898" t="s">
        <v>2407</v>
      </c>
      <c r="C1898" t="s">
        <v>2737</v>
      </c>
      <c r="E1898">
        <v>109</v>
      </c>
      <c r="F1898">
        <v>3.59</v>
      </c>
      <c r="G1898">
        <v>3.93</v>
      </c>
      <c r="H1898">
        <v>3.15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11">
        <v>43698.488032407404</v>
      </c>
      <c r="B1899" t="s">
        <v>2407</v>
      </c>
      <c r="C1899" t="s">
        <v>2737</v>
      </c>
      <c r="E1899">
        <v>109</v>
      </c>
      <c r="F1899">
        <v>3.59</v>
      </c>
      <c r="G1899">
        <v>3.93</v>
      </c>
      <c r="H1899">
        <v>3.15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11">
        <v>43698.488032407404</v>
      </c>
      <c r="B1900" t="s">
        <v>2407</v>
      </c>
      <c r="C1900" t="s">
        <v>2744</v>
      </c>
      <c r="E1900">
        <v>112</v>
      </c>
      <c r="F1900">
        <v>3.59</v>
      </c>
      <c r="G1900">
        <v>3.93</v>
      </c>
      <c r="H1900">
        <v>3.15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11">
        <v>43698.488032407404</v>
      </c>
      <c r="B1901" t="s">
        <v>2407</v>
      </c>
      <c r="C1901" t="s">
        <v>2744</v>
      </c>
      <c r="E1901">
        <v>112</v>
      </c>
      <c r="F1901">
        <v>3.59</v>
      </c>
      <c r="G1901">
        <v>3.93</v>
      </c>
      <c r="H1901">
        <v>3.15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11">
        <v>43698.488032407404</v>
      </c>
      <c r="B1902" t="s">
        <v>2407</v>
      </c>
      <c r="C1902" t="s">
        <v>2744</v>
      </c>
      <c r="E1902">
        <v>112</v>
      </c>
      <c r="F1902">
        <v>3.59</v>
      </c>
      <c r="G1902">
        <v>3.93</v>
      </c>
      <c r="H1902">
        <v>3.15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11">
        <v>43698.488032407404</v>
      </c>
      <c r="B1903" t="s">
        <v>2407</v>
      </c>
      <c r="C1903" t="s">
        <v>2383</v>
      </c>
      <c r="D1903" t="s">
        <v>2384</v>
      </c>
      <c r="E1903" s="12" t="s">
        <v>2385</v>
      </c>
      <c r="F1903">
        <v>3.59</v>
      </c>
      <c r="G1903">
        <v>3.93</v>
      </c>
      <c r="H1903">
        <v>3.15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11">
        <v>43698.488032407404</v>
      </c>
      <c r="B1904" t="s">
        <v>2407</v>
      </c>
      <c r="C1904" t="s">
        <v>2383</v>
      </c>
      <c r="D1904" t="s">
        <v>2386</v>
      </c>
      <c r="E1904" t="s">
        <v>2750</v>
      </c>
      <c r="F1904">
        <v>3.59</v>
      </c>
      <c r="G1904">
        <v>3.93</v>
      </c>
      <c r="H1904">
        <v>3.15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11">
        <v>43698.488032407404</v>
      </c>
      <c r="B1905" t="s">
        <v>2407</v>
      </c>
      <c r="C1905" t="s">
        <v>2383</v>
      </c>
      <c r="D1905" t="s">
        <v>2387</v>
      </c>
      <c r="E1905" t="s">
        <v>2760</v>
      </c>
      <c r="F1905">
        <v>3.59</v>
      </c>
      <c r="G1905">
        <v>3.93</v>
      </c>
      <c r="H1905">
        <v>3.15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11">
        <v>43698.488032407404</v>
      </c>
      <c r="B1906" t="s">
        <v>2407</v>
      </c>
      <c r="C1906" t="s">
        <v>2383</v>
      </c>
      <c r="D1906" t="s">
        <v>2381</v>
      </c>
      <c r="E1906" t="s">
        <v>2763</v>
      </c>
      <c r="F1906">
        <v>3.59</v>
      </c>
      <c r="G1906">
        <v>3.93</v>
      </c>
      <c r="H1906">
        <v>3.15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11">
        <v>43698.488032407404</v>
      </c>
      <c r="B1907" t="s">
        <v>2407</v>
      </c>
      <c r="C1907" t="s">
        <v>2383</v>
      </c>
      <c r="D1907" t="s">
        <v>2388</v>
      </c>
      <c r="E1907" t="s">
        <v>2764</v>
      </c>
      <c r="F1907">
        <v>3.59</v>
      </c>
      <c r="G1907">
        <v>3.93</v>
      </c>
      <c r="H1907">
        <v>3.15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11">
        <v>43698.488032407404</v>
      </c>
      <c r="B1908" t="s">
        <v>2407</v>
      </c>
      <c r="C1908" t="s">
        <v>2383</v>
      </c>
      <c r="D1908" t="s">
        <v>2389</v>
      </c>
      <c r="E1908" s="12" t="s">
        <v>2385</v>
      </c>
      <c r="F1908">
        <v>3.59</v>
      </c>
      <c r="G1908">
        <v>3.93</v>
      </c>
      <c r="H1908">
        <v>3.15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11">
        <v>43698.488043981481</v>
      </c>
      <c r="B1909" t="s">
        <v>2407</v>
      </c>
      <c r="C1909" t="s">
        <v>2736</v>
      </c>
      <c r="E1909" t="s">
        <v>2378</v>
      </c>
      <c r="F1909">
        <v>3.59</v>
      </c>
      <c r="G1909">
        <v>3.93</v>
      </c>
      <c r="H1909">
        <v>3.15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11">
        <v>43698.488518518519</v>
      </c>
      <c r="B1910" t="s">
        <v>2407</v>
      </c>
      <c r="C1910" t="s">
        <v>2733</v>
      </c>
      <c r="D1910" t="s">
        <v>2390</v>
      </c>
      <c r="F1910">
        <v>3.59</v>
      </c>
      <c r="G1910">
        <v>3.93</v>
      </c>
      <c r="H1910">
        <v>3.15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11">
        <v>43698.488518518519</v>
      </c>
      <c r="B1911" t="s">
        <v>2407</v>
      </c>
      <c r="C1911" t="s">
        <v>2734</v>
      </c>
      <c r="D1911" t="s">
        <v>2390</v>
      </c>
      <c r="F1911">
        <v>3.59</v>
      </c>
      <c r="G1911">
        <v>3.93</v>
      </c>
      <c r="H1911">
        <v>3.15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11">
        <v>43698.488518518519</v>
      </c>
      <c r="B1912" t="s">
        <v>2407</v>
      </c>
      <c r="C1912" t="s">
        <v>2735</v>
      </c>
      <c r="D1912" t="s">
        <v>2390</v>
      </c>
      <c r="F1912">
        <v>3.59</v>
      </c>
      <c r="G1912">
        <v>3.93</v>
      </c>
      <c r="H1912">
        <v>3.15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11">
        <v>43698.489328703705</v>
      </c>
      <c r="B1913" t="s">
        <v>2407</v>
      </c>
      <c r="C1913" t="s">
        <v>2737</v>
      </c>
      <c r="E1913">
        <v>101</v>
      </c>
      <c r="F1913">
        <v>3.59</v>
      </c>
      <c r="G1913">
        <v>3.93</v>
      </c>
      <c r="H1913">
        <v>3.15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11">
        <v>43698.489398148151</v>
      </c>
      <c r="B1914" t="s">
        <v>2407</v>
      </c>
      <c r="C1914" t="s">
        <v>2744</v>
      </c>
      <c r="E1914">
        <v>103</v>
      </c>
      <c r="F1914">
        <v>3.59</v>
      </c>
      <c r="G1914">
        <v>3.93</v>
      </c>
      <c r="H1914">
        <v>3.15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11">
        <v>43698.489398148151</v>
      </c>
      <c r="B1915" t="s">
        <v>2407</v>
      </c>
      <c r="C1915" t="s">
        <v>2737</v>
      </c>
      <c r="E1915">
        <v>104</v>
      </c>
      <c r="F1915">
        <v>3.59</v>
      </c>
      <c r="G1915">
        <v>3.93</v>
      </c>
      <c r="H1915">
        <v>3.15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11">
        <v>43698.489398148151</v>
      </c>
      <c r="B1916" t="s">
        <v>2407</v>
      </c>
      <c r="C1916" t="s">
        <v>2737</v>
      </c>
      <c r="E1916">
        <v>104</v>
      </c>
      <c r="F1916">
        <v>3.59</v>
      </c>
      <c r="G1916">
        <v>3.93</v>
      </c>
      <c r="H1916">
        <v>3.15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11">
        <v>43698.489398148151</v>
      </c>
      <c r="B1917" t="s">
        <v>2407</v>
      </c>
      <c r="C1917" t="s">
        <v>2737</v>
      </c>
      <c r="E1917">
        <v>104</v>
      </c>
      <c r="F1917">
        <v>3.59</v>
      </c>
      <c r="G1917">
        <v>3.93</v>
      </c>
      <c r="H1917">
        <v>3.15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11">
        <v>43698.489398148151</v>
      </c>
      <c r="B1918" t="s">
        <v>2407</v>
      </c>
      <c r="C1918" t="s">
        <v>2737</v>
      </c>
      <c r="E1918">
        <v>105</v>
      </c>
      <c r="F1918">
        <v>3.59</v>
      </c>
      <c r="G1918">
        <v>3.93</v>
      </c>
      <c r="H1918">
        <v>3.15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11">
        <v>43698.489398148151</v>
      </c>
      <c r="B1919" t="s">
        <v>2407</v>
      </c>
      <c r="C1919" t="s">
        <v>2737</v>
      </c>
      <c r="E1919">
        <v>109</v>
      </c>
      <c r="F1919">
        <v>3.59</v>
      </c>
      <c r="G1919">
        <v>3.93</v>
      </c>
      <c r="H1919">
        <v>3.15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11">
        <v>43698.489398148151</v>
      </c>
      <c r="B1920" t="s">
        <v>2407</v>
      </c>
      <c r="C1920" t="s">
        <v>2737</v>
      </c>
      <c r="E1920">
        <v>109</v>
      </c>
      <c r="F1920">
        <v>3.59</v>
      </c>
      <c r="G1920">
        <v>3.93</v>
      </c>
      <c r="H1920">
        <v>3.15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11">
        <v>43698.489398148151</v>
      </c>
      <c r="B1921" t="s">
        <v>2407</v>
      </c>
      <c r="C1921" t="s">
        <v>2744</v>
      </c>
      <c r="E1921">
        <v>112</v>
      </c>
      <c r="F1921">
        <v>3.59</v>
      </c>
      <c r="G1921">
        <v>3.93</v>
      </c>
      <c r="H1921">
        <v>3.15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11">
        <v>43698.489398148151</v>
      </c>
      <c r="B1922" t="s">
        <v>2407</v>
      </c>
      <c r="C1922" t="s">
        <v>2744</v>
      </c>
      <c r="E1922">
        <v>112</v>
      </c>
      <c r="F1922">
        <v>3.59</v>
      </c>
      <c r="G1922">
        <v>3.93</v>
      </c>
      <c r="H1922">
        <v>3.15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11">
        <v>43698.489398148151</v>
      </c>
      <c r="B1923" t="s">
        <v>2407</v>
      </c>
      <c r="C1923" t="s">
        <v>2744</v>
      </c>
      <c r="E1923">
        <v>112</v>
      </c>
      <c r="F1923">
        <v>3.59</v>
      </c>
      <c r="G1923">
        <v>3.93</v>
      </c>
      <c r="H1923">
        <v>3.15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11">
        <v>43698.489398148151</v>
      </c>
      <c r="B1924" t="s">
        <v>2407</v>
      </c>
      <c r="C1924" t="s">
        <v>2383</v>
      </c>
      <c r="D1924" t="s">
        <v>2384</v>
      </c>
      <c r="E1924" s="12" t="s">
        <v>2385</v>
      </c>
      <c r="F1924">
        <v>3.59</v>
      </c>
      <c r="G1924">
        <v>3.93</v>
      </c>
      <c r="H1924">
        <v>3.15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11">
        <v>43698.489398148151</v>
      </c>
      <c r="B1925" t="s">
        <v>2407</v>
      </c>
      <c r="C1925" t="s">
        <v>2383</v>
      </c>
      <c r="D1925" t="s">
        <v>2386</v>
      </c>
      <c r="E1925" t="s">
        <v>2750</v>
      </c>
      <c r="F1925">
        <v>3.59</v>
      </c>
      <c r="G1925">
        <v>3.93</v>
      </c>
      <c r="H1925">
        <v>3.15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11">
        <v>43698.489398148151</v>
      </c>
      <c r="B1926" t="s">
        <v>2407</v>
      </c>
      <c r="C1926" t="s">
        <v>2383</v>
      </c>
      <c r="D1926" t="s">
        <v>2387</v>
      </c>
      <c r="E1926" t="s">
        <v>2760</v>
      </c>
      <c r="F1926">
        <v>3.59</v>
      </c>
      <c r="G1926">
        <v>3.93</v>
      </c>
      <c r="H1926">
        <v>3.15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11">
        <v>43698.489398148151</v>
      </c>
      <c r="B1927" t="s">
        <v>2407</v>
      </c>
      <c r="C1927" t="s">
        <v>2383</v>
      </c>
      <c r="D1927" t="s">
        <v>2381</v>
      </c>
      <c r="E1927" t="s">
        <v>2763</v>
      </c>
      <c r="F1927">
        <v>3.59</v>
      </c>
      <c r="G1927">
        <v>3.93</v>
      </c>
      <c r="H1927">
        <v>3.15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11">
        <v>43698.489398148151</v>
      </c>
      <c r="B1928" t="s">
        <v>2407</v>
      </c>
      <c r="C1928" t="s">
        <v>2383</v>
      </c>
      <c r="D1928" t="s">
        <v>2388</v>
      </c>
      <c r="E1928" t="s">
        <v>2764</v>
      </c>
      <c r="F1928">
        <v>3.59</v>
      </c>
      <c r="G1928">
        <v>3.93</v>
      </c>
      <c r="H1928">
        <v>3.15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11">
        <v>43698.489398148151</v>
      </c>
      <c r="B1929" t="s">
        <v>2407</v>
      </c>
      <c r="C1929" t="s">
        <v>2383</v>
      </c>
      <c r="D1929" t="s">
        <v>2389</v>
      </c>
      <c r="E1929" s="12" t="s">
        <v>2385</v>
      </c>
      <c r="F1929">
        <v>3.59</v>
      </c>
      <c r="G1929">
        <v>3.93</v>
      </c>
      <c r="H1929">
        <v>3.15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11">
        <v>43698.48940972222</v>
      </c>
      <c r="B1930" t="s">
        <v>2407</v>
      </c>
      <c r="C1930" t="s">
        <v>2736</v>
      </c>
      <c r="E1930" t="s">
        <v>2378</v>
      </c>
      <c r="F1930">
        <v>3.59</v>
      </c>
      <c r="G1930">
        <v>3.93</v>
      </c>
      <c r="H1930">
        <v>3.15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11">
        <v>43698.50613425926</v>
      </c>
      <c r="B1931" t="s">
        <v>2407</v>
      </c>
      <c r="C1931" t="s">
        <v>2736</v>
      </c>
      <c r="E1931" t="s">
        <v>2379</v>
      </c>
      <c r="F1931">
        <v>3.59</v>
      </c>
      <c r="G1931">
        <v>3.93</v>
      </c>
      <c r="H1931">
        <v>3.15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11">
        <v>43698.506435185183</v>
      </c>
      <c r="B1932" t="s">
        <v>2407</v>
      </c>
      <c r="C1932" t="s">
        <v>2736</v>
      </c>
      <c r="E1932" t="s">
        <v>2379</v>
      </c>
      <c r="F1932">
        <v>3.59</v>
      </c>
      <c r="G1932">
        <v>3.93</v>
      </c>
      <c r="H1932">
        <v>3.15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11">
        <v>43698.568703703706</v>
      </c>
      <c r="B1933" t="s">
        <v>2407</v>
      </c>
      <c r="C1933" t="s">
        <v>2736</v>
      </c>
      <c r="E1933" t="s">
        <v>2379</v>
      </c>
      <c r="F1933">
        <v>3.59</v>
      </c>
      <c r="G1933">
        <v>3.93</v>
      </c>
      <c r="H1933">
        <v>3.15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11">
        <v>43698.570092592592</v>
      </c>
      <c r="B1934" t="s">
        <v>2407</v>
      </c>
      <c r="C1934" t="s">
        <v>2736</v>
      </c>
      <c r="E1934" t="s">
        <v>2379</v>
      </c>
      <c r="F1934">
        <v>3.59</v>
      </c>
      <c r="G1934">
        <v>3.93</v>
      </c>
      <c r="H1934">
        <v>3.15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11">
        <v>43698.572314814817</v>
      </c>
      <c r="B1935" t="s">
        <v>2407</v>
      </c>
      <c r="C1935" t="s">
        <v>2736</v>
      </c>
      <c r="E1935" t="s">
        <v>2379</v>
      </c>
      <c r="F1935">
        <v>3.59</v>
      </c>
      <c r="G1935">
        <v>3.93</v>
      </c>
      <c r="H1935">
        <v>3.15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11">
        <v>43698.572500000002</v>
      </c>
      <c r="B1936" t="s">
        <v>2407</v>
      </c>
      <c r="C1936" t="s">
        <v>2736</v>
      </c>
      <c r="E1936" t="s">
        <v>2379</v>
      </c>
      <c r="F1936">
        <v>3.59</v>
      </c>
      <c r="G1936">
        <v>3.93</v>
      </c>
      <c r="H1936">
        <v>3.15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11">
        <v>43698.576412037037</v>
      </c>
      <c r="B1937" t="s">
        <v>2407</v>
      </c>
      <c r="C1937" t="s">
        <v>2736</v>
      </c>
      <c r="E1937" t="s">
        <v>2379</v>
      </c>
      <c r="F1937">
        <v>3.59</v>
      </c>
      <c r="G1937">
        <v>3.93</v>
      </c>
      <c r="H1937">
        <v>3.15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11">
        <v>43698.578668981485</v>
      </c>
      <c r="B1938" t="s">
        <v>2407</v>
      </c>
      <c r="C1938" t="s">
        <v>2736</v>
      </c>
      <c r="E1938" t="s">
        <v>2379</v>
      </c>
      <c r="F1938">
        <v>3.59</v>
      </c>
      <c r="G1938">
        <v>3.93</v>
      </c>
      <c r="H1938">
        <v>3.15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11">
        <v>43698.581736111111</v>
      </c>
      <c r="B1939" t="s">
        <v>2407</v>
      </c>
      <c r="C1939" t="s">
        <v>2736</v>
      </c>
      <c r="E1939" t="s">
        <v>2379</v>
      </c>
      <c r="F1939">
        <v>3.59</v>
      </c>
      <c r="G1939">
        <v>3.93</v>
      </c>
      <c r="H1939">
        <v>3.15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11">
        <v>43698.584155092591</v>
      </c>
      <c r="B1940" t="s">
        <v>2407</v>
      </c>
      <c r="C1940" t="s">
        <v>2733</v>
      </c>
      <c r="D1940" t="s">
        <v>2390</v>
      </c>
      <c r="F1940">
        <v>3.59</v>
      </c>
      <c r="G1940">
        <v>3.93</v>
      </c>
      <c r="H1940">
        <v>3.15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11">
        <v>43698.584155092591</v>
      </c>
      <c r="B1941" t="s">
        <v>2407</v>
      </c>
      <c r="C1941" t="s">
        <v>2734</v>
      </c>
      <c r="D1941" t="s">
        <v>2390</v>
      </c>
      <c r="F1941">
        <v>3.59</v>
      </c>
      <c r="G1941">
        <v>3.93</v>
      </c>
      <c r="H1941">
        <v>3.15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11">
        <v>43698.584155092591</v>
      </c>
      <c r="B1942" t="s">
        <v>2407</v>
      </c>
      <c r="C1942" t="s">
        <v>2735</v>
      </c>
      <c r="D1942" t="s">
        <v>2390</v>
      </c>
      <c r="F1942">
        <v>3.59</v>
      </c>
      <c r="G1942">
        <v>3.93</v>
      </c>
      <c r="H1942">
        <v>3.15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11">
        <v>43698.584166666667</v>
      </c>
      <c r="B1943" t="s">
        <v>2407</v>
      </c>
      <c r="C1943" t="s">
        <v>2737</v>
      </c>
      <c r="E1943">
        <v>101</v>
      </c>
      <c r="F1943">
        <v>3.59</v>
      </c>
      <c r="G1943">
        <v>3.93</v>
      </c>
      <c r="H1943">
        <v>3.15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11">
        <v>43698.584166666667</v>
      </c>
      <c r="B1944" t="s">
        <v>2407</v>
      </c>
      <c r="C1944" t="s">
        <v>2737</v>
      </c>
      <c r="E1944">
        <v>101</v>
      </c>
      <c r="F1944">
        <v>3.59</v>
      </c>
      <c r="G1944">
        <v>3.93</v>
      </c>
      <c r="H1944">
        <v>3.15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11">
        <v>43698.584166666667</v>
      </c>
      <c r="B1945" t="s">
        <v>2407</v>
      </c>
      <c r="C1945" t="s">
        <v>2737</v>
      </c>
      <c r="E1945">
        <v>101</v>
      </c>
      <c r="F1945">
        <v>3.59</v>
      </c>
      <c r="G1945">
        <v>3.93</v>
      </c>
      <c r="H1945">
        <v>3.15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11">
        <v>43698.584166666667</v>
      </c>
      <c r="B1946" t="s">
        <v>2407</v>
      </c>
      <c r="C1946" t="s">
        <v>2744</v>
      </c>
      <c r="E1946">
        <v>103</v>
      </c>
      <c r="F1946">
        <v>3.59</v>
      </c>
      <c r="G1946">
        <v>3.93</v>
      </c>
      <c r="H1946">
        <v>3.15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11">
        <v>43698.584166666667</v>
      </c>
      <c r="B1947" t="s">
        <v>2407</v>
      </c>
      <c r="C1947" t="s">
        <v>2737</v>
      </c>
      <c r="E1947">
        <v>104</v>
      </c>
      <c r="F1947">
        <v>3.59</v>
      </c>
      <c r="G1947">
        <v>3.93</v>
      </c>
      <c r="H1947">
        <v>3.15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11">
        <v>43698.584166666667</v>
      </c>
      <c r="B1948" t="s">
        <v>2407</v>
      </c>
      <c r="C1948" t="s">
        <v>2737</v>
      </c>
      <c r="E1948">
        <v>104</v>
      </c>
      <c r="F1948">
        <v>3.59</v>
      </c>
      <c r="G1948">
        <v>3.93</v>
      </c>
      <c r="H1948">
        <v>3.15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11">
        <v>43698.584166666667</v>
      </c>
      <c r="B1949" t="s">
        <v>2407</v>
      </c>
      <c r="C1949" t="s">
        <v>2737</v>
      </c>
      <c r="E1949">
        <v>104</v>
      </c>
      <c r="F1949">
        <v>3.59</v>
      </c>
      <c r="G1949">
        <v>3.93</v>
      </c>
      <c r="H1949">
        <v>3.15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11">
        <v>43698.584166666667</v>
      </c>
      <c r="B1950" t="s">
        <v>2407</v>
      </c>
      <c r="C1950" t="s">
        <v>2737</v>
      </c>
      <c r="E1950">
        <v>105</v>
      </c>
      <c r="F1950">
        <v>3.59</v>
      </c>
      <c r="G1950">
        <v>3.93</v>
      </c>
      <c r="H1950">
        <v>3.15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11">
        <v>43698.584166666667</v>
      </c>
      <c r="B1951" t="s">
        <v>2407</v>
      </c>
      <c r="C1951" t="s">
        <v>2737</v>
      </c>
      <c r="E1951">
        <v>105</v>
      </c>
      <c r="F1951">
        <v>3.59</v>
      </c>
      <c r="G1951">
        <v>3.93</v>
      </c>
      <c r="H1951">
        <v>3.15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11">
        <v>43698.584166666667</v>
      </c>
      <c r="B1952" t="s">
        <v>2407</v>
      </c>
      <c r="C1952" t="s">
        <v>2737</v>
      </c>
      <c r="E1952">
        <v>105</v>
      </c>
      <c r="F1952">
        <v>3.59</v>
      </c>
      <c r="G1952">
        <v>3.93</v>
      </c>
      <c r="H1952">
        <v>3.15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11">
        <v>43698.584166666667</v>
      </c>
      <c r="B1953" t="s">
        <v>2407</v>
      </c>
      <c r="C1953" t="s">
        <v>2737</v>
      </c>
      <c r="E1953">
        <v>109</v>
      </c>
      <c r="F1953">
        <v>3.59</v>
      </c>
      <c r="G1953">
        <v>3.93</v>
      </c>
      <c r="H1953">
        <v>3.15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11">
        <v>43698.584166666667</v>
      </c>
      <c r="B1954" t="s">
        <v>2407</v>
      </c>
      <c r="C1954" t="s">
        <v>2737</v>
      </c>
      <c r="E1954">
        <v>109</v>
      </c>
      <c r="F1954">
        <v>3.59</v>
      </c>
      <c r="G1954">
        <v>3.93</v>
      </c>
      <c r="H1954">
        <v>3.15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11">
        <v>43698.584166666667</v>
      </c>
      <c r="B1955" t="s">
        <v>2407</v>
      </c>
      <c r="C1955" t="s">
        <v>2744</v>
      </c>
      <c r="E1955">
        <v>112</v>
      </c>
      <c r="F1955">
        <v>3.59</v>
      </c>
      <c r="G1955">
        <v>3.93</v>
      </c>
      <c r="H1955">
        <v>3.15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11">
        <v>43698.584166666667</v>
      </c>
      <c r="B1956" t="s">
        <v>2407</v>
      </c>
      <c r="C1956" t="s">
        <v>2744</v>
      </c>
      <c r="E1956">
        <v>112</v>
      </c>
      <c r="F1956">
        <v>3.59</v>
      </c>
      <c r="G1956">
        <v>3.93</v>
      </c>
      <c r="H1956">
        <v>3.15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11">
        <v>43698.584166666667</v>
      </c>
      <c r="B1957" t="s">
        <v>2407</v>
      </c>
      <c r="C1957" t="s">
        <v>2744</v>
      </c>
      <c r="E1957">
        <v>112</v>
      </c>
      <c r="F1957">
        <v>3.59</v>
      </c>
      <c r="G1957">
        <v>3.93</v>
      </c>
      <c r="H1957">
        <v>3.15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11">
        <v>43698.584166666667</v>
      </c>
      <c r="B1958" t="s">
        <v>2407</v>
      </c>
      <c r="C1958" t="s">
        <v>2383</v>
      </c>
      <c r="D1958" t="s">
        <v>2384</v>
      </c>
      <c r="E1958" s="12" t="s">
        <v>2385</v>
      </c>
      <c r="F1958">
        <v>3.59</v>
      </c>
      <c r="G1958">
        <v>3.93</v>
      </c>
      <c r="H1958">
        <v>3.15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11">
        <v>43698.584166666667</v>
      </c>
      <c r="B1959" t="s">
        <v>2407</v>
      </c>
      <c r="C1959" t="s">
        <v>2383</v>
      </c>
      <c r="D1959" t="s">
        <v>2386</v>
      </c>
      <c r="E1959" t="s">
        <v>2750</v>
      </c>
      <c r="F1959">
        <v>3.59</v>
      </c>
      <c r="G1959">
        <v>3.93</v>
      </c>
      <c r="H1959">
        <v>3.15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11">
        <v>43698.584166666667</v>
      </c>
      <c r="B1960" t="s">
        <v>2407</v>
      </c>
      <c r="C1960" t="s">
        <v>2383</v>
      </c>
      <c r="D1960" t="s">
        <v>2387</v>
      </c>
      <c r="E1960" t="s">
        <v>2766</v>
      </c>
      <c r="F1960">
        <v>3.59</v>
      </c>
      <c r="G1960">
        <v>3.93</v>
      </c>
      <c r="H1960">
        <v>3.15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11">
        <v>43698.584166666667</v>
      </c>
      <c r="B1961" t="s">
        <v>2407</v>
      </c>
      <c r="C1961" t="s">
        <v>2383</v>
      </c>
      <c r="D1961" t="s">
        <v>2381</v>
      </c>
      <c r="E1961">
        <v>261</v>
      </c>
      <c r="F1961">
        <v>3.59</v>
      </c>
      <c r="G1961">
        <v>3.93</v>
      </c>
      <c r="H1961">
        <v>3.15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11">
        <v>43698.584166666667</v>
      </c>
      <c r="B1962" t="s">
        <v>2407</v>
      </c>
      <c r="C1962" t="s">
        <v>2383</v>
      </c>
      <c r="D1962" t="s">
        <v>2388</v>
      </c>
      <c r="E1962" t="s">
        <v>2767</v>
      </c>
      <c r="F1962">
        <v>3.59</v>
      </c>
      <c r="G1962">
        <v>3.93</v>
      </c>
      <c r="H1962">
        <v>3.15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11">
        <v>43698.584166666667</v>
      </c>
      <c r="B1963" t="s">
        <v>2407</v>
      </c>
      <c r="C1963" t="s">
        <v>2383</v>
      </c>
      <c r="D1963" t="s">
        <v>2389</v>
      </c>
      <c r="E1963" s="12" t="s">
        <v>2385</v>
      </c>
      <c r="F1963">
        <v>3.59</v>
      </c>
      <c r="G1963">
        <v>3.93</v>
      </c>
      <c r="H1963">
        <v>3.15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11">
        <v>43698.584178240744</v>
      </c>
      <c r="B1964" t="s">
        <v>2407</v>
      </c>
      <c r="C1964" t="s">
        <v>2736</v>
      </c>
      <c r="E1964" t="s">
        <v>2378</v>
      </c>
      <c r="F1964">
        <v>3.59</v>
      </c>
      <c r="G1964">
        <v>3.93</v>
      </c>
      <c r="H1964">
        <v>3.15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11">
        <v>43698.59814814815</v>
      </c>
      <c r="B1965" t="s">
        <v>2407</v>
      </c>
      <c r="C1965" t="s">
        <v>2733</v>
      </c>
      <c r="D1965" t="s">
        <v>2390</v>
      </c>
      <c r="F1965">
        <v>3.59</v>
      </c>
      <c r="G1965">
        <v>3.93</v>
      </c>
      <c r="H1965">
        <v>3.15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11">
        <v>43698.59814814815</v>
      </c>
      <c r="B1966" t="s">
        <v>2407</v>
      </c>
      <c r="C1966" t="s">
        <v>2734</v>
      </c>
      <c r="D1966" t="s">
        <v>2390</v>
      </c>
      <c r="F1966">
        <v>3.59</v>
      </c>
      <c r="G1966">
        <v>3.93</v>
      </c>
      <c r="H1966">
        <v>3.15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11">
        <v>43698.59814814815</v>
      </c>
      <c r="B1967" t="s">
        <v>2407</v>
      </c>
      <c r="C1967" t="s">
        <v>2735</v>
      </c>
      <c r="D1967" t="s">
        <v>2390</v>
      </c>
      <c r="F1967">
        <v>3.59</v>
      </c>
      <c r="G1967">
        <v>3.93</v>
      </c>
      <c r="H1967">
        <v>3.15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11">
        <v>43698.59815972222</v>
      </c>
      <c r="B1968" t="s">
        <v>2407</v>
      </c>
      <c r="C1968" t="s">
        <v>2737</v>
      </c>
      <c r="E1968">
        <v>101</v>
      </c>
      <c r="F1968">
        <v>3.59</v>
      </c>
      <c r="G1968">
        <v>3.93</v>
      </c>
      <c r="H1968">
        <v>3.15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11">
        <v>43698.59815972222</v>
      </c>
      <c r="B1969" t="s">
        <v>2407</v>
      </c>
      <c r="C1969" t="s">
        <v>2737</v>
      </c>
      <c r="E1969">
        <v>101</v>
      </c>
      <c r="F1969">
        <v>3.59</v>
      </c>
      <c r="G1969">
        <v>3.93</v>
      </c>
      <c r="H1969">
        <v>3.15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11">
        <v>43698.59815972222</v>
      </c>
      <c r="B1970" t="s">
        <v>2407</v>
      </c>
      <c r="C1970" t="s">
        <v>2737</v>
      </c>
      <c r="E1970">
        <v>101</v>
      </c>
      <c r="F1970">
        <v>3.59</v>
      </c>
      <c r="G1970">
        <v>3.93</v>
      </c>
      <c r="H1970">
        <v>3.15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11">
        <v>43698.59815972222</v>
      </c>
      <c r="B1971" t="s">
        <v>2407</v>
      </c>
      <c r="C1971" t="s">
        <v>2738</v>
      </c>
      <c r="D1971" t="s">
        <v>2390</v>
      </c>
      <c r="E1971" t="s">
        <v>2768</v>
      </c>
      <c r="F1971">
        <v>3.59</v>
      </c>
      <c r="G1971">
        <v>3.93</v>
      </c>
      <c r="H1971">
        <v>3.15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11">
        <v>43698.59815972222</v>
      </c>
      <c r="B1972" t="s">
        <v>2407</v>
      </c>
      <c r="C1972" t="s">
        <v>2737</v>
      </c>
      <c r="E1972">
        <v>104</v>
      </c>
      <c r="F1972">
        <v>3.59</v>
      </c>
      <c r="G1972">
        <v>3.93</v>
      </c>
      <c r="H1972">
        <v>3.15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11">
        <v>43698.59815972222</v>
      </c>
      <c r="B1973" t="s">
        <v>2407</v>
      </c>
      <c r="C1973" t="s">
        <v>2737</v>
      </c>
      <c r="E1973">
        <v>104</v>
      </c>
      <c r="F1973">
        <v>3.59</v>
      </c>
      <c r="G1973">
        <v>3.93</v>
      </c>
      <c r="H1973">
        <v>3.15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11">
        <v>43698.59815972222</v>
      </c>
      <c r="B1974" t="s">
        <v>2407</v>
      </c>
      <c r="C1974" t="s">
        <v>2737</v>
      </c>
      <c r="E1974">
        <v>104</v>
      </c>
      <c r="F1974">
        <v>3.59</v>
      </c>
      <c r="G1974">
        <v>3.93</v>
      </c>
      <c r="H1974">
        <v>3.15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11">
        <v>43698.59815972222</v>
      </c>
      <c r="B1975" t="s">
        <v>2407</v>
      </c>
      <c r="C1975" t="s">
        <v>2740</v>
      </c>
      <c r="D1975" t="s">
        <v>2390</v>
      </c>
      <c r="E1975" t="s">
        <v>2741</v>
      </c>
      <c r="F1975">
        <v>3.59</v>
      </c>
      <c r="G1975">
        <v>3.93</v>
      </c>
      <c r="H1975">
        <v>3.15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11">
        <v>43698.59815972222</v>
      </c>
      <c r="B1976" t="s">
        <v>2407</v>
      </c>
      <c r="C1976" t="s">
        <v>2737</v>
      </c>
      <c r="E1976">
        <v>109</v>
      </c>
      <c r="F1976">
        <v>3.59</v>
      </c>
      <c r="G1976">
        <v>3.93</v>
      </c>
      <c r="H1976">
        <v>3.15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11">
        <v>43698.59815972222</v>
      </c>
      <c r="B1977" t="s">
        <v>2407</v>
      </c>
      <c r="C1977" t="s">
        <v>2737</v>
      </c>
      <c r="E1977">
        <v>109</v>
      </c>
      <c r="F1977">
        <v>3.59</v>
      </c>
      <c r="G1977">
        <v>3.93</v>
      </c>
      <c r="H1977">
        <v>3.15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11">
        <v>43698.59815972222</v>
      </c>
      <c r="B1978" t="s">
        <v>2407</v>
      </c>
      <c r="C1978" t="s">
        <v>2742</v>
      </c>
      <c r="D1978" t="s">
        <v>2390</v>
      </c>
      <c r="E1978" t="s">
        <v>2743</v>
      </c>
      <c r="F1978">
        <v>3.59</v>
      </c>
      <c r="G1978">
        <v>3.93</v>
      </c>
      <c r="H1978">
        <v>3.15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11">
        <v>43698.59815972222</v>
      </c>
      <c r="B1979" t="s">
        <v>2407</v>
      </c>
      <c r="C1979" t="s">
        <v>2737</v>
      </c>
      <c r="E1979">
        <v>105</v>
      </c>
      <c r="F1979">
        <v>3.59</v>
      </c>
      <c r="G1979">
        <v>3.93</v>
      </c>
      <c r="H1979">
        <v>3.15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11">
        <v>43698.59815972222</v>
      </c>
      <c r="B1980" t="s">
        <v>2407</v>
      </c>
      <c r="C1980" t="s">
        <v>2737</v>
      </c>
      <c r="E1980">
        <v>105</v>
      </c>
      <c r="F1980">
        <v>3.59</v>
      </c>
      <c r="G1980">
        <v>3.93</v>
      </c>
      <c r="H1980">
        <v>3.15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11">
        <v>43698.59815972222</v>
      </c>
      <c r="B1981" t="s">
        <v>2407</v>
      </c>
      <c r="C1981" t="s">
        <v>2737</v>
      </c>
      <c r="E1981">
        <v>105</v>
      </c>
      <c r="F1981">
        <v>3.59</v>
      </c>
      <c r="G1981">
        <v>3.93</v>
      </c>
      <c r="H1981">
        <v>3.15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11">
        <v>43698.59815972222</v>
      </c>
      <c r="B1982" t="s">
        <v>2407</v>
      </c>
      <c r="C1982" t="s">
        <v>2744</v>
      </c>
      <c r="E1982">
        <v>103</v>
      </c>
      <c r="F1982">
        <v>3.59</v>
      </c>
      <c r="G1982">
        <v>3.93</v>
      </c>
      <c r="H1982">
        <v>3.15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11">
        <v>43698.59815972222</v>
      </c>
      <c r="B1983" t="s">
        <v>2407</v>
      </c>
      <c r="C1983" t="s">
        <v>2745</v>
      </c>
      <c r="D1983" t="s">
        <v>2390</v>
      </c>
      <c r="E1983" t="s">
        <v>2746</v>
      </c>
      <c r="F1983">
        <v>3.59</v>
      </c>
      <c r="G1983">
        <v>3.93</v>
      </c>
      <c r="H1983">
        <v>3.15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11">
        <v>43698.59815972222</v>
      </c>
      <c r="B1984" t="s">
        <v>2407</v>
      </c>
      <c r="C1984" t="s">
        <v>2744</v>
      </c>
      <c r="E1984">
        <v>112</v>
      </c>
      <c r="F1984">
        <v>3.59</v>
      </c>
      <c r="G1984">
        <v>3.93</v>
      </c>
      <c r="H1984">
        <v>3.15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11">
        <v>43698.59815972222</v>
      </c>
      <c r="B1985" t="s">
        <v>2407</v>
      </c>
      <c r="C1985" t="s">
        <v>2744</v>
      </c>
      <c r="E1985">
        <v>112</v>
      </c>
      <c r="F1985">
        <v>3.59</v>
      </c>
      <c r="G1985">
        <v>3.93</v>
      </c>
      <c r="H1985">
        <v>3.15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11">
        <v>43698.59815972222</v>
      </c>
      <c r="B1986" t="s">
        <v>2407</v>
      </c>
      <c r="C1986" t="s">
        <v>2744</v>
      </c>
      <c r="E1986">
        <v>112</v>
      </c>
      <c r="F1986">
        <v>3.59</v>
      </c>
      <c r="G1986">
        <v>3.93</v>
      </c>
      <c r="H1986">
        <v>3.15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11">
        <v>43698.59815972222</v>
      </c>
      <c r="B1987" t="s">
        <v>2407</v>
      </c>
      <c r="C1987" t="s">
        <v>2747</v>
      </c>
      <c r="D1987" t="s">
        <v>2390</v>
      </c>
      <c r="E1987" t="s">
        <v>2748</v>
      </c>
      <c r="F1987">
        <v>3.59</v>
      </c>
      <c r="G1987">
        <v>3.93</v>
      </c>
      <c r="H1987">
        <v>3.15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11">
        <v>43698.59815972222</v>
      </c>
      <c r="B1988" t="s">
        <v>2407</v>
      </c>
      <c r="C1988" t="s">
        <v>2383</v>
      </c>
      <c r="D1988" t="s">
        <v>2384</v>
      </c>
      <c r="E1988" s="12" t="s">
        <v>2385</v>
      </c>
      <c r="F1988">
        <v>3.59</v>
      </c>
      <c r="G1988">
        <v>3.93</v>
      </c>
      <c r="H1988">
        <v>3.15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11">
        <v>43698.59815972222</v>
      </c>
      <c r="B1989" t="s">
        <v>2407</v>
      </c>
      <c r="C1989" t="s">
        <v>2383</v>
      </c>
      <c r="D1989" t="s">
        <v>2386</v>
      </c>
      <c r="E1989" t="s">
        <v>2769</v>
      </c>
      <c r="F1989">
        <v>3.59</v>
      </c>
      <c r="G1989">
        <v>3.93</v>
      </c>
      <c r="H1989">
        <v>3.15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11">
        <v>43698.59815972222</v>
      </c>
      <c r="B1990" t="s">
        <v>2407</v>
      </c>
      <c r="C1990" t="s">
        <v>2383</v>
      </c>
      <c r="D1990" t="s">
        <v>2387</v>
      </c>
      <c r="E1990" t="s">
        <v>2770</v>
      </c>
      <c r="F1990">
        <v>3.59</v>
      </c>
      <c r="G1990">
        <v>3.93</v>
      </c>
      <c r="H1990">
        <v>3.15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11">
        <v>43698.59815972222</v>
      </c>
      <c r="B1991" t="s">
        <v>2407</v>
      </c>
      <c r="C1991" t="s">
        <v>2383</v>
      </c>
      <c r="D1991" t="s">
        <v>2381</v>
      </c>
      <c r="E1991" t="s">
        <v>2771</v>
      </c>
      <c r="F1991">
        <v>3.59</v>
      </c>
      <c r="G1991">
        <v>3.93</v>
      </c>
      <c r="H1991">
        <v>3.15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11">
        <v>43698.59815972222</v>
      </c>
      <c r="B1992" t="s">
        <v>2407</v>
      </c>
      <c r="C1992" t="s">
        <v>2383</v>
      </c>
      <c r="D1992" t="s">
        <v>2388</v>
      </c>
      <c r="E1992" t="s">
        <v>2772</v>
      </c>
      <c r="F1992">
        <v>3.59</v>
      </c>
      <c r="G1992">
        <v>3.93</v>
      </c>
      <c r="H1992">
        <v>3.15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11">
        <v>43698.59815972222</v>
      </c>
      <c r="B1993" t="s">
        <v>2407</v>
      </c>
      <c r="C1993" t="s">
        <v>2383</v>
      </c>
      <c r="D1993" t="s">
        <v>2389</v>
      </c>
      <c r="E1993" s="12" t="s">
        <v>2385</v>
      </c>
      <c r="F1993">
        <v>3.59</v>
      </c>
      <c r="G1993">
        <v>3.93</v>
      </c>
      <c r="H1993">
        <v>3.15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11">
        <v>43698.598171296297</v>
      </c>
      <c r="B1994" t="s">
        <v>2407</v>
      </c>
      <c r="C1994" t="s">
        <v>2736</v>
      </c>
      <c r="E1994" t="s">
        <v>2378</v>
      </c>
      <c r="F1994">
        <v>3.59</v>
      </c>
      <c r="G1994">
        <v>3.93</v>
      </c>
      <c r="H1994">
        <v>3.15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11">
        <v>43698.598356481481</v>
      </c>
      <c r="B1995" t="s">
        <v>2407</v>
      </c>
      <c r="C1995" t="s">
        <v>2733</v>
      </c>
      <c r="D1995" t="s">
        <v>2390</v>
      </c>
      <c r="F1995">
        <v>3.59</v>
      </c>
      <c r="G1995">
        <v>3.93</v>
      </c>
      <c r="H1995">
        <v>3.15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11">
        <v>43698.598356481481</v>
      </c>
      <c r="B1996" t="s">
        <v>2407</v>
      </c>
      <c r="C1996" t="s">
        <v>2734</v>
      </c>
      <c r="D1996" t="s">
        <v>2390</v>
      </c>
      <c r="F1996">
        <v>3.59</v>
      </c>
      <c r="G1996">
        <v>3.93</v>
      </c>
      <c r="H1996">
        <v>3.15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11">
        <v>43698.598356481481</v>
      </c>
      <c r="B1997" t="s">
        <v>2407</v>
      </c>
      <c r="C1997" t="s">
        <v>2735</v>
      </c>
      <c r="D1997" t="s">
        <v>2390</v>
      </c>
      <c r="F1997">
        <v>3.59</v>
      </c>
      <c r="G1997">
        <v>3.93</v>
      </c>
      <c r="H1997">
        <v>3.15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11">
        <v>43698.598368055558</v>
      </c>
      <c r="B1998" t="s">
        <v>2407</v>
      </c>
      <c r="C1998" t="s">
        <v>2737</v>
      </c>
      <c r="E1998">
        <v>101</v>
      </c>
      <c r="F1998">
        <v>3.59</v>
      </c>
      <c r="G1998">
        <v>3.93</v>
      </c>
      <c r="H1998">
        <v>3.15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11">
        <v>43698.598368055558</v>
      </c>
      <c r="B1999" t="s">
        <v>2407</v>
      </c>
      <c r="C1999" t="s">
        <v>2737</v>
      </c>
      <c r="E1999">
        <v>101</v>
      </c>
      <c r="F1999">
        <v>3.59</v>
      </c>
      <c r="G1999">
        <v>3.93</v>
      </c>
      <c r="H1999">
        <v>3.15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11">
        <v>43698.598368055558</v>
      </c>
      <c r="B2000" t="s">
        <v>2407</v>
      </c>
      <c r="C2000" t="s">
        <v>2737</v>
      </c>
      <c r="E2000">
        <v>101</v>
      </c>
      <c r="F2000">
        <v>3.59</v>
      </c>
      <c r="G2000">
        <v>3.93</v>
      </c>
      <c r="H2000">
        <v>3.15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11">
        <v>43698.598368055558</v>
      </c>
      <c r="B2001" t="s">
        <v>2407</v>
      </c>
      <c r="C2001" t="s">
        <v>2744</v>
      </c>
      <c r="E2001">
        <v>103</v>
      </c>
      <c r="F2001">
        <v>3.59</v>
      </c>
      <c r="G2001">
        <v>3.93</v>
      </c>
      <c r="H2001">
        <v>3.15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11">
        <v>43698.598368055558</v>
      </c>
      <c r="B2002" t="s">
        <v>2407</v>
      </c>
      <c r="C2002" t="s">
        <v>2737</v>
      </c>
      <c r="E2002">
        <v>104</v>
      </c>
      <c r="F2002">
        <v>3.59</v>
      </c>
      <c r="G2002">
        <v>3.93</v>
      </c>
      <c r="H2002">
        <v>3.15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11">
        <v>43698.598368055558</v>
      </c>
      <c r="B2003" t="s">
        <v>2407</v>
      </c>
      <c r="C2003" t="s">
        <v>2737</v>
      </c>
      <c r="E2003">
        <v>104</v>
      </c>
      <c r="F2003">
        <v>3.59</v>
      </c>
      <c r="G2003">
        <v>3.93</v>
      </c>
      <c r="H2003">
        <v>3.15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11">
        <v>43698.598368055558</v>
      </c>
      <c r="B2004" t="s">
        <v>2407</v>
      </c>
      <c r="C2004" t="s">
        <v>2737</v>
      </c>
      <c r="E2004">
        <v>104</v>
      </c>
      <c r="F2004">
        <v>3.59</v>
      </c>
      <c r="G2004">
        <v>3.93</v>
      </c>
      <c r="H2004">
        <v>3.15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11">
        <v>43698.598368055558</v>
      </c>
      <c r="B2005" t="s">
        <v>2407</v>
      </c>
      <c r="C2005" t="s">
        <v>2737</v>
      </c>
      <c r="E2005">
        <v>105</v>
      </c>
      <c r="F2005">
        <v>3.59</v>
      </c>
      <c r="G2005">
        <v>3.93</v>
      </c>
      <c r="H2005">
        <v>3.15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11">
        <v>43698.598368055558</v>
      </c>
      <c r="B2006" t="s">
        <v>2407</v>
      </c>
      <c r="C2006" t="s">
        <v>2737</v>
      </c>
      <c r="E2006">
        <v>105</v>
      </c>
      <c r="F2006">
        <v>3.59</v>
      </c>
      <c r="G2006">
        <v>3.93</v>
      </c>
      <c r="H2006">
        <v>3.15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11">
        <v>43698.598368055558</v>
      </c>
      <c r="B2007" t="s">
        <v>2407</v>
      </c>
      <c r="C2007" t="s">
        <v>2737</v>
      </c>
      <c r="E2007">
        <v>105</v>
      </c>
      <c r="F2007">
        <v>3.59</v>
      </c>
      <c r="G2007">
        <v>3.93</v>
      </c>
      <c r="H2007">
        <v>3.15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11">
        <v>43698.598368055558</v>
      </c>
      <c r="B2008" t="s">
        <v>2407</v>
      </c>
      <c r="C2008" t="s">
        <v>2737</v>
      </c>
      <c r="E2008">
        <v>109</v>
      </c>
      <c r="F2008">
        <v>3.59</v>
      </c>
      <c r="G2008">
        <v>3.93</v>
      </c>
      <c r="H2008">
        <v>3.15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11">
        <v>43698.598368055558</v>
      </c>
      <c r="B2009" t="s">
        <v>2407</v>
      </c>
      <c r="C2009" t="s">
        <v>2737</v>
      </c>
      <c r="E2009">
        <v>109</v>
      </c>
      <c r="F2009">
        <v>3.59</v>
      </c>
      <c r="G2009">
        <v>3.93</v>
      </c>
      <c r="H2009">
        <v>3.15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11">
        <v>43698.598368055558</v>
      </c>
      <c r="B2010" t="s">
        <v>2407</v>
      </c>
      <c r="C2010" t="s">
        <v>2744</v>
      </c>
      <c r="E2010">
        <v>112</v>
      </c>
      <c r="F2010">
        <v>3.59</v>
      </c>
      <c r="G2010">
        <v>3.93</v>
      </c>
      <c r="H2010">
        <v>3.15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11">
        <v>43698.598368055558</v>
      </c>
      <c r="B2011" t="s">
        <v>2407</v>
      </c>
      <c r="C2011" t="s">
        <v>2744</v>
      </c>
      <c r="E2011">
        <v>112</v>
      </c>
      <c r="F2011">
        <v>3.59</v>
      </c>
      <c r="G2011">
        <v>3.93</v>
      </c>
      <c r="H2011">
        <v>3.15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11">
        <v>43698.598368055558</v>
      </c>
      <c r="B2012" t="s">
        <v>2407</v>
      </c>
      <c r="C2012" t="s">
        <v>2744</v>
      </c>
      <c r="E2012">
        <v>112</v>
      </c>
      <c r="F2012">
        <v>3.59</v>
      </c>
      <c r="G2012">
        <v>3.93</v>
      </c>
      <c r="H2012">
        <v>3.15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11">
        <v>43698.598368055558</v>
      </c>
      <c r="B2013" t="s">
        <v>2407</v>
      </c>
      <c r="C2013" t="s">
        <v>2383</v>
      </c>
      <c r="D2013" t="s">
        <v>2384</v>
      </c>
      <c r="E2013" s="12" t="s">
        <v>2385</v>
      </c>
      <c r="F2013">
        <v>3.59</v>
      </c>
      <c r="G2013">
        <v>3.93</v>
      </c>
      <c r="H2013">
        <v>3.15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11">
        <v>43698.598368055558</v>
      </c>
      <c r="B2014" t="s">
        <v>2407</v>
      </c>
      <c r="C2014" t="s">
        <v>2383</v>
      </c>
      <c r="D2014" t="s">
        <v>2386</v>
      </c>
      <c r="E2014" t="s">
        <v>2750</v>
      </c>
      <c r="F2014">
        <v>3.59</v>
      </c>
      <c r="G2014">
        <v>3.93</v>
      </c>
      <c r="H2014">
        <v>3.15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11">
        <v>43698.598368055558</v>
      </c>
      <c r="B2015" t="s">
        <v>2407</v>
      </c>
      <c r="C2015" t="s">
        <v>2383</v>
      </c>
      <c r="D2015" t="s">
        <v>2387</v>
      </c>
      <c r="E2015" t="s">
        <v>2766</v>
      </c>
      <c r="F2015">
        <v>3.59</v>
      </c>
      <c r="G2015">
        <v>3.93</v>
      </c>
      <c r="H2015">
        <v>3.15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11">
        <v>43698.598368055558</v>
      </c>
      <c r="B2016" t="s">
        <v>2407</v>
      </c>
      <c r="C2016" t="s">
        <v>2383</v>
      </c>
      <c r="D2016" t="s">
        <v>2381</v>
      </c>
      <c r="E2016">
        <v>261</v>
      </c>
      <c r="F2016">
        <v>3.59</v>
      </c>
      <c r="G2016">
        <v>3.93</v>
      </c>
      <c r="H2016">
        <v>3.15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11">
        <v>43698.598368055558</v>
      </c>
      <c r="B2017" t="s">
        <v>2407</v>
      </c>
      <c r="C2017" t="s">
        <v>2383</v>
      </c>
      <c r="D2017" t="s">
        <v>2388</v>
      </c>
      <c r="E2017" t="s">
        <v>2767</v>
      </c>
      <c r="F2017">
        <v>3.59</v>
      </c>
      <c r="G2017">
        <v>3.93</v>
      </c>
      <c r="H2017">
        <v>3.15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11">
        <v>43698.598368055558</v>
      </c>
      <c r="B2018" t="s">
        <v>2407</v>
      </c>
      <c r="C2018" t="s">
        <v>2383</v>
      </c>
      <c r="D2018" t="s">
        <v>2389</v>
      </c>
      <c r="E2018" s="12" t="s">
        <v>2385</v>
      </c>
      <c r="F2018">
        <v>3.59</v>
      </c>
      <c r="G2018">
        <v>3.93</v>
      </c>
      <c r="H2018">
        <v>3.15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11">
        <v>43698.598379629628</v>
      </c>
      <c r="B2019" t="s">
        <v>2407</v>
      </c>
      <c r="C2019" t="s">
        <v>2736</v>
      </c>
      <c r="E2019" t="s">
        <v>2378</v>
      </c>
      <c r="F2019">
        <v>3.59</v>
      </c>
      <c r="G2019">
        <v>3.93</v>
      </c>
      <c r="H2019">
        <v>3.15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11">
        <v>43698.59878472222</v>
      </c>
      <c r="B2020" t="s">
        <v>2407</v>
      </c>
      <c r="C2020" t="s">
        <v>2733</v>
      </c>
      <c r="D2020" t="s">
        <v>2390</v>
      </c>
      <c r="F2020">
        <v>3.59</v>
      </c>
      <c r="G2020">
        <v>3.93</v>
      </c>
      <c r="H2020">
        <v>3.15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11">
        <v>43698.59878472222</v>
      </c>
      <c r="B2021" t="s">
        <v>2407</v>
      </c>
      <c r="C2021" t="s">
        <v>2734</v>
      </c>
      <c r="D2021" t="s">
        <v>2390</v>
      </c>
      <c r="F2021">
        <v>3.59</v>
      </c>
      <c r="G2021">
        <v>3.93</v>
      </c>
      <c r="H2021">
        <v>3.15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11">
        <v>43698.59878472222</v>
      </c>
      <c r="B2022" t="s">
        <v>2407</v>
      </c>
      <c r="C2022" t="s">
        <v>2735</v>
      </c>
      <c r="D2022" t="s">
        <v>2390</v>
      </c>
      <c r="F2022">
        <v>3.59</v>
      </c>
      <c r="G2022">
        <v>3.93</v>
      </c>
      <c r="H2022">
        <v>3.15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11">
        <v>43698.598796296297</v>
      </c>
      <c r="B2023" t="s">
        <v>2407</v>
      </c>
      <c r="C2023" t="s">
        <v>2737</v>
      </c>
      <c r="E2023">
        <v>101</v>
      </c>
      <c r="F2023">
        <v>3.59</v>
      </c>
      <c r="G2023">
        <v>3.93</v>
      </c>
      <c r="H2023">
        <v>3.15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11">
        <v>43698.598796296297</v>
      </c>
      <c r="B2024" t="s">
        <v>2407</v>
      </c>
      <c r="C2024" t="s">
        <v>2737</v>
      </c>
      <c r="E2024">
        <v>101</v>
      </c>
      <c r="F2024">
        <v>3.59</v>
      </c>
      <c r="G2024">
        <v>3.93</v>
      </c>
      <c r="H2024">
        <v>3.15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11">
        <v>43698.598796296297</v>
      </c>
      <c r="B2025" t="s">
        <v>2407</v>
      </c>
      <c r="C2025" t="s">
        <v>2737</v>
      </c>
      <c r="E2025">
        <v>101</v>
      </c>
      <c r="F2025">
        <v>3.59</v>
      </c>
      <c r="G2025">
        <v>3.93</v>
      </c>
      <c r="H2025">
        <v>3.15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11">
        <v>43698.598796296297</v>
      </c>
      <c r="B2026" t="s">
        <v>2407</v>
      </c>
      <c r="C2026" t="s">
        <v>2744</v>
      </c>
      <c r="E2026">
        <v>103</v>
      </c>
      <c r="F2026">
        <v>3.59</v>
      </c>
      <c r="G2026">
        <v>3.93</v>
      </c>
      <c r="H2026">
        <v>3.15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11">
        <v>43698.598796296297</v>
      </c>
      <c r="B2027" t="s">
        <v>2407</v>
      </c>
      <c r="C2027" t="s">
        <v>2737</v>
      </c>
      <c r="E2027">
        <v>104</v>
      </c>
      <c r="F2027">
        <v>3.59</v>
      </c>
      <c r="G2027">
        <v>3.93</v>
      </c>
      <c r="H2027">
        <v>3.15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11">
        <v>43698.598796296297</v>
      </c>
      <c r="B2028" t="s">
        <v>2407</v>
      </c>
      <c r="C2028" t="s">
        <v>2737</v>
      </c>
      <c r="E2028">
        <v>104</v>
      </c>
      <c r="F2028">
        <v>3.59</v>
      </c>
      <c r="G2028">
        <v>3.93</v>
      </c>
      <c r="H2028">
        <v>3.15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11">
        <v>43698.598796296297</v>
      </c>
      <c r="B2029" t="s">
        <v>2407</v>
      </c>
      <c r="C2029" t="s">
        <v>2737</v>
      </c>
      <c r="E2029">
        <v>104</v>
      </c>
      <c r="F2029">
        <v>3.59</v>
      </c>
      <c r="G2029">
        <v>3.93</v>
      </c>
      <c r="H2029">
        <v>3.15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11">
        <v>43698.598796296297</v>
      </c>
      <c r="B2030" t="s">
        <v>2407</v>
      </c>
      <c r="C2030" t="s">
        <v>2737</v>
      </c>
      <c r="E2030">
        <v>105</v>
      </c>
      <c r="F2030">
        <v>3.59</v>
      </c>
      <c r="G2030">
        <v>3.93</v>
      </c>
      <c r="H2030">
        <v>3.15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11">
        <v>43698.598796296297</v>
      </c>
      <c r="B2031" t="s">
        <v>2407</v>
      </c>
      <c r="C2031" t="s">
        <v>2737</v>
      </c>
      <c r="E2031">
        <v>105</v>
      </c>
      <c r="F2031">
        <v>3.59</v>
      </c>
      <c r="G2031">
        <v>3.93</v>
      </c>
      <c r="H2031">
        <v>3.15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11">
        <v>43698.598796296297</v>
      </c>
      <c r="B2032" t="s">
        <v>2407</v>
      </c>
      <c r="C2032" t="s">
        <v>2737</v>
      </c>
      <c r="E2032">
        <v>105</v>
      </c>
      <c r="F2032">
        <v>3.59</v>
      </c>
      <c r="G2032">
        <v>3.93</v>
      </c>
      <c r="H2032">
        <v>3.15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11">
        <v>43698.598796296297</v>
      </c>
      <c r="B2033" t="s">
        <v>2407</v>
      </c>
      <c r="C2033" t="s">
        <v>2737</v>
      </c>
      <c r="E2033">
        <v>109</v>
      </c>
      <c r="F2033">
        <v>3.59</v>
      </c>
      <c r="G2033">
        <v>3.93</v>
      </c>
      <c r="H2033">
        <v>3.15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11">
        <v>43698.598796296297</v>
      </c>
      <c r="B2034" t="s">
        <v>2407</v>
      </c>
      <c r="C2034" t="s">
        <v>2737</v>
      </c>
      <c r="E2034">
        <v>109</v>
      </c>
      <c r="F2034">
        <v>3.59</v>
      </c>
      <c r="G2034">
        <v>3.93</v>
      </c>
      <c r="H2034">
        <v>3.15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11">
        <v>43698.598796296297</v>
      </c>
      <c r="B2035" t="s">
        <v>2407</v>
      </c>
      <c r="C2035" t="s">
        <v>2744</v>
      </c>
      <c r="E2035">
        <v>112</v>
      </c>
      <c r="F2035">
        <v>3.59</v>
      </c>
      <c r="G2035">
        <v>3.93</v>
      </c>
      <c r="H2035">
        <v>3.15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11">
        <v>43698.598796296297</v>
      </c>
      <c r="B2036" t="s">
        <v>2407</v>
      </c>
      <c r="C2036" t="s">
        <v>2744</v>
      </c>
      <c r="E2036">
        <v>112</v>
      </c>
      <c r="F2036">
        <v>3.59</v>
      </c>
      <c r="G2036">
        <v>3.93</v>
      </c>
      <c r="H2036">
        <v>3.15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11">
        <v>43698.598796296297</v>
      </c>
      <c r="B2037" t="s">
        <v>2407</v>
      </c>
      <c r="C2037" t="s">
        <v>2744</v>
      </c>
      <c r="E2037">
        <v>112</v>
      </c>
      <c r="F2037">
        <v>3.59</v>
      </c>
      <c r="G2037">
        <v>3.93</v>
      </c>
      <c r="H2037">
        <v>3.15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11">
        <v>43698.598796296297</v>
      </c>
      <c r="B2038" t="s">
        <v>2407</v>
      </c>
      <c r="C2038" t="s">
        <v>2383</v>
      </c>
      <c r="D2038" t="s">
        <v>2384</v>
      </c>
      <c r="E2038" s="12" t="s">
        <v>2385</v>
      </c>
      <c r="F2038">
        <v>3.59</v>
      </c>
      <c r="G2038">
        <v>3.93</v>
      </c>
      <c r="H2038">
        <v>3.15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11">
        <v>43698.598796296297</v>
      </c>
      <c r="B2039" t="s">
        <v>2407</v>
      </c>
      <c r="C2039" t="s">
        <v>2383</v>
      </c>
      <c r="D2039" t="s">
        <v>2386</v>
      </c>
      <c r="E2039" t="s">
        <v>2750</v>
      </c>
      <c r="F2039">
        <v>3.59</v>
      </c>
      <c r="G2039">
        <v>3.93</v>
      </c>
      <c r="H2039">
        <v>3.15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11">
        <v>43698.598796296297</v>
      </c>
      <c r="B2040" t="s">
        <v>2407</v>
      </c>
      <c r="C2040" t="s">
        <v>2383</v>
      </c>
      <c r="D2040" t="s">
        <v>2387</v>
      </c>
      <c r="E2040" t="s">
        <v>2766</v>
      </c>
      <c r="F2040">
        <v>3.59</v>
      </c>
      <c r="G2040">
        <v>3.93</v>
      </c>
      <c r="H2040">
        <v>3.15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11">
        <v>43698.598796296297</v>
      </c>
      <c r="B2041" t="s">
        <v>2407</v>
      </c>
      <c r="C2041" t="s">
        <v>2383</v>
      </c>
      <c r="D2041" t="s">
        <v>2381</v>
      </c>
      <c r="E2041">
        <v>261</v>
      </c>
      <c r="F2041">
        <v>3.59</v>
      </c>
      <c r="G2041">
        <v>3.93</v>
      </c>
      <c r="H2041">
        <v>3.15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11">
        <v>43698.598796296297</v>
      </c>
      <c r="B2042" t="s">
        <v>2407</v>
      </c>
      <c r="C2042" t="s">
        <v>2383</v>
      </c>
      <c r="D2042" t="s">
        <v>2388</v>
      </c>
      <c r="E2042" t="s">
        <v>2767</v>
      </c>
      <c r="F2042">
        <v>3.59</v>
      </c>
      <c r="G2042">
        <v>3.93</v>
      </c>
      <c r="H2042">
        <v>3.15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11">
        <v>43698.598796296297</v>
      </c>
      <c r="B2043" t="s">
        <v>2407</v>
      </c>
      <c r="C2043" t="s">
        <v>2383</v>
      </c>
      <c r="D2043" t="s">
        <v>2389</v>
      </c>
      <c r="E2043" s="12" t="s">
        <v>2385</v>
      </c>
      <c r="F2043">
        <v>3.59</v>
      </c>
      <c r="G2043">
        <v>3.93</v>
      </c>
      <c r="H2043">
        <v>3.15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11">
        <v>43698.598807870374</v>
      </c>
      <c r="B2044" t="s">
        <v>2407</v>
      </c>
      <c r="C2044" t="s">
        <v>2736</v>
      </c>
      <c r="E2044" t="s">
        <v>2378</v>
      </c>
      <c r="F2044">
        <v>3.59</v>
      </c>
      <c r="G2044">
        <v>3.93</v>
      </c>
      <c r="H2044">
        <v>3.15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11">
        <v>43698.599108796298</v>
      </c>
      <c r="B2045" t="s">
        <v>2407</v>
      </c>
      <c r="C2045" t="s">
        <v>2733</v>
      </c>
      <c r="D2045" t="s">
        <v>2390</v>
      </c>
      <c r="F2045">
        <v>3.59</v>
      </c>
      <c r="G2045">
        <v>3.93</v>
      </c>
      <c r="H2045">
        <v>3.15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11">
        <v>43698.599108796298</v>
      </c>
      <c r="B2046" t="s">
        <v>2407</v>
      </c>
      <c r="C2046" t="s">
        <v>2734</v>
      </c>
      <c r="D2046" t="s">
        <v>2390</v>
      </c>
      <c r="F2046">
        <v>3.59</v>
      </c>
      <c r="G2046">
        <v>3.93</v>
      </c>
      <c r="H2046">
        <v>3.15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11">
        <v>43698.599108796298</v>
      </c>
      <c r="B2047" t="s">
        <v>2407</v>
      </c>
      <c r="C2047" t="s">
        <v>2735</v>
      </c>
      <c r="D2047" t="s">
        <v>2390</v>
      </c>
      <c r="F2047">
        <v>3.59</v>
      </c>
      <c r="G2047">
        <v>3.93</v>
      </c>
      <c r="H2047">
        <v>3.15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11">
        <v>43698.599120370367</v>
      </c>
      <c r="B2048" t="s">
        <v>2407</v>
      </c>
      <c r="C2048" t="s">
        <v>2737</v>
      </c>
      <c r="E2048">
        <v>101</v>
      </c>
      <c r="F2048">
        <v>3.59</v>
      </c>
      <c r="G2048">
        <v>3.93</v>
      </c>
      <c r="H2048">
        <v>3.15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11">
        <v>43698.599120370367</v>
      </c>
      <c r="B2049" t="s">
        <v>2407</v>
      </c>
      <c r="C2049" t="s">
        <v>2737</v>
      </c>
      <c r="E2049">
        <v>101</v>
      </c>
      <c r="F2049">
        <v>3.59</v>
      </c>
      <c r="G2049">
        <v>3.93</v>
      </c>
      <c r="H2049">
        <v>3.15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11">
        <v>43698.599120370367</v>
      </c>
      <c r="B2050" t="s">
        <v>2407</v>
      </c>
      <c r="C2050" t="s">
        <v>2737</v>
      </c>
      <c r="E2050">
        <v>101</v>
      </c>
      <c r="F2050">
        <v>3.59</v>
      </c>
      <c r="G2050">
        <v>3.93</v>
      </c>
      <c r="H2050">
        <v>3.15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11">
        <v>43698.599120370367</v>
      </c>
      <c r="B2051" t="s">
        <v>2407</v>
      </c>
      <c r="C2051" t="s">
        <v>2744</v>
      </c>
      <c r="E2051">
        <v>103</v>
      </c>
      <c r="F2051">
        <v>3.59</v>
      </c>
      <c r="G2051">
        <v>3.93</v>
      </c>
      <c r="H2051">
        <v>3.15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11">
        <v>43698.599120370367</v>
      </c>
      <c r="B2052" t="s">
        <v>2407</v>
      </c>
      <c r="C2052" t="s">
        <v>2737</v>
      </c>
      <c r="E2052">
        <v>104</v>
      </c>
      <c r="F2052">
        <v>3.59</v>
      </c>
      <c r="G2052">
        <v>3.93</v>
      </c>
      <c r="H2052">
        <v>3.15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11">
        <v>43698.599120370367</v>
      </c>
      <c r="B2053" t="s">
        <v>2407</v>
      </c>
      <c r="C2053" t="s">
        <v>2737</v>
      </c>
      <c r="E2053">
        <v>104</v>
      </c>
      <c r="F2053">
        <v>3.59</v>
      </c>
      <c r="G2053">
        <v>3.93</v>
      </c>
      <c r="H2053">
        <v>3.15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11">
        <v>43698.599120370367</v>
      </c>
      <c r="B2054" t="s">
        <v>2407</v>
      </c>
      <c r="C2054" t="s">
        <v>2737</v>
      </c>
      <c r="E2054">
        <v>104</v>
      </c>
      <c r="F2054">
        <v>3.59</v>
      </c>
      <c r="G2054">
        <v>3.93</v>
      </c>
      <c r="H2054">
        <v>3.15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11">
        <v>43698.599120370367</v>
      </c>
      <c r="B2055" t="s">
        <v>2407</v>
      </c>
      <c r="C2055" t="s">
        <v>2737</v>
      </c>
      <c r="E2055">
        <v>105</v>
      </c>
      <c r="F2055">
        <v>3.59</v>
      </c>
      <c r="G2055">
        <v>3.93</v>
      </c>
      <c r="H2055">
        <v>3.15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11">
        <v>43698.599120370367</v>
      </c>
      <c r="B2056" t="s">
        <v>2407</v>
      </c>
      <c r="C2056" t="s">
        <v>2737</v>
      </c>
      <c r="E2056">
        <v>105</v>
      </c>
      <c r="F2056">
        <v>3.59</v>
      </c>
      <c r="G2056">
        <v>3.93</v>
      </c>
      <c r="H2056">
        <v>3.15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11">
        <v>43698.599120370367</v>
      </c>
      <c r="B2057" t="s">
        <v>2407</v>
      </c>
      <c r="C2057" t="s">
        <v>2737</v>
      </c>
      <c r="E2057">
        <v>105</v>
      </c>
      <c r="F2057">
        <v>3.59</v>
      </c>
      <c r="G2057">
        <v>3.93</v>
      </c>
      <c r="H2057">
        <v>3.15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11">
        <v>43698.599120370367</v>
      </c>
      <c r="B2058" t="s">
        <v>2407</v>
      </c>
      <c r="C2058" t="s">
        <v>2737</v>
      </c>
      <c r="E2058">
        <v>109</v>
      </c>
      <c r="F2058">
        <v>3.59</v>
      </c>
      <c r="G2058">
        <v>3.93</v>
      </c>
      <c r="H2058">
        <v>3.15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11">
        <v>43698.599120370367</v>
      </c>
      <c r="B2059" t="s">
        <v>2407</v>
      </c>
      <c r="C2059" t="s">
        <v>2737</v>
      </c>
      <c r="E2059">
        <v>109</v>
      </c>
      <c r="F2059">
        <v>3.59</v>
      </c>
      <c r="G2059">
        <v>3.93</v>
      </c>
      <c r="H2059">
        <v>3.15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11">
        <v>43698.599120370367</v>
      </c>
      <c r="B2060" t="s">
        <v>2407</v>
      </c>
      <c r="C2060" t="s">
        <v>2744</v>
      </c>
      <c r="E2060">
        <v>112</v>
      </c>
      <c r="F2060">
        <v>3.59</v>
      </c>
      <c r="G2060">
        <v>3.93</v>
      </c>
      <c r="H2060">
        <v>3.15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11">
        <v>43698.599120370367</v>
      </c>
      <c r="B2061" t="s">
        <v>2407</v>
      </c>
      <c r="C2061" t="s">
        <v>2744</v>
      </c>
      <c r="E2061">
        <v>112</v>
      </c>
      <c r="F2061">
        <v>3.59</v>
      </c>
      <c r="G2061">
        <v>3.93</v>
      </c>
      <c r="H2061">
        <v>3.15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11">
        <v>43698.599120370367</v>
      </c>
      <c r="B2062" t="s">
        <v>2407</v>
      </c>
      <c r="C2062" t="s">
        <v>2744</v>
      </c>
      <c r="E2062">
        <v>112</v>
      </c>
      <c r="F2062">
        <v>3.59</v>
      </c>
      <c r="G2062">
        <v>3.93</v>
      </c>
      <c r="H2062">
        <v>3.15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11">
        <v>43698.599120370367</v>
      </c>
      <c r="B2063" t="s">
        <v>2407</v>
      </c>
      <c r="C2063" t="s">
        <v>2383</v>
      </c>
      <c r="D2063" t="s">
        <v>2384</v>
      </c>
      <c r="E2063" s="12" t="s">
        <v>2385</v>
      </c>
      <c r="F2063">
        <v>3.59</v>
      </c>
      <c r="G2063">
        <v>3.93</v>
      </c>
      <c r="H2063">
        <v>3.15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11">
        <v>43698.599120370367</v>
      </c>
      <c r="B2064" t="s">
        <v>2407</v>
      </c>
      <c r="C2064" t="s">
        <v>2383</v>
      </c>
      <c r="D2064" t="s">
        <v>2386</v>
      </c>
      <c r="E2064" t="s">
        <v>2750</v>
      </c>
      <c r="F2064">
        <v>3.59</v>
      </c>
      <c r="G2064">
        <v>3.93</v>
      </c>
      <c r="H2064">
        <v>3.15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11">
        <v>43698.599120370367</v>
      </c>
      <c r="B2065" t="s">
        <v>2407</v>
      </c>
      <c r="C2065" t="s">
        <v>2383</v>
      </c>
      <c r="D2065" t="s">
        <v>2387</v>
      </c>
      <c r="E2065" t="s">
        <v>2766</v>
      </c>
      <c r="F2065">
        <v>3.59</v>
      </c>
      <c r="G2065">
        <v>3.93</v>
      </c>
      <c r="H2065">
        <v>3.15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11">
        <v>43698.599120370367</v>
      </c>
      <c r="B2066" t="s">
        <v>2407</v>
      </c>
      <c r="C2066" t="s">
        <v>2383</v>
      </c>
      <c r="D2066" t="s">
        <v>2381</v>
      </c>
      <c r="E2066">
        <v>261</v>
      </c>
      <c r="F2066">
        <v>3.59</v>
      </c>
      <c r="G2066">
        <v>3.93</v>
      </c>
      <c r="H2066">
        <v>3.15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11">
        <v>43698.599120370367</v>
      </c>
      <c r="B2067" t="s">
        <v>2407</v>
      </c>
      <c r="C2067" t="s">
        <v>2383</v>
      </c>
      <c r="D2067" t="s">
        <v>2388</v>
      </c>
      <c r="E2067" t="s">
        <v>2767</v>
      </c>
      <c r="F2067">
        <v>3.59</v>
      </c>
      <c r="G2067">
        <v>3.93</v>
      </c>
      <c r="H2067">
        <v>3.15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11">
        <v>43698.599120370367</v>
      </c>
      <c r="B2068" t="s">
        <v>2407</v>
      </c>
      <c r="C2068" t="s">
        <v>2383</v>
      </c>
      <c r="D2068" t="s">
        <v>2389</v>
      </c>
      <c r="E2068" s="12" t="s">
        <v>2385</v>
      </c>
      <c r="F2068">
        <v>3.59</v>
      </c>
      <c r="G2068">
        <v>3.93</v>
      </c>
      <c r="H2068">
        <v>3.15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11">
        <v>43698.599131944444</v>
      </c>
      <c r="B2069" t="s">
        <v>2407</v>
      </c>
      <c r="C2069" t="s">
        <v>2736</v>
      </c>
      <c r="E2069" t="s">
        <v>2378</v>
      </c>
      <c r="F2069">
        <v>3.59</v>
      </c>
      <c r="G2069">
        <v>3.93</v>
      </c>
      <c r="H2069">
        <v>3.15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11">
        <v>43698.599432870367</v>
      </c>
      <c r="B2070" t="s">
        <v>2407</v>
      </c>
      <c r="C2070" t="s">
        <v>2733</v>
      </c>
      <c r="D2070" t="s">
        <v>2390</v>
      </c>
      <c r="F2070">
        <v>3.59</v>
      </c>
      <c r="G2070">
        <v>3.93</v>
      </c>
      <c r="H2070">
        <v>3.15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11">
        <v>43698.599432870367</v>
      </c>
      <c r="B2071" t="s">
        <v>2407</v>
      </c>
      <c r="C2071" t="s">
        <v>2734</v>
      </c>
      <c r="D2071" t="s">
        <v>2390</v>
      </c>
      <c r="F2071">
        <v>3.59</v>
      </c>
      <c r="G2071">
        <v>3.93</v>
      </c>
      <c r="H2071">
        <v>3.15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11">
        <v>43698.599432870367</v>
      </c>
      <c r="B2072" t="s">
        <v>2407</v>
      </c>
      <c r="C2072" t="s">
        <v>2735</v>
      </c>
      <c r="D2072" t="s">
        <v>2390</v>
      </c>
      <c r="F2072">
        <v>3.59</v>
      </c>
      <c r="G2072">
        <v>3.93</v>
      </c>
      <c r="H2072">
        <v>3.15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11">
        <v>43698.600127314814</v>
      </c>
      <c r="B2073" t="s">
        <v>2407</v>
      </c>
      <c r="C2073" t="s">
        <v>2733</v>
      </c>
      <c r="D2073" t="s">
        <v>2390</v>
      </c>
      <c r="F2073">
        <v>3.59</v>
      </c>
      <c r="G2073">
        <v>3.93</v>
      </c>
      <c r="H2073">
        <v>3.15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11">
        <v>43698.600127314814</v>
      </c>
      <c r="B2074" t="s">
        <v>2407</v>
      </c>
      <c r="C2074" t="s">
        <v>2734</v>
      </c>
      <c r="D2074" t="s">
        <v>2390</v>
      </c>
      <c r="F2074">
        <v>3.59</v>
      </c>
      <c r="G2074">
        <v>3.93</v>
      </c>
      <c r="H2074">
        <v>3.15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11">
        <v>43698.600127314814</v>
      </c>
      <c r="B2075" t="s">
        <v>2407</v>
      </c>
      <c r="C2075" t="s">
        <v>2735</v>
      </c>
      <c r="D2075" t="s">
        <v>2390</v>
      </c>
      <c r="F2075">
        <v>3.59</v>
      </c>
      <c r="G2075">
        <v>3.93</v>
      </c>
      <c r="H2075">
        <v>3.15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11">
        <v>43698.600185185183</v>
      </c>
      <c r="B2076" t="s">
        <v>2407</v>
      </c>
      <c r="C2076" t="s">
        <v>2737</v>
      </c>
      <c r="E2076">
        <v>101</v>
      </c>
      <c r="F2076">
        <v>3.59</v>
      </c>
      <c r="G2076">
        <v>3.93</v>
      </c>
      <c r="H2076">
        <v>3.15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11">
        <v>43698.600185185183</v>
      </c>
      <c r="B2077" t="s">
        <v>2407</v>
      </c>
      <c r="C2077" t="s">
        <v>2737</v>
      </c>
      <c r="E2077">
        <v>101</v>
      </c>
      <c r="F2077">
        <v>3.59</v>
      </c>
      <c r="G2077">
        <v>3.93</v>
      </c>
      <c r="H2077">
        <v>3.15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11">
        <v>43698.600185185183</v>
      </c>
      <c r="B2078" t="s">
        <v>2407</v>
      </c>
      <c r="C2078" t="s">
        <v>2737</v>
      </c>
      <c r="E2078">
        <v>101</v>
      </c>
      <c r="F2078">
        <v>3.59</v>
      </c>
      <c r="G2078">
        <v>3.93</v>
      </c>
      <c r="H2078">
        <v>3.15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11">
        <v>43698.600185185183</v>
      </c>
      <c r="B2079" t="s">
        <v>2407</v>
      </c>
      <c r="C2079" t="s">
        <v>2744</v>
      </c>
      <c r="E2079">
        <v>103</v>
      </c>
      <c r="F2079">
        <v>3.59</v>
      </c>
      <c r="G2079">
        <v>3.93</v>
      </c>
      <c r="H2079">
        <v>3.15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11">
        <v>43698.600185185183</v>
      </c>
      <c r="B2080" t="s">
        <v>2407</v>
      </c>
      <c r="C2080" t="s">
        <v>2737</v>
      </c>
      <c r="E2080">
        <v>104</v>
      </c>
      <c r="F2080">
        <v>3.59</v>
      </c>
      <c r="G2080">
        <v>3.93</v>
      </c>
      <c r="H2080">
        <v>3.15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11">
        <v>43698.600185185183</v>
      </c>
      <c r="B2081" t="s">
        <v>2407</v>
      </c>
      <c r="C2081" t="s">
        <v>2737</v>
      </c>
      <c r="E2081">
        <v>104</v>
      </c>
      <c r="F2081">
        <v>3.59</v>
      </c>
      <c r="G2081">
        <v>3.93</v>
      </c>
      <c r="H2081">
        <v>3.15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11">
        <v>43698.600185185183</v>
      </c>
      <c r="B2082" t="s">
        <v>2407</v>
      </c>
      <c r="C2082" t="s">
        <v>2737</v>
      </c>
      <c r="E2082">
        <v>104</v>
      </c>
      <c r="F2082">
        <v>3.59</v>
      </c>
      <c r="G2082">
        <v>3.93</v>
      </c>
      <c r="H2082">
        <v>3.15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11">
        <v>43698.600185185183</v>
      </c>
      <c r="B2083" t="s">
        <v>2407</v>
      </c>
      <c r="C2083" t="s">
        <v>2737</v>
      </c>
      <c r="E2083">
        <v>105</v>
      </c>
      <c r="F2083">
        <v>3.59</v>
      </c>
      <c r="G2083">
        <v>3.93</v>
      </c>
      <c r="H2083">
        <v>3.15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11">
        <v>43698.600185185183</v>
      </c>
      <c r="B2084" t="s">
        <v>2407</v>
      </c>
      <c r="C2084" t="s">
        <v>2737</v>
      </c>
      <c r="E2084">
        <v>105</v>
      </c>
      <c r="F2084">
        <v>3.59</v>
      </c>
      <c r="G2084">
        <v>3.93</v>
      </c>
      <c r="H2084">
        <v>3.15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11">
        <v>43698.600185185183</v>
      </c>
      <c r="B2085" t="s">
        <v>2407</v>
      </c>
      <c r="C2085" t="s">
        <v>2737</v>
      </c>
      <c r="E2085">
        <v>105</v>
      </c>
      <c r="F2085">
        <v>3.59</v>
      </c>
      <c r="G2085">
        <v>3.93</v>
      </c>
      <c r="H2085">
        <v>3.15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11">
        <v>43698.600185185183</v>
      </c>
      <c r="B2086" t="s">
        <v>2407</v>
      </c>
      <c r="C2086" t="s">
        <v>2737</v>
      </c>
      <c r="E2086">
        <v>109</v>
      </c>
      <c r="F2086">
        <v>3.59</v>
      </c>
      <c r="G2086">
        <v>3.93</v>
      </c>
      <c r="H2086">
        <v>3.15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11">
        <v>43698.600185185183</v>
      </c>
      <c r="B2087" t="s">
        <v>2407</v>
      </c>
      <c r="C2087" t="s">
        <v>2737</v>
      </c>
      <c r="E2087">
        <v>109</v>
      </c>
      <c r="F2087">
        <v>3.59</v>
      </c>
      <c r="G2087">
        <v>3.93</v>
      </c>
      <c r="H2087">
        <v>3.15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11">
        <v>43698.600185185183</v>
      </c>
      <c r="B2088" t="s">
        <v>2407</v>
      </c>
      <c r="C2088" t="s">
        <v>2744</v>
      </c>
      <c r="E2088">
        <v>112</v>
      </c>
      <c r="F2088">
        <v>3.59</v>
      </c>
      <c r="G2088">
        <v>3.93</v>
      </c>
      <c r="H2088">
        <v>3.15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11">
        <v>43698.600185185183</v>
      </c>
      <c r="B2089" t="s">
        <v>2407</v>
      </c>
      <c r="C2089" t="s">
        <v>2744</v>
      </c>
      <c r="E2089">
        <v>112</v>
      </c>
      <c r="F2089">
        <v>3.59</v>
      </c>
      <c r="G2089">
        <v>3.93</v>
      </c>
      <c r="H2089">
        <v>3.15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11">
        <v>43698.600185185183</v>
      </c>
      <c r="B2090" t="s">
        <v>2407</v>
      </c>
      <c r="C2090" t="s">
        <v>2744</v>
      </c>
      <c r="E2090">
        <v>112</v>
      </c>
      <c r="F2090">
        <v>3.59</v>
      </c>
      <c r="G2090">
        <v>3.93</v>
      </c>
      <c r="H2090">
        <v>3.15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11">
        <v>43698.600185185183</v>
      </c>
      <c r="B2091" t="s">
        <v>2407</v>
      </c>
      <c r="C2091" t="s">
        <v>2383</v>
      </c>
      <c r="D2091" t="s">
        <v>2384</v>
      </c>
      <c r="E2091" s="12" t="s">
        <v>2385</v>
      </c>
      <c r="F2091">
        <v>3.59</v>
      </c>
      <c r="G2091">
        <v>3.93</v>
      </c>
      <c r="H2091">
        <v>3.15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11">
        <v>43698.600185185183</v>
      </c>
      <c r="B2092" t="s">
        <v>2407</v>
      </c>
      <c r="C2092" t="s">
        <v>2383</v>
      </c>
      <c r="D2092" t="s">
        <v>2386</v>
      </c>
      <c r="E2092" t="s">
        <v>2750</v>
      </c>
      <c r="F2092">
        <v>3.59</v>
      </c>
      <c r="G2092">
        <v>3.93</v>
      </c>
      <c r="H2092">
        <v>3.15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11">
        <v>43698.600185185183</v>
      </c>
      <c r="B2093" t="s">
        <v>2407</v>
      </c>
      <c r="C2093" t="s">
        <v>2383</v>
      </c>
      <c r="D2093" t="s">
        <v>2387</v>
      </c>
      <c r="E2093" t="s">
        <v>2766</v>
      </c>
      <c r="F2093">
        <v>3.59</v>
      </c>
      <c r="G2093">
        <v>3.93</v>
      </c>
      <c r="H2093">
        <v>3.15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11">
        <v>43698.600185185183</v>
      </c>
      <c r="B2094" t="s">
        <v>2407</v>
      </c>
      <c r="C2094" t="s">
        <v>2383</v>
      </c>
      <c r="D2094" t="s">
        <v>2381</v>
      </c>
      <c r="E2094" t="s">
        <v>2773</v>
      </c>
      <c r="F2094">
        <v>3.59</v>
      </c>
      <c r="G2094">
        <v>3.93</v>
      </c>
      <c r="H2094">
        <v>3.15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11">
        <v>43698.600185185183</v>
      </c>
      <c r="B2095" t="s">
        <v>2407</v>
      </c>
      <c r="C2095" t="s">
        <v>2383</v>
      </c>
      <c r="D2095" t="s">
        <v>2388</v>
      </c>
      <c r="E2095" t="s">
        <v>2774</v>
      </c>
      <c r="F2095">
        <v>3.59</v>
      </c>
      <c r="G2095">
        <v>3.93</v>
      </c>
      <c r="H2095">
        <v>3.15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11">
        <v>43698.600185185183</v>
      </c>
      <c r="B2096" t="s">
        <v>2407</v>
      </c>
      <c r="C2096" t="s">
        <v>2383</v>
      </c>
      <c r="D2096" t="s">
        <v>2389</v>
      </c>
      <c r="E2096" s="12" t="s">
        <v>2385</v>
      </c>
      <c r="F2096">
        <v>3.59</v>
      </c>
      <c r="G2096">
        <v>3.93</v>
      </c>
      <c r="H2096">
        <v>3.15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11">
        <v>43698.60019675926</v>
      </c>
      <c r="B2097" t="s">
        <v>2407</v>
      </c>
      <c r="C2097" t="s">
        <v>2736</v>
      </c>
      <c r="E2097" t="s">
        <v>2378</v>
      </c>
      <c r="F2097">
        <v>3.59</v>
      </c>
      <c r="G2097">
        <v>3.93</v>
      </c>
      <c r="H2097">
        <v>3.15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11">
        <v>43698.600393518522</v>
      </c>
      <c r="B2098" t="s">
        <v>2407</v>
      </c>
      <c r="C2098" t="s">
        <v>2733</v>
      </c>
      <c r="D2098" t="s">
        <v>2390</v>
      </c>
      <c r="F2098">
        <v>3.59</v>
      </c>
      <c r="G2098">
        <v>3.93</v>
      </c>
      <c r="H2098">
        <v>3.15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11">
        <v>43698.600393518522</v>
      </c>
      <c r="B2099" t="s">
        <v>2407</v>
      </c>
      <c r="C2099" t="s">
        <v>2734</v>
      </c>
      <c r="D2099" t="s">
        <v>2390</v>
      </c>
      <c r="F2099">
        <v>3.59</v>
      </c>
      <c r="G2099">
        <v>3.93</v>
      </c>
      <c r="H2099">
        <v>3.15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11">
        <v>43698.600393518522</v>
      </c>
      <c r="B2100" t="s">
        <v>2407</v>
      </c>
      <c r="C2100" t="s">
        <v>2735</v>
      </c>
      <c r="D2100" t="s">
        <v>2390</v>
      </c>
      <c r="F2100">
        <v>3.59</v>
      </c>
      <c r="G2100">
        <v>3.93</v>
      </c>
      <c r="H2100">
        <v>3.15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11">
        <v>43698.600474537037</v>
      </c>
      <c r="B2101" t="s">
        <v>2407</v>
      </c>
      <c r="C2101" t="s">
        <v>2737</v>
      </c>
      <c r="E2101">
        <v>101</v>
      </c>
      <c r="F2101">
        <v>3.59</v>
      </c>
      <c r="G2101">
        <v>3.93</v>
      </c>
      <c r="H2101">
        <v>3.15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11">
        <v>43698.600474537037</v>
      </c>
      <c r="B2102" t="s">
        <v>2407</v>
      </c>
      <c r="C2102" t="s">
        <v>2737</v>
      </c>
      <c r="E2102">
        <v>101</v>
      </c>
      <c r="F2102">
        <v>3.59</v>
      </c>
      <c r="G2102">
        <v>3.93</v>
      </c>
      <c r="H2102">
        <v>3.15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11">
        <v>43698.600474537037</v>
      </c>
      <c r="B2103" t="s">
        <v>2407</v>
      </c>
      <c r="C2103" t="s">
        <v>2737</v>
      </c>
      <c r="E2103">
        <v>101</v>
      </c>
      <c r="F2103">
        <v>3.59</v>
      </c>
      <c r="G2103">
        <v>3.93</v>
      </c>
      <c r="H2103">
        <v>3.15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11">
        <v>43698.600474537037</v>
      </c>
      <c r="B2104" t="s">
        <v>2407</v>
      </c>
      <c r="C2104" t="s">
        <v>2744</v>
      </c>
      <c r="E2104">
        <v>103</v>
      </c>
      <c r="F2104">
        <v>3.59</v>
      </c>
      <c r="G2104">
        <v>3.93</v>
      </c>
      <c r="H2104">
        <v>3.15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11">
        <v>43698.600474537037</v>
      </c>
      <c r="B2105" t="s">
        <v>2407</v>
      </c>
      <c r="C2105" t="s">
        <v>2737</v>
      </c>
      <c r="E2105">
        <v>104</v>
      </c>
      <c r="F2105">
        <v>3.59</v>
      </c>
      <c r="G2105">
        <v>3.93</v>
      </c>
      <c r="H2105">
        <v>3.15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11">
        <v>43698.600474537037</v>
      </c>
      <c r="B2106" t="s">
        <v>2407</v>
      </c>
      <c r="C2106" t="s">
        <v>2737</v>
      </c>
      <c r="E2106">
        <v>104</v>
      </c>
      <c r="F2106">
        <v>3.59</v>
      </c>
      <c r="G2106">
        <v>3.93</v>
      </c>
      <c r="H2106">
        <v>3.15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11">
        <v>43698.600474537037</v>
      </c>
      <c r="B2107" t="s">
        <v>2407</v>
      </c>
      <c r="C2107" t="s">
        <v>2737</v>
      </c>
      <c r="E2107">
        <v>104</v>
      </c>
      <c r="F2107">
        <v>3.59</v>
      </c>
      <c r="G2107">
        <v>3.93</v>
      </c>
      <c r="H2107">
        <v>3.15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11">
        <v>43698.600474537037</v>
      </c>
      <c r="B2108" t="s">
        <v>2407</v>
      </c>
      <c r="C2108" t="s">
        <v>2737</v>
      </c>
      <c r="E2108">
        <v>105</v>
      </c>
      <c r="F2108">
        <v>3.59</v>
      </c>
      <c r="G2108">
        <v>3.93</v>
      </c>
      <c r="H2108">
        <v>3.15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11">
        <v>43698.600474537037</v>
      </c>
      <c r="B2109" t="s">
        <v>2407</v>
      </c>
      <c r="C2109" t="s">
        <v>2737</v>
      </c>
      <c r="E2109">
        <v>105</v>
      </c>
      <c r="F2109">
        <v>3.59</v>
      </c>
      <c r="G2109">
        <v>3.93</v>
      </c>
      <c r="H2109">
        <v>3.15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11">
        <v>43698.600474537037</v>
      </c>
      <c r="B2110" t="s">
        <v>2407</v>
      </c>
      <c r="C2110" t="s">
        <v>2737</v>
      </c>
      <c r="E2110">
        <v>105</v>
      </c>
      <c r="F2110">
        <v>3.59</v>
      </c>
      <c r="G2110">
        <v>3.93</v>
      </c>
      <c r="H2110">
        <v>3.15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11">
        <v>43698.600474537037</v>
      </c>
      <c r="B2111" t="s">
        <v>2407</v>
      </c>
      <c r="C2111" t="s">
        <v>2737</v>
      </c>
      <c r="E2111">
        <v>109</v>
      </c>
      <c r="F2111">
        <v>3.59</v>
      </c>
      <c r="G2111">
        <v>3.93</v>
      </c>
      <c r="H2111">
        <v>3.15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11">
        <v>43698.600474537037</v>
      </c>
      <c r="B2112" t="s">
        <v>2407</v>
      </c>
      <c r="C2112" t="s">
        <v>2737</v>
      </c>
      <c r="E2112">
        <v>109</v>
      </c>
      <c r="F2112">
        <v>3.59</v>
      </c>
      <c r="G2112">
        <v>3.93</v>
      </c>
      <c r="H2112">
        <v>3.15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11">
        <v>43698.600474537037</v>
      </c>
      <c r="B2113" t="s">
        <v>2407</v>
      </c>
      <c r="C2113" t="s">
        <v>2744</v>
      </c>
      <c r="E2113">
        <v>112</v>
      </c>
      <c r="F2113">
        <v>3.59</v>
      </c>
      <c r="G2113">
        <v>3.93</v>
      </c>
      <c r="H2113">
        <v>3.15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11">
        <v>43698.600474537037</v>
      </c>
      <c r="B2114" t="s">
        <v>2407</v>
      </c>
      <c r="C2114" t="s">
        <v>2744</v>
      </c>
      <c r="E2114">
        <v>112</v>
      </c>
      <c r="F2114">
        <v>3.59</v>
      </c>
      <c r="G2114">
        <v>3.93</v>
      </c>
      <c r="H2114">
        <v>3.15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11">
        <v>43698.600474537037</v>
      </c>
      <c r="B2115" t="s">
        <v>2407</v>
      </c>
      <c r="C2115" t="s">
        <v>2744</v>
      </c>
      <c r="E2115">
        <v>112</v>
      </c>
      <c r="F2115">
        <v>3.59</v>
      </c>
      <c r="G2115">
        <v>3.93</v>
      </c>
      <c r="H2115">
        <v>3.15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11">
        <v>43698.600474537037</v>
      </c>
      <c r="B2116" t="s">
        <v>2407</v>
      </c>
      <c r="C2116" t="s">
        <v>2383</v>
      </c>
      <c r="D2116" t="s">
        <v>2384</v>
      </c>
      <c r="E2116" s="12" t="s">
        <v>2385</v>
      </c>
      <c r="F2116">
        <v>3.59</v>
      </c>
      <c r="G2116">
        <v>3.93</v>
      </c>
      <c r="H2116">
        <v>3.15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11">
        <v>43698.600474537037</v>
      </c>
      <c r="B2117" t="s">
        <v>2407</v>
      </c>
      <c r="C2117" t="s">
        <v>2383</v>
      </c>
      <c r="D2117" t="s">
        <v>2386</v>
      </c>
      <c r="E2117" t="s">
        <v>2750</v>
      </c>
      <c r="F2117">
        <v>3.59</v>
      </c>
      <c r="G2117">
        <v>3.93</v>
      </c>
      <c r="H2117">
        <v>3.15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11">
        <v>43698.600474537037</v>
      </c>
      <c r="B2118" t="s">
        <v>2407</v>
      </c>
      <c r="C2118" t="s">
        <v>2383</v>
      </c>
      <c r="D2118" t="s">
        <v>2387</v>
      </c>
      <c r="E2118" t="s">
        <v>2766</v>
      </c>
      <c r="F2118">
        <v>3.59</v>
      </c>
      <c r="G2118">
        <v>3.93</v>
      </c>
      <c r="H2118">
        <v>3.15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11">
        <v>43698.600474537037</v>
      </c>
      <c r="B2119" t="s">
        <v>2407</v>
      </c>
      <c r="C2119" t="s">
        <v>2383</v>
      </c>
      <c r="D2119" t="s">
        <v>2381</v>
      </c>
      <c r="E2119" t="s">
        <v>2775</v>
      </c>
      <c r="F2119">
        <v>3.59</v>
      </c>
      <c r="G2119">
        <v>3.93</v>
      </c>
      <c r="H2119">
        <v>3.15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11">
        <v>43698.600474537037</v>
      </c>
      <c r="B2120" t="s">
        <v>2407</v>
      </c>
      <c r="C2120" t="s">
        <v>2383</v>
      </c>
      <c r="D2120" t="s">
        <v>2388</v>
      </c>
      <c r="E2120" t="s">
        <v>2776</v>
      </c>
      <c r="F2120">
        <v>3.59</v>
      </c>
      <c r="G2120">
        <v>3.93</v>
      </c>
      <c r="H2120">
        <v>3.15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11">
        <v>43698.600474537037</v>
      </c>
      <c r="B2121" t="s">
        <v>2407</v>
      </c>
      <c r="C2121" t="s">
        <v>2383</v>
      </c>
      <c r="D2121" t="s">
        <v>2389</v>
      </c>
      <c r="E2121" s="12" t="s">
        <v>2385</v>
      </c>
      <c r="F2121">
        <v>3.59</v>
      </c>
      <c r="G2121">
        <v>3.93</v>
      </c>
      <c r="H2121">
        <v>3.15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11">
        <v>43698.600486111114</v>
      </c>
      <c r="B2122" t="s">
        <v>2407</v>
      </c>
      <c r="C2122" t="s">
        <v>2736</v>
      </c>
      <c r="E2122" t="s">
        <v>2378</v>
      </c>
      <c r="F2122">
        <v>3.59</v>
      </c>
      <c r="G2122">
        <v>3.93</v>
      </c>
      <c r="H2122">
        <v>3.15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  <row r="2123" spans="1:15" x14ac:dyDescent="0.25">
      <c r="A2123" s="11">
        <v>43699.674224537041</v>
      </c>
      <c r="B2123" t="s">
        <v>2407</v>
      </c>
      <c r="C2123" t="s">
        <v>2383</v>
      </c>
      <c r="D2123" t="s">
        <v>2382</v>
      </c>
      <c r="E2123" t="s">
        <v>2379</v>
      </c>
      <c r="F2123">
        <v>3.61</v>
      </c>
      <c r="G2123">
        <v>3.94</v>
      </c>
      <c r="H2123">
        <v>3.15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0</v>
      </c>
    </row>
    <row r="2124" spans="1:15" x14ac:dyDescent="0.25">
      <c r="A2124" s="11">
        <v>43699.674247685187</v>
      </c>
      <c r="B2124" t="s">
        <v>2407</v>
      </c>
      <c r="C2124" t="s">
        <v>2733</v>
      </c>
      <c r="D2124" t="s">
        <v>2390</v>
      </c>
      <c r="F2124">
        <v>3.61</v>
      </c>
      <c r="G2124">
        <v>3.94</v>
      </c>
      <c r="H2124">
        <v>3.15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0</v>
      </c>
    </row>
    <row r="2125" spans="1:15" x14ac:dyDescent="0.25">
      <c r="A2125" s="11">
        <v>43699.674247685187</v>
      </c>
      <c r="B2125" t="s">
        <v>2407</v>
      </c>
      <c r="C2125" t="s">
        <v>2734</v>
      </c>
      <c r="D2125" t="s">
        <v>2390</v>
      </c>
      <c r="F2125">
        <v>3.61</v>
      </c>
      <c r="G2125">
        <v>3.94</v>
      </c>
      <c r="H2125">
        <v>3.15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0</v>
      </c>
    </row>
    <row r="2126" spans="1:15" x14ac:dyDescent="0.25">
      <c r="A2126" s="11">
        <v>43699.674247685187</v>
      </c>
      <c r="B2126" t="s">
        <v>2407</v>
      </c>
      <c r="C2126" t="s">
        <v>2777</v>
      </c>
      <c r="D2126" t="s">
        <v>2390</v>
      </c>
      <c r="F2126">
        <v>3.61</v>
      </c>
      <c r="G2126">
        <v>3.94</v>
      </c>
      <c r="H2126">
        <v>3.15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0</v>
      </c>
    </row>
    <row r="2127" spans="1:15" x14ac:dyDescent="0.25">
      <c r="A2127" s="11">
        <v>43699.674247685187</v>
      </c>
      <c r="B2127" t="s">
        <v>2407</v>
      </c>
      <c r="C2127" t="s">
        <v>2778</v>
      </c>
      <c r="D2127" t="s">
        <v>2390</v>
      </c>
      <c r="F2127">
        <v>3.61</v>
      </c>
      <c r="G2127">
        <v>3.94</v>
      </c>
      <c r="H2127">
        <v>3.15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0</v>
      </c>
    </row>
    <row r="2128" spans="1:15" x14ac:dyDescent="0.25">
      <c r="A2128" s="11">
        <v>43699.674259259256</v>
      </c>
      <c r="B2128" t="s">
        <v>2407</v>
      </c>
      <c r="C2128" t="s">
        <v>2779</v>
      </c>
      <c r="D2128" t="s">
        <v>2382</v>
      </c>
      <c r="E2128" t="s">
        <v>2379</v>
      </c>
      <c r="F2128">
        <v>3.61</v>
      </c>
      <c r="G2128">
        <v>3.94</v>
      </c>
      <c r="H2128">
        <v>3.15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0</v>
      </c>
    </row>
    <row r="2129" spans="1:15" x14ac:dyDescent="0.25">
      <c r="A2129" s="11">
        <v>43699.674398148149</v>
      </c>
      <c r="B2129" t="s">
        <v>2407</v>
      </c>
      <c r="C2129" t="s">
        <v>2733</v>
      </c>
      <c r="D2129" t="s">
        <v>2390</v>
      </c>
      <c r="F2129">
        <v>3.61</v>
      </c>
      <c r="G2129">
        <v>3.94</v>
      </c>
      <c r="H2129">
        <v>3.15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0</v>
      </c>
    </row>
    <row r="2130" spans="1:15" x14ac:dyDescent="0.25">
      <c r="A2130" s="11">
        <v>43699.674398148149</v>
      </c>
      <c r="B2130" t="s">
        <v>2407</v>
      </c>
      <c r="C2130" t="s">
        <v>2734</v>
      </c>
      <c r="D2130" t="s">
        <v>2390</v>
      </c>
      <c r="F2130">
        <v>3.61</v>
      </c>
      <c r="G2130">
        <v>3.94</v>
      </c>
      <c r="H2130">
        <v>3.15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0</v>
      </c>
    </row>
    <row r="2131" spans="1:15" x14ac:dyDescent="0.25">
      <c r="A2131" s="11">
        <v>43699.674398148149</v>
      </c>
      <c r="B2131" t="s">
        <v>2407</v>
      </c>
      <c r="C2131" t="s">
        <v>2777</v>
      </c>
      <c r="D2131" t="s">
        <v>2390</v>
      </c>
      <c r="F2131">
        <v>3.61</v>
      </c>
      <c r="G2131">
        <v>3.94</v>
      </c>
      <c r="H2131">
        <v>3.15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0</v>
      </c>
    </row>
    <row r="2132" spans="1:15" x14ac:dyDescent="0.25">
      <c r="A2132" s="11">
        <v>43699.674398148149</v>
      </c>
      <c r="B2132" t="s">
        <v>2407</v>
      </c>
      <c r="C2132" t="s">
        <v>2778</v>
      </c>
      <c r="D2132" t="s">
        <v>2390</v>
      </c>
      <c r="F2132">
        <v>3.61</v>
      </c>
      <c r="G2132">
        <v>3.94</v>
      </c>
      <c r="H2132">
        <v>3.15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0</v>
      </c>
    </row>
    <row r="2133" spans="1:15" x14ac:dyDescent="0.25">
      <c r="A2133" s="11">
        <v>43699.674409722225</v>
      </c>
      <c r="B2133" t="s">
        <v>2407</v>
      </c>
      <c r="C2133" t="s">
        <v>2737</v>
      </c>
      <c r="E2133">
        <v>101</v>
      </c>
      <c r="F2133">
        <v>3.61</v>
      </c>
      <c r="G2133">
        <v>3.94</v>
      </c>
      <c r="H2133">
        <v>3.15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0</v>
      </c>
    </row>
    <row r="2134" spans="1:15" x14ac:dyDescent="0.25">
      <c r="A2134" s="11">
        <v>43699.674409722225</v>
      </c>
      <c r="B2134" t="s">
        <v>2407</v>
      </c>
      <c r="C2134" t="s">
        <v>2738</v>
      </c>
      <c r="D2134" t="s">
        <v>2390</v>
      </c>
      <c r="E2134" t="s">
        <v>2739</v>
      </c>
      <c r="F2134">
        <v>3.61</v>
      </c>
      <c r="G2134">
        <v>3.94</v>
      </c>
      <c r="H2134">
        <v>3.15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0</v>
      </c>
    </row>
    <row r="2135" spans="1:15" x14ac:dyDescent="0.25">
      <c r="A2135" s="11">
        <v>43699.674409722225</v>
      </c>
      <c r="B2135" t="s">
        <v>2407</v>
      </c>
      <c r="C2135" t="s">
        <v>2737</v>
      </c>
      <c r="E2135">
        <v>104</v>
      </c>
      <c r="F2135">
        <v>3.61</v>
      </c>
      <c r="G2135">
        <v>3.94</v>
      </c>
      <c r="H2135">
        <v>3.15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0</v>
      </c>
    </row>
    <row r="2136" spans="1:15" x14ac:dyDescent="0.25">
      <c r="A2136" s="11">
        <v>43699.674409722225</v>
      </c>
      <c r="B2136" t="s">
        <v>2407</v>
      </c>
      <c r="C2136" t="s">
        <v>2737</v>
      </c>
      <c r="E2136">
        <v>104</v>
      </c>
      <c r="F2136">
        <v>3.61</v>
      </c>
      <c r="G2136">
        <v>3.94</v>
      </c>
      <c r="H2136">
        <v>3.15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0</v>
      </c>
    </row>
    <row r="2137" spans="1:15" x14ac:dyDescent="0.25">
      <c r="A2137" s="11">
        <v>43699.674409722225</v>
      </c>
      <c r="B2137" t="s">
        <v>2407</v>
      </c>
      <c r="C2137" t="s">
        <v>2740</v>
      </c>
      <c r="D2137" t="s">
        <v>2390</v>
      </c>
      <c r="E2137" t="s">
        <v>2780</v>
      </c>
      <c r="F2137">
        <v>3.61</v>
      </c>
      <c r="G2137">
        <v>3.94</v>
      </c>
      <c r="H2137">
        <v>3.15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0</v>
      </c>
    </row>
    <row r="2138" spans="1:15" x14ac:dyDescent="0.25">
      <c r="A2138" s="11">
        <v>43699.674409722225</v>
      </c>
      <c r="B2138" t="s">
        <v>2407</v>
      </c>
      <c r="C2138" t="s">
        <v>2737</v>
      </c>
      <c r="E2138">
        <v>109</v>
      </c>
      <c r="F2138">
        <v>3.61</v>
      </c>
      <c r="G2138">
        <v>3.94</v>
      </c>
      <c r="H2138">
        <v>3.15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0</v>
      </c>
    </row>
    <row r="2139" spans="1:15" x14ac:dyDescent="0.25">
      <c r="A2139" s="11">
        <v>43699.674409722225</v>
      </c>
      <c r="B2139" t="s">
        <v>2407</v>
      </c>
      <c r="C2139" t="s">
        <v>2737</v>
      </c>
      <c r="E2139">
        <v>109</v>
      </c>
      <c r="F2139">
        <v>3.61</v>
      </c>
      <c r="G2139">
        <v>3.94</v>
      </c>
      <c r="H2139">
        <v>3.15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0</v>
      </c>
    </row>
    <row r="2140" spans="1:15" x14ac:dyDescent="0.25">
      <c r="A2140" s="11">
        <v>43699.674409722225</v>
      </c>
      <c r="B2140" t="s">
        <v>2407</v>
      </c>
      <c r="C2140" t="s">
        <v>2737</v>
      </c>
      <c r="E2140">
        <v>102</v>
      </c>
      <c r="F2140">
        <v>3.61</v>
      </c>
      <c r="G2140">
        <v>3.94</v>
      </c>
      <c r="H2140">
        <v>3.15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0</v>
      </c>
    </row>
    <row r="2141" spans="1:15" x14ac:dyDescent="0.25">
      <c r="A2141" s="11">
        <v>43699.674409722225</v>
      </c>
      <c r="B2141" t="s">
        <v>2407</v>
      </c>
      <c r="C2141" t="s">
        <v>2744</v>
      </c>
      <c r="E2141">
        <v>103</v>
      </c>
      <c r="F2141">
        <v>3.61</v>
      </c>
      <c r="G2141">
        <v>3.94</v>
      </c>
      <c r="H2141">
        <v>3.15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0</v>
      </c>
    </row>
    <row r="2142" spans="1:15" x14ac:dyDescent="0.25">
      <c r="A2142" s="11">
        <v>43699.674409722225</v>
      </c>
      <c r="B2142" t="s">
        <v>2407</v>
      </c>
      <c r="C2142" t="s">
        <v>2744</v>
      </c>
      <c r="E2142">
        <v>112</v>
      </c>
      <c r="F2142">
        <v>3.61</v>
      </c>
      <c r="G2142">
        <v>3.94</v>
      </c>
      <c r="H2142">
        <v>3.15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0</v>
      </c>
    </row>
    <row r="2143" spans="1:15" x14ac:dyDescent="0.25">
      <c r="A2143" s="11">
        <v>43699.674409722225</v>
      </c>
      <c r="B2143" t="s">
        <v>2407</v>
      </c>
      <c r="C2143" t="s">
        <v>2744</v>
      </c>
      <c r="E2143">
        <v>112</v>
      </c>
      <c r="F2143">
        <v>3.61</v>
      </c>
      <c r="G2143">
        <v>3.94</v>
      </c>
      <c r="H2143">
        <v>3.15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0</v>
      </c>
    </row>
    <row r="2144" spans="1:15" x14ac:dyDescent="0.25">
      <c r="A2144" s="11">
        <v>43699.674409722225</v>
      </c>
      <c r="B2144" t="s">
        <v>2407</v>
      </c>
      <c r="C2144" t="s">
        <v>2744</v>
      </c>
      <c r="E2144">
        <v>112</v>
      </c>
      <c r="F2144">
        <v>3.61</v>
      </c>
      <c r="G2144">
        <v>3.94</v>
      </c>
      <c r="H2144">
        <v>3.15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0</v>
      </c>
    </row>
    <row r="2145" spans="1:15" x14ac:dyDescent="0.25">
      <c r="A2145" s="11">
        <v>43699.674409722225</v>
      </c>
      <c r="B2145" t="s">
        <v>2407</v>
      </c>
      <c r="C2145" t="s">
        <v>2383</v>
      </c>
      <c r="D2145" t="s">
        <v>2384</v>
      </c>
      <c r="E2145" s="12" t="s">
        <v>2385</v>
      </c>
      <c r="F2145">
        <v>3.61</v>
      </c>
      <c r="G2145">
        <v>3.94</v>
      </c>
      <c r="H2145">
        <v>3.15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0</v>
      </c>
    </row>
    <row r="2146" spans="1:15" x14ac:dyDescent="0.25">
      <c r="A2146" s="11">
        <v>43699.674409722225</v>
      </c>
      <c r="B2146" t="s">
        <v>2407</v>
      </c>
      <c r="C2146" t="s">
        <v>2383</v>
      </c>
      <c r="D2146" t="s">
        <v>2386</v>
      </c>
      <c r="E2146">
        <v>444</v>
      </c>
      <c r="F2146">
        <v>3.61</v>
      </c>
      <c r="G2146">
        <v>3.94</v>
      </c>
      <c r="H2146">
        <v>3.15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0</v>
      </c>
    </row>
    <row r="2147" spans="1:15" x14ac:dyDescent="0.25">
      <c r="A2147" s="11">
        <v>43699.674409722225</v>
      </c>
      <c r="B2147" t="s">
        <v>2407</v>
      </c>
      <c r="C2147" t="s">
        <v>2383</v>
      </c>
      <c r="D2147" t="s">
        <v>2387</v>
      </c>
      <c r="E2147" t="s">
        <v>2781</v>
      </c>
      <c r="F2147">
        <v>3.61</v>
      </c>
      <c r="G2147">
        <v>3.94</v>
      </c>
      <c r="H2147">
        <v>3.15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0</v>
      </c>
    </row>
    <row r="2148" spans="1:15" x14ac:dyDescent="0.25">
      <c r="A2148" s="11">
        <v>43699.674409722225</v>
      </c>
      <c r="B2148" t="s">
        <v>2407</v>
      </c>
      <c r="C2148" t="s">
        <v>2383</v>
      </c>
      <c r="D2148" t="s">
        <v>2381</v>
      </c>
      <c r="E2148" t="s">
        <v>2782</v>
      </c>
      <c r="F2148">
        <v>3.61</v>
      </c>
      <c r="G2148">
        <v>3.94</v>
      </c>
      <c r="H2148">
        <v>3.15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0</v>
      </c>
    </row>
    <row r="2149" spans="1:15" x14ac:dyDescent="0.25">
      <c r="A2149" s="11">
        <v>43699.674409722225</v>
      </c>
      <c r="B2149" t="s">
        <v>2407</v>
      </c>
      <c r="C2149" t="s">
        <v>2383</v>
      </c>
      <c r="D2149" t="s">
        <v>2388</v>
      </c>
      <c r="E2149" t="s">
        <v>2783</v>
      </c>
      <c r="F2149">
        <v>3.61</v>
      </c>
      <c r="G2149">
        <v>3.94</v>
      </c>
      <c r="H2149">
        <v>3.15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0</v>
      </c>
    </row>
    <row r="2150" spans="1:15" x14ac:dyDescent="0.25">
      <c r="A2150" s="11">
        <v>43699.674409722225</v>
      </c>
      <c r="B2150" t="s">
        <v>2407</v>
      </c>
      <c r="C2150" t="s">
        <v>2383</v>
      </c>
      <c r="D2150" t="s">
        <v>2389</v>
      </c>
      <c r="E2150" s="12" t="s">
        <v>2385</v>
      </c>
      <c r="F2150">
        <v>3.61</v>
      </c>
      <c r="G2150">
        <v>3.94</v>
      </c>
      <c r="H2150">
        <v>3.15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0</v>
      </c>
    </row>
    <row r="2151" spans="1:15" x14ac:dyDescent="0.25">
      <c r="A2151" s="11">
        <v>43699.674421296295</v>
      </c>
      <c r="B2151" t="s">
        <v>2407</v>
      </c>
      <c r="C2151" t="s">
        <v>2779</v>
      </c>
      <c r="D2151" t="s">
        <v>2382</v>
      </c>
      <c r="E2151" t="s">
        <v>2378</v>
      </c>
      <c r="F2151">
        <v>3.61</v>
      </c>
      <c r="G2151">
        <v>3.94</v>
      </c>
      <c r="H2151">
        <v>3.15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0</v>
      </c>
    </row>
    <row r="2152" spans="1:15" x14ac:dyDescent="0.25">
      <c r="A2152" s="11">
        <v>43699.674479166664</v>
      </c>
      <c r="B2152" t="s">
        <v>2407</v>
      </c>
      <c r="C2152" t="s">
        <v>2733</v>
      </c>
      <c r="D2152" t="s">
        <v>2390</v>
      </c>
      <c r="F2152">
        <v>3.61</v>
      </c>
      <c r="G2152">
        <v>3.94</v>
      </c>
      <c r="H2152">
        <v>3.15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0</v>
      </c>
    </row>
    <row r="2153" spans="1:15" x14ac:dyDescent="0.25">
      <c r="A2153" s="11">
        <v>43699.674479166664</v>
      </c>
      <c r="B2153" t="s">
        <v>2407</v>
      </c>
      <c r="C2153" t="s">
        <v>2734</v>
      </c>
      <c r="D2153" t="s">
        <v>2390</v>
      </c>
      <c r="F2153">
        <v>3.61</v>
      </c>
      <c r="G2153">
        <v>3.94</v>
      </c>
      <c r="H2153">
        <v>3.15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0</v>
      </c>
    </row>
    <row r="2154" spans="1:15" x14ac:dyDescent="0.25">
      <c r="A2154" s="11">
        <v>43699.674479166664</v>
      </c>
      <c r="B2154" t="s">
        <v>2407</v>
      </c>
      <c r="C2154" t="s">
        <v>2777</v>
      </c>
      <c r="D2154" t="s">
        <v>2390</v>
      </c>
      <c r="F2154">
        <v>3.61</v>
      </c>
      <c r="G2154">
        <v>3.94</v>
      </c>
      <c r="H2154">
        <v>3.15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0</v>
      </c>
    </row>
    <row r="2155" spans="1:15" x14ac:dyDescent="0.25">
      <c r="A2155" s="11">
        <v>43699.674479166664</v>
      </c>
      <c r="B2155" t="s">
        <v>2407</v>
      </c>
      <c r="C2155" t="s">
        <v>2778</v>
      </c>
      <c r="D2155" t="s">
        <v>2390</v>
      </c>
      <c r="F2155">
        <v>3.61</v>
      </c>
      <c r="G2155">
        <v>3.94</v>
      </c>
      <c r="H2155">
        <v>3.15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0</v>
      </c>
    </row>
    <row r="2156" spans="1:15" x14ac:dyDescent="0.25">
      <c r="A2156" s="11">
        <v>43699.674490740741</v>
      </c>
      <c r="B2156" t="s">
        <v>2407</v>
      </c>
      <c r="C2156" t="s">
        <v>2786</v>
      </c>
      <c r="D2156" t="s">
        <v>2787</v>
      </c>
      <c r="E2156" t="s">
        <v>2378</v>
      </c>
      <c r="F2156">
        <v>3.61</v>
      </c>
      <c r="G2156">
        <v>3.94</v>
      </c>
      <c r="H2156">
        <v>3.15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0</v>
      </c>
    </row>
    <row r="2157" spans="1:15" x14ac:dyDescent="0.25">
      <c r="A2157" s="11">
        <v>43699.70821759259</v>
      </c>
      <c r="B2157" t="s">
        <v>2407</v>
      </c>
      <c r="C2157" t="s">
        <v>2733</v>
      </c>
      <c r="D2157" t="s">
        <v>2390</v>
      </c>
      <c r="F2157">
        <v>3.62</v>
      </c>
      <c r="G2157">
        <v>3.94</v>
      </c>
      <c r="H2157">
        <v>3.15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0</v>
      </c>
    </row>
    <row r="2158" spans="1:15" x14ac:dyDescent="0.25">
      <c r="A2158" s="11">
        <v>43699.708414351851</v>
      </c>
      <c r="B2158" t="s">
        <v>2407</v>
      </c>
      <c r="C2158" t="s">
        <v>2734</v>
      </c>
      <c r="D2158" t="s">
        <v>2390</v>
      </c>
      <c r="F2158">
        <v>3.62</v>
      </c>
      <c r="G2158">
        <v>3.94</v>
      </c>
      <c r="H2158">
        <v>3.15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0</v>
      </c>
    </row>
    <row r="2159" spans="1:15" x14ac:dyDescent="0.25">
      <c r="A2159" s="11">
        <v>43699.708414351851</v>
      </c>
      <c r="B2159" t="s">
        <v>2407</v>
      </c>
      <c r="C2159" t="s">
        <v>2777</v>
      </c>
      <c r="D2159" t="s">
        <v>2390</v>
      </c>
      <c r="F2159">
        <v>3.62</v>
      </c>
      <c r="G2159">
        <v>3.94</v>
      </c>
      <c r="H2159">
        <v>3.15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0</v>
      </c>
    </row>
    <row r="2160" spans="1:15" x14ac:dyDescent="0.25">
      <c r="A2160" s="11">
        <v>43699.708414351851</v>
      </c>
      <c r="B2160" t="s">
        <v>2407</v>
      </c>
      <c r="C2160" t="s">
        <v>2778</v>
      </c>
      <c r="D2160" t="s">
        <v>2390</v>
      </c>
      <c r="F2160">
        <v>3.62</v>
      </c>
      <c r="G2160">
        <v>3.94</v>
      </c>
      <c r="H2160">
        <v>3.15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0</v>
      </c>
    </row>
    <row r="2161" spans="1:15" x14ac:dyDescent="0.25">
      <c r="A2161" s="11">
        <v>43699.708784722221</v>
      </c>
      <c r="B2161" t="s">
        <v>2407</v>
      </c>
      <c r="C2161" t="s">
        <v>2733</v>
      </c>
      <c r="D2161" t="s">
        <v>2390</v>
      </c>
      <c r="F2161">
        <v>3.62</v>
      </c>
      <c r="G2161">
        <v>3.94</v>
      </c>
      <c r="H2161">
        <v>3.15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0</v>
      </c>
    </row>
    <row r="2162" spans="1:15" x14ac:dyDescent="0.25">
      <c r="A2162" s="11">
        <v>43699.708807870367</v>
      </c>
      <c r="B2162" t="s">
        <v>2407</v>
      </c>
      <c r="C2162" t="s">
        <v>2734</v>
      </c>
      <c r="D2162" t="s">
        <v>2390</v>
      </c>
      <c r="F2162">
        <v>3.62</v>
      </c>
      <c r="G2162">
        <v>3.94</v>
      </c>
      <c r="H2162">
        <v>3.15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0</v>
      </c>
    </row>
    <row r="2163" spans="1:15" x14ac:dyDescent="0.25">
      <c r="A2163" s="11">
        <v>43699.708807870367</v>
      </c>
      <c r="B2163" t="s">
        <v>2407</v>
      </c>
      <c r="C2163" t="s">
        <v>2777</v>
      </c>
      <c r="D2163" t="s">
        <v>2390</v>
      </c>
      <c r="F2163">
        <v>3.62</v>
      </c>
      <c r="G2163">
        <v>3.94</v>
      </c>
      <c r="H2163">
        <v>3.15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0</v>
      </c>
    </row>
    <row r="2164" spans="1:15" x14ac:dyDescent="0.25">
      <c r="A2164" s="11">
        <v>43699.708807870367</v>
      </c>
      <c r="B2164" t="s">
        <v>2407</v>
      </c>
      <c r="C2164" t="s">
        <v>2778</v>
      </c>
      <c r="D2164" t="s">
        <v>2390</v>
      </c>
      <c r="F2164">
        <v>3.62</v>
      </c>
      <c r="G2164">
        <v>3.94</v>
      </c>
      <c r="H2164">
        <v>3.15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0</v>
      </c>
    </row>
    <row r="2165" spans="1:15" x14ac:dyDescent="0.25">
      <c r="A2165" s="11">
        <v>43699.708819444444</v>
      </c>
      <c r="B2165" t="s">
        <v>2407</v>
      </c>
      <c r="C2165" t="s">
        <v>2786</v>
      </c>
      <c r="E2165" t="s">
        <v>2378</v>
      </c>
      <c r="F2165">
        <v>3.62</v>
      </c>
      <c r="G2165">
        <v>3.94</v>
      </c>
      <c r="H2165">
        <v>3.15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0</v>
      </c>
    </row>
    <row r="2166" spans="1:15" x14ac:dyDescent="0.25">
      <c r="A2166" s="11">
        <v>43704.011030092595</v>
      </c>
      <c r="B2166" t="s">
        <v>2401</v>
      </c>
      <c r="C2166" t="s">
        <v>2786</v>
      </c>
      <c r="E2166" t="s">
        <v>2378</v>
      </c>
      <c r="F2166">
        <v>3.62</v>
      </c>
      <c r="G2166">
        <v>3.94</v>
      </c>
      <c r="H2166">
        <v>3.15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0</v>
      </c>
    </row>
    <row r="2167" spans="1:15" x14ac:dyDescent="0.25">
      <c r="A2167" s="11">
        <v>43704.011157407411</v>
      </c>
      <c r="B2167" t="s">
        <v>2401</v>
      </c>
      <c r="C2167" t="s">
        <v>2786</v>
      </c>
      <c r="E2167" t="s">
        <v>2378</v>
      </c>
      <c r="F2167">
        <v>3.62</v>
      </c>
      <c r="G2167">
        <v>3.94</v>
      </c>
      <c r="H2167">
        <v>3.15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0</v>
      </c>
    </row>
    <row r="2168" spans="1:15" x14ac:dyDescent="0.25">
      <c r="A2168" s="11">
        <v>43704.011319444442</v>
      </c>
      <c r="B2168" t="s">
        <v>2401</v>
      </c>
      <c r="C2168" t="s">
        <v>2786</v>
      </c>
      <c r="E2168" t="s">
        <v>2378</v>
      </c>
      <c r="F2168">
        <v>3.62</v>
      </c>
      <c r="G2168">
        <v>3.94</v>
      </c>
      <c r="H2168">
        <v>3.15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0</v>
      </c>
    </row>
    <row r="2169" spans="1:15" x14ac:dyDescent="0.25">
      <c r="A2169" s="11">
        <v>43704.01153935185</v>
      </c>
      <c r="B2169" t="s">
        <v>2401</v>
      </c>
      <c r="C2169" t="s">
        <v>2786</v>
      </c>
      <c r="E2169" t="s">
        <v>2378</v>
      </c>
      <c r="F2169">
        <v>3.62</v>
      </c>
      <c r="G2169">
        <v>3.94</v>
      </c>
      <c r="H2169">
        <v>3.15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0</v>
      </c>
    </row>
    <row r="2170" spans="1:15" x14ac:dyDescent="0.25">
      <c r="A2170" s="11">
        <v>43704.014675925922</v>
      </c>
      <c r="B2170" t="s">
        <v>2401</v>
      </c>
      <c r="C2170" t="s">
        <v>2786</v>
      </c>
      <c r="E2170" t="s">
        <v>2378</v>
      </c>
      <c r="F2170">
        <v>3.62</v>
      </c>
      <c r="G2170">
        <v>3.94</v>
      </c>
      <c r="H2170">
        <v>3.15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0</v>
      </c>
    </row>
    <row r="2171" spans="1:15" x14ac:dyDescent="0.25">
      <c r="A2171" s="11">
        <v>43704.017557870371</v>
      </c>
      <c r="B2171" t="s">
        <v>2401</v>
      </c>
      <c r="C2171" t="s">
        <v>2786</v>
      </c>
      <c r="E2171" t="s">
        <v>2378</v>
      </c>
      <c r="F2171">
        <v>3.62</v>
      </c>
      <c r="G2171">
        <v>3.94</v>
      </c>
      <c r="H2171">
        <v>3.15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0</v>
      </c>
    </row>
    <row r="2172" spans="1:15" x14ac:dyDescent="0.25">
      <c r="A2172" s="11">
        <v>43704.027175925927</v>
      </c>
      <c r="B2172" t="s">
        <v>2401</v>
      </c>
      <c r="C2172" t="s">
        <v>2786</v>
      </c>
      <c r="E2172" t="s">
        <v>2378</v>
      </c>
      <c r="F2172">
        <v>3.62</v>
      </c>
      <c r="G2172">
        <v>3.94</v>
      </c>
      <c r="H2172">
        <v>3.15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0</v>
      </c>
    </row>
    <row r="2173" spans="1:15" x14ac:dyDescent="0.25">
      <c r="A2173" s="11">
        <v>43704.028657407405</v>
      </c>
      <c r="B2173" t="s">
        <v>2401</v>
      </c>
      <c r="C2173" t="s">
        <v>2786</v>
      </c>
      <c r="E2173" t="s">
        <v>2378</v>
      </c>
      <c r="F2173">
        <v>3.62</v>
      </c>
      <c r="G2173">
        <v>3.94</v>
      </c>
      <c r="H2173">
        <v>3.15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0</v>
      </c>
    </row>
    <row r="2174" spans="1:15" x14ac:dyDescent="0.25">
      <c r="A2174" s="11">
        <v>43704.028854166667</v>
      </c>
      <c r="B2174" t="s">
        <v>2401</v>
      </c>
      <c r="C2174" t="s">
        <v>2786</v>
      </c>
      <c r="E2174" t="s">
        <v>2378</v>
      </c>
      <c r="F2174">
        <v>3.62</v>
      </c>
      <c r="G2174">
        <v>3.94</v>
      </c>
      <c r="H2174">
        <v>3.15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0</v>
      </c>
    </row>
    <row r="2175" spans="1:15" x14ac:dyDescent="0.25">
      <c r="A2175" s="11">
        <v>43704.037557870368</v>
      </c>
      <c r="B2175" t="s">
        <v>2401</v>
      </c>
      <c r="C2175" t="s">
        <v>2786</v>
      </c>
      <c r="E2175" t="s">
        <v>2378</v>
      </c>
      <c r="F2175">
        <v>3.62</v>
      </c>
      <c r="G2175">
        <v>3.94</v>
      </c>
      <c r="H2175">
        <v>3.15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0</v>
      </c>
    </row>
    <row r="2176" spans="1:15" x14ac:dyDescent="0.25">
      <c r="A2176" s="11">
        <v>43704.040983796294</v>
      </c>
      <c r="B2176" t="s">
        <v>2401</v>
      </c>
      <c r="C2176" t="s">
        <v>2779</v>
      </c>
      <c r="E2176" t="s">
        <v>2379</v>
      </c>
      <c r="F2176">
        <v>3.62</v>
      </c>
      <c r="G2176">
        <v>3.94</v>
      </c>
      <c r="H2176">
        <v>3.15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0</v>
      </c>
    </row>
    <row r="2177" spans="1:15" x14ac:dyDescent="0.25">
      <c r="A2177" s="11">
        <v>43704.041921296295</v>
      </c>
      <c r="B2177" t="s">
        <v>2401</v>
      </c>
      <c r="C2177" t="s">
        <v>2779</v>
      </c>
      <c r="E2177" t="s">
        <v>2379</v>
      </c>
      <c r="F2177">
        <v>3.62</v>
      </c>
      <c r="G2177">
        <v>3.94</v>
      </c>
      <c r="H2177">
        <v>3.15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0</v>
      </c>
    </row>
    <row r="2178" spans="1:15" x14ac:dyDescent="0.25">
      <c r="A2178" s="11">
        <v>43704.044733796298</v>
      </c>
      <c r="B2178" t="s">
        <v>2401</v>
      </c>
      <c r="C2178" t="s">
        <v>2779</v>
      </c>
      <c r="E2178" t="s">
        <v>2379</v>
      </c>
      <c r="F2178">
        <v>3.62</v>
      </c>
      <c r="G2178">
        <v>3.94</v>
      </c>
      <c r="H2178">
        <v>3.15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0</v>
      </c>
    </row>
    <row r="2179" spans="1:15" x14ac:dyDescent="0.25">
      <c r="A2179" s="11">
        <v>43704.045243055552</v>
      </c>
      <c r="B2179" t="s">
        <v>2401</v>
      </c>
      <c r="C2179" t="s">
        <v>2779</v>
      </c>
      <c r="E2179" t="s">
        <v>2379</v>
      </c>
      <c r="F2179">
        <v>3.62</v>
      </c>
      <c r="G2179">
        <v>3.94</v>
      </c>
      <c r="H2179">
        <v>3.15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0</v>
      </c>
    </row>
    <row r="2180" spans="1:15" x14ac:dyDescent="0.25">
      <c r="A2180" s="11">
        <v>43704.045648148145</v>
      </c>
      <c r="B2180" t="s">
        <v>2401</v>
      </c>
      <c r="C2180" t="s">
        <v>2788</v>
      </c>
      <c r="D2180" t="s">
        <v>2390</v>
      </c>
      <c r="E2180">
        <v>-5</v>
      </c>
      <c r="F2180">
        <v>3.62</v>
      </c>
      <c r="G2180">
        <v>3.94</v>
      </c>
      <c r="H2180">
        <v>3.15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0</v>
      </c>
    </row>
    <row r="2181" spans="1:15" x14ac:dyDescent="0.25">
      <c r="A2181" s="11">
        <v>43704.045648148145</v>
      </c>
      <c r="B2181" t="s">
        <v>2401</v>
      </c>
      <c r="C2181" t="s">
        <v>2789</v>
      </c>
      <c r="D2181" t="s">
        <v>2390</v>
      </c>
      <c r="E2181">
        <v>-20</v>
      </c>
      <c r="F2181">
        <v>3.62</v>
      </c>
      <c r="G2181">
        <v>3.94</v>
      </c>
      <c r="H2181">
        <v>3.15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0</v>
      </c>
    </row>
    <row r="2182" spans="1:15" x14ac:dyDescent="0.25">
      <c r="A2182" s="11">
        <v>43704.045648148145</v>
      </c>
      <c r="B2182" t="s">
        <v>2401</v>
      </c>
      <c r="C2182" t="s">
        <v>2383</v>
      </c>
      <c r="D2182" t="s">
        <v>2384</v>
      </c>
      <c r="E2182" s="12" t="s">
        <v>2385</v>
      </c>
      <c r="F2182">
        <v>3.62</v>
      </c>
      <c r="G2182">
        <v>3.94</v>
      </c>
      <c r="H2182">
        <v>3.15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0</v>
      </c>
    </row>
    <row r="2183" spans="1:15" x14ac:dyDescent="0.25">
      <c r="A2183" s="11">
        <v>43704.045648148145</v>
      </c>
      <c r="B2183" t="s">
        <v>2401</v>
      </c>
      <c r="C2183" t="s">
        <v>2383</v>
      </c>
      <c r="D2183" t="s">
        <v>2386</v>
      </c>
      <c r="E2183" t="s">
        <v>2790</v>
      </c>
      <c r="F2183">
        <v>3.62</v>
      </c>
      <c r="G2183">
        <v>3.94</v>
      </c>
      <c r="H2183">
        <v>3.15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0</v>
      </c>
    </row>
    <row r="2184" spans="1:15" x14ac:dyDescent="0.25">
      <c r="A2184" s="11">
        <v>43704.045648148145</v>
      </c>
      <c r="B2184" t="s">
        <v>2401</v>
      </c>
      <c r="C2184" t="s">
        <v>2383</v>
      </c>
      <c r="D2184" t="s">
        <v>2387</v>
      </c>
      <c r="E2184" t="s">
        <v>2791</v>
      </c>
      <c r="F2184">
        <v>3.62</v>
      </c>
      <c r="G2184">
        <v>3.94</v>
      </c>
      <c r="H2184">
        <v>3.15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0</v>
      </c>
    </row>
    <row r="2185" spans="1:15" x14ac:dyDescent="0.25">
      <c r="A2185" s="11">
        <v>43704.045648148145</v>
      </c>
      <c r="B2185" t="s">
        <v>2401</v>
      </c>
      <c r="C2185" t="s">
        <v>2383</v>
      </c>
      <c r="D2185" t="s">
        <v>2381</v>
      </c>
      <c r="E2185" t="s">
        <v>2792</v>
      </c>
      <c r="F2185">
        <v>3.62</v>
      </c>
      <c r="G2185">
        <v>3.94</v>
      </c>
      <c r="H2185">
        <v>3.15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0</v>
      </c>
    </row>
    <row r="2186" spans="1:15" x14ac:dyDescent="0.25">
      <c r="A2186" s="11">
        <v>43704.045648148145</v>
      </c>
      <c r="B2186" t="s">
        <v>2401</v>
      </c>
      <c r="C2186" t="s">
        <v>2383</v>
      </c>
      <c r="D2186" t="s">
        <v>2388</v>
      </c>
      <c r="E2186" t="s">
        <v>2793</v>
      </c>
      <c r="F2186">
        <v>3.62</v>
      </c>
      <c r="G2186">
        <v>3.94</v>
      </c>
      <c r="H2186">
        <v>3.15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0</v>
      </c>
    </row>
    <row r="2187" spans="1:15" x14ac:dyDescent="0.25">
      <c r="A2187" s="11">
        <v>43704.045648148145</v>
      </c>
      <c r="B2187" t="s">
        <v>2401</v>
      </c>
      <c r="C2187" t="s">
        <v>2383</v>
      </c>
      <c r="D2187" t="s">
        <v>2389</v>
      </c>
      <c r="E2187" s="12" t="s">
        <v>2385</v>
      </c>
      <c r="F2187">
        <v>3.62</v>
      </c>
      <c r="G2187">
        <v>3.94</v>
      </c>
      <c r="H2187">
        <v>3.15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0</v>
      </c>
    </row>
    <row r="2188" spans="1:15" x14ac:dyDescent="0.25">
      <c r="A2188" s="11">
        <v>43704.045659722222</v>
      </c>
      <c r="B2188" t="s">
        <v>2401</v>
      </c>
      <c r="C2188" t="s">
        <v>2779</v>
      </c>
      <c r="E2188" t="s">
        <v>2378</v>
      </c>
      <c r="F2188">
        <v>3.62</v>
      </c>
      <c r="G2188">
        <v>3.94</v>
      </c>
      <c r="H2188">
        <v>3.15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0</v>
      </c>
    </row>
    <row r="2189" spans="1:15" x14ac:dyDescent="0.25">
      <c r="A2189" s="11">
        <v>43704.047083333331</v>
      </c>
      <c r="B2189" t="s">
        <v>2401</v>
      </c>
      <c r="C2189" t="s">
        <v>2788</v>
      </c>
      <c r="D2189" t="s">
        <v>2390</v>
      </c>
      <c r="E2189">
        <v>-5</v>
      </c>
      <c r="F2189">
        <v>3.62</v>
      </c>
      <c r="G2189">
        <v>3.94</v>
      </c>
      <c r="H2189">
        <v>3.15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0</v>
      </c>
    </row>
    <row r="2190" spans="1:15" x14ac:dyDescent="0.25">
      <c r="A2190" s="11">
        <v>43704.047083333331</v>
      </c>
      <c r="B2190" t="s">
        <v>2401</v>
      </c>
      <c r="C2190" t="s">
        <v>2789</v>
      </c>
      <c r="D2190" t="s">
        <v>2390</v>
      </c>
      <c r="E2190">
        <v>-20</v>
      </c>
      <c r="F2190">
        <v>3.62</v>
      </c>
      <c r="G2190">
        <v>3.94</v>
      </c>
      <c r="H2190">
        <v>3.15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0</v>
      </c>
    </row>
    <row r="2191" spans="1:15" x14ac:dyDescent="0.25">
      <c r="A2191" s="11">
        <v>43704.047083333331</v>
      </c>
      <c r="B2191" t="s">
        <v>2401</v>
      </c>
      <c r="C2191" t="s">
        <v>2383</v>
      </c>
      <c r="D2191" t="s">
        <v>2384</v>
      </c>
      <c r="E2191" s="12" t="s">
        <v>2385</v>
      </c>
      <c r="F2191">
        <v>3.62</v>
      </c>
      <c r="G2191">
        <v>3.94</v>
      </c>
      <c r="H2191">
        <v>3.15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0</v>
      </c>
    </row>
    <row r="2192" spans="1:15" x14ac:dyDescent="0.25">
      <c r="A2192" s="11">
        <v>43704.047083333331</v>
      </c>
      <c r="B2192" t="s">
        <v>2401</v>
      </c>
      <c r="C2192" t="s">
        <v>2383</v>
      </c>
      <c r="D2192" t="s">
        <v>2386</v>
      </c>
      <c r="E2192" t="s">
        <v>2790</v>
      </c>
      <c r="F2192">
        <v>3.62</v>
      </c>
      <c r="G2192">
        <v>3.94</v>
      </c>
      <c r="H2192">
        <v>3.15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0</v>
      </c>
    </row>
    <row r="2193" spans="1:15" x14ac:dyDescent="0.25">
      <c r="A2193" s="11">
        <v>43704.047083333331</v>
      </c>
      <c r="B2193" t="s">
        <v>2401</v>
      </c>
      <c r="C2193" t="s">
        <v>2383</v>
      </c>
      <c r="D2193" t="s">
        <v>2387</v>
      </c>
      <c r="E2193" t="s">
        <v>2791</v>
      </c>
      <c r="F2193">
        <v>3.62</v>
      </c>
      <c r="G2193">
        <v>3.94</v>
      </c>
      <c r="H2193">
        <v>3.15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0</v>
      </c>
    </row>
    <row r="2194" spans="1:15" x14ac:dyDescent="0.25">
      <c r="A2194" s="11">
        <v>43704.047083333331</v>
      </c>
      <c r="B2194" t="s">
        <v>2401</v>
      </c>
      <c r="C2194" t="s">
        <v>2383</v>
      </c>
      <c r="D2194" t="s">
        <v>2381</v>
      </c>
      <c r="E2194" t="s">
        <v>2792</v>
      </c>
      <c r="F2194">
        <v>3.62</v>
      </c>
      <c r="G2194">
        <v>3.94</v>
      </c>
      <c r="H2194">
        <v>3.15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0</v>
      </c>
    </row>
    <row r="2195" spans="1:15" x14ac:dyDescent="0.25">
      <c r="A2195" s="11">
        <v>43704.047083333331</v>
      </c>
      <c r="B2195" t="s">
        <v>2401</v>
      </c>
      <c r="C2195" t="s">
        <v>2383</v>
      </c>
      <c r="D2195" t="s">
        <v>2388</v>
      </c>
      <c r="E2195" t="s">
        <v>2793</v>
      </c>
      <c r="F2195">
        <v>3.62</v>
      </c>
      <c r="G2195">
        <v>3.94</v>
      </c>
      <c r="H2195">
        <v>3.15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0</v>
      </c>
    </row>
    <row r="2196" spans="1:15" x14ac:dyDescent="0.25">
      <c r="A2196" s="11">
        <v>43704.047083333331</v>
      </c>
      <c r="B2196" t="s">
        <v>2401</v>
      </c>
      <c r="C2196" t="s">
        <v>2383</v>
      </c>
      <c r="D2196" t="s">
        <v>2389</v>
      </c>
      <c r="E2196" s="12" t="s">
        <v>2385</v>
      </c>
      <c r="F2196">
        <v>3.62</v>
      </c>
      <c r="G2196">
        <v>3.94</v>
      </c>
      <c r="H2196">
        <v>3.15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0</v>
      </c>
    </row>
    <row r="2197" spans="1:15" x14ac:dyDescent="0.25">
      <c r="A2197" s="11">
        <v>43704.047083333331</v>
      </c>
      <c r="B2197" t="s">
        <v>2401</v>
      </c>
      <c r="C2197" t="s">
        <v>2779</v>
      </c>
      <c r="E2197" t="s">
        <v>2378</v>
      </c>
      <c r="F2197">
        <v>3.62</v>
      </c>
      <c r="G2197">
        <v>3.94</v>
      </c>
      <c r="H2197">
        <v>3.15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0</v>
      </c>
    </row>
    <row r="2198" spans="1:15" x14ac:dyDescent="0.25">
      <c r="A2198" s="11">
        <v>43704.047303240739</v>
      </c>
      <c r="B2198" t="s">
        <v>2401</v>
      </c>
      <c r="C2198" t="s">
        <v>2450</v>
      </c>
      <c r="D2198" t="s">
        <v>2429</v>
      </c>
      <c r="E2198">
        <v>0</v>
      </c>
      <c r="F2198">
        <v>3.62</v>
      </c>
      <c r="G2198">
        <v>3.94</v>
      </c>
      <c r="H2198">
        <v>3.15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0</v>
      </c>
    </row>
    <row r="2199" spans="1:15" x14ac:dyDescent="0.25">
      <c r="A2199" s="11">
        <v>43704.047442129631</v>
      </c>
      <c r="B2199" t="s">
        <v>2401</v>
      </c>
      <c r="C2199" t="s">
        <v>2788</v>
      </c>
      <c r="D2199" t="s">
        <v>2390</v>
      </c>
      <c r="E2199">
        <v>-5</v>
      </c>
      <c r="F2199">
        <v>3.62</v>
      </c>
      <c r="G2199">
        <v>3.94</v>
      </c>
      <c r="H2199">
        <v>3.15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0</v>
      </c>
    </row>
    <row r="2200" spans="1:15" x14ac:dyDescent="0.25">
      <c r="A2200" s="11">
        <v>43704.047442129631</v>
      </c>
      <c r="B2200" t="s">
        <v>2401</v>
      </c>
      <c r="C2200" t="s">
        <v>2789</v>
      </c>
      <c r="D2200" t="s">
        <v>2390</v>
      </c>
      <c r="E2200">
        <v>-20</v>
      </c>
      <c r="F2200">
        <v>3.62</v>
      </c>
      <c r="G2200">
        <v>3.94</v>
      </c>
      <c r="H2200">
        <v>3.15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0</v>
      </c>
    </row>
    <row r="2201" spans="1:15" x14ac:dyDescent="0.25">
      <c r="A2201" s="11">
        <v>43704.047442129631</v>
      </c>
      <c r="B2201" t="s">
        <v>2401</v>
      </c>
      <c r="C2201" t="s">
        <v>2383</v>
      </c>
      <c r="D2201" t="s">
        <v>2384</v>
      </c>
      <c r="E2201" s="12" t="s">
        <v>2385</v>
      </c>
      <c r="F2201">
        <v>3.62</v>
      </c>
      <c r="G2201">
        <v>3.94</v>
      </c>
      <c r="H2201">
        <v>3.15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0</v>
      </c>
    </row>
    <row r="2202" spans="1:15" x14ac:dyDescent="0.25">
      <c r="A2202" s="11">
        <v>43704.047442129631</v>
      </c>
      <c r="B2202" t="s">
        <v>2401</v>
      </c>
      <c r="C2202" t="s">
        <v>2383</v>
      </c>
      <c r="D2202" t="s">
        <v>2386</v>
      </c>
      <c r="E2202" t="s">
        <v>2790</v>
      </c>
      <c r="F2202">
        <v>3.62</v>
      </c>
      <c r="G2202">
        <v>3.94</v>
      </c>
      <c r="H2202">
        <v>3.15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0</v>
      </c>
    </row>
    <row r="2203" spans="1:15" x14ac:dyDescent="0.25">
      <c r="A2203" s="11">
        <v>43704.047442129631</v>
      </c>
      <c r="B2203" t="s">
        <v>2401</v>
      </c>
      <c r="C2203" t="s">
        <v>2383</v>
      </c>
      <c r="D2203" t="s">
        <v>2387</v>
      </c>
      <c r="E2203" t="s">
        <v>2791</v>
      </c>
      <c r="F2203">
        <v>3.62</v>
      </c>
      <c r="G2203">
        <v>3.94</v>
      </c>
      <c r="H2203">
        <v>3.15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0</v>
      </c>
    </row>
    <row r="2204" spans="1:15" x14ac:dyDescent="0.25">
      <c r="A2204" s="11">
        <v>43704.047442129631</v>
      </c>
      <c r="B2204" t="s">
        <v>2401</v>
      </c>
      <c r="C2204" t="s">
        <v>2383</v>
      </c>
      <c r="D2204" t="s">
        <v>2381</v>
      </c>
      <c r="E2204" t="s">
        <v>2792</v>
      </c>
      <c r="F2204">
        <v>3.62</v>
      </c>
      <c r="G2204">
        <v>3.94</v>
      </c>
      <c r="H2204">
        <v>3.15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0</v>
      </c>
    </row>
    <row r="2205" spans="1:15" x14ac:dyDescent="0.25">
      <c r="A2205" s="11">
        <v>43704.047442129631</v>
      </c>
      <c r="B2205" t="s">
        <v>2401</v>
      </c>
      <c r="C2205" t="s">
        <v>2383</v>
      </c>
      <c r="D2205" t="s">
        <v>2388</v>
      </c>
      <c r="E2205" t="s">
        <v>2793</v>
      </c>
      <c r="F2205">
        <v>3.62</v>
      </c>
      <c r="G2205">
        <v>3.94</v>
      </c>
      <c r="H2205">
        <v>3.15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0</v>
      </c>
    </row>
    <row r="2206" spans="1:15" x14ac:dyDescent="0.25">
      <c r="A2206" s="11">
        <v>43704.047442129631</v>
      </c>
      <c r="B2206" t="s">
        <v>2401</v>
      </c>
      <c r="C2206" t="s">
        <v>2383</v>
      </c>
      <c r="D2206" t="s">
        <v>2389</v>
      </c>
      <c r="E2206" s="12" t="s">
        <v>2385</v>
      </c>
      <c r="F2206">
        <v>3.62</v>
      </c>
      <c r="G2206">
        <v>3.94</v>
      </c>
      <c r="H2206">
        <v>3.15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0</v>
      </c>
    </row>
    <row r="2207" spans="1:15" x14ac:dyDescent="0.25">
      <c r="A2207" s="11">
        <v>43704.047442129631</v>
      </c>
      <c r="B2207" t="s">
        <v>2401</v>
      </c>
      <c r="C2207" t="s">
        <v>2779</v>
      </c>
      <c r="E2207" t="s">
        <v>2378</v>
      </c>
      <c r="F2207">
        <v>3.62</v>
      </c>
      <c r="G2207">
        <v>3.94</v>
      </c>
      <c r="H2207">
        <v>3.15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0</v>
      </c>
    </row>
    <row r="2208" spans="1:15" x14ac:dyDescent="0.25">
      <c r="A2208" s="11">
        <v>43704.050092592595</v>
      </c>
      <c r="B2208" t="s">
        <v>2401</v>
      </c>
      <c r="C2208" t="s">
        <v>2788</v>
      </c>
      <c r="D2208" t="s">
        <v>2390</v>
      </c>
      <c r="E2208">
        <v>-5</v>
      </c>
      <c r="F2208">
        <v>3.62</v>
      </c>
      <c r="G2208">
        <v>3.94</v>
      </c>
      <c r="H2208">
        <v>3.15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0</v>
      </c>
    </row>
    <row r="2209" spans="1:15" x14ac:dyDescent="0.25">
      <c r="A2209" s="11">
        <v>43704.050092592595</v>
      </c>
      <c r="B2209" t="s">
        <v>2401</v>
      </c>
      <c r="C2209" t="s">
        <v>2789</v>
      </c>
      <c r="D2209" t="s">
        <v>2390</v>
      </c>
      <c r="E2209">
        <v>-20</v>
      </c>
      <c r="F2209">
        <v>3.62</v>
      </c>
      <c r="G2209">
        <v>3.94</v>
      </c>
      <c r="H2209">
        <v>3.15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0</v>
      </c>
    </row>
    <row r="2210" spans="1:15" x14ac:dyDescent="0.25">
      <c r="A2210" s="11">
        <v>43704.050127314818</v>
      </c>
      <c r="B2210" t="s">
        <v>2401</v>
      </c>
      <c r="C2210" t="s">
        <v>2383</v>
      </c>
      <c r="D2210" t="s">
        <v>2384</v>
      </c>
      <c r="E2210" s="12" t="s">
        <v>2385</v>
      </c>
      <c r="F2210">
        <v>3.62</v>
      </c>
      <c r="G2210">
        <v>3.94</v>
      </c>
      <c r="H2210">
        <v>3.15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0</v>
      </c>
    </row>
    <row r="2211" spans="1:15" x14ac:dyDescent="0.25">
      <c r="A2211" s="11">
        <v>43704.050127314818</v>
      </c>
      <c r="B2211" t="s">
        <v>2401</v>
      </c>
      <c r="C2211" t="s">
        <v>2383</v>
      </c>
      <c r="D2211" t="s">
        <v>2386</v>
      </c>
      <c r="E2211" t="s">
        <v>2790</v>
      </c>
      <c r="F2211">
        <v>3.62</v>
      </c>
      <c r="G2211">
        <v>3.94</v>
      </c>
      <c r="H2211">
        <v>3.15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0</v>
      </c>
    </row>
    <row r="2212" spans="1:15" x14ac:dyDescent="0.25">
      <c r="A2212" s="11">
        <v>43704.050127314818</v>
      </c>
      <c r="B2212" t="s">
        <v>2401</v>
      </c>
      <c r="C2212" t="s">
        <v>2383</v>
      </c>
      <c r="D2212" t="s">
        <v>2387</v>
      </c>
      <c r="E2212" t="s">
        <v>2791</v>
      </c>
      <c r="F2212">
        <v>3.62</v>
      </c>
      <c r="G2212">
        <v>3.94</v>
      </c>
      <c r="H2212">
        <v>3.15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0</v>
      </c>
    </row>
    <row r="2213" spans="1:15" x14ac:dyDescent="0.25">
      <c r="A2213" s="11">
        <v>43704.050127314818</v>
      </c>
      <c r="B2213" t="s">
        <v>2401</v>
      </c>
      <c r="C2213" t="s">
        <v>2383</v>
      </c>
      <c r="D2213" t="s">
        <v>2381</v>
      </c>
      <c r="E2213" t="s">
        <v>2792</v>
      </c>
      <c r="F2213">
        <v>3.62</v>
      </c>
      <c r="G2213">
        <v>3.94</v>
      </c>
      <c r="H2213">
        <v>3.15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0</v>
      </c>
    </row>
    <row r="2214" spans="1:15" x14ac:dyDescent="0.25">
      <c r="A2214" s="11">
        <v>43704.050127314818</v>
      </c>
      <c r="B2214" t="s">
        <v>2401</v>
      </c>
      <c r="C2214" t="s">
        <v>2383</v>
      </c>
      <c r="D2214" t="s">
        <v>2388</v>
      </c>
      <c r="E2214" t="s">
        <v>2793</v>
      </c>
      <c r="F2214">
        <v>3.62</v>
      </c>
      <c r="G2214">
        <v>3.94</v>
      </c>
      <c r="H2214">
        <v>3.15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0</v>
      </c>
    </row>
    <row r="2215" spans="1:15" x14ac:dyDescent="0.25">
      <c r="A2215" s="11">
        <v>43704.050127314818</v>
      </c>
      <c r="B2215" t="s">
        <v>2401</v>
      </c>
      <c r="C2215" t="s">
        <v>2383</v>
      </c>
      <c r="D2215" t="s">
        <v>2389</v>
      </c>
      <c r="E2215" s="12" t="s">
        <v>2385</v>
      </c>
      <c r="F2215">
        <v>3.62</v>
      </c>
      <c r="G2215">
        <v>3.94</v>
      </c>
      <c r="H2215">
        <v>3.15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0</v>
      </c>
    </row>
    <row r="2216" spans="1:15" x14ac:dyDescent="0.25">
      <c r="A2216" s="11">
        <v>43704.050127314818</v>
      </c>
      <c r="B2216" t="s">
        <v>2401</v>
      </c>
      <c r="C2216" t="s">
        <v>2779</v>
      </c>
      <c r="E2216" t="s">
        <v>2378</v>
      </c>
      <c r="F2216">
        <v>3.62</v>
      </c>
      <c r="G2216">
        <v>3.94</v>
      </c>
      <c r="H2216">
        <v>3.15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0</v>
      </c>
    </row>
    <row r="2217" spans="1:15" x14ac:dyDescent="0.25">
      <c r="A2217" s="11">
        <v>43704.050520833334</v>
      </c>
      <c r="B2217" t="s">
        <v>2401</v>
      </c>
      <c r="C2217" t="s">
        <v>2788</v>
      </c>
      <c r="D2217" t="s">
        <v>2390</v>
      </c>
      <c r="E2217">
        <v>-5</v>
      </c>
      <c r="F2217">
        <v>3.62</v>
      </c>
      <c r="G2217">
        <v>3.94</v>
      </c>
      <c r="H2217">
        <v>3.15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0</v>
      </c>
    </row>
    <row r="2218" spans="1:15" x14ac:dyDescent="0.25">
      <c r="A2218" s="11">
        <v>43704.050520833334</v>
      </c>
      <c r="B2218" t="s">
        <v>2401</v>
      </c>
      <c r="C2218" t="s">
        <v>2789</v>
      </c>
      <c r="D2218" t="s">
        <v>2390</v>
      </c>
      <c r="E2218">
        <v>-20</v>
      </c>
      <c r="F2218">
        <v>3.62</v>
      </c>
      <c r="G2218">
        <v>3.94</v>
      </c>
      <c r="H2218">
        <v>3.15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0</v>
      </c>
    </row>
    <row r="2219" spans="1:15" x14ac:dyDescent="0.25">
      <c r="A2219" s="11">
        <v>43704.051203703704</v>
      </c>
      <c r="B2219" t="s">
        <v>2401</v>
      </c>
      <c r="C2219" t="s">
        <v>2383</v>
      </c>
      <c r="D2219" t="s">
        <v>2384</v>
      </c>
      <c r="E2219" s="12" t="s">
        <v>2385</v>
      </c>
      <c r="F2219">
        <v>3.62</v>
      </c>
      <c r="G2219">
        <v>3.94</v>
      </c>
      <c r="H2219">
        <v>3.15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0</v>
      </c>
    </row>
    <row r="2220" spans="1:15" x14ac:dyDescent="0.25">
      <c r="A2220" s="11">
        <v>43704.051203703704</v>
      </c>
      <c r="B2220" t="s">
        <v>2401</v>
      </c>
      <c r="C2220" t="s">
        <v>2383</v>
      </c>
      <c r="D2220" t="s">
        <v>2386</v>
      </c>
      <c r="E2220" t="s">
        <v>2790</v>
      </c>
      <c r="F2220">
        <v>3.62</v>
      </c>
      <c r="G2220">
        <v>3.94</v>
      </c>
      <c r="H2220">
        <v>3.15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0</v>
      </c>
    </row>
    <row r="2221" spans="1:15" x14ac:dyDescent="0.25">
      <c r="A2221" s="11">
        <v>43704.051203703704</v>
      </c>
      <c r="B2221" t="s">
        <v>2401</v>
      </c>
      <c r="C2221" t="s">
        <v>2383</v>
      </c>
      <c r="D2221" t="s">
        <v>2387</v>
      </c>
      <c r="E2221" t="s">
        <v>2791</v>
      </c>
      <c r="F2221">
        <v>3.62</v>
      </c>
      <c r="G2221">
        <v>3.94</v>
      </c>
      <c r="H2221">
        <v>3.15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0</v>
      </c>
    </row>
    <row r="2222" spans="1:15" x14ac:dyDescent="0.25">
      <c r="A2222" s="11">
        <v>43704.051203703704</v>
      </c>
      <c r="B2222" t="s">
        <v>2401</v>
      </c>
      <c r="C2222" t="s">
        <v>2383</v>
      </c>
      <c r="D2222" t="s">
        <v>2381</v>
      </c>
      <c r="E2222" t="s">
        <v>2792</v>
      </c>
      <c r="F2222">
        <v>3.62</v>
      </c>
      <c r="G2222">
        <v>3.94</v>
      </c>
      <c r="H2222">
        <v>3.15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0</v>
      </c>
    </row>
    <row r="2223" spans="1:15" x14ac:dyDescent="0.25">
      <c r="A2223" s="11">
        <v>43704.051203703704</v>
      </c>
      <c r="B2223" t="s">
        <v>2401</v>
      </c>
      <c r="C2223" t="s">
        <v>2383</v>
      </c>
      <c r="D2223" t="s">
        <v>2388</v>
      </c>
      <c r="E2223" t="s">
        <v>2793</v>
      </c>
      <c r="F2223">
        <v>3.62</v>
      </c>
      <c r="G2223">
        <v>3.94</v>
      </c>
      <c r="H2223">
        <v>3.15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0</v>
      </c>
    </row>
    <row r="2224" spans="1:15" x14ac:dyDescent="0.25">
      <c r="A2224" s="11">
        <v>43704.051203703704</v>
      </c>
      <c r="B2224" t="s">
        <v>2401</v>
      </c>
      <c r="C2224" t="s">
        <v>2383</v>
      </c>
      <c r="D2224" t="s">
        <v>2389</v>
      </c>
      <c r="E2224" s="12" t="s">
        <v>2385</v>
      </c>
      <c r="F2224">
        <v>3.62</v>
      </c>
      <c r="G2224">
        <v>3.94</v>
      </c>
      <c r="H2224">
        <v>3.15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0</v>
      </c>
    </row>
    <row r="2225" spans="1:15" x14ac:dyDescent="0.25">
      <c r="A2225" s="11">
        <v>43704.051215277781</v>
      </c>
      <c r="B2225" t="s">
        <v>2401</v>
      </c>
      <c r="C2225" t="s">
        <v>2779</v>
      </c>
      <c r="E2225" t="s">
        <v>2378</v>
      </c>
      <c r="F2225">
        <v>3.62</v>
      </c>
      <c r="G2225">
        <v>3.94</v>
      </c>
      <c r="H2225">
        <v>3.15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0</v>
      </c>
    </row>
    <row r="2226" spans="1:15" x14ac:dyDescent="0.25">
      <c r="A2226" s="11">
        <v>43704.051296296297</v>
      </c>
      <c r="B2226" t="s">
        <v>2401</v>
      </c>
      <c r="C2226" t="s">
        <v>2788</v>
      </c>
      <c r="D2226" t="s">
        <v>2390</v>
      </c>
      <c r="E2226">
        <v>-5</v>
      </c>
      <c r="F2226">
        <v>3.62</v>
      </c>
      <c r="G2226">
        <v>3.94</v>
      </c>
      <c r="H2226">
        <v>3.15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0</v>
      </c>
    </row>
    <row r="2227" spans="1:15" x14ac:dyDescent="0.25">
      <c r="A2227" s="11">
        <v>43704.051296296297</v>
      </c>
      <c r="B2227" t="s">
        <v>2401</v>
      </c>
      <c r="C2227" t="s">
        <v>2789</v>
      </c>
      <c r="D2227" t="s">
        <v>2390</v>
      </c>
      <c r="E2227">
        <v>-20</v>
      </c>
      <c r="F2227">
        <v>3.62</v>
      </c>
      <c r="G2227">
        <v>3.94</v>
      </c>
      <c r="H2227">
        <v>3.15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0</v>
      </c>
    </row>
    <row r="2228" spans="1:15" x14ac:dyDescent="0.25">
      <c r="A2228" s="11">
        <v>43704.051342592589</v>
      </c>
      <c r="B2228" t="s">
        <v>2401</v>
      </c>
      <c r="C2228" t="s">
        <v>2383</v>
      </c>
      <c r="D2228" t="s">
        <v>2384</v>
      </c>
      <c r="E2228" s="12" t="s">
        <v>2385</v>
      </c>
      <c r="F2228">
        <v>3.62</v>
      </c>
      <c r="G2228">
        <v>3.94</v>
      </c>
      <c r="H2228">
        <v>3.15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0</v>
      </c>
    </row>
    <row r="2229" spans="1:15" x14ac:dyDescent="0.25">
      <c r="A2229" s="11">
        <v>43704.051342592589</v>
      </c>
      <c r="B2229" t="s">
        <v>2401</v>
      </c>
      <c r="C2229" t="s">
        <v>2383</v>
      </c>
      <c r="D2229" t="s">
        <v>2386</v>
      </c>
      <c r="E2229" t="s">
        <v>2790</v>
      </c>
      <c r="F2229">
        <v>3.62</v>
      </c>
      <c r="G2229">
        <v>3.94</v>
      </c>
      <c r="H2229">
        <v>3.15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0</v>
      </c>
    </row>
    <row r="2230" spans="1:15" x14ac:dyDescent="0.25">
      <c r="A2230" s="11">
        <v>43704.051342592589</v>
      </c>
      <c r="B2230" t="s">
        <v>2401</v>
      </c>
      <c r="C2230" t="s">
        <v>2383</v>
      </c>
      <c r="D2230" t="s">
        <v>2387</v>
      </c>
      <c r="E2230" t="s">
        <v>2791</v>
      </c>
      <c r="F2230">
        <v>3.62</v>
      </c>
      <c r="G2230">
        <v>3.94</v>
      </c>
      <c r="H2230">
        <v>3.15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0</v>
      </c>
    </row>
    <row r="2231" spans="1:15" x14ac:dyDescent="0.25">
      <c r="A2231" s="11">
        <v>43704.051342592589</v>
      </c>
      <c r="B2231" t="s">
        <v>2401</v>
      </c>
      <c r="C2231" t="s">
        <v>2383</v>
      </c>
      <c r="D2231" t="s">
        <v>2381</v>
      </c>
      <c r="E2231" t="s">
        <v>2792</v>
      </c>
      <c r="F2231">
        <v>3.62</v>
      </c>
      <c r="G2231">
        <v>3.94</v>
      </c>
      <c r="H2231">
        <v>3.15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0</v>
      </c>
    </row>
    <row r="2232" spans="1:15" x14ac:dyDescent="0.25">
      <c r="A2232" s="11">
        <v>43704.051342592589</v>
      </c>
      <c r="B2232" t="s">
        <v>2401</v>
      </c>
      <c r="C2232" t="s">
        <v>2383</v>
      </c>
      <c r="D2232" t="s">
        <v>2388</v>
      </c>
      <c r="E2232" t="s">
        <v>2793</v>
      </c>
      <c r="F2232">
        <v>3.62</v>
      </c>
      <c r="G2232">
        <v>3.94</v>
      </c>
      <c r="H2232">
        <v>3.15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0</v>
      </c>
    </row>
    <row r="2233" spans="1:15" x14ac:dyDescent="0.25">
      <c r="A2233" s="11">
        <v>43704.051342592589</v>
      </c>
      <c r="B2233" t="s">
        <v>2401</v>
      </c>
      <c r="C2233" t="s">
        <v>2383</v>
      </c>
      <c r="D2233" t="s">
        <v>2389</v>
      </c>
      <c r="E2233" s="12" t="s">
        <v>2385</v>
      </c>
      <c r="F2233">
        <v>3.62</v>
      </c>
      <c r="G2233">
        <v>3.94</v>
      </c>
      <c r="H2233">
        <v>3.15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0</v>
      </c>
    </row>
    <row r="2234" spans="1:15" x14ac:dyDescent="0.25">
      <c r="A2234" s="11">
        <v>43704.051342592589</v>
      </c>
      <c r="B2234" t="s">
        <v>2401</v>
      </c>
      <c r="C2234" t="s">
        <v>2779</v>
      </c>
      <c r="E2234" t="s">
        <v>2378</v>
      </c>
      <c r="F2234">
        <v>3.62</v>
      </c>
      <c r="G2234">
        <v>3.94</v>
      </c>
      <c r="H2234">
        <v>3.15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0</v>
      </c>
    </row>
    <row r="2235" spans="1:15" x14ac:dyDescent="0.25">
      <c r="A2235" s="11">
        <v>43704.052546296298</v>
      </c>
      <c r="B2235" t="s">
        <v>2401</v>
      </c>
      <c r="C2235" t="s">
        <v>2788</v>
      </c>
      <c r="D2235" t="s">
        <v>2390</v>
      </c>
      <c r="E2235">
        <v>-5</v>
      </c>
      <c r="F2235">
        <v>3.62</v>
      </c>
      <c r="G2235">
        <v>3.94</v>
      </c>
      <c r="H2235">
        <v>3.15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0</v>
      </c>
    </row>
    <row r="2236" spans="1:15" x14ac:dyDescent="0.25">
      <c r="A2236" s="11">
        <v>43704.052546296298</v>
      </c>
      <c r="B2236" t="s">
        <v>2401</v>
      </c>
      <c r="C2236" t="s">
        <v>2789</v>
      </c>
      <c r="D2236" t="s">
        <v>2390</v>
      </c>
      <c r="E2236">
        <v>-20</v>
      </c>
      <c r="F2236">
        <v>3.62</v>
      </c>
      <c r="G2236">
        <v>3.94</v>
      </c>
      <c r="H2236">
        <v>3.15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0</v>
      </c>
    </row>
    <row r="2237" spans="1:15" x14ac:dyDescent="0.25">
      <c r="A2237" s="11">
        <v>43704.05736111111</v>
      </c>
      <c r="B2237" t="s">
        <v>2401</v>
      </c>
      <c r="C2237" t="s">
        <v>2788</v>
      </c>
      <c r="D2237" t="s">
        <v>2390</v>
      </c>
      <c r="E2237">
        <v>-5</v>
      </c>
      <c r="F2237">
        <v>3.62</v>
      </c>
      <c r="G2237">
        <v>3.94</v>
      </c>
      <c r="H2237">
        <v>3.15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0</v>
      </c>
    </row>
    <row r="2238" spans="1:15" x14ac:dyDescent="0.25">
      <c r="A2238" s="11">
        <v>43704.05736111111</v>
      </c>
      <c r="B2238" t="s">
        <v>2401</v>
      </c>
      <c r="C2238" t="s">
        <v>2789</v>
      </c>
      <c r="D2238" t="s">
        <v>2390</v>
      </c>
      <c r="E2238">
        <v>-20</v>
      </c>
      <c r="F2238">
        <v>3.62</v>
      </c>
      <c r="G2238">
        <v>3.94</v>
      </c>
      <c r="H2238">
        <v>3.15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0</v>
      </c>
    </row>
    <row r="2239" spans="1:15" x14ac:dyDescent="0.25">
      <c r="A2239" s="11">
        <v>43704.057916666665</v>
      </c>
      <c r="B2239" t="s">
        <v>2401</v>
      </c>
      <c r="C2239" t="s">
        <v>2383</v>
      </c>
      <c r="D2239" t="s">
        <v>2384</v>
      </c>
      <c r="E2239" s="12" t="s">
        <v>2385</v>
      </c>
      <c r="F2239">
        <v>3.62</v>
      </c>
      <c r="G2239">
        <v>3.94</v>
      </c>
      <c r="H2239">
        <v>3.15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0</v>
      </c>
    </row>
    <row r="2240" spans="1:15" x14ac:dyDescent="0.25">
      <c r="A2240" s="11">
        <v>43704.057916666665</v>
      </c>
      <c r="B2240" t="s">
        <v>2401</v>
      </c>
      <c r="C2240" t="s">
        <v>2383</v>
      </c>
      <c r="D2240" t="s">
        <v>2386</v>
      </c>
      <c r="E2240" t="s">
        <v>2790</v>
      </c>
      <c r="F2240">
        <v>3.62</v>
      </c>
      <c r="G2240">
        <v>3.94</v>
      </c>
      <c r="H2240">
        <v>3.15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0</v>
      </c>
    </row>
    <row r="2241" spans="1:15" x14ac:dyDescent="0.25">
      <c r="A2241" s="11">
        <v>43704.057916666665</v>
      </c>
      <c r="B2241" t="s">
        <v>2401</v>
      </c>
      <c r="C2241" t="s">
        <v>2383</v>
      </c>
      <c r="D2241" t="s">
        <v>2387</v>
      </c>
      <c r="E2241" t="s">
        <v>2791</v>
      </c>
      <c r="F2241">
        <v>3.62</v>
      </c>
      <c r="G2241">
        <v>3.94</v>
      </c>
      <c r="H2241">
        <v>3.15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0</v>
      </c>
    </row>
    <row r="2242" spans="1:15" x14ac:dyDescent="0.25">
      <c r="A2242" s="11">
        <v>43704.057916666665</v>
      </c>
      <c r="B2242" t="s">
        <v>2401</v>
      </c>
      <c r="C2242" t="s">
        <v>2383</v>
      </c>
      <c r="D2242" t="s">
        <v>2381</v>
      </c>
      <c r="E2242" t="s">
        <v>2792</v>
      </c>
      <c r="F2242">
        <v>3.62</v>
      </c>
      <c r="G2242">
        <v>3.94</v>
      </c>
      <c r="H2242">
        <v>3.15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0</v>
      </c>
    </row>
    <row r="2243" spans="1:15" x14ac:dyDescent="0.25">
      <c r="A2243" s="11">
        <v>43704.057916666665</v>
      </c>
      <c r="B2243" t="s">
        <v>2401</v>
      </c>
      <c r="C2243" t="s">
        <v>2383</v>
      </c>
      <c r="D2243" t="s">
        <v>2388</v>
      </c>
      <c r="E2243" t="s">
        <v>2793</v>
      </c>
      <c r="F2243">
        <v>3.62</v>
      </c>
      <c r="G2243">
        <v>3.94</v>
      </c>
      <c r="H2243">
        <v>3.15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0</v>
      </c>
    </row>
    <row r="2244" spans="1:15" x14ac:dyDescent="0.25">
      <c r="A2244" s="11">
        <v>43704.057916666665</v>
      </c>
      <c r="B2244" t="s">
        <v>2401</v>
      </c>
      <c r="C2244" t="s">
        <v>2383</v>
      </c>
      <c r="D2244" t="s">
        <v>2389</v>
      </c>
      <c r="E2244" s="12" t="s">
        <v>2385</v>
      </c>
      <c r="F2244">
        <v>3.62</v>
      </c>
      <c r="G2244">
        <v>3.94</v>
      </c>
      <c r="H2244">
        <v>3.15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0</v>
      </c>
    </row>
    <row r="2245" spans="1:15" x14ac:dyDescent="0.25">
      <c r="A2245" s="11">
        <v>43704.057928240742</v>
      </c>
      <c r="B2245" t="s">
        <v>2401</v>
      </c>
      <c r="C2245" t="s">
        <v>2779</v>
      </c>
      <c r="E2245" t="s">
        <v>2378</v>
      </c>
      <c r="F2245">
        <v>3.62</v>
      </c>
      <c r="G2245">
        <v>3.94</v>
      </c>
      <c r="H2245">
        <v>3.15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0</v>
      </c>
    </row>
    <row r="2246" spans="1:15" x14ac:dyDescent="0.25">
      <c r="A2246" s="11">
        <v>43704.057986111111</v>
      </c>
      <c r="B2246" t="s">
        <v>2401</v>
      </c>
      <c r="C2246" t="s">
        <v>2788</v>
      </c>
      <c r="D2246" t="s">
        <v>2390</v>
      </c>
      <c r="E2246">
        <v>-5</v>
      </c>
      <c r="F2246">
        <v>3.62</v>
      </c>
      <c r="G2246">
        <v>3.94</v>
      </c>
      <c r="H2246">
        <v>3.15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0</v>
      </c>
    </row>
    <row r="2247" spans="1:15" x14ac:dyDescent="0.25">
      <c r="A2247" s="11">
        <v>43704.057986111111</v>
      </c>
      <c r="B2247" t="s">
        <v>2401</v>
      </c>
      <c r="C2247" t="s">
        <v>2789</v>
      </c>
      <c r="D2247" t="s">
        <v>2390</v>
      </c>
      <c r="E2247">
        <v>-20</v>
      </c>
      <c r="F2247">
        <v>3.62</v>
      </c>
      <c r="G2247">
        <v>3.94</v>
      </c>
      <c r="H2247">
        <v>3.15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0</v>
      </c>
    </row>
    <row r="2248" spans="1:15" x14ac:dyDescent="0.25">
      <c r="A2248" s="11">
        <v>43704.058298611111</v>
      </c>
      <c r="B2248" t="s">
        <v>2401</v>
      </c>
      <c r="C2248" t="s">
        <v>2383</v>
      </c>
      <c r="D2248" t="s">
        <v>2384</v>
      </c>
      <c r="E2248" s="12" t="s">
        <v>2385</v>
      </c>
      <c r="F2248">
        <v>3.62</v>
      </c>
      <c r="G2248">
        <v>3.94</v>
      </c>
      <c r="H2248">
        <v>3.15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0</v>
      </c>
    </row>
    <row r="2249" spans="1:15" x14ac:dyDescent="0.25">
      <c r="A2249" s="11">
        <v>43704.058298611111</v>
      </c>
      <c r="B2249" t="s">
        <v>2401</v>
      </c>
      <c r="C2249" t="s">
        <v>2383</v>
      </c>
      <c r="D2249" t="s">
        <v>2386</v>
      </c>
      <c r="E2249" t="s">
        <v>2790</v>
      </c>
      <c r="F2249">
        <v>3.62</v>
      </c>
      <c r="G2249">
        <v>3.94</v>
      </c>
      <c r="H2249">
        <v>3.15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0</v>
      </c>
    </row>
    <row r="2250" spans="1:15" x14ac:dyDescent="0.25">
      <c r="A2250" s="11">
        <v>43704.058298611111</v>
      </c>
      <c r="B2250" t="s">
        <v>2401</v>
      </c>
      <c r="C2250" t="s">
        <v>2383</v>
      </c>
      <c r="D2250" t="s">
        <v>2387</v>
      </c>
      <c r="E2250" t="s">
        <v>2791</v>
      </c>
      <c r="F2250">
        <v>3.62</v>
      </c>
      <c r="G2250">
        <v>3.94</v>
      </c>
      <c r="H2250">
        <v>3.15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0</v>
      </c>
    </row>
    <row r="2251" spans="1:15" x14ac:dyDescent="0.25">
      <c r="A2251" s="11">
        <v>43704.058298611111</v>
      </c>
      <c r="B2251" t="s">
        <v>2401</v>
      </c>
      <c r="C2251" t="s">
        <v>2383</v>
      </c>
      <c r="D2251" t="s">
        <v>2381</v>
      </c>
      <c r="E2251" t="s">
        <v>2792</v>
      </c>
      <c r="F2251">
        <v>3.62</v>
      </c>
      <c r="G2251">
        <v>3.94</v>
      </c>
      <c r="H2251">
        <v>3.15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0</v>
      </c>
    </row>
    <row r="2252" spans="1:15" x14ac:dyDescent="0.25">
      <c r="A2252" s="11">
        <v>43704.058298611111</v>
      </c>
      <c r="B2252" t="s">
        <v>2401</v>
      </c>
      <c r="C2252" t="s">
        <v>2383</v>
      </c>
      <c r="D2252" t="s">
        <v>2388</v>
      </c>
      <c r="E2252" t="s">
        <v>2793</v>
      </c>
      <c r="F2252">
        <v>3.62</v>
      </c>
      <c r="G2252">
        <v>3.94</v>
      </c>
      <c r="H2252">
        <v>3.15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0</v>
      </c>
    </row>
    <row r="2253" spans="1:15" x14ac:dyDescent="0.25">
      <c r="A2253" s="11">
        <v>43704.058298611111</v>
      </c>
      <c r="B2253" t="s">
        <v>2401</v>
      </c>
      <c r="C2253" t="s">
        <v>2383</v>
      </c>
      <c r="D2253" t="s">
        <v>2389</v>
      </c>
      <c r="E2253" s="12" t="s">
        <v>2385</v>
      </c>
      <c r="F2253">
        <v>3.62</v>
      </c>
      <c r="G2253">
        <v>3.94</v>
      </c>
      <c r="H2253">
        <v>3.15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0</v>
      </c>
    </row>
    <row r="2254" spans="1:15" x14ac:dyDescent="0.25">
      <c r="A2254" s="11">
        <v>43704.058298611111</v>
      </c>
      <c r="B2254" t="s">
        <v>2401</v>
      </c>
      <c r="C2254" t="s">
        <v>2779</v>
      </c>
      <c r="E2254" t="s">
        <v>2378</v>
      </c>
      <c r="F2254">
        <v>3.62</v>
      </c>
      <c r="G2254">
        <v>3.94</v>
      </c>
      <c r="H2254">
        <v>3.15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0</v>
      </c>
    </row>
    <row r="2255" spans="1:15" x14ac:dyDescent="0.25">
      <c r="A2255" s="11">
        <v>43704.058912037035</v>
      </c>
      <c r="B2255" t="s">
        <v>2401</v>
      </c>
      <c r="C2255" t="s">
        <v>2788</v>
      </c>
      <c r="D2255" t="s">
        <v>2390</v>
      </c>
      <c r="E2255">
        <v>-5</v>
      </c>
      <c r="F2255">
        <v>3.62</v>
      </c>
      <c r="G2255">
        <v>3.94</v>
      </c>
      <c r="H2255">
        <v>3.15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0</v>
      </c>
    </row>
    <row r="2256" spans="1:15" x14ac:dyDescent="0.25">
      <c r="A2256" s="11">
        <v>43704.058912037035</v>
      </c>
      <c r="B2256" t="s">
        <v>2401</v>
      </c>
      <c r="C2256" t="s">
        <v>2789</v>
      </c>
      <c r="D2256" t="s">
        <v>2390</v>
      </c>
      <c r="E2256">
        <v>-20</v>
      </c>
      <c r="F2256">
        <v>3.62</v>
      </c>
      <c r="G2256">
        <v>3.94</v>
      </c>
      <c r="H2256">
        <v>3.15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0</v>
      </c>
    </row>
    <row r="2257" spans="1:15" x14ac:dyDescent="0.25">
      <c r="A2257" s="11">
        <v>43704.058912037035</v>
      </c>
      <c r="B2257" t="s">
        <v>2401</v>
      </c>
      <c r="C2257" t="s">
        <v>2383</v>
      </c>
      <c r="D2257" t="s">
        <v>2384</v>
      </c>
      <c r="E2257" s="12" t="s">
        <v>2385</v>
      </c>
      <c r="F2257">
        <v>3.62</v>
      </c>
      <c r="G2257">
        <v>3.94</v>
      </c>
      <c r="H2257">
        <v>3.15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0</v>
      </c>
    </row>
    <row r="2258" spans="1:15" x14ac:dyDescent="0.25">
      <c r="A2258" s="11">
        <v>43704.058912037035</v>
      </c>
      <c r="B2258" t="s">
        <v>2401</v>
      </c>
      <c r="C2258" t="s">
        <v>2383</v>
      </c>
      <c r="D2258" t="s">
        <v>2386</v>
      </c>
      <c r="E2258" t="s">
        <v>2790</v>
      </c>
      <c r="F2258">
        <v>3.62</v>
      </c>
      <c r="G2258">
        <v>3.94</v>
      </c>
      <c r="H2258">
        <v>3.15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0</v>
      </c>
    </row>
    <row r="2259" spans="1:15" x14ac:dyDescent="0.25">
      <c r="A2259" s="11">
        <v>43704.058912037035</v>
      </c>
      <c r="B2259" t="s">
        <v>2401</v>
      </c>
      <c r="C2259" t="s">
        <v>2383</v>
      </c>
      <c r="D2259" t="s">
        <v>2387</v>
      </c>
      <c r="E2259" t="s">
        <v>2791</v>
      </c>
      <c r="F2259">
        <v>3.62</v>
      </c>
      <c r="G2259">
        <v>3.94</v>
      </c>
      <c r="H2259">
        <v>3.15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0</v>
      </c>
    </row>
    <row r="2260" spans="1:15" x14ac:dyDescent="0.25">
      <c r="A2260" s="11">
        <v>43704.058912037035</v>
      </c>
      <c r="B2260" t="s">
        <v>2401</v>
      </c>
      <c r="C2260" t="s">
        <v>2383</v>
      </c>
      <c r="D2260" t="s">
        <v>2381</v>
      </c>
      <c r="E2260" t="s">
        <v>2792</v>
      </c>
      <c r="F2260">
        <v>3.62</v>
      </c>
      <c r="G2260">
        <v>3.94</v>
      </c>
      <c r="H2260">
        <v>3.15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0</v>
      </c>
    </row>
    <row r="2261" spans="1:15" x14ac:dyDescent="0.25">
      <c r="A2261" s="11">
        <v>43704.058912037035</v>
      </c>
      <c r="B2261" t="s">
        <v>2401</v>
      </c>
      <c r="C2261" t="s">
        <v>2383</v>
      </c>
      <c r="D2261" t="s">
        <v>2388</v>
      </c>
      <c r="E2261" t="s">
        <v>2793</v>
      </c>
      <c r="F2261">
        <v>3.62</v>
      </c>
      <c r="G2261">
        <v>3.94</v>
      </c>
      <c r="H2261">
        <v>3.15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0</v>
      </c>
    </row>
    <row r="2262" spans="1:15" x14ac:dyDescent="0.25">
      <c r="A2262" s="11">
        <v>43704.058912037035</v>
      </c>
      <c r="B2262" t="s">
        <v>2401</v>
      </c>
      <c r="C2262" t="s">
        <v>2383</v>
      </c>
      <c r="D2262" t="s">
        <v>2389</v>
      </c>
      <c r="E2262" s="12" t="s">
        <v>2385</v>
      </c>
      <c r="F2262">
        <v>3.62</v>
      </c>
      <c r="G2262">
        <v>3.94</v>
      </c>
      <c r="H2262">
        <v>3.15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0</v>
      </c>
    </row>
    <row r="2263" spans="1:15" x14ac:dyDescent="0.25">
      <c r="A2263" s="11">
        <v>43704.058923611112</v>
      </c>
      <c r="B2263" t="s">
        <v>2401</v>
      </c>
      <c r="C2263" t="s">
        <v>2779</v>
      </c>
      <c r="E2263" t="s">
        <v>2378</v>
      </c>
      <c r="F2263">
        <v>3.62</v>
      </c>
      <c r="G2263">
        <v>3.94</v>
      </c>
      <c r="H2263">
        <v>3.15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0</v>
      </c>
    </row>
    <row r="2264" spans="1:15" x14ac:dyDescent="0.25">
      <c r="A2264" s="11">
        <v>43704.961226851854</v>
      </c>
      <c r="B2264" t="s">
        <v>2401</v>
      </c>
      <c r="C2264" t="s">
        <v>2794</v>
      </c>
      <c r="E2264" t="s">
        <v>2378</v>
      </c>
      <c r="F2264">
        <v>3.63</v>
      </c>
      <c r="G2264">
        <v>3.94</v>
      </c>
      <c r="H2264">
        <v>3.15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0</v>
      </c>
    </row>
    <row r="2265" spans="1:15" x14ac:dyDescent="0.25">
      <c r="A2265" s="11">
        <v>43704.961331018516</v>
      </c>
      <c r="B2265" t="s">
        <v>2401</v>
      </c>
      <c r="C2265" t="s">
        <v>2794</v>
      </c>
      <c r="E2265" t="s">
        <v>2378</v>
      </c>
      <c r="F2265">
        <v>3.63</v>
      </c>
      <c r="G2265">
        <v>3.94</v>
      </c>
      <c r="H2265">
        <v>3.15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0</v>
      </c>
    </row>
    <row r="2266" spans="1:15" x14ac:dyDescent="0.25">
      <c r="A2266" s="11">
        <v>43704.961458333331</v>
      </c>
      <c r="B2266" t="s">
        <v>2401</v>
      </c>
      <c r="C2266" t="s">
        <v>2795</v>
      </c>
      <c r="D2266" t="s">
        <v>2431</v>
      </c>
      <c r="E2266" t="s">
        <v>2378</v>
      </c>
      <c r="F2266">
        <v>3.63</v>
      </c>
      <c r="G2266">
        <v>3.94</v>
      </c>
      <c r="H2266">
        <v>3.15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0</v>
      </c>
    </row>
    <row r="2267" spans="1:15" x14ac:dyDescent="0.25">
      <c r="A2267" s="11">
        <v>43704.961539351854</v>
      </c>
      <c r="B2267" t="s">
        <v>2401</v>
      </c>
      <c r="C2267" t="s">
        <v>2795</v>
      </c>
      <c r="E2267" t="s">
        <v>2378</v>
      </c>
      <c r="F2267">
        <v>3.63</v>
      </c>
      <c r="G2267">
        <v>3.94</v>
      </c>
      <c r="H2267">
        <v>3.15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11">
        <v>43704.961643518516</v>
      </c>
      <c r="B2268" t="s">
        <v>2401</v>
      </c>
      <c r="C2268" t="s">
        <v>2795</v>
      </c>
      <c r="D2268" t="s">
        <v>2431</v>
      </c>
      <c r="E2268" t="s">
        <v>2378</v>
      </c>
      <c r="F2268">
        <v>3.63</v>
      </c>
      <c r="G2268">
        <v>3.94</v>
      </c>
      <c r="H2268">
        <v>3.15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11">
        <v>43704.961724537039</v>
      </c>
      <c r="B2269" t="s">
        <v>2401</v>
      </c>
      <c r="C2269" t="s">
        <v>2794</v>
      </c>
      <c r="E2269" t="s">
        <v>2378</v>
      </c>
      <c r="F2269">
        <v>3.63</v>
      </c>
      <c r="G2269">
        <v>3.94</v>
      </c>
      <c r="H2269">
        <v>3.15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11">
        <v>43704.961817129632</v>
      </c>
      <c r="B2270" t="s">
        <v>2401</v>
      </c>
      <c r="C2270" t="s">
        <v>2794</v>
      </c>
      <c r="E2270" t="s">
        <v>2378</v>
      </c>
      <c r="F2270">
        <v>3.63</v>
      </c>
      <c r="G2270">
        <v>3.94</v>
      </c>
      <c r="H2270">
        <v>3.15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11">
        <v>43704.96193287037</v>
      </c>
      <c r="B2271" t="s">
        <v>2401</v>
      </c>
      <c r="C2271" t="s">
        <v>2794</v>
      </c>
      <c r="E2271" t="s">
        <v>2378</v>
      </c>
      <c r="F2271">
        <v>3.63</v>
      </c>
      <c r="G2271">
        <v>3.94</v>
      </c>
      <c r="H2271">
        <v>3.15</v>
      </c>
      <c r="I2271">
        <v>1</v>
      </c>
      <c r="J2271" t="b">
        <v>0</v>
      </c>
      <c r="K2271" t="b">
        <v>1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11">
        <v>43704.970312500001</v>
      </c>
      <c r="B2272" t="s">
        <v>2401</v>
      </c>
      <c r="C2272" t="s">
        <v>2794</v>
      </c>
      <c r="E2272" t="s">
        <v>2378</v>
      </c>
      <c r="F2272">
        <v>3.63</v>
      </c>
      <c r="G2272">
        <v>3.94</v>
      </c>
      <c r="H2272">
        <v>3.15</v>
      </c>
      <c r="I2272">
        <v>1</v>
      </c>
      <c r="J2272" t="b">
        <v>0</v>
      </c>
      <c r="K2272" t="b">
        <v>1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11">
        <v>43704.972187500003</v>
      </c>
      <c r="B2273" t="s">
        <v>2401</v>
      </c>
      <c r="C2273" t="s">
        <v>2794</v>
      </c>
      <c r="E2273" t="s">
        <v>2378</v>
      </c>
      <c r="F2273">
        <v>3.63</v>
      </c>
      <c r="G2273">
        <v>3.94</v>
      </c>
      <c r="H2273">
        <v>3.15</v>
      </c>
      <c r="I2273">
        <v>1</v>
      </c>
      <c r="J2273" t="b">
        <v>0</v>
      </c>
      <c r="K2273" t="b">
        <v>1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11">
        <v>43704.972303240742</v>
      </c>
      <c r="B2274" t="s">
        <v>2401</v>
      </c>
      <c r="C2274" t="s">
        <v>2794</v>
      </c>
      <c r="E2274" t="s">
        <v>2378</v>
      </c>
      <c r="F2274">
        <v>3.63</v>
      </c>
      <c r="G2274">
        <v>3.94</v>
      </c>
      <c r="H2274">
        <v>3.15</v>
      </c>
      <c r="I2274">
        <v>1</v>
      </c>
      <c r="J2274" t="b">
        <v>0</v>
      </c>
      <c r="K2274" t="b">
        <v>1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11">
        <v>43704.981203703705</v>
      </c>
      <c r="B2275" t="s">
        <v>2401</v>
      </c>
      <c r="C2275" t="s">
        <v>2794</v>
      </c>
      <c r="E2275" t="s">
        <v>2378</v>
      </c>
      <c r="F2275">
        <v>3.63</v>
      </c>
      <c r="G2275">
        <v>3.94</v>
      </c>
      <c r="H2275">
        <v>3.15</v>
      </c>
      <c r="I2275">
        <v>1</v>
      </c>
      <c r="J2275" t="b">
        <v>0</v>
      </c>
      <c r="K2275" t="b">
        <v>0</v>
      </c>
      <c r="L2275" t="b">
        <v>1</v>
      </c>
      <c r="M2275" t="b">
        <v>0</v>
      </c>
      <c r="N2275" t="b">
        <v>1</v>
      </c>
      <c r="O2275" t="b">
        <v>1</v>
      </c>
    </row>
    <row r="2276" spans="1:15" x14ac:dyDescent="0.25">
      <c r="A2276" s="11">
        <v>43704.984398148146</v>
      </c>
      <c r="B2276" t="s">
        <v>2401</v>
      </c>
      <c r="C2276" t="s">
        <v>2794</v>
      </c>
      <c r="E2276" t="s">
        <v>2378</v>
      </c>
      <c r="F2276">
        <v>3.63</v>
      </c>
      <c r="G2276">
        <v>3.94</v>
      </c>
      <c r="H2276">
        <v>3.15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11">
        <v>43704.984791666669</v>
      </c>
      <c r="B2277" t="s">
        <v>2401</v>
      </c>
      <c r="C2277" t="s">
        <v>2794</v>
      </c>
      <c r="E2277" t="s">
        <v>2378</v>
      </c>
      <c r="F2277">
        <v>3.63</v>
      </c>
      <c r="G2277">
        <v>3.94</v>
      </c>
      <c r="H2277">
        <v>3.15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11">
        <v>43704.985219907408</v>
      </c>
      <c r="B2278" t="s">
        <v>2401</v>
      </c>
      <c r="C2278" t="s">
        <v>2794</v>
      </c>
      <c r="E2278" t="s">
        <v>2378</v>
      </c>
      <c r="F2278">
        <v>3.63</v>
      </c>
      <c r="G2278">
        <v>3.94</v>
      </c>
      <c r="H2278">
        <v>3.15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0</v>
      </c>
    </row>
    <row r="2279" spans="1:15" x14ac:dyDescent="0.25">
      <c r="A2279" s="11">
        <v>43704.98542824074</v>
      </c>
      <c r="B2279" t="s">
        <v>2401</v>
      </c>
      <c r="C2279" t="s">
        <v>2796</v>
      </c>
      <c r="D2279" t="s">
        <v>2435</v>
      </c>
      <c r="E2279" t="s">
        <v>2378</v>
      </c>
      <c r="F2279">
        <v>3.63</v>
      </c>
      <c r="G2279">
        <v>3.94</v>
      </c>
      <c r="H2279">
        <v>3.15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0</v>
      </c>
    </row>
    <row r="2280" spans="1:15" x14ac:dyDescent="0.25">
      <c r="A2280" s="11">
        <v>43704.985659722224</v>
      </c>
      <c r="B2280" t="s">
        <v>2401</v>
      </c>
      <c r="C2280" t="s">
        <v>2796</v>
      </c>
      <c r="E2280" t="s">
        <v>2378</v>
      </c>
      <c r="F2280">
        <v>3.63</v>
      </c>
      <c r="G2280">
        <v>3.94</v>
      </c>
      <c r="H2280">
        <v>3.15</v>
      </c>
      <c r="I2280">
        <v>1</v>
      </c>
      <c r="J2280" t="b">
        <v>0</v>
      </c>
      <c r="K2280" t="b">
        <v>0</v>
      </c>
      <c r="L2280" t="b">
        <v>0</v>
      </c>
      <c r="M2280" t="b">
        <v>1</v>
      </c>
      <c r="N2280" t="b">
        <v>1</v>
      </c>
      <c r="O2280" t="b">
        <v>0</v>
      </c>
    </row>
    <row r="2281" spans="1:15" x14ac:dyDescent="0.25">
      <c r="A2281" s="11">
        <v>43704.986967592595</v>
      </c>
      <c r="B2281" t="s">
        <v>2401</v>
      </c>
      <c r="C2281" t="s">
        <v>2796</v>
      </c>
      <c r="E2281" t="s">
        <v>2378</v>
      </c>
      <c r="F2281">
        <v>3.63</v>
      </c>
      <c r="G2281">
        <v>3.94</v>
      </c>
      <c r="H2281">
        <v>3.15</v>
      </c>
      <c r="I2281">
        <v>1</v>
      </c>
      <c r="J2281" t="b">
        <v>0</v>
      </c>
      <c r="K2281" t="b">
        <v>0</v>
      </c>
      <c r="L2281" t="b">
        <v>0</v>
      </c>
      <c r="M2281" t="b">
        <v>1</v>
      </c>
      <c r="N2281" t="b">
        <v>1</v>
      </c>
      <c r="O2281" t="b">
        <v>0</v>
      </c>
    </row>
    <row r="2282" spans="1:15" x14ac:dyDescent="0.25">
      <c r="A2282" s="11">
        <v>43704.98710648148</v>
      </c>
      <c r="B2282" t="s">
        <v>2401</v>
      </c>
      <c r="C2282" t="s">
        <v>2796</v>
      </c>
      <c r="E2282" t="s">
        <v>2378</v>
      </c>
      <c r="F2282">
        <v>3.63</v>
      </c>
      <c r="G2282">
        <v>3.94</v>
      </c>
      <c r="H2282">
        <v>3.15</v>
      </c>
      <c r="I2282">
        <v>1</v>
      </c>
      <c r="J2282" t="b">
        <v>0</v>
      </c>
      <c r="K2282" t="b">
        <v>1</v>
      </c>
      <c r="L2282" t="b">
        <v>0</v>
      </c>
      <c r="M2282" t="b">
        <v>1</v>
      </c>
      <c r="N2282" t="b">
        <v>1</v>
      </c>
      <c r="O2282" t="b">
        <v>0</v>
      </c>
    </row>
    <row r="2283" spans="1:15" x14ac:dyDescent="0.25">
      <c r="A2283" s="11">
        <v>43704.987187500003</v>
      </c>
      <c r="B2283" t="s">
        <v>2401</v>
      </c>
      <c r="C2283" t="s">
        <v>2796</v>
      </c>
      <c r="E2283" t="s">
        <v>2378</v>
      </c>
      <c r="F2283">
        <v>3.63</v>
      </c>
      <c r="G2283">
        <v>3.94</v>
      </c>
      <c r="H2283">
        <v>3.15</v>
      </c>
      <c r="I2283">
        <v>1</v>
      </c>
      <c r="J2283" t="b">
        <v>0</v>
      </c>
      <c r="K2283" t="b">
        <v>1</v>
      </c>
      <c r="L2283" t="b">
        <v>1</v>
      </c>
      <c r="M2283" t="b">
        <v>1</v>
      </c>
      <c r="N2283" t="b">
        <v>1</v>
      </c>
      <c r="O2283" t="b">
        <v>0</v>
      </c>
    </row>
    <row r="2284" spans="1:15" x14ac:dyDescent="0.25">
      <c r="A2284" s="11">
        <v>43704.990208333336</v>
      </c>
      <c r="B2284" t="s">
        <v>2401</v>
      </c>
      <c r="C2284" t="s">
        <v>2450</v>
      </c>
      <c r="D2284" t="s">
        <v>2429</v>
      </c>
      <c r="E2284">
        <v>0</v>
      </c>
      <c r="F2284">
        <v>3.63</v>
      </c>
      <c r="G2284">
        <v>3.94</v>
      </c>
      <c r="H2284">
        <v>3.15</v>
      </c>
      <c r="I2284">
        <v>0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0</v>
      </c>
    </row>
    <row r="2285" spans="1:15" x14ac:dyDescent="0.25">
      <c r="A2285" s="11">
        <v>43704.990254629629</v>
      </c>
      <c r="B2285" t="s">
        <v>2401</v>
      </c>
      <c r="C2285" t="s">
        <v>2450</v>
      </c>
      <c r="D2285" t="s">
        <v>2429</v>
      </c>
      <c r="E2285">
        <v>0</v>
      </c>
      <c r="F2285">
        <v>3.63</v>
      </c>
      <c r="G2285">
        <v>3.94</v>
      </c>
      <c r="H2285">
        <v>3.15</v>
      </c>
      <c r="I2285">
        <v>0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0</v>
      </c>
    </row>
    <row r="2286" spans="1:15" x14ac:dyDescent="0.25">
      <c r="A2286" s="11">
        <v>43704.990567129629</v>
      </c>
      <c r="B2286" t="s">
        <v>2401</v>
      </c>
      <c r="C2286" t="s">
        <v>2450</v>
      </c>
      <c r="D2286" t="s">
        <v>2429</v>
      </c>
      <c r="E2286">
        <v>0</v>
      </c>
      <c r="F2286">
        <v>3.63</v>
      </c>
      <c r="G2286">
        <v>3.94</v>
      </c>
      <c r="H2286">
        <v>3.15</v>
      </c>
      <c r="I2286">
        <v>0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0</v>
      </c>
    </row>
    <row r="2287" spans="1:15" x14ac:dyDescent="0.25">
      <c r="A2287" s="11">
        <v>43705.865173611113</v>
      </c>
      <c r="B2287" t="s">
        <v>2407</v>
      </c>
      <c r="C2287" t="s">
        <v>2450</v>
      </c>
      <c r="D2287" t="s">
        <v>2429</v>
      </c>
      <c r="E2287">
        <v>0</v>
      </c>
      <c r="F2287">
        <v>3.63</v>
      </c>
      <c r="G2287">
        <v>3.94</v>
      </c>
      <c r="H2287">
        <v>3.15</v>
      </c>
      <c r="I2287">
        <v>0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0</v>
      </c>
    </row>
    <row r="2288" spans="1:15" x14ac:dyDescent="0.25">
      <c r="A2288" s="11">
        <v>43705.865219907406</v>
      </c>
      <c r="B2288" t="s">
        <v>2407</v>
      </c>
      <c r="C2288" t="s">
        <v>2383</v>
      </c>
      <c r="D2288" t="s">
        <v>2382</v>
      </c>
      <c r="E2288" t="s">
        <v>2379</v>
      </c>
      <c r="F2288">
        <v>3.63</v>
      </c>
      <c r="G2288">
        <v>3.94</v>
      </c>
      <c r="H2288">
        <v>3.15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0</v>
      </c>
    </row>
    <row r="2289" spans="1:15" x14ac:dyDescent="0.25">
      <c r="A2289" s="11">
        <v>43705.865243055552</v>
      </c>
      <c r="B2289" t="s">
        <v>2407</v>
      </c>
      <c r="C2289" t="s">
        <v>2811</v>
      </c>
      <c r="D2289" t="s">
        <v>2390</v>
      </c>
      <c r="F2289">
        <v>3.63</v>
      </c>
      <c r="G2289">
        <v>3.94</v>
      </c>
      <c r="H2289">
        <v>3.15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0</v>
      </c>
    </row>
    <row r="2290" spans="1:15" x14ac:dyDescent="0.25">
      <c r="A2290" s="11">
        <v>43705.865254629629</v>
      </c>
      <c r="B2290" t="s">
        <v>2407</v>
      </c>
      <c r="C2290" t="s">
        <v>2779</v>
      </c>
      <c r="D2290" t="s">
        <v>2382</v>
      </c>
      <c r="E2290" t="s">
        <v>2379</v>
      </c>
      <c r="F2290">
        <v>3.63</v>
      </c>
      <c r="G2290">
        <v>3.94</v>
      </c>
      <c r="H2290">
        <v>3.15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0</v>
      </c>
    </row>
    <row r="2291" spans="1:15" x14ac:dyDescent="0.25">
      <c r="A2291" s="11">
        <v>43705.865416666667</v>
      </c>
      <c r="B2291" t="s">
        <v>2407</v>
      </c>
      <c r="C2291" t="s">
        <v>2811</v>
      </c>
      <c r="D2291" t="s">
        <v>2390</v>
      </c>
      <c r="F2291">
        <v>3.63</v>
      </c>
      <c r="G2291">
        <v>3.94</v>
      </c>
      <c r="H2291">
        <v>3.15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0</v>
      </c>
    </row>
    <row r="2292" spans="1:15" x14ac:dyDescent="0.25">
      <c r="A2292" s="11">
        <v>43705.865428240744</v>
      </c>
      <c r="B2292" t="s">
        <v>2407</v>
      </c>
      <c r="C2292" t="s">
        <v>2827</v>
      </c>
      <c r="D2292" t="s">
        <v>2390</v>
      </c>
      <c r="E2292" t="s">
        <v>2828</v>
      </c>
      <c r="F2292">
        <v>3.63</v>
      </c>
      <c r="G2292">
        <v>3.94</v>
      </c>
      <c r="H2292">
        <v>3.15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0</v>
      </c>
    </row>
    <row r="2293" spans="1:15" x14ac:dyDescent="0.25">
      <c r="A2293" s="11">
        <v>43705.865428240744</v>
      </c>
      <c r="B2293" t="s">
        <v>2407</v>
      </c>
      <c r="C2293" t="s">
        <v>2829</v>
      </c>
      <c r="D2293" t="s">
        <v>2390</v>
      </c>
      <c r="E2293" t="s">
        <v>2828</v>
      </c>
      <c r="F2293">
        <v>3.63</v>
      </c>
      <c r="G2293">
        <v>3.94</v>
      </c>
      <c r="H2293">
        <v>3.15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0</v>
      </c>
    </row>
    <row r="2294" spans="1:15" x14ac:dyDescent="0.25">
      <c r="A2294" s="11">
        <v>43705.865428240744</v>
      </c>
      <c r="B2294" t="s">
        <v>2407</v>
      </c>
      <c r="C2294" t="s">
        <v>2830</v>
      </c>
      <c r="D2294" t="s">
        <v>2390</v>
      </c>
      <c r="E2294" t="s">
        <v>2831</v>
      </c>
      <c r="F2294">
        <v>3.63</v>
      </c>
      <c r="G2294">
        <v>3.94</v>
      </c>
      <c r="H2294">
        <v>3.15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0</v>
      </c>
    </row>
    <row r="2295" spans="1:15" x14ac:dyDescent="0.25">
      <c r="A2295" s="11">
        <v>43705.865428240744</v>
      </c>
      <c r="B2295" t="s">
        <v>2407</v>
      </c>
      <c r="C2295" t="s">
        <v>2832</v>
      </c>
      <c r="D2295" t="s">
        <v>2390</v>
      </c>
      <c r="E2295" t="s">
        <v>2833</v>
      </c>
      <c r="F2295">
        <v>3.63</v>
      </c>
      <c r="G2295">
        <v>3.94</v>
      </c>
      <c r="H2295">
        <v>3.15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0</v>
      </c>
    </row>
    <row r="2296" spans="1:15" x14ac:dyDescent="0.25">
      <c r="A2296" s="11">
        <v>43705.865428240744</v>
      </c>
      <c r="B2296" t="s">
        <v>2407</v>
      </c>
      <c r="C2296" t="s">
        <v>2834</v>
      </c>
      <c r="D2296" t="s">
        <v>2390</v>
      </c>
      <c r="E2296" t="s">
        <v>2835</v>
      </c>
      <c r="F2296">
        <v>3.63</v>
      </c>
      <c r="G2296">
        <v>3.94</v>
      </c>
      <c r="H2296">
        <v>3.15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0</v>
      </c>
    </row>
    <row r="2297" spans="1:15" x14ac:dyDescent="0.25">
      <c r="A2297" s="11">
        <v>43705.865428240744</v>
      </c>
      <c r="B2297" t="s">
        <v>2407</v>
      </c>
      <c r="C2297" t="s">
        <v>2836</v>
      </c>
      <c r="D2297" t="s">
        <v>2390</v>
      </c>
      <c r="E2297" t="s">
        <v>2837</v>
      </c>
      <c r="F2297">
        <v>3.63</v>
      </c>
      <c r="G2297">
        <v>3.94</v>
      </c>
      <c r="H2297">
        <v>3.15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0</v>
      </c>
    </row>
    <row r="2298" spans="1:15" x14ac:dyDescent="0.25">
      <c r="A2298" s="11">
        <v>43705.865428240744</v>
      </c>
      <c r="B2298" t="s">
        <v>2407</v>
      </c>
      <c r="C2298" t="s">
        <v>2838</v>
      </c>
      <c r="D2298" t="s">
        <v>2390</v>
      </c>
      <c r="E2298" t="s">
        <v>2837</v>
      </c>
      <c r="F2298">
        <v>3.63</v>
      </c>
      <c r="G2298">
        <v>3.94</v>
      </c>
      <c r="H2298">
        <v>3.15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0</v>
      </c>
    </row>
    <row r="2299" spans="1:15" x14ac:dyDescent="0.25">
      <c r="A2299" s="11">
        <v>43705.865428240744</v>
      </c>
      <c r="B2299" t="s">
        <v>2407</v>
      </c>
      <c r="C2299" t="s">
        <v>2839</v>
      </c>
      <c r="D2299" t="s">
        <v>2390</v>
      </c>
      <c r="E2299" t="s">
        <v>2840</v>
      </c>
      <c r="F2299">
        <v>3.63</v>
      </c>
      <c r="G2299">
        <v>3.94</v>
      </c>
      <c r="H2299">
        <v>3.15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0</v>
      </c>
    </row>
    <row r="2300" spans="1:15" x14ac:dyDescent="0.25">
      <c r="A2300" s="11">
        <v>43705.865428240744</v>
      </c>
      <c r="B2300" t="s">
        <v>2407</v>
      </c>
      <c r="C2300" t="s">
        <v>2841</v>
      </c>
      <c r="D2300" t="s">
        <v>2390</v>
      </c>
      <c r="E2300" t="s">
        <v>2842</v>
      </c>
      <c r="F2300">
        <v>3.63</v>
      </c>
      <c r="G2300">
        <v>3.94</v>
      </c>
      <c r="H2300">
        <v>3.15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0</v>
      </c>
    </row>
    <row r="2301" spans="1:15" x14ac:dyDescent="0.25">
      <c r="A2301" s="11">
        <v>43705.865428240744</v>
      </c>
      <c r="B2301" t="s">
        <v>2407</v>
      </c>
      <c r="C2301" t="s">
        <v>2843</v>
      </c>
      <c r="D2301" t="s">
        <v>2390</v>
      </c>
      <c r="E2301" t="s">
        <v>2844</v>
      </c>
      <c r="F2301">
        <v>3.63</v>
      </c>
      <c r="G2301">
        <v>3.94</v>
      </c>
      <c r="H2301">
        <v>3.15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0</v>
      </c>
    </row>
    <row r="2302" spans="1:15" x14ac:dyDescent="0.25">
      <c r="A2302" s="11">
        <v>43705.865428240744</v>
      </c>
      <c r="B2302" t="s">
        <v>2407</v>
      </c>
      <c r="C2302" t="s">
        <v>2383</v>
      </c>
      <c r="D2302" t="s">
        <v>2384</v>
      </c>
      <c r="E2302" s="12" t="s">
        <v>2385</v>
      </c>
      <c r="F2302">
        <v>3.63</v>
      </c>
      <c r="G2302">
        <v>3.94</v>
      </c>
      <c r="H2302">
        <v>3.15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0</v>
      </c>
    </row>
    <row r="2303" spans="1:15" x14ac:dyDescent="0.25">
      <c r="A2303" s="11">
        <v>43705.865428240744</v>
      </c>
      <c r="B2303" t="s">
        <v>2407</v>
      </c>
      <c r="C2303" t="s">
        <v>2383</v>
      </c>
      <c r="D2303" t="s">
        <v>2386</v>
      </c>
      <c r="E2303" t="s">
        <v>2845</v>
      </c>
      <c r="F2303">
        <v>3.63</v>
      </c>
      <c r="G2303">
        <v>3.94</v>
      </c>
      <c r="H2303">
        <v>3.15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0</v>
      </c>
    </row>
    <row r="2304" spans="1:15" x14ac:dyDescent="0.25">
      <c r="A2304" s="11">
        <v>43705.865428240744</v>
      </c>
      <c r="B2304" t="s">
        <v>2407</v>
      </c>
      <c r="C2304" t="s">
        <v>2383</v>
      </c>
      <c r="D2304" t="s">
        <v>2387</v>
      </c>
      <c r="E2304" t="s">
        <v>2846</v>
      </c>
      <c r="F2304">
        <v>3.63</v>
      </c>
      <c r="G2304">
        <v>3.94</v>
      </c>
      <c r="H2304">
        <v>3.15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0</v>
      </c>
    </row>
    <row r="2305" spans="1:15" x14ac:dyDescent="0.25">
      <c r="A2305" s="11">
        <v>43705.865428240744</v>
      </c>
      <c r="B2305" t="s">
        <v>2407</v>
      </c>
      <c r="C2305" t="s">
        <v>2383</v>
      </c>
      <c r="D2305" t="s">
        <v>2381</v>
      </c>
      <c r="E2305" t="s">
        <v>2847</v>
      </c>
      <c r="F2305">
        <v>3.63</v>
      </c>
      <c r="G2305">
        <v>3.94</v>
      </c>
      <c r="H2305">
        <v>3.15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0</v>
      </c>
    </row>
    <row r="2306" spans="1:15" x14ac:dyDescent="0.25">
      <c r="A2306" s="11">
        <v>43705.865428240744</v>
      </c>
      <c r="B2306" t="s">
        <v>2407</v>
      </c>
      <c r="C2306" t="s">
        <v>2383</v>
      </c>
      <c r="D2306" t="s">
        <v>2388</v>
      </c>
      <c r="E2306" t="s">
        <v>2848</v>
      </c>
      <c r="F2306">
        <v>3.63</v>
      </c>
      <c r="G2306">
        <v>3.94</v>
      </c>
      <c r="H2306">
        <v>3.15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0</v>
      </c>
    </row>
    <row r="2307" spans="1:15" x14ac:dyDescent="0.25">
      <c r="A2307" s="11">
        <v>43705.865428240744</v>
      </c>
      <c r="B2307" t="s">
        <v>2407</v>
      </c>
      <c r="C2307" t="s">
        <v>2383</v>
      </c>
      <c r="D2307" t="s">
        <v>2389</v>
      </c>
      <c r="E2307" s="12" t="s">
        <v>2385</v>
      </c>
      <c r="F2307">
        <v>3.63</v>
      </c>
      <c r="G2307">
        <v>3.94</v>
      </c>
      <c r="H2307">
        <v>3.15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0</v>
      </c>
    </row>
    <row r="2308" spans="1:15" x14ac:dyDescent="0.25">
      <c r="A2308" s="11">
        <v>43705.865439814814</v>
      </c>
      <c r="B2308" t="s">
        <v>2407</v>
      </c>
      <c r="C2308" t="s">
        <v>2779</v>
      </c>
      <c r="D2308" t="s">
        <v>2382</v>
      </c>
      <c r="E2308" t="s">
        <v>2378</v>
      </c>
      <c r="F2308">
        <v>3.63</v>
      </c>
      <c r="G2308">
        <v>3.94</v>
      </c>
      <c r="H2308">
        <v>3.15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0</v>
      </c>
    </row>
    <row r="2309" spans="1:15" x14ac:dyDescent="0.25">
      <c r="A2309" s="11">
        <v>43705.865937499999</v>
      </c>
      <c r="B2309" t="s">
        <v>2407</v>
      </c>
      <c r="C2309" t="s">
        <v>2811</v>
      </c>
      <c r="D2309" t="s">
        <v>2390</v>
      </c>
      <c r="F2309">
        <v>3.63</v>
      </c>
      <c r="G2309">
        <v>3.94</v>
      </c>
      <c r="H2309">
        <v>3.15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0</v>
      </c>
    </row>
    <row r="2310" spans="1:15" x14ac:dyDescent="0.25">
      <c r="A2310" s="11">
        <v>43705.865949074076</v>
      </c>
      <c r="B2310" t="s">
        <v>2407</v>
      </c>
      <c r="C2310" t="s">
        <v>2827</v>
      </c>
      <c r="D2310" t="s">
        <v>2390</v>
      </c>
      <c r="E2310" t="s">
        <v>2828</v>
      </c>
      <c r="F2310">
        <v>3.63</v>
      </c>
      <c r="G2310">
        <v>3.94</v>
      </c>
      <c r="H2310">
        <v>3.15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0</v>
      </c>
    </row>
    <row r="2311" spans="1:15" x14ac:dyDescent="0.25">
      <c r="A2311" s="11">
        <v>43705.865949074076</v>
      </c>
      <c r="B2311" t="s">
        <v>2407</v>
      </c>
      <c r="C2311" t="s">
        <v>2829</v>
      </c>
      <c r="D2311" t="s">
        <v>2390</v>
      </c>
      <c r="E2311" t="s">
        <v>2828</v>
      </c>
      <c r="F2311">
        <v>3.63</v>
      </c>
      <c r="G2311">
        <v>3.94</v>
      </c>
      <c r="H2311">
        <v>3.15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0</v>
      </c>
    </row>
    <row r="2312" spans="1:15" x14ac:dyDescent="0.25">
      <c r="A2312" s="11">
        <v>43705.865949074076</v>
      </c>
      <c r="B2312" t="s">
        <v>2407</v>
      </c>
      <c r="C2312" t="s">
        <v>2830</v>
      </c>
      <c r="D2312" t="s">
        <v>2390</v>
      </c>
      <c r="E2312" t="s">
        <v>2831</v>
      </c>
      <c r="F2312">
        <v>3.63</v>
      </c>
      <c r="G2312">
        <v>3.94</v>
      </c>
      <c r="H2312">
        <v>3.15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0</v>
      </c>
    </row>
    <row r="2313" spans="1:15" x14ac:dyDescent="0.25">
      <c r="A2313" s="11">
        <v>43705.865949074076</v>
      </c>
      <c r="B2313" t="s">
        <v>2407</v>
      </c>
      <c r="C2313" t="s">
        <v>2832</v>
      </c>
      <c r="D2313" t="s">
        <v>2390</v>
      </c>
      <c r="E2313" t="s">
        <v>2833</v>
      </c>
      <c r="F2313">
        <v>3.63</v>
      </c>
      <c r="G2313">
        <v>3.94</v>
      </c>
      <c r="H2313">
        <v>3.15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0</v>
      </c>
    </row>
    <row r="2314" spans="1:15" x14ac:dyDescent="0.25">
      <c r="A2314" s="11">
        <v>43705.865960648145</v>
      </c>
      <c r="B2314" t="s">
        <v>2407</v>
      </c>
      <c r="C2314" t="s">
        <v>2834</v>
      </c>
      <c r="D2314" t="s">
        <v>2390</v>
      </c>
      <c r="E2314" t="s">
        <v>2835</v>
      </c>
      <c r="F2314">
        <v>3.63</v>
      </c>
      <c r="G2314">
        <v>3.94</v>
      </c>
      <c r="H2314">
        <v>3.15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0</v>
      </c>
    </row>
    <row r="2315" spans="1:15" x14ac:dyDescent="0.25">
      <c r="A2315" s="11">
        <v>43705.865960648145</v>
      </c>
      <c r="B2315" t="s">
        <v>2407</v>
      </c>
      <c r="C2315" t="s">
        <v>2836</v>
      </c>
      <c r="D2315" t="s">
        <v>2390</v>
      </c>
      <c r="E2315" t="s">
        <v>2837</v>
      </c>
      <c r="F2315">
        <v>3.63</v>
      </c>
      <c r="G2315">
        <v>3.94</v>
      </c>
      <c r="H2315">
        <v>3.15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0</v>
      </c>
    </row>
    <row r="2316" spans="1:15" x14ac:dyDescent="0.25">
      <c r="A2316" s="11">
        <v>43705.865960648145</v>
      </c>
      <c r="B2316" t="s">
        <v>2407</v>
      </c>
      <c r="C2316" t="s">
        <v>2838</v>
      </c>
      <c r="D2316" t="s">
        <v>2390</v>
      </c>
      <c r="E2316" t="s">
        <v>2837</v>
      </c>
      <c r="F2316">
        <v>3.63</v>
      </c>
      <c r="G2316">
        <v>3.94</v>
      </c>
      <c r="H2316">
        <v>3.15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0</v>
      </c>
    </row>
    <row r="2317" spans="1:15" x14ac:dyDescent="0.25">
      <c r="A2317" s="11">
        <v>43705.865960648145</v>
      </c>
      <c r="B2317" t="s">
        <v>2407</v>
      </c>
      <c r="C2317" t="s">
        <v>2839</v>
      </c>
      <c r="D2317" t="s">
        <v>2390</v>
      </c>
      <c r="E2317" t="s">
        <v>2840</v>
      </c>
      <c r="F2317">
        <v>3.63</v>
      </c>
      <c r="G2317">
        <v>3.94</v>
      </c>
      <c r="H2317">
        <v>3.15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0</v>
      </c>
    </row>
    <row r="2318" spans="1:15" x14ac:dyDescent="0.25">
      <c r="A2318" s="11">
        <v>43705.865960648145</v>
      </c>
      <c r="B2318" t="s">
        <v>2407</v>
      </c>
      <c r="C2318" t="s">
        <v>2841</v>
      </c>
      <c r="D2318" t="s">
        <v>2390</v>
      </c>
      <c r="E2318" t="s">
        <v>2842</v>
      </c>
      <c r="F2318">
        <v>3.63</v>
      </c>
      <c r="G2318">
        <v>3.94</v>
      </c>
      <c r="H2318">
        <v>3.15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0</v>
      </c>
    </row>
    <row r="2319" spans="1:15" x14ac:dyDescent="0.25">
      <c r="A2319" s="11">
        <v>43705.865960648145</v>
      </c>
      <c r="B2319" t="s">
        <v>2407</v>
      </c>
      <c r="C2319" t="s">
        <v>2843</v>
      </c>
      <c r="D2319" t="s">
        <v>2390</v>
      </c>
      <c r="E2319" t="s">
        <v>2844</v>
      </c>
      <c r="F2319">
        <v>3.63</v>
      </c>
      <c r="G2319">
        <v>3.94</v>
      </c>
      <c r="H2319">
        <v>3.15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0</v>
      </c>
    </row>
    <row r="2320" spans="1:15" x14ac:dyDescent="0.25">
      <c r="A2320" s="11">
        <v>43705.865960648145</v>
      </c>
      <c r="B2320" t="s">
        <v>2407</v>
      </c>
      <c r="C2320" t="s">
        <v>2383</v>
      </c>
      <c r="D2320" t="s">
        <v>2384</v>
      </c>
      <c r="E2320" s="12" t="s">
        <v>2385</v>
      </c>
      <c r="F2320">
        <v>3.63</v>
      </c>
      <c r="G2320">
        <v>3.94</v>
      </c>
      <c r="H2320">
        <v>3.15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0</v>
      </c>
    </row>
    <row r="2321" spans="1:15" x14ac:dyDescent="0.25">
      <c r="A2321" s="11">
        <v>43705.865960648145</v>
      </c>
      <c r="B2321" t="s">
        <v>2407</v>
      </c>
      <c r="C2321" t="s">
        <v>2383</v>
      </c>
      <c r="D2321" t="s">
        <v>2386</v>
      </c>
      <c r="E2321" t="s">
        <v>2845</v>
      </c>
      <c r="F2321">
        <v>3.63</v>
      </c>
      <c r="G2321">
        <v>3.94</v>
      </c>
      <c r="H2321">
        <v>3.15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0</v>
      </c>
    </row>
    <row r="2322" spans="1:15" x14ac:dyDescent="0.25">
      <c r="A2322" s="11">
        <v>43705.865960648145</v>
      </c>
      <c r="B2322" t="s">
        <v>2407</v>
      </c>
      <c r="C2322" t="s">
        <v>2383</v>
      </c>
      <c r="D2322" t="s">
        <v>2387</v>
      </c>
      <c r="E2322" t="s">
        <v>2846</v>
      </c>
      <c r="F2322">
        <v>3.63</v>
      </c>
      <c r="G2322">
        <v>3.94</v>
      </c>
      <c r="H2322">
        <v>3.15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0</v>
      </c>
    </row>
    <row r="2323" spans="1:15" x14ac:dyDescent="0.25">
      <c r="A2323" s="11">
        <v>43705.865960648145</v>
      </c>
      <c r="B2323" t="s">
        <v>2407</v>
      </c>
      <c r="C2323" t="s">
        <v>2383</v>
      </c>
      <c r="D2323" t="s">
        <v>2381</v>
      </c>
      <c r="E2323" t="s">
        <v>2847</v>
      </c>
      <c r="F2323">
        <v>3.63</v>
      </c>
      <c r="G2323">
        <v>3.94</v>
      </c>
      <c r="H2323">
        <v>3.15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0</v>
      </c>
    </row>
    <row r="2324" spans="1:15" x14ac:dyDescent="0.25">
      <c r="A2324" s="11">
        <v>43705.865960648145</v>
      </c>
      <c r="B2324" t="s">
        <v>2407</v>
      </c>
      <c r="C2324" t="s">
        <v>2383</v>
      </c>
      <c r="D2324" t="s">
        <v>2388</v>
      </c>
      <c r="E2324" t="s">
        <v>2848</v>
      </c>
      <c r="F2324">
        <v>3.63</v>
      </c>
      <c r="G2324">
        <v>3.94</v>
      </c>
      <c r="H2324">
        <v>3.15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0</v>
      </c>
    </row>
    <row r="2325" spans="1:15" x14ac:dyDescent="0.25">
      <c r="A2325" s="11">
        <v>43705.865960648145</v>
      </c>
      <c r="B2325" t="s">
        <v>2407</v>
      </c>
      <c r="C2325" t="s">
        <v>2383</v>
      </c>
      <c r="D2325" t="s">
        <v>2389</v>
      </c>
      <c r="E2325" s="12" t="s">
        <v>2385</v>
      </c>
      <c r="F2325">
        <v>3.63</v>
      </c>
      <c r="G2325">
        <v>3.94</v>
      </c>
      <c r="H2325">
        <v>3.15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0</v>
      </c>
    </row>
    <row r="2326" spans="1:15" x14ac:dyDescent="0.25">
      <c r="A2326" s="11">
        <v>43705.865972222222</v>
      </c>
      <c r="B2326" t="s">
        <v>2407</v>
      </c>
      <c r="C2326" t="s">
        <v>2779</v>
      </c>
      <c r="E2326" t="s">
        <v>2378</v>
      </c>
      <c r="F2326">
        <v>3.63</v>
      </c>
      <c r="G2326">
        <v>3.94</v>
      </c>
      <c r="H2326">
        <v>3.15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0</v>
      </c>
    </row>
    <row r="2327" spans="1:15" x14ac:dyDescent="0.25">
      <c r="A2327" s="11">
        <v>43705.867638888885</v>
      </c>
      <c r="B2327" t="s">
        <v>2407</v>
      </c>
      <c r="C2327" t="s">
        <v>2811</v>
      </c>
      <c r="D2327" t="s">
        <v>2390</v>
      </c>
      <c r="F2327">
        <v>3.63</v>
      </c>
      <c r="G2327">
        <v>3.94</v>
      </c>
      <c r="H2327">
        <v>3.15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0</v>
      </c>
    </row>
    <row r="2328" spans="1:15" x14ac:dyDescent="0.25">
      <c r="A2328" s="11">
        <v>43705.867673611108</v>
      </c>
      <c r="B2328" t="s">
        <v>2407</v>
      </c>
      <c r="C2328" t="s">
        <v>2786</v>
      </c>
      <c r="D2328" t="s">
        <v>2787</v>
      </c>
      <c r="E2328" t="s">
        <v>2378</v>
      </c>
      <c r="F2328">
        <v>3.63</v>
      </c>
      <c r="G2328">
        <v>3.94</v>
      </c>
      <c r="H2328">
        <v>3.15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0</v>
      </c>
    </row>
    <row r="2329" spans="1:15" x14ac:dyDescent="0.25">
      <c r="A2329" s="11">
        <v>43705.918888888889</v>
      </c>
      <c r="B2329" t="s">
        <v>2401</v>
      </c>
      <c r="C2329" t="s">
        <v>2811</v>
      </c>
      <c r="D2329" t="s">
        <v>2390</v>
      </c>
      <c r="F2329">
        <v>3.63</v>
      </c>
      <c r="G2329">
        <v>3.94</v>
      </c>
      <c r="H2329">
        <v>3.15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0</v>
      </c>
    </row>
    <row r="2330" spans="1:15" x14ac:dyDescent="0.25">
      <c r="A2330" s="11">
        <v>43705.920358796298</v>
      </c>
      <c r="B2330" t="s">
        <v>2401</v>
      </c>
      <c r="C2330" t="s">
        <v>2786</v>
      </c>
      <c r="E2330" t="s">
        <v>2378</v>
      </c>
      <c r="F2330">
        <v>3.63</v>
      </c>
      <c r="G2330">
        <v>3.94</v>
      </c>
      <c r="H2330">
        <v>3.15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0</v>
      </c>
    </row>
    <row r="2331" spans="1:15" x14ac:dyDescent="0.25">
      <c r="A2331" s="11">
        <v>43705.936423611114</v>
      </c>
      <c r="B2331" t="s">
        <v>2401</v>
      </c>
      <c r="C2331" t="s">
        <v>2811</v>
      </c>
      <c r="D2331" t="s">
        <v>2390</v>
      </c>
      <c r="F2331">
        <v>3.63</v>
      </c>
      <c r="G2331">
        <v>3.94</v>
      </c>
      <c r="H2331">
        <v>3.15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0</v>
      </c>
    </row>
    <row r="2332" spans="1:15" x14ac:dyDescent="0.25">
      <c r="A2332" s="11">
        <v>43705.936550925922</v>
      </c>
      <c r="B2332" t="s">
        <v>2401</v>
      </c>
      <c r="C2332" t="s">
        <v>2786</v>
      </c>
      <c r="E2332" t="s">
        <v>2378</v>
      </c>
      <c r="F2332">
        <v>3.63</v>
      </c>
      <c r="G2332">
        <v>3.94</v>
      </c>
      <c r="H2332">
        <v>3.15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0</v>
      </c>
    </row>
    <row r="2333" spans="1:15" x14ac:dyDescent="0.25">
      <c r="A2333" s="11">
        <v>43705.937013888892</v>
      </c>
      <c r="B2333" t="s">
        <v>2401</v>
      </c>
      <c r="C2333" t="s">
        <v>2811</v>
      </c>
      <c r="D2333" t="s">
        <v>2390</v>
      </c>
      <c r="F2333">
        <v>3.63</v>
      </c>
      <c r="G2333">
        <v>3.94</v>
      </c>
      <c r="H2333">
        <v>3.15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0</v>
      </c>
    </row>
    <row r="2334" spans="1:15" x14ac:dyDescent="0.25">
      <c r="A2334" s="11">
        <v>43705.937025462961</v>
      </c>
      <c r="B2334" t="s">
        <v>2401</v>
      </c>
      <c r="C2334" t="s">
        <v>2779</v>
      </c>
      <c r="E2334" t="s">
        <v>2379</v>
      </c>
      <c r="F2334">
        <v>3.63</v>
      </c>
      <c r="G2334">
        <v>3.94</v>
      </c>
      <c r="H2334">
        <v>3.15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0</v>
      </c>
    </row>
    <row r="2335" spans="1:15" x14ac:dyDescent="0.25">
      <c r="A2335" s="11">
        <v>43705.937800925924</v>
      </c>
      <c r="B2335" t="s">
        <v>2401</v>
      </c>
      <c r="C2335" t="s">
        <v>2811</v>
      </c>
      <c r="D2335" t="s">
        <v>2390</v>
      </c>
      <c r="F2335">
        <v>3.63</v>
      </c>
      <c r="G2335">
        <v>3.94</v>
      </c>
      <c r="H2335">
        <v>3.15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0</v>
      </c>
    </row>
    <row r="2336" spans="1:15" x14ac:dyDescent="0.25">
      <c r="A2336" s="11">
        <v>43705.937824074077</v>
      </c>
      <c r="B2336" t="s">
        <v>2401</v>
      </c>
      <c r="C2336" t="s">
        <v>2827</v>
      </c>
      <c r="D2336" t="s">
        <v>2390</v>
      </c>
      <c r="E2336" t="s">
        <v>2828</v>
      </c>
      <c r="F2336">
        <v>3.63</v>
      </c>
      <c r="G2336">
        <v>3.94</v>
      </c>
      <c r="H2336">
        <v>3.15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0</v>
      </c>
    </row>
    <row r="2337" spans="1:15" x14ac:dyDescent="0.25">
      <c r="A2337" s="11">
        <v>43705.937824074077</v>
      </c>
      <c r="B2337" t="s">
        <v>2401</v>
      </c>
      <c r="C2337" t="s">
        <v>2829</v>
      </c>
      <c r="D2337" t="s">
        <v>2390</v>
      </c>
      <c r="E2337" t="s">
        <v>2828</v>
      </c>
      <c r="F2337">
        <v>3.63</v>
      </c>
      <c r="G2337">
        <v>3.94</v>
      </c>
      <c r="H2337">
        <v>3.15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0</v>
      </c>
    </row>
    <row r="2338" spans="1:15" x14ac:dyDescent="0.25">
      <c r="A2338" s="11">
        <v>43705.937824074077</v>
      </c>
      <c r="B2338" t="s">
        <v>2401</v>
      </c>
      <c r="C2338" t="s">
        <v>2830</v>
      </c>
      <c r="D2338" t="s">
        <v>2390</v>
      </c>
      <c r="E2338" t="s">
        <v>2831</v>
      </c>
      <c r="F2338">
        <v>3.63</v>
      </c>
      <c r="G2338">
        <v>3.94</v>
      </c>
      <c r="H2338">
        <v>3.15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0</v>
      </c>
    </row>
    <row r="2339" spans="1:15" x14ac:dyDescent="0.25">
      <c r="A2339" s="11">
        <v>43705.937824074077</v>
      </c>
      <c r="B2339" t="s">
        <v>2401</v>
      </c>
      <c r="C2339" t="s">
        <v>2832</v>
      </c>
      <c r="D2339" t="s">
        <v>2390</v>
      </c>
      <c r="E2339" t="s">
        <v>2833</v>
      </c>
      <c r="F2339">
        <v>3.63</v>
      </c>
      <c r="G2339">
        <v>3.94</v>
      </c>
      <c r="H2339">
        <v>3.15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0</v>
      </c>
    </row>
    <row r="2340" spans="1:15" x14ac:dyDescent="0.25">
      <c r="A2340" s="11">
        <v>43705.937824074077</v>
      </c>
      <c r="B2340" t="s">
        <v>2401</v>
      </c>
      <c r="C2340" t="s">
        <v>2834</v>
      </c>
      <c r="D2340" t="s">
        <v>2390</v>
      </c>
      <c r="E2340" t="s">
        <v>2835</v>
      </c>
      <c r="F2340">
        <v>3.63</v>
      </c>
      <c r="G2340">
        <v>3.94</v>
      </c>
      <c r="H2340">
        <v>3.15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0</v>
      </c>
    </row>
    <row r="2341" spans="1:15" x14ac:dyDescent="0.25">
      <c r="A2341" s="11">
        <v>43705.937824074077</v>
      </c>
      <c r="B2341" t="s">
        <v>2401</v>
      </c>
      <c r="C2341" t="s">
        <v>2836</v>
      </c>
      <c r="D2341" t="s">
        <v>2390</v>
      </c>
      <c r="E2341" t="s">
        <v>2837</v>
      </c>
      <c r="F2341">
        <v>3.63</v>
      </c>
      <c r="G2341">
        <v>3.94</v>
      </c>
      <c r="H2341">
        <v>3.15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0</v>
      </c>
    </row>
    <row r="2342" spans="1:15" x14ac:dyDescent="0.25">
      <c r="A2342" s="11">
        <v>43705.937824074077</v>
      </c>
      <c r="B2342" t="s">
        <v>2401</v>
      </c>
      <c r="C2342" t="s">
        <v>2838</v>
      </c>
      <c r="D2342" t="s">
        <v>2390</v>
      </c>
      <c r="E2342" t="s">
        <v>2837</v>
      </c>
      <c r="F2342">
        <v>3.63</v>
      </c>
      <c r="G2342">
        <v>3.94</v>
      </c>
      <c r="H2342">
        <v>3.15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0</v>
      </c>
    </row>
    <row r="2343" spans="1:15" x14ac:dyDescent="0.25">
      <c r="A2343" s="11">
        <v>43705.937824074077</v>
      </c>
      <c r="B2343" t="s">
        <v>2401</v>
      </c>
      <c r="C2343" t="s">
        <v>2839</v>
      </c>
      <c r="D2343" t="s">
        <v>2390</v>
      </c>
      <c r="E2343" t="s">
        <v>2840</v>
      </c>
      <c r="F2343">
        <v>3.63</v>
      </c>
      <c r="G2343">
        <v>3.94</v>
      </c>
      <c r="H2343">
        <v>3.15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0</v>
      </c>
    </row>
    <row r="2344" spans="1:15" x14ac:dyDescent="0.25">
      <c r="A2344" s="11">
        <v>43705.937824074077</v>
      </c>
      <c r="B2344" t="s">
        <v>2401</v>
      </c>
      <c r="C2344" t="s">
        <v>2841</v>
      </c>
      <c r="D2344" t="s">
        <v>2390</v>
      </c>
      <c r="E2344" t="s">
        <v>2842</v>
      </c>
      <c r="F2344">
        <v>3.63</v>
      </c>
      <c r="G2344">
        <v>3.94</v>
      </c>
      <c r="H2344">
        <v>3.15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0</v>
      </c>
    </row>
    <row r="2345" spans="1:15" x14ac:dyDescent="0.25">
      <c r="A2345" s="11">
        <v>43705.937835648147</v>
      </c>
      <c r="B2345" t="s">
        <v>2401</v>
      </c>
      <c r="C2345" t="s">
        <v>2843</v>
      </c>
      <c r="D2345" t="s">
        <v>2390</v>
      </c>
      <c r="E2345" t="s">
        <v>2844</v>
      </c>
      <c r="F2345">
        <v>3.63</v>
      </c>
      <c r="G2345">
        <v>3.94</v>
      </c>
      <c r="H2345">
        <v>3.15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0</v>
      </c>
    </row>
    <row r="2346" spans="1:15" x14ac:dyDescent="0.25">
      <c r="A2346" s="11">
        <v>43705.937835648147</v>
      </c>
      <c r="B2346" t="s">
        <v>2401</v>
      </c>
      <c r="C2346" t="s">
        <v>2383</v>
      </c>
      <c r="D2346" t="s">
        <v>2384</v>
      </c>
      <c r="E2346" s="12" t="s">
        <v>2385</v>
      </c>
      <c r="F2346">
        <v>3.63</v>
      </c>
      <c r="G2346">
        <v>3.94</v>
      </c>
      <c r="H2346">
        <v>3.15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0</v>
      </c>
    </row>
    <row r="2347" spans="1:15" x14ac:dyDescent="0.25">
      <c r="A2347" s="11">
        <v>43705.937835648147</v>
      </c>
      <c r="B2347" t="s">
        <v>2401</v>
      </c>
      <c r="C2347" t="s">
        <v>2383</v>
      </c>
      <c r="D2347" t="s">
        <v>2386</v>
      </c>
      <c r="E2347" t="s">
        <v>2863</v>
      </c>
      <c r="F2347">
        <v>3.63</v>
      </c>
      <c r="G2347">
        <v>3.94</v>
      </c>
      <c r="H2347">
        <v>3.15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0</v>
      </c>
    </row>
    <row r="2348" spans="1:15" x14ac:dyDescent="0.25">
      <c r="A2348" s="11">
        <v>43705.937835648147</v>
      </c>
      <c r="B2348" t="s">
        <v>2401</v>
      </c>
      <c r="C2348" t="s">
        <v>2383</v>
      </c>
      <c r="D2348" t="s">
        <v>2387</v>
      </c>
      <c r="E2348" t="s">
        <v>2846</v>
      </c>
      <c r="F2348">
        <v>3.63</v>
      </c>
      <c r="G2348">
        <v>3.94</v>
      </c>
      <c r="H2348">
        <v>3.15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0</v>
      </c>
    </row>
    <row r="2349" spans="1:15" x14ac:dyDescent="0.25">
      <c r="A2349" s="11">
        <v>43705.937835648147</v>
      </c>
      <c r="B2349" t="s">
        <v>2401</v>
      </c>
      <c r="C2349" t="s">
        <v>2383</v>
      </c>
      <c r="D2349" t="s">
        <v>2381</v>
      </c>
      <c r="E2349" t="s">
        <v>2847</v>
      </c>
      <c r="F2349">
        <v>3.63</v>
      </c>
      <c r="G2349">
        <v>3.94</v>
      </c>
      <c r="H2349">
        <v>3.15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0</v>
      </c>
    </row>
    <row r="2350" spans="1:15" x14ac:dyDescent="0.25">
      <c r="A2350" s="11">
        <v>43705.937835648147</v>
      </c>
      <c r="B2350" t="s">
        <v>2401</v>
      </c>
      <c r="C2350" t="s">
        <v>2383</v>
      </c>
      <c r="D2350" t="s">
        <v>2388</v>
      </c>
      <c r="E2350" t="s">
        <v>2848</v>
      </c>
      <c r="F2350">
        <v>3.63</v>
      </c>
      <c r="G2350">
        <v>3.94</v>
      </c>
      <c r="H2350">
        <v>3.15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0</v>
      </c>
    </row>
    <row r="2351" spans="1:15" x14ac:dyDescent="0.25">
      <c r="A2351" s="11">
        <v>43705.937835648147</v>
      </c>
      <c r="B2351" t="s">
        <v>2401</v>
      </c>
      <c r="C2351" t="s">
        <v>2383</v>
      </c>
      <c r="D2351" t="s">
        <v>2389</v>
      </c>
      <c r="E2351" s="12" t="s">
        <v>2385</v>
      </c>
      <c r="F2351">
        <v>3.63</v>
      </c>
      <c r="G2351">
        <v>3.94</v>
      </c>
      <c r="H2351">
        <v>3.15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0</v>
      </c>
    </row>
    <row r="2352" spans="1:15" x14ac:dyDescent="0.25">
      <c r="A2352" s="11">
        <v>43705.937847222223</v>
      </c>
      <c r="B2352" t="s">
        <v>2401</v>
      </c>
      <c r="C2352" t="s">
        <v>2779</v>
      </c>
      <c r="E2352" t="s">
        <v>2378</v>
      </c>
      <c r="F2352">
        <v>3.63</v>
      </c>
      <c r="G2352">
        <v>3.94</v>
      </c>
      <c r="H2352">
        <v>3.15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0</v>
      </c>
    </row>
    <row r="2353" spans="1:15" x14ac:dyDescent="0.25">
      <c r="A2353" s="11">
        <v>43705.960243055553</v>
      </c>
      <c r="B2353" t="s">
        <v>2401</v>
      </c>
      <c r="C2353" t="s">
        <v>2811</v>
      </c>
      <c r="D2353" t="s">
        <v>2390</v>
      </c>
      <c r="F2353">
        <v>3.63</v>
      </c>
      <c r="G2353">
        <v>3.94</v>
      </c>
      <c r="H2353">
        <v>3.15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0</v>
      </c>
    </row>
    <row r="2354" spans="1:15" x14ac:dyDescent="0.25">
      <c r="A2354" s="11">
        <v>43705.96025462963</v>
      </c>
      <c r="B2354" t="s">
        <v>2401</v>
      </c>
      <c r="C2354" t="s">
        <v>2827</v>
      </c>
      <c r="D2354" t="s">
        <v>2390</v>
      </c>
      <c r="E2354" t="s">
        <v>2828</v>
      </c>
      <c r="F2354">
        <v>3.63</v>
      </c>
      <c r="G2354">
        <v>3.94</v>
      </c>
      <c r="H2354">
        <v>3.15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0</v>
      </c>
    </row>
    <row r="2355" spans="1:15" x14ac:dyDescent="0.25">
      <c r="A2355" s="11">
        <v>43705.96025462963</v>
      </c>
      <c r="B2355" t="s">
        <v>2401</v>
      </c>
      <c r="C2355" t="s">
        <v>2829</v>
      </c>
      <c r="D2355" t="s">
        <v>2390</v>
      </c>
      <c r="E2355" t="s">
        <v>2828</v>
      </c>
      <c r="F2355">
        <v>3.63</v>
      </c>
      <c r="G2355">
        <v>3.94</v>
      </c>
      <c r="H2355">
        <v>3.15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0</v>
      </c>
    </row>
    <row r="2356" spans="1:15" x14ac:dyDescent="0.25">
      <c r="A2356" s="11">
        <v>43705.96025462963</v>
      </c>
      <c r="B2356" t="s">
        <v>2401</v>
      </c>
      <c r="C2356" t="s">
        <v>2830</v>
      </c>
      <c r="D2356" t="s">
        <v>2390</v>
      </c>
      <c r="E2356" t="s">
        <v>2831</v>
      </c>
      <c r="F2356">
        <v>3.63</v>
      </c>
      <c r="G2356">
        <v>3.94</v>
      </c>
      <c r="H2356">
        <v>3.15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0</v>
      </c>
    </row>
    <row r="2357" spans="1:15" x14ac:dyDescent="0.25">
      <c r="A2357" s="11">
        <v>43705.96025462963</v>
      </c>
      <c r="B2357" t="s">
        <v>2401</v>
      </c>
      <c r="C2357" t="s">
        <v>2832</v>
      </c>
      <c r="D2357" t="s">
        <v>2390</v>
      </c>
      <c r="E2357" t="s">
        <v>2833</v>
      </c>
      <c r="F2357">
        <v>3.63</v>
      </c>
      <c r="G2357">
        <v>3.94</v>
      </c>
      <c r="H2357">
        <v>3.15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0</v>
      </c>
    </row>
    <row r="2358" spans="1:15" x14ac:dyDescent="0.25">
      <c r="A2358" s="11">
        <v>43705.960266203707</v>
      </c>
      <c r="B2358" t="s">
        <v>2401</v>
      </c>
      <c r="C2358" t="s">
        <v>2834</v>
      </c>
      <c r="D2358" t="s">
        <v>2390</v>
      </c>
      <c r="E2358" t="s">
        <v>2835</v>
      </c>
      <c r="F2358">
        <v>3.63</v>
      </c>
      <c r="G2358">
        <v>3.94</v>
      </c>
      <c r="H2358">
        <v>3.15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0</v>
      </c>
    </row>
    <row r="2359" spans="1:15" x14ac:dyDescent="0.25">
      <c r="A2359" s="11">
        <v>43705.960266203707</v>
      </c>
      <c r="B2359" t="s">
        <v>2401</v>
      </c>
      <c r="C2359" t="s">
        <v>2836</v>
      </c>
      <c r="D2359" t="s">
        <v>2390</v>
      </c>
      <c r="E2359" t="s">
        <v>2837</v>
      </c>
      <c r="F2359">
        <v>3.63</v>
      </c>
      <c r="G2359">
        <v>3.94</v>
      </c>
      <c r="H2359">
        <v>3.15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0</v>
      </c>
    </row>
    <row r="2360" spans="1:15" x14ac:dyDescent="0.25">
      <c r="A2360" s="11">
        <v>43705.960266203707</v>
      </c>
      <c r="B2360" t="s">
        <v>2401</v>
      </c>
      <c r="C2360" t="s">
        <v>2838</v>
      </c>
      <c r="D2360" t="s">
        <v>2390</v>
      </c>
      <c r="E2360" t="s">
        <v>2837</v>
      </c>
      <c r="F2360">
        <v>3.63</v>
      </c>
      <c r="G2360">
        <v>3.94</v>
      </c>
      <c r="H2360">
        <v>3.15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0</v>
      </c>
    </row>
    <row r="2361" spans="1:15" x14ac:dyDescent="0.25">
      <c r="A2361" s="11">
        <v>43705.960266203707</v>
      </c>
      <c r="B2361" t="s">
        <v>2401</v>
      </c>
      <c r="C2361" t="s">
        <v>2839</v>
      </c>
      <c r="D2361" t="s">
        <v>2390</v>
      </c>
      <c r="E2361" t="s">
        <v>2840</v>
      </c>
      <c r="F2361">
        <v>3.63</v>
      </c>
      <c r="G2361">
        <v>3.94</v>
      </c>
      <c r="H2361">
        <v>3.15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0</v>
      </c>
    </row>
    <row r="2362" spans="1:15" x14ac:dyDescent="0.25">
      <c r="A2362" s="11">
        <v>43705.960266203707</v>
      </c>
      <c r="B2362" t="s">
        <v>2401</v>
      </c>
      <c r="C2362" t="s">
        <v>2841</v>
      </c>
      <c r="D2362" t="s">
        <v>2390</v>
      </c>
      <c r="E2362" t="s">
        <v>2842</v>
      </c>
      <c r="F2362">
        <v>3.63</v>
      </c>
      <c r="G2362">
        <v>3.94</v>
      </c>
      <c r="H2362">
        <v>3.15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0</v>
      </c>
    </row>
    <row r="2363" spans="1:15" x14ac:dyDescent="0.25">
      <c r="A2363" s="11">
        <v>43705.960266203707</v>
      </c>
      <c r="B2363" t="s">
        <v>2401</v>
      </c>
      <c r="C2363" t="s">
        <v>2843</v>
      </c>
      <c r="D2363" t="s">
        <v>2390</v>
      </c>
      <c r="E2363" t="s">
        <v>2844</v>
      </c>
      <c r="F2363">
        <v>3.63</v>
      </c>
      <c r="G2363">
        <v>3.94</v>
      </c>
      <c r="H2363">
        <v>3.15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0</v>
      </c>
    </row>
    <row r="2364" spans="1:15" x14ac:dyDescent="0.25">
      <c r="A2364" s="11">
        <v>43705.960266203707</v>
      </c>
      <c r="B2364" t="s">
        <v>2401</v>
      </c>
      <c r="C2364" t="s">
        <v>2383</v>
      </c>
      <c r="D2364" t="s">
        <v>2384</v>
      </c>
      <c r="E2364" s="12" t="s">
        <v>2385</v>
      </c>
      <c r="F2364">
        <v>3.63</v>
      </c>
      <c r="G2364">
        <v>3.94</v>
      </c>
      <c r="H2364">
        <v>3.15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0</v>
      </c>
    </row>
    <row r="2365" spans="1:15" x14ac:dyDescent="0.25">
      <c r="A2365" s="11">
        <v>43705.960266203707</v>
      </c>
      <c r="B2365" t="s">
        <v>2401</v>
      </c>
      <c r="C2365" t="s">
        <v>2383</v>
      </c>
      <c r="D2365" t="s">
        <v>2386</v>
      </c>
      <c r="E2365" t="s">
        <v>2863</v>
      </c>
      <c r="F2365">
        <v>3.63</v>
      </c>
      <c r="G2365">
        <v>3.94</v>
      </c>
      <c r="H2365">
        <v>3.15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0</v>
      </c>
    </row>
    <row r="2366" spans="1:15" x14ac:dyDescent="0.25">
      <c r="A2366" s="11">
        <v>43705.960266203707</v>
      </c>
      <c r="B2366" t="s">
        <v>2401</v>
      </c>
      <c r="C2366" t="s">
        <v>2383</v>
      </c>
      <c r="D2366" t="s">
        <v>2387</v>
      </c>
      <c r="E2366" t="s">
        <v>2846</v>
      </c>
      <c r="F2366">
        <v>3.63</v>
      </c>
      <c r="G2366">
        <v>3.94</v>
      </c>
      <c r="H2366">
        <v>3.15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0</v>
      </c>
    </row>
    <row r="2367" spans="1:15" x14ac:dyDescent="0.25">
      <c r="A2367" s="11">
        <v>43705.960266203707</v>
      </c>
      <c r="B2367" t="s">
        <v>2401</v>
      </c>
      <c r="C2367" t="s">
        <v>2383</v>
      </c>
      <c r="D2367" t="s">
        <v>2381</v>
      </c>
      <c r="E2367" t="s">
        <v>2847</v>
      </c>
      <c r="F2367">
        <v>3.63</v>
      </c>
      <c r="G2367">
        <v>3.94</v>
      </c>
      <c r="H2367">
        <v>3.15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0</v>
      </c>
    </row>
    <row r="2368" spans="1:15" x14ac:dyDescent="0.25">
      <c r="A2368" s="11">
        <v>43705.960266203707</v>
      </c>
      <c r="B2368" t="s">
        <v>2401</v>
      </c>
      <c r="C2368" t="s">
        <v>2383</v>
      </c>
      <c r="D2368" t="s">
        <v>2388</v>
      </c>
      <c r="E2368" t="s">
        <v>2848</v>
      </c>
      <c r="F2368">
        <v>3.63</v>
      </c>
      <c r="G2368">
        <v>3.94</v>
      </c>
      <c r="H2368">
        <v>3.15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0</v>
      </c>
    </row>
    <row r="2369" spans="1:15" x14ac:dyDescent="0.25">
      <c r="A2369" s="11">
        <v>43705.960266203707</v>
      </c>
      <c r="B2369" t="s">
        <v>2401</v>
      </c>
      <c r="C2369" t="s">
        <v>2383</v>
      </c>
      <c r="D2369" t="s">
        <v>2389</v>
      </c>
      <c r="E2369" s="12" t="s">
        <v>2385</v>
      </c>
      <c r="F2369">
        <v>3.63</v>
      </c>
      <c r="G2369">
        <v>3.94</v>
      </c>
      <c r="H2369">
        <v>3.15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0</v>
      </c>
    </row>
    <row r="2370" spans="1:15" x14ac:dyDescent="0.25">
      <c r="A2370" s="11">
        <v>43705.960289351853</v>
      </c>
      <c r="B2370" t="s">
        <v>2401</v>
      </c>
      <c r="C2370" t="s">
        <v>2779</v>
      </c>
      <c r="E2370" t="s">
        <v>2378</v>
      </c>
      <c r="F2370">
        <v>3.63</v>
      </c>
      <c r="G2370">
        <v>3.94</v>
      </c>
      <c r="H2370">
        <v>3.15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0</v>
      </c>
    </row>
    <row r="2371" spans="1:15" x14ac:dyDescent="0.25">
      <c r="A2371" s="11">
        <v>43705.960347222222</v>
      </c>
      <c r="B2371" t="s">
        <v>2401</v>
      </c>
      <c r="C2371" t="s">
        <v>2811</v>
      </c>
      <c r="D2371" t="s">
        <v>2390</v>
      </c>
      <c r="F2371">
        <v>3.63</v>
      </c>
      <c r="G2371">
        <v>3.94</v>
      </c>
      <c r="H2371">
        <v>3.15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0</v>
      </c>
    </row>
    <row r="2372" spans="1:15" x14ac:dyDescent="0.25">
      <c r="A2372" s="11">
        <v>43705.960358796299</v>
      </c>
      <c r="B2372" t="s">
        <v>2401</v>
      </c>
      <c r="C2372" t="s">
        <v>2827</v>
      </c>
      <c r="D2372" t="s">
        <v>2390</v>
      </c>
      <c r="E2372" t="s">
        <v>2828</v>
      </c>
      <c r="F2372">
        <v>3.63</v>
      </c>
      <c r="G2372">
        <v>3.94</v>
      </c>
      <c r="H2372">
        <v>3.15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0</v>
      </c>
    </row>
    <row r="2373" spans="1:15" x14ac:dyDescent="0.25">
      <c r="A2373" s="11">
        <v>43705.960358796299</v>
      </c>
      <c r="B2373" t="s">
        <v>2401</v>
      </c>
      <c r="C2373" t="s">
        <v>2829</v>
      </c>
      <c r="D2373" t="s">
        <v>2390</v>
      </c>
      <c r="E2373" t="s">
        <v>2828</v>
      </c>
      <c r="F2373">
        <v>3.63</v>
      </c>
      <c r="G2373">
        <v>3.94</v>
      </c>
      <c r="H2373">
        <v>3.15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0</v>
      </c>
    </row>
    <row r="2374" spans="1:15" x14ac:dyDescent="0.25">
      <c r="A2374" s="11">
        <v>43705.960358796299</v>
      </c>
      <c r="B2374" t="s">
        <v>2401</v>
      </c>
      <c r="C2374" t="s">
        <v>2830</v>
      </c>
      <c r="D2374" t="s">
        <v>2390</v>
      </c>
      <c r="E2374" t="s">
        <v>2831</v>
      </c>
      <c r="F2374">
        <v>3.63</v>
      </c>
      <c r="G2374">
        <v>3.94</v>
      </c>
      <c r="H2374">
        <v>3.15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0</v>
      </c>
    </row>
    <row r="2375" spans="1:15" x14ac:dyDescent="0.25">
      <c r="A2375" s="11">
        <v>43705.960358796299</v>
      </c>
      <c r="B2375" t="s">
        <v>2401</v>
      </c>
      <c r="C2375" t="s">
        <v>2832</v>
      </c>
      <c r="D2375" t="s">
        <v>2390</v>
      </c>
      <c r="E2375" t="s">
        <v>2833</v>
      </c>
      <c r="F2375">
        <v>3.63</v>
      </c>
      <c r="G2375">
        <v>3.94</v>
      </c>
      <c r="H2375">
        <v>3.15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0</v>
      </c>
    </row>
    <row r="2376" spans="1:15" x14ac:dyDescent="0.25">
      <c r="A2376" s="11">
        <v>43705.960370370369</v>
      </c>
      <c r="B2376" t="s">
        <v>2401</v>
      </c>
      <c r="C2376" t="s">
        <v>2834</v>
      </c>
      <c r="D2376" t="s">
        <v>2390</v>
      </c>
      <c r="E2376" t="s">
        <v>2835</v>
      </c>
      <c r="F2376">
        <v>3.63</v>
      </c>
      <c r="G2376">
        <v>3.94</v>
      </c>
      <c r="H2376">
        <v>3.15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0</v>
      </c>
    </row>
    <row r="2377" spans="1:15" x14ac:dyDescent="0.25">
      <c r="A2377" s="11">
        <v>43705.960370370369</v>
      </c>
      <c r="B2377" t="s">
        <v>2401</v>
      </c>
      <c r="C2377" t="s">
        <v>2836</v>
      </c>
      <c r="D2377" t="s">
        <v>2390</v>
      </c>
      <c r="E2377" t="s">
        <v>2837</v>
      </c>
      <c r="F2377">
        <v>3.63</v>
      </c>
      <c r="G2377">
        <v>3.94</v>
      </c>
      <c r="H2377">
        <v>3.15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0</v>
      </c>
    </row>
    <row r="2378" spans="1:15" x14ac:dyDescent="0.25">
      <c r="A2378" s="11">
        <v>43705.960370370369</v>
      </c>
      <c r="B2378" t="s">
        <v>2401</v>
      </c>
      <c r="C2378" t="s">
        <v>2838</v>
      </c>
      <c r="D2378" t="s">
        <v>2390</v>
      </c>
      <c r="E2378" t="s">
        <v>2837</v>
      </c>
      <c r="F2378">
        <v>3.63</v>
      </c>
      <c r="G2378">
        <v>3.94</v>
      </c>
      <c r="H2378">
        <v>3.15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0</v>
      </c>
    </row>
    <row r="2379" spans="1:15" x14ac:dyDescent="0.25">
      <c r="A2379" s="11">
        <v>43705.960370370369</v>
      </c>
      <c r="B2379" t="s">
        <v>2401</v>
      </c>
      <c r="C2379" t="s">
        <v>2839</v>
      </c>
      <c r="D2379" t="s">
        <v>2390</v>
      </c>
      <c r="E2379" t="s">
        <v>2840</v>
      </c>
      <c r="F2379">
        <v>3.63</v>
      </c>
      <c r="G2379">
        <v>3.94</v>
      </c>
      <c r="H2379">
        <v>3.15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0</v>
      </c>
    </row>
    <row r="2380" spans="1:15" x14ac:dyDescent="0.25">
      <c r="A2380" s="11">
        <v>43705.960370370369</v>
      </c>
      <c r="B2380" t="s">
        <v>2401</v>
      </c>
      <c r="C2380" t="s">
        <v>2841</v>
      </c>
      <c r="D2380" t="s">
        <v>2390</v>
      </c>
      <c r="E2380" t="s">
        <v>2842</v>
      </c>
      <c r="F2380">
        <v>3.63</v>
      </c>
      <c r="G2380">
        <v>3.94</v>
      </c>
      <c r="H2380">
        <v>3.15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0</v>
      </c>
    </row>
    <row r="2381" spans="1:15" x14ac:dyDescent="0.25">
      <c r="A2381" s="11">
        <v>43705.960370370369</v>
      </c>
      <c r="B2381" t="s">
        <v>2401</v>
      </c>
      <c r="C2381" t="s">
        <v>2843</v>
      </c>
      <c r="D2381" t="s">
        <v>2390</v>
      </c>
      <c r="E2381" t="s">
        <v>2844</v>
      </c>
      <c r="F2381">
        <v>3.63</v>
      </c>
      <c r="G2381">
        <v>3.94</v>
      </c>
      <c r="H2381">
        <v>3.15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0</v>
      </c>
    </row>
    <row r="2382" spans="1:15" x14ac:dyDescent="0.25">
      <c r="A2382" s="11">
        <v>43705.960381944446</v>
      </c>
      <c r="B2382" t="s">
        <v>2401</v>
      </c>
      <c r="C2382" t="s">
        <v>2383</v>
      </c>
      <c r="D2382" t="s">
        <v>2384</v>
      </c>
      <c r="E2382" s="12" t="s">
        <v>2385</v>
      </c>
      <c r="F2382">
        <v>3.63</v>
      </c>
      <c r="G2382">
        <v>3.94</v>
      </c>
      <c r="H2382">
        <v>3.15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0</v>
      </c>
    </row>
    <row r="2383" spans="1:15" x14ac:dyDescent="0.25">
      <c r="A2383" s="11">
        <v>43705.960381944446</v>
      </c>
      <c r="B2383" t="s">
        <v>2401</v>
      </c>
      <c r="C2383" t="s">
        <v>2383</v>
      </c>
      <c r="D2383" t="s">
        <v>2386</v>
      </c>
      <c r="E2383" t="s">
        <v>2863</v>
      </c>
      <c r="F2383">
        <v>3.63</v>
      </c>
      <c r="G2383">
        <v>3.94</v>
      </c>
      <c r="H2383">
        <v>3.15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0</v>
      </c>
    </row>
    <row r="2384" spans="1:15" x14ac:dyDescent="0.25">
      <c r="A2384" s="11">
        <v>43705.960381944446</v>
      </c>
      <c r="B2384" t="s">
        <v>2401</v>
      </c>
      <c r="C2384" t="s">
        <v>2383</v>
      </c>
      <c r="D2384" t="s">
        <v>2387</v>
      </c>
      <c r="E2384" t="s">
        <v>2846</v>
      </c>
      <c r="F2384">
        <v>3.63</v>
      </c>
      <c r="G2384">
        <v>3.94</v>
      </c>
      <c r="H2384">
        <v>3.15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0</v>
      </c>
    </row>
    <row r="2385" spans="1:15" x14ac:dyDescent="0.25">
      <c r="A2385" s="11">
        <v>43705.960381944446</v>
      </c>
      <c r="B2385" t="s">
        <v>2401</v>
      </c>
      <c r="C2385" t="s">
        <v>2383</v>
      </c>
      <c r="D2385" t="s">
        <v>2381</v>
      </c>
      <c r="E2385" t="s">
        <v>2847</v>
      </c>
      <c r="F2385">
        <v>3.63</v>
      </c>
      <c r="G2385">
        <v>3.94</v>
      </c>
      <c r="H2385">
        <v>3.15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0</v>
      </c>
    </row>
    <row r="2386" spans="1:15" x14ac:dyDescent="0.25">
      <c r="A2386" s="11">
        <v>43705.960381944446</v>
      </c>
      <c r="B2386" t="s">
        <v>2401</v>
      </c>
      <c r="C2386" t="s">
        <v>2383</v>
      </c>
      <c r="D2386" t="s">
        <v>2388</v>
      </c>
      <c r="E2386" t="s">
        <v>2848</v>
      </c>
      <c r="F2386">
        <v>3.63</v>
      </c>
      <c r="G2386">
        <v>3.94</v>
      </c>
      <c r="H2386">
        <v>3.15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0</v>
      </c>
    </row>
    <row r="2387" spans="1:15" x14ac:dyDescent="0.25">
      <c r="A2387" s="11">
        <v>43705.960381944446</v>
      </c>
      <c r="B2387" t="s">
        <v>2401</v>
      </c>
      <c r="C2387" t="s">
        <v>2383</v>
      </c>
      <c r="D2387" t="s">
        <v>2389</v>
      </c>
      <c r="E2387" s="12" t="s">
        <v>2385</v>
      </c>
      <c r="F2387">
        <v>3.63</v>
      </c>
      <c r="G2387">
        <v>3.94</v>
      </c>
      <c r="H2387">
        <v>3.15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0</v>
      </c>
    </row>
    <row r="2388" spans="1:15" x14ac:dyDescent="0.25">
      <c r="A2388" s="11">
        <v>43705.960393518515</v>
      </c>
      <c r="B2388" t="s">
        <v>2401</v>
      </c>
      <c r="C2388" t="s">
        <v>2779</v>
      </c>
      <c r="E2388" t="s">
        <v>2378</v>
      </c>
      <c r="F2388">
        <v>3.63</v>
      </c>
      <c r="G2388">
        <v>3.94</v>
      </c>
      <c r="H2388">
        <v>3.15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0</v>
      </c>
    </row>
    <row r="2389" spans="1:15" x14ac:dyDescent="0.25">
      <c r="A2389" s="11">
        <v>43705.964398148149</v>
      </c>
      <c r="B2389" t="s">
        <v>2401</v>
      </c>
      <c r="C2389" t="s">
        <v>2811</v>
      </c>
      <c r="D2389" t="s">
        <v>2390</v>
      </c>
      <c r="F2389">
        <v>3.63</v>
      </c>
      <c r="G2389">
        <v>3.94</v>
      </c>
      <c r="H2389">
        <v>3.15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0</v>
      </c>
    </row>
    <row r="2390" spans="1:15" x14ac:dyDescent="0.25">
      <c r="A2390" s="11">
        <v>43705.964421296296</v>
      </c>
      <c r="B2390" t="s">
        <v>2401</v>
      </c>
      <c r="C2390" t="s">
        <v>2779</v>
      </c>
      <c r="E2390" t="s">
        <v>2379</v>
      </c>
      <c r="F2390">
        <v>3.63</v>
      </c>
      <c r="G2390">
        <v>3.94</v>
      </c>
      <c r="H2390">
        <v>3.15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0</v>
      </c>
    </row>
    <row r="2391" spans="1:15" x14ac:dyDescent="0.25">
      <c r="A2391" s="11">
        <v>43705.966469907406</v>
      </c>
      <c r="B2391" t="s">
        <v>2401</v>
      </c>
      <c r="C2391" t="s">
        <v>2811</v>
      </c>
      <c r="D2391" t="s">
        <v>2390</v>
      </c>
      <c r="F2391">
        <v>3.63</v>
      </c>
      <c r="G2391">
        <v>3.94</v>
      </c>
      <c r="H2391">
        <v>3.15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0</v>
      </c>
    </row>
    <row r="2392" spans="1:15" x14ac:dyDescent="0.25">
      <c r="A2392" s="11">
        <v>43705.966481481482</v>
      </c>
      <c r="B2392" t="s">
        <v>2401</v>
      </c>
      <c r="C2392" t="s">
        <v>2779</v>
      </c>
      <c r="E2392" t="s">
        <v>2379</v>
      </c>
      <c r="F2392">
        <v>3.63</v>
      </c>
      <c r="G2392">
        <v>3.94</v>
      </c>
      <c r="H2392">
        <v>3.15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0</v>
      </c>
    </row>
    <row r="2393" spans="1:15" x14ac:dyDescent="0.25">
      <c r="A2393" s="11">
        <v>43705.967280092591</v>
      </c>
      <c r="B2393" t="s">
        <v>2401</v>
      </c>
      <c r="C2393" t="s">
        <v>2811</v>
      </c>
      <c r="D2393" t="s">
        <v>2390</v>
      </c>
      <c r="F2393">
        <v>3.63</v>
      </c>
      <c r="G2393">
        <v>3.94</v>
      </c>
      <c r="H2393">
        <v>3.15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0</v>
      </c>
    </row>
    <row r="2394" spans="1:15" x14ac:dyDescent="0.25">
      <c r="A2394" s="11">
        <v>43705.967407407406</v>
      </c>
      <c r="B2394" t="s">
        <v>2401</v>
      </c>
      <c r="C2394" t="s">
        <v>2864</v>
      </c>
      <c r="D2394" t="s">
        <v>2390</v>
      </c>
      <c r="E2394" s="27">
        <v>1402</v>
      </c>
      <c r="F2394">
        <v>3.63</v>
      </c>
      <c r="G2394">
        <v>3.94</v>
      </c>
      <c r="H2394">
        <v>3.15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0</v>
      </c>
    </row>
    <row r="2395" spans="1:15" x14ac:dyDescent="0.25">
      <c r="A2395" s="11">
        <v>43705.967442129629</v>
      </c>
      <c r="B2395" t="s">
        <v>2401</v>
      </c>
      <c r="C2395" t="s">
        <v>2827</v>
      </c>
      <c r="D2395" t="s">
        <v>2390</v>
      </c>
      <c r="E2395" t="s">
        <v>2828</v>
      </c>
      <c r="F2395">
        <v>3.63</v>
      </c>
      <c r="G2395">
        <v>3.94</v>
      </c>
      <c r="H2395">
        <v>3.15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0</v>
      </c>
    </row>
    <row r="2396" spans="1:15" x14ac:dyDescent="0.25">
      <c r="A2396" s="11">
        <v>43705.967442129629</v>
      </c>
      <c r="B2396" t="s">
        <v>2401</v>
      </c>
      <c r="C2396" t="s">
        <v>2829</v>
      </c>
      <c r="D2396" t="s">
        <v>2390</v>
      </c>
      <c r="E2396" t="s">
        <v>2828</v>
      </c>
      <c r="F2396">
        <v>3.63</v>
      </c>
      <c r="G2396">
        <v>3.94</v>
      </c>
      <c r="H2396">
        <v>3.15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0</v>
      </c>
    </row>
    <row r="2397" spans="1:15" x14ac:dyDescent="0.25">
      <c r="A2397" s="11">
        <v>43705.967442129629</v>
      </c>
      <c r="B2397" t="s">
        <v>2401</v>
      </c>
      <c r="C2397" t="s">
        <v>2865</v>
      </c>
      <c r="D2397" t="s">
        <v>2390</v>
      </c>
      <c r="E2397" s="27">
        <v>1408</v>
      </c>
      <c r="F2397">
        <v>3.63</v>
      </c>
      <c r="G2397">
        <v>3.94</v>
      </c>
      <c r="H2397">
        <v>3.15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0</v>
      </c>
    </row>
    <row r="2398" spans="1:15" x14ac:dyDescent="0.25">
      <c r="A2398" s="11">
        <v>43705.967442129629</v>
      </c>
      <c r="B2398" t="s">
        <v>2401</v>
      </c>
      <c r="C2398" t="s">
        <v>2866</v>
      </c>
      <c r="D2398" t="s">
        <v>2390</v>
      </c>
      <c r="E2398" s="27">
        <v>1458</v>
      </c>
      <c r="F2398">
        <v>3.63</v>
      </c>
      <c r="G2398">
        <v>3.94</v>
      </c>
      <c r="H2398">
        <v>3.15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0</v>
      </c>
    </row>
    <row r="2399" spans="1:15" x14ac:dyDescent="0.25">
      <c r="A2399" s="11">
        <v>43705.967442129629</v>
      </c>
      <c r="B2399" t="s">
        <v>2401</v>
      </c>
      <c r="C2399" t="s">
        <v>2830</v>
      </c>
      <c r="D2399" t="s">
        <v>2390</v>
      </c>
      <c r="E2399" t="s">
        <v>2831</v>
      </c>
      <c r="F2399">
        <v>3.63</v>
      </c>
      <c r="G2399">
        <v>3.94</v>
      </c>
      <c r="H2399">
        <v>3.15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0</v>
      </c>
    </row>
    <row r="2400" spans="1:15" x14ac:dyDescent="0.25">
      <c r="A2400" s="11">
        <v>43705.967442129629</v>
      </c>
      <c r="B2400" t="s">
        <v>2401</v>
      </c>
      <c r="C2400" t="s">
        <v>2832</v>
      </c>
      <c r="D2400" t="s">
        <v>2390</v>
      </c>
      <c r="E2400" t="s">
        <v>2833</v>
      </c>
      <c r="F2400">
        <v>3.63</v>
      </c>
      <c r="G2400">
        <v>3.94</v>
      </c>
      <c r="H2400">
        <v>3.15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0</v>
      </c>
    </row>
    <row r="2401" spans="1:15" x14ac:dyDescent="0.25">
      <c r="A2401" s="11">
        <v>43705.967442129629</v>
      </c>
      <c r="B2401" t="s">
        <v>2401</v>
      </c>
      <c r="C2401" t="s">
        <v>2834</v>
      </c>
      <c r="D2401" t="s">
        <v>2390</v>
      </c>
      <c r="E2401" t="s">
        <v>2835</v>
      </c>
      <c r="F2401">
        <v>3.63</v>
      </c>
      <c r="G2401">
        <v>3.94</v>
      </c>
      <c r="H2401">
        <v>3.15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0</v>
      </c>
    </row>
    <row r="2402" spans="1:15" x14ac:dyDescent="0.25">
      <c r="A2402" s="11">
        <v>43705.967442129629</v>
      </c>
      <c r="B2402" t="s">
        <v>2401</v>
      </c>
      <c r="C2402" t="s">
        <v>2836</v>
      </c>
      <c r="D2402" t="s">
        <v>2390</v>
      </c>
      <c r="E2402" t="s">
        <v>2837</v>
      </c>
      <c r="F2402">
        <v>3.63</v>
      </c>
      <c r="G2402">
        <v>3.94</v>
      </c>
      <c r="H2402">
        <v>3.15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0</v>
      </c>
    </row>
    <row r="2403" spans="1:15" x14ac:dyDescent="0.25">
      <c r="A2403" s="11">
        <v>43705.967442129629</v>
      </c>
      <c r="B2403" t="s">
        <v>2401</v>
      </c>
      <c r="C2403" t="s">
        <v>2838</v>
      </c>
      <c r="D2403" t="s">
        <v>2390</v>
      </c>
      <c r="E2403" t="s">
        <v>2837</v>
      </c>
      <c r="F2403">
        <v>3.63</v>
      </c>
      <c r="G2403">
        <v>3.94</v>
      </c>
      <c r="H2403">
        <v>3.15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0</v>
      </c>
    </row>
    <row r="2404" spans="1:15" x14ac:dyDescent="0.25">
      <c r="A2404" s="11">
        <v>43705.967453703706</v>
      </c>
      <c r="B2404" t="s">
        <v>2401</v>
      </c>
      <c r="C2404" t="s">
        <v>2839</v>
      </c>
      <c r="D2404" t="s">
        <v>2390</v>
      </c>
      <c r="E2404" t="s">
        <v>2840</v>
      </c>
      <c r="F2404">
        <v>3.63</v>
      </c>
      <c r="G2404">
        <v>3.94</v>
      </c>
      <c r="H2404">
        <v>3.15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0</v>
      </c>
    </row>
    <row r="2405" spans="1:15" x14ac:dyDescent="0.25">
      <c r="A2405" s="11">
        <v>43705.967453703706</v>
      </c>
      <c r="B2405" t="s">
        <v>2401</v>
      </c>
      <c r="C2405" t="s">
        <v>2841</v>
      </c>
      <c r="D2405" t="s">
        <v>2390</v>
      </c>
      <c r="E2405" t="s">
        <v>2842</v>
      </c>
      <c r="F2405">
        <v>3.63</v>
      </c>
      <c r="G2405">
        <v>3.94</v>
      </c>
      <c r="H2405">
        <v>3.15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0</v>
      </c>
    </row>
    <row r="2406" spans="1:15" x14ac:dyDescent="0.25">
      <c r="A2406" s="11">
        <v>43705.967453703706</v>
      </c>
      <c r="B2406" t="s">
        <v>2401</v>
      </c>
      <c r="C2406" t="s">
        <v>2843</v>
      </c>
      <c r="D2406" t="s">
        <v>2390</v>
      </c>
      <c r="E2406" t="s">
        <v>2844</v>
      </c>
      <c r="F2406">
        <v>3.63</v>
      </c>
      <c r="G2406">
        <v>3.94</v>
      </c>
      <c r="H2406">
        <v>3.15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0</v>
      </c>
    </row>
    <row r="2407" spans="1:15" x14ac:dyDescent="0.25">
      <c r="A2407" s="11">
        <v>43705.967453703706</v>
      </c>
      <c r="B2407" t="s">
        <v>2401</v>
      </c>
      <c r="C2407" t="s">
        <v>2383</v>
      </c>
      <c r="D2407" t="s">
        <v>2384</v>
      </c>
      <c r="E2407" s="12" t="s">
        <v>2385</v>
      </c>
      <c r="F2407">
        <v>3.63</v>
      </c>
      <c r="G2407">
        <v>3.94</v>
      </c>
      <c r="H2407">
        <v>3.15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0</v>
      </c>
    </row>
    <row r="2408" spans="1:15" x14ac:dyDescent="0.25">
      <c r="A2408" s="11">
        <v>43705.967453703706</v>
      </c>
      <c r="B2408" t="s">
        <v>2401</v>
      </c>
      <c r="C2408" t="s">
        <v>2383</v>
      </c>
      <c r="D2408" t="s">
        <v>2386</v>
      </c>
      <c r="E2408" t="s">
        <v>2867</v>
      </c>
      <c r="F2408">
        <v>3.63</v>
      </c>
      <c r="G2408">
        <v>3.94</v>
      </c>
      <c r="H2408">
        <v>3.15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0</v>
      </c>
    </row>
    <row r="2409" spans="1:15" x14ac:dyDescent="0.25">
      <c r="A2409" s="11">
        <v>43705.967453703706</v>
      </c>
      <c r="B2409" t="s">
        <v>2401</v>
      </c>
      <c r="C2409" t="s">
        <v>2383</v>
      </c>
      <c r="D2409" t="s">
        <v>2387</v>
      </c>
      <c r="E2409" t="s">
        <v>2846</v>
      </c>
      <c r="F2409">
        <v>3.63</v>
      </c>
      <c r="G2409">
        <v>3.94</v>
      </c>
      <c r="H2409">
        <v>3.15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0</v>
      </c>
    </row>
    <row r="2410" spans="1:15" x14ac:dyDescent="0.25">
      <c r="A2410" s="11">
        <v>43705.967453703706</v>
      </c>
      <c r="B2410" t="s">
        <v>2401</v>
      </c>
      <c r="C2410" t="s">
        <v>2383</v>
      </c>
      <c r="D2410" t="s">
        <v>2381</v>
      </c>
      <c r="E2410" t="s">
        <v>2847</v>
      </c>
      <c r="F2410">
        <v>3.63</v>
      </c>
      <c r="G2410">
        <v>3.94</v>
      </c>
      <c r="H2410">
        <v>3.15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0</v>
      </c>
    </row>
    <row r="2411" spans="1:15" x14ac:dyDescent="0.25">
      <c r="A2411" s="11">
        <v>43705.967453703706</v>
      </c>
      <c r="B2411" t="s">
        <v>2401</v>
      </c>
      <c r="C2411" t="s">
        <v>2383</v>
      </c>
      <c r="D2411" t="s">
        <v>2388</v>
      </c>
      <c r="E2411" t="s">
        <v>2848</v>
      </c>
      <c r="F2411">
        <v>3.63</v>
      </c>
      <c r="G2411">
        <v>3.94</v>
      </c>
      <c r="H2411">
        <v>3.15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0</v>
      </c>
    </row>
    <row r="2412" spans="1:15" x14ac:dyDescent="0.25">
      <c r="A2412" s="11">
        <v>43705.967453703706</v>
      </c>
      <c r="B2412" t="s">
        <v>2401</v>
      </c>
      <c r="C2412" t="s">
        <v>2383</v>
      </c>
      <c r="D2412" t="s">
        <v>2389</v>
      </c>
      <c r="E2412" s="12" t="s">
        <v>2385</v>
      </c>
      <c r="F2412">
        <v>3.63</v>
      </c>
      <c r="G2412">
        <v>3.94</v>
      </c>
      <c r="H2412">
        <v>3.15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0</v>
      </c>
    </row>
    <row r="2413" spans="1:15" x14ac:dyDescent="0.25">
      <c r="A2413" s="11">
        <v>43705.967465277776</v>
      </c>
      <c r="B2413" t="s">
        <v>2401</v>
      </c>
      <c r="C2413" t="s">
        <v>2779</v>
      </c>
      <c r="E2413" t="s">
        <v>2378</v>
      </c>
      <c r="F2413">
        <v>3.63</v>
      </c>
      <c r="G2413">
        <v>3.94</v>
      </c>
      <c r="H2413">
        <v>3.15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0</v>
      </c>
    </row>
    <row r="2414" spans="1:15" x14ac:dyDescent="0.25">
      <c r="A2414" s="11">
        <v>43705.967557870368</v>
      </c>
      <c r="B2414" t="s">
        <v>2401</v>
      </c>
      <c r="C2414" t="s">
        <v>2450</v>
      </c>
      <c r="D2414" t="s">
        <v>2429</v>
      </c>
      <c r="E2414">
        <v>0</v>
      </c>
      <c r="F2414">
        <v>3.63</v>
      </c>
      <c r="G2414">
        <v>3.94</v>
      </c>
      <c r="H2414">
        <v>3.15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0</v>
      </c>
    </row>
    <row r="2415" spans="1:15" x14ac:dyDescent="0.25">
      <c r="A2415" s="11">
        <v>43705.967766203707</v>
      </c>
      <c r="B2415" t="s">
        <v>2401</v>
      </c>
      <c r="C2415" t="s">
        <v>2811</v>
      </c>
      <c r="D2415" t="s">
        <v>2390</v>
      </c>
      <c r="F2415">
        <v>3.63</v>
      </c>
      <c r="G2415">
        <v>3.94</v>
      </c>
      <c r="H2415">
        <v>3.15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0</v>
      </c>
    </row>
    <row r="2416" spans="1:15" x14ac:dyDescent="0.25">
      <c r="A2416" s="11">
        <v>43705.967777777776</v>
      </c>
      <c r="B2416" t="s">
        <v>2401</v>
      </c>
      <c r="C2416" t="s">
        <v>2864</v>
      </c>
      <c r="D2416" t="s">
        <v>2390</v>
      </c>
      <c r="E2416" s="27">
        <v>1402</v>
      </c>
      <c r="F2416">
        <v>3.63</v>
      </c>
      <c r="G2416">
        <v>3.94</v>
      </c>
      <c r="H2416">
        <v>3.15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0</v>
      </c>
    </row>
    <row r="2417" spans="1:15" x14ac:dyDescent="0.25">
      <c r="A2417" s="11">
        <v>43705.967777777776</v>
      </c>
      <c r="B2417" t="s">
        <v>2401</v>
      </c>
      <c r="C2417" t="s">
        <v>2827</v>
      </c>
      <c r="D2417" t="s">
        <v>2390</v>
      </c>
      <c r="E2417" t="s">
        <v>2828</v>
      </c>
      <c r="F2417">
        <v>3.63</v>
      </c>
      <c r="G2417">
        <v>3.94</v>
      </c>
      <c r="H2417">
        <v>3.15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0</v>
      </c>
    </row>
    <row r="2418" spans="1:15" x14ac:dyDescent="0.25">
      <c r="A2418" s="11">
        <v>43705.967777777776</v>
      </c>
      <c r="B2418" t="s">
        <v>2401</v>
      </c>
      <c r="C2418" t="s">
        <v>2829</v>
      </c>
      <c r="D2418" t="s">
        <v>2390</v>
      </c>
      <c r="E2418" t="s">
        <v>2828</v>
      </c>
      <c r="F2418">
        <v>3.63</v>
      </c>
      <c r="G2418">
        <v>3.94</v>
      </c>
      <c r="H2418">
        <v>3.15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0</v>
      </c>
    </row>
    <row r="2419" spans="1:15" x14ac:dyDescent="0.25">
      <c r="A2419" s="11">
        <v>43705.967777777776</v>
      </c>
      <c r="B2419" t="s">
        <v>2401</v>
      </c>
      <c r="C2419" t="s">
        <v>2865</v>
      </c>
      <c r="D2419" t="s">
        <v>2390</v>
      </c>
      <c r="E2419" s="27">
        <v>1408</v>
      </c>
      <c r="F2419">
        <v>3.63</v>
      </c>
      <c r="G2419">
        <v>3.94</v>
      </c>
      <c r="H2419">
        <v>3.15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0</v>
      </c>
    </row>
    <row r="2420" spans="1:15" x14ac:dyDescent="0.25">
      <c r="A2420" s="11">
        <v>43705.967777777776</v>
      </c>
      <c r="B2420" t="s">
        <v>2401</v>
      </c>
      <c r="C2420" t="s">
        <v>2866</v>
      </c>
      <c r="D2420" t="s">
        <v>2390</v>
      </c>
      <c r="E2420" s="27">
        <v>1458</v>
      </c>
      <c r="F2420">
        <v>3.63</v>
      </c>
      <c r="G2420">
        <v>3.94</v>
      </c>
      <c r="H2420">
        <v>3.15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0</v>
      </c>
    </row>
    <row r="2421" spans="1:15" x14ac:dyDescent="0.25">
      <c r="A2421" s="11">
        <v>43705.967777777776</v>
      </c>
      <c r="B2421" t="s">
        <v>2401</v>
      </c>
      <c r="C2421" t="s">
        <v>2830</v>
      </c>
      <c r="D2421" t="s">
        <v>2390</v>
      </c>
      <c r="E2421" t="s">
        <v>2831</v>
      </c>
      <c r="F2421">
        <v>3.63</v>
      </c>
      <c r="G2421">
        <v>3.94</v>
      </c>
      <c r="H2421">
        <v>3.15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0</v>
      </c>
    </row>
    <row r="2422" spans="1:15" x14ac:dyDescent="0.25">
      <c r="A2422" s="11">
        <v>43705.967777777776</v>
      </c>
      <c r="B2422" t="s">
        <v>2401</v>
      </c>
      <c r="C2422" t="s">
        <v>2832</v>
      </c>
      <c r="D2422" t="s">
        <v>2390</v>
      </c>
      <c r="E2422" t="s">
        <v>2833</v>
      </c>
      <c r="F2422">
        <v>3.63</v>
      </c>
      <c r="G2422">
        <v>3.94</v>
      </c>
      <c r="H2422">
        <v>3.15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0</v>
      </c>
    </row>
    <row r="2423" spans="1:15" x14ac:dyDescent="0.25">
      <c r="A2423" s="11">
        <v>43705.967777777776</v>
      </c>
      <c r="B2423" t="s">
        <v>2401</v>
      </c>
      <c r="C2423" t="s">
        <v>2834</v>
      </c>
      <c r="D2423" t="s">
        <v>2390</v>
      </c>
      <c r="E2423" t="s">
        <v>2835</v>
      </c>
      <c r="F2423">
        <v>3.63</v>
      </c>
      <c r="G2423">
        <v>3.94</v>
      </c>
      <c r="H2423">
        <v>3.15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0</v>
      </c>
    </row>
    <row r="2424" spans="1:15" x14ac:dyDescent="0.25">
      <c r="A2424" s="11">
        <v>43705.967777777776</v>
      </c>
      <c r="B2424" t="s">
        <v>2401</v>
      </c>
      <c r="C2424" t="s">
        <v>2836</v>
      </c>
      <c r="D2424" t="s">
        <v>2390</v>
      </c>
      <c r="E2424" t="s">
        <v>2837</v>
      </c>
      <c r="F2424">
        <v>3.63</v>
      </c>
      <c r="G2424">
        <v>3.94</v>
      </c>
      <c r="H2424">
        <v>3.15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0</v>
      </c>
    </row>
    <row r="2425" spans="1:15" x14ac:dyDescent="0.25">
      <c r="A2425" s="11">
        <v>43705.967777777776</v>
      </c>
      <c r="B2425" t="s">
        <v>2401</v>
      </c>
      <c r="C2425" t="s">
        <v>2838</v>
      </c>
      <c r="D2425" t="s">
        <v>2390</v>
      </c>
      <c r="E2425" t="s">
        <v>2837</v>
      </c>
      <c r="F2425">
        <v>3.63</v>
      </c>
      <c r="G2425">
        <v>3.94</v>
      </c>
      <c r="H2425">
        <v>3.15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0</v>
      </c>
    </row>
    <row r="2426" spans="1:15" x14ac:dyDescent="0.25">
      <c r="A2426" s="11">
        <v>43705.967789351853</v>
      </c>
      <c r="B2426" t="s">
        <v>2401</v>
      </c>
      <c r="C2426" t="s">
        <v>2839</v>
      </c>
      <c r="D2426" t="s">
        <v>2390</v>
      </c>
      <c r="E2426" t="s">
        <v>2840</v>
      </c>
      <c r="F2426">
        <v>3.63</v>
      </c>
      <c r="G2426">
        <v>3.94</v>
      </c>
      <c r="H2426">
        <v>3.15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0</v>
      </c>
    </row>
    <row r="2427" spans="1:15" x14ac:dyDescent="0.25">
      <c r="A2427" s="11">
        <v>43705.967789351853</v>
      </c>
      <c r="B2427" t="s">
        <v>2401</v>
      </c>
      <c r="C2427" t="s">
        <v>2841</v>
      </c>
      <c r="D2427" t="s">
        <v>2390</v>
      </c>
      <c r="E2427" t="s">
        <v>2842</v>
      </c>
      <c r="F2427">
        <v>3.63</v>
      </c>
      <c r="G2427">
        <v>3.94</v>
      </c>
      <c r="H2427">
        <v>3.15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0</v>
      </c>
    </row>
    <row r="2428" spans="1:15" x14ac:dyDescent="0.25">
      <c r="A2428" s="11">
        <v>43705.967789351853</v>
      </c>
      <c r="B2428" t="s">
        <v>2401</v>
      </c>
      <c r="C2428" t="s">
        <v>2843</v>
      </c>
      <c r="D2428" t="s">
        <v>2390</v>
      </c>
      <c r="E2428" t="s">
        <v>2844</v>
      </c>
      <c r="F2428">
        <v>3.63</v>
      </c>
      <c r="G2428">
        <v>3.94</v>
      </c>
      <c r="H2428">
        <v>3.15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0</v>
      </c>
    </row>
    <row r="2429" spans="1:15" x14ac:dyDescent="0.25">
      <c r="A2429" s="11">
        <v>43705.967789351853</v>
      </c>
      <c r="B2429" t="s">
        <v>2401</v>
      </c>
      <c r="C2429" t="s">
        <v>2383</v>
      </c>
      <c r="D2429" t="s">
        <v>2384</v>
      </c>
      <c r="E2429" s="12" t="s">
        <v>2385</v>
      </c>
      <c r="F2429">
        <v>3.63</v>
      </c>
      <c r="G2429">
        <v>3.94</v>
      </c>
      <c r="H2429">
        <v>3.15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0</v>
      </c>
    </row>
    <row r="2430" spans="1:15" x14ac:dyDescent="0.25">
      <c r="A2430" s="11">
        <v>43705.967789351853</v>
      </c>
      <c r="B2430" t="s">
        <v>2401</v>
      </c>
      <c r="C2430" t="s">
        <v>2383</v>
      </c>
      <c r="D2430" t="s">
        <v>2386</v>
      </c>
      <c r="E2430" t="s">
        <v>2868</v>
      </c>
      <c r="F2430">
        <v>3.63</v>
      </c>
      <c r="G2430">
        <v>3.94</v>
      </c>
      <c r="H2430">
        <v>3.15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0</v>
      </c>
    </row>
    <row r="2431" spans="1:15" x14ac:dyDescent="0.25">
      <c r="A2431" s="11">
        <v>43705.967789351853</v>
      </c>
      <c r="B2431" t="s">
        <v>2401</v>
      </c>
      <c r="C2431" t="s">
        <v>2383</v>
      </c>
      <c r="D2431" t="s">
        <v>2387</v>
      </c>
      <c r="E2431" t="s">
        <v>2846</v>
      </c>
      <c r="F2431">
        <v>3.63</v>
      </c>
      <c r="G2431">
        <v>3.94</v>
      </c>
      <c r="H2431">
        <v>3.15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0</v>
      </c>
    </row>
    <row r="2432" spans="1:15" x14ac:dyDescent="0.25">
      <c r="A2432" s="11">
        <v>43705.967789351853</v>
      </c>
      <c r="B2432" t="s">
        <v>2401</v>
      </c>
      <c r="C2432" t="s">
        <v>2383</v>
      </c>
      <c r="D2432" t="s">
        <v>2381</v>
      </c>
      <c r="E2432" t="s">
        <v>2847</v>
      </c>
      <c r="F2432">
        <v>3.63</v>
      </c>
      <c r="G2432">
        <v>3.94</v>
      </c>
      <c r="H2432">
        <v>3.15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0</v>
      </c>
    </row>
    <row r="2433" spans="1:15" x14ac:dyDescent="0.25">
      <c r="A2433" s="11">
        <v>43705.967789351853</v>
      </c>
      <c r="B2433" t="s">
        <v>2401</v>
      </c>
      <c r="C2433" t="s">
        <v>2383</v>
      </c>
      <c r="D2433" t="s">
        <v>2388</v>
      </c>
      <c r="E2433" t="s">
        <v>2848</v>
      </c>
      <c r="F2433">
        <v>3.63</v>
      </c>
      <c r="G2433">
        <v>3.94</v>
      </c>
      <c r="H2433">
        <v>3.15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0</v>
      </c>
    </row>
    <row r="2434" spans="1:15" x14ac:dyDescent="0.25">
      <c r="A2434" s="11">
        <v>43705.967789351853</v>
      </c>
      <c r="B2434" t="s">
        <v>2401</v>
      </c>
      <c r="C2434" t="s">
        <v>2383</v>
      </c>
      <c r="D2434" t="s">
        <v>2389</v>
      </c>
      <c r="E2434" s="12" t="s">
        <v>2385</v>
      </c>
      <c r="F2434">
        <v>3.63</v>
      </c>
      <c r="G2434">
        <v>3.94</v>
      </c>
      <c r="H2434">
        <v>3.15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0</v>
      </c>
    </row>
    <row r="2435" spans="1:15" x14ac:dyDescent="0.25">
      <c r="A2435" s="11">
        <v>43705.967800925922</v>
      </c>
      <c r="B2435" t="s">
        <v>2401</v>
      </c>
      <c r="C2435" t="s">
        <v>2779</v>
      </c>
      <c r="E2435" t="s">
        <v>2378</v>
      </c>
      <c r="F2435">
        <v>3.63</v>
      </c>
      <c r="G2435">
        <v>3.94</v>
      </c>
      <c r="H2435">
        <v>3.15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0</v>
      </c>
    </row>
    <row r="2436" spans="1:15" x14ac:dyDescent="0.25">
      <c r="A2436" s="11">
        <v>43705.969259259262</v>
      </c>
      <c r="B2436" t="s">
        <v>2401</v>
      </c>
      <c r="C2436" t="s">
        <v>2811</v>
      </c>
      <c r="D2436" t="s">
        <v>2390</v>
      </c>
      <c r="F2436">
        <v>3.63</v>
      </c>
      <c r="G2436">
        <v>3.94</v>
      </c>
      <c r="H2436">
        <v>3.15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0</v>
      </c>
    </row>
    <row r="2437" spans="1:15" x14ac:dyDescent="0.25">
      <c r="A2437" s="11">
        <v>43705.969259259262</v>
      </c>
      <c r="B2437" t="s">
        <v>2401</v>
      </c>
      <c r="C2437" t="s">
        <v>2779</v>
      </c>
      <c r="E2437" t="s">
        <v>2379</v>
      </c>
      <c r="F2437">
        <v>3.63</v>
      </c>
      <c r="G2437">
        <v>3.94</v>
      </c>
      <c r="H2437">
        <v>3.15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0</v>
      </c>
    </row>
    <row r="2438" spans="1:15" x14ac:dyDescent="0.25">
      <c r="A2438" s="11">
        <v>43705.970625000002</v>
      </c>
      <c r="B2438" t="s">
        <v>2401</v>
      </c>
      <c r="C2438" t="s">
        <v>2811</v>
      </c>
      <c r="D2438" t="s">
        <v>2390</v>
      </c>
      <c r="F2438">
        <v>3.63</v>
      </c>
      <c r="G2438">
        <v>3.94</v>
      </c>
      <c r="H2438">
        <v>3.15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0</v>
      </c>
    </row>
    <row r="2439" spans="1:15" x14ac:dyDescent="0.25">
      <c r="A2439" s="11">
        <v>43705.970636574071</v>
      </c>
      <c r="B2439" t="s">
        <v>2401</v>
      </c>
      <c r="C2439" t="s">
        <v>2779</v>
      </c>
      <c r="E2439" t="s">
        <v>2379</v>
      </c>
      <c r="F2439">
        <v>3.63</v>
      </c>
      <c r="G2439">
        <v>3.94</v>
      </c>
      <c r="H2439">
        <v>3.15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0</v>
      </c>
    </row>
    <row r="2440" spans="1:15" x14ac:dyDescent="0.25">
      <c r="A2440" s="11">
        <v>43705.970902777779</v>
      </c>
      <c r="B2440" t="s">
        <v>2401</v>
      </c>
      <c r="C2440" t="s">
        <v>2811</v>
      </c>
      <c r="D2440" t="s">
        <v>2390</v>
      </c>
      <c r="F2440">
        <v>3.63</v>
      </c>
      <c r="G2440">
        <v>3.94</v>
      </c>
      <c r="H2440">
        <v>3.15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0</v>
      </c>
    </row>
    <row r="2441" spans="1:15" x14ac:dyDescent="0.25">
      <c r="A2441" s="11">
        <v>43705.970914351848</v>
      </c>
      <c r="B2441" t="s">
        <v>2401</v>
      </c>
      <c r="C2441" t="s">
        <v>2779</v>
      </c>
      <c r="E2441" t="s">
        <v>2379</v>
      </c>
      <c r="F2441">
        <v>3.63</v>
      </c>
      <c r="G2441">
        <v>3.94</v>
      </c>
      <c r="H2441">
        <v>3.15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0</v>
      </c>
    </row>
    <row r="2442" spans="1:15" x14ac:dyDescent="0.25">
      <c r="A2442" s="11">
        <v>43705.97146990741</v>
      </c>
      <c r="B2442" t="s">
        <v>2401</v>
      </c>
      <c r="C2442" t="s">
        <v>2811</v>
      </c>
      <c r="D2442" t="s">
        <v>2390</v>
      </c>
      <c r="F2442">
        <v>3.63</v>
      </c>
      <c r="G2442">
        <v>3.94</v>
      </c>
      <c r="H2442">
        <v>3.15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0</v>
      </c>
    </row>
    <row r="2443" spans="1:15" x14ac:dyDescent="0.25">
      <c r="A2443" s="11">
        <v>43705.97148148148</v>
      </c>
      <c r="B2443" t="s">
        <v>2401</v>
      </c>
      <c r="C2443" t="s">
        <v>2864</v>
      </c>
      <c r="D2443" t="s">
        <v>2390</v>
      </c>
      <c r="E2443" s="27">
        <v>1402</v>
      </c>
      <c r="F2443">
        <v>3.63</v>
      </c>
      <c r="G2443">
        <v>3.94</v>
      </c>
      <c r="H2443">
        <v>3.15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0</v>
      </c>
    </row>
    <row r="2444" spans="1:15" x14ac:dyDescent="0.25">
      <c r="A2444" s="11">
        <v>43705.97148148148</v>
      </c>
      <c r="B2444" t="s">
        <v>2401</v>
      </c>
      <c r="C2444" t="s">
        <v>2827</v>
      </c>
      <c r="D2444" t="s">
        <v>2390</v>
      </c>
      <c r="E2444" t="s">
        <v>2828</v>
      </c>
      <c r="F2444">
        <v>3.63</v>
      </c>
      <c r="G2444">
        <v>3.94</v>
      </c>
      <c r="H2444">
        <v>3.15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0</v>
      </c>
    </row>
    <row r="2445" spans="1:15" x14ac:dyDescent="0.25">
      <c r="A2445" s="11">
        <v>43705.97148148148</v>
      </c>
      <c r="B2445" t="s">
        <v>2401</v>
      </c>
      <c r="C2445" t="s">
        <v>2829</v>
      </c>
      <c r="D2445" t="s">
        <v>2390</v>
      </c>
      <c r="E2445" t="s">
        <v>2828</v>
      </c>
      <c r="F2445">
        <v>3.63</v>
      </c>
      <c r="G2445">
        <v>3.94</v>
      </c>
      <c r="H2445">
        <v>3.15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0</v>
      </c>
    </row>
    <row r="2446" spans="1:15" x14ac:dyDescent="0.25">
      <c r="A2446" s="11">
        <v>43705.97148148148</v>
      </c>
      <c r="B2446" t="s">
        <v>2401</v>
      </c>
      <c r="C2446" t="s">
        <v>2865</v>
      </c>
      <c r="D2446" t="s">
        <v>2390</v>
      </c>
      <c r="E2446" s="27">
        <v>1408</v>
      </c>
      <c r="F2446">
        <v>3.63</v>
      </c>
      <c r="G2446">
        <v>3.94</v>
      </c>
      <c r="H2446">
        <v>3.15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0</v>
      </c>
    </row>
    <row r="2447" spans="1:15" x14ac:dyDescent="0.25">
      <c r="A2447" s="11">
        <v>43705.97148148148</v>
      </c>
      <c r="B2447" t="s">
        <v>2401</v>
      </c>
      <c r="C2447" t="s">
        <v>2866</v>
      </c>
      <c r="D2447" t="s">
        <v>2390</v>
      </c>
      <c r="E2447" s="27">
        <v>1458</v>
      </c>
      <c r="F2447">
        <v>3.63</v>
      </c>
      <c r="G2447">
        <v>3.94</v>
      </c>
      <c r="H2447">
        <v>3.15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0</v>
      </c>
    </row>
    <row r="2448" spans="1:15" x14ac:dyDescent="0.25">
      <c r="A2448" s="11">
        <v>43705.97148148148</v>
      </c>
      <c r="B2448" t="s">
        <v>2401</v>
      </c>
      <c r="C2448" t="s">
        <v>2830</v>
      </c>
      <c r="D2448" t="s">
        <v>2390</v>
      </c>
      <c r="E2448" t="s">
        <v>2831</v>
      </c>
      <c r="F2448">
        <v>3.63</v>
      </c>
      <c r="G2448">
        <v>3.94</v>
      </c>
      <c r="H2448">
        <v>3.15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0</v>
      </c>
    </row>
    <row r="2449" spans="1:15" x14ac:dyDescent="0.25">
      <c r="A2449" s="11">
        <v>43705.97148148148</v>
      </c>
      <c r="B2449" t="s">
        <v>2401</v>
      </c>
      <c r="C2449" t="s">
        <v>2832</v>
      </c>
      <c r="D2449" t="s">
        <v>2390</v>
      </c>
      <c r="E2449" t="s">
        <v>2833</v>
      </c>
      <c r="F2449">
        <v>3.63</v>
      </c>
      <c r="G2449">
        <v>3.94</v>
      </c>
      <c r="H2449">
        <v>3.15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0</v>
      </c>
    </row>
    <row r="2450" spans="1:15" x14ac:dyDescent="0.25">
      <c r="A2450" s="11">
        <v>43705.971493055556</v>
      </c>
      <c r="B2450" t="s">
        <v>2401</v>
      </c>
      <c r="C2450" t="s">
        <v>2834</v>
      </c>
      <c r="D2450" t="s">
        <v>2390</v>
      </c>
      <c r="E2450" t="s">
        <v>2835</v>
      </c>
      <c r="F2450">
        <v>3.63</v>
      </c>
      <c r="G2450">
        <v>3.94</v>
      </c>
      <c r="H2450">
        <v>3.15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0</v>
      </c>
    </row>
    <row r="2451" spans="1:15" x14ac:dyDescent="0.25">
      <c r="A2451" s="11">
        <v>43705.971493055556</v>
      </c>
      <c r="B2451" t="s">
        <v>2401</v>
      </c>
      <c r="C2451" t="s">
        <v>2836</v>
      </c>
      <c r="D2451" t="s">
        <v>2390</v>
      </c>
      <c r="E2451" t="s">
        <v>2837</v>
      </c>
      <c r="F2451">
        <v>3.63</v>
      </c>
      <c r="G2451">
        <v>3.94</v>
      </c>
      <c r="H2451">
        <v>3.15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0</v>
      </c>
    </row>
    <row r="2452" spans="1:15" x14ac:dyDescent="0.25">
      <c r="A2452" s="11">
        <v>43705.971493055556</v>
      </c>
      <c r="B2452" t="s">
        <v>2401</v>
      </c>
      <c r="C2452" t="s">
        <v>2838</v>
      </c>
      <c r="D2452" t="s">
        <v>2390</v>
      </c>
      <c r="E2452" t="s">
        <v>2837</v>
      </c>
      <c r="F2452">
        <v>3.63</v>
      </c>
      <c r="G2452">
        <v>3.94</v>
      </c>
      <c r="H2452">
        <v>3.15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0</v>
      </c>
    </row>
    <row r="2453" spans="1:15" x14ac:dyDescent="0.25">
      <c r="A2453" s="11">
        <v>43705.971493055556</v>
      </c>
      <c r="B2453" t="s">
        <v>2401</v>
      </c>
      <c r="C2453" t="s">
        <v>2839</v>
      </c>
      <c r="D2453" t="s">
        <v>2390</v>
      </c>
      <c r="E2453" t="s">
        <v>2840</v>
      </c>
      <c r="F2453">
        <v>3.63</v>
      </c>
      <c r="G2453">
        <v>3.94</v>
      </c>
      <c r="H2453">
        <v>3.15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0</v>
      </c>
    </row>
    <row r="2454" spans="1:15" x14ac:dyDescent="0.25">
      <c r="A2454" s="11">
        <v>43705.971493055556</v>
      </c>
      <c r="B2454" t="s">
        <v>2401</v>
      </c>
      <c r="C2454" t="s">
        <v>2841</v>
      </c>
      <c r="D2454" t="s">
        <v>2390</v>
      </c>
      <c r="E2454" t="s">
        <v>2842</v>
      </c>
      <c r="F2454">
        <v>3.63</v>
      </c>
      <c r="G2454">
        <v>3.94</v>
      </c>
      <c r="H2454">
        <v>3.15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0</v>
      </c>
    </row>
    <row r="2455" spans="1:15" x14ac:dyDescent="0.25">
      <c r="A2455" s="11">
        <v>43705.971493055556</v>
      </c>
      <c r="B2455" t="s">
        <v>2401</v>
      </c>
      <c r="C2455" t="s">
        <v>2843</v>
      </c>
      <c r="D2455" t="s">
        <v>2390</v>
      </c>
      <c r="E2455" t="s">
        <v>2844</v>
      </c>
      <c r="F2455">
        <v>3.63</v>
      </c>
      <c r="G2455">
        <v>3.94</v>
      </c>
      <c r="H2455">
        <v>3.15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0</v>
      </c>
    </row>
    <row r="2456" spans="1:15" x14ac:dyDescent="0.25">
      <c r="A2456" s="11">
        <v>43705.971493055556</v>
      </c>
      <c r="B2456" t="s">
        <v>2401</v>
      </c>
      <c r="C2456" t="s">
        <v>2383</v>
      </c>
      <c r="D2456" t="s">
        <v>2384</v>
      </c>
      <c r="E2456" s="12" t="s">
        <v>2385</v>
      </c>
      <c r="F2456">
        <v>3.63</v>
      </c>
      <c r="G2456">
        <v>3.94</v>
      </c>
      <c r="H2456">
        <v>3.15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0</v>
      </c>
    </row>
    <row r="2457" spans="1:15" x14ac:dyDescent="0.25">
      <c r="A2457" s="11">
        <v>43705.971493055556</v>
      </c>
      <c r="B2457" t="s">
        <v>2401</v>
      </c>
      <c r="C2457" t="s">
        <v>2383</v>
      </c>
      <c r="D2457" t="s">
        <v>2386</v>
      </c>
      <c r="E2457" t="s">
        <v>2870</v>
      </c>
      <c r="F2457">
        <v>3.63</v>
      </c>
      <c r="G2457">
        <v>3.94</v>
      </c>
      <c r="H2457">
        <v>3.15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0</v>
      </c>
    </row>
    <row r="2458" spans="1:15" x14ac:dyDescent="0.25">
      <c r="A2458" s="11">
        <v>43705.971493055556</v>
      </c>
      <c r="B2458" t="s">
        <v>2401</v>
      </c>
      <c r="C2458" t="s">
        <v>2383</v>
      </c>
      <c r="D2458" t="s">
        <v>2387</v>
      </c>
      <c r="E2458" t="s">
        <v>2846</v>
      </c>
      <c r="F2458">
        <v>3.63</v>
      </c>
      <c r="G2458">
        <v>3.94</v>
      </c>
      <c r="H2458">
        <v>3.15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0</v>
      </c>
    </row>
    <row r="2459" spans="1:15" x14ac:dyDescent="0.25">
      <c r="A2459" s="11">
        <v>43705.971493055556</v>
      </c>
      <c r="B2459" t="s">
        <v>2401</v>
      </c>
      <c r="C2459" t="s">
        <v>2383</v>
      </c>
      <c r="D2459" t="s">
        <v>2381</v>
      </c>
      <c r="E2459" t="s">
        <v>2847</v>
      </c>
      <c r="F2459">
        <v>3.63</v>
      </c>
      <c r="G2459">
        <v>3.94</v>
      </c>
      <c r="H2459">
        <v>3.15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0</v>
      </c>
    </row>
    <row r="2460" spans="1:15" x14ac:dyDescent="0.25">
      <c r="A2460" s="11">
        <v>43705.971493055556</v>
      </c>
      <c r="B2460" t="s">
        <v>2401</v>
      </c>
      <c r="C2460" t="s">
        <v>2383</v>
      </c>
      <c r="D2460" t="s">
        <v>2388</v>
      </c>
      <c r="E2460" t="s">
        <v>2848</v>
      </c>
      <c r="F2460">
        <v>3.63</v>
      </c>
      <c r="G2460">
        <v>3.94</v>
      </c>
      <c r="H2460">
        <v>3.15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0</v>
      </c>
    </row>
    <row r="2461" spans="1:15" x14ac:dyDescent="0.25">
      <c r="A2461" s="11">
        <v>43705.971493055556</v>
      </c>
      <c r="B2461" t="s">
        <v>2401</v>
      </c>
      <c r="C2461" t="s">
        <v>2383</v>
      </c>
      <c r="D2461" t="s">
        <v>2389</v>
      </c>
      <c r="E2461" s="12" t="s">
        <v>2385</v>
      </c>
      <c r="F2461">
        <v>3.63</v>
      </c>
      <c r="G2461">
        <v>3.94</v>
      </c>
      <c r="H2461">
        <v>3.15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0</v>
      </c>
    </row>
    <row r="2462" spans="1:15" x14ac:dyDescent="0.25">
      <c r="A2462" s="11">
        <v>43705.971504629626</v>
      </c>
      <c r="B2462" t="s">
        <v>2401</v>
      </c>
      <c r="C2462" t="s">
        <v>2779</v>
      </c>
      <c r="E2462" t="s">
        <v>2378</v>
      </c>
      <c r="F2462">
        <v>3.63</v>
      </c>
      <c r="G2462">
        <v>3.94</v>
      </c>
      <c r="H2462">
        <v>3.15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0</v>
      </c>
    </row>
    <row r="2463" spans="1:15" x14ac:dyDescent="0.25">
      <c r="A2463" s="11">
        <v>43705.974918981483</v>
      </c>
      <c r="B2463" t="s">
        <v>2401</v>
      </c>
      <c r="C2463" t="s">
        <v>2811</v>
      </c>
      <c r="D2463" t="s">
        <v>2390</v>
      </c>
      <c r="F2463">
        <v>3.63</v>
      </c>
      <c r="G2463">
        <v>3.94</v>
      </c>
      <c r="H2463">
        <v>3.15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0</v>
      </c>
    </row>
    <row r="2464" spans="1:15" x14ac:dyDescent="0.25">
      <c r="A2464" s="11">
        <v>43705.974942129629</v>
      </c>
      <c r="B2464" t="s">
        <v>2401</v>
      </c>
      <c r="C2464" t="s">
        <v>2864</v>
      </c>
      <c r="D2464" t="s">
        <v>2390</v>
      </c>
      <c r="E2464" s="27">
        <v>1402</v>
      </c>
      <c r="F2464">
        <v>3.63</v>
      </c>
      <c r="G2464">
        <v>3.94</v>
      </c>
      <c r="H2464">
        <v>3.15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0</v>
      </c>
    </row>
    <row r="2465" spans="1:15" x14ac:dyDescent="0.25">
      <c r="A2465" s="11">
        <v>43705.974942129629</v>
      </c>
      <c r="B2465" t="s">
        <v>2401</v>
      </c>
      <c r="C2465" t="s">
        <v>2827</v>
      </c>
      <c r="D2465" t="s">
        <v>2390</v>
      </c>
      <c r="E2465" t="s">
        <v>2828</v>
      </c>
      <c r="F2465">
        <v>3.63</v>
      </c>
      <c r="G2465">
        <v>3.94</v>
      </c>
      <c r="H2465">
        <v>3.15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0</v>
      </c>
    </row>
    <row r="2466" spans="1:15" x14ac:dyDescent="0.25">
      <c r="A2466" s="11">
        <v>43705.974942129629</v>
      </c>
      <c r="B2466" t="s">
        <v>2401</v>
      </c>
      <c r="C2466" t="s">
        <v>2829</v>
      </c>
      <c r="D2466" t="s">
        <v>2390</v>
      </c>
      <c r="E2466" t="s">
        <v>2828</v>
      </c>
      <c r="F2466">
        <v>3.63</v>
      </c>
      <c r="G2466">
        <v>3.94</v>
      </c>
      <c r="H2466">
        <v>3.15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0</v>
      </c>
    </row>
    <row r="2467" spans="1:15" x14ac:dyDescent="0.25">
      <c r="A2467" s="11">
        <v>43705.974942129629</v>
      </c>
      <c r="B2467" t="s">
        <v>2401</v>
      </c>
      <c r="C2467" t="s">
        <v>2865</v>
      </c>
      <c r="D2467" t="s">
        <v>2390</v>
      </c>
      <c r="E2467" s="27">
        <v>1408</v>
      </c>
      <c r="F2467">
        <v>3.63</v>
      </c>
      <c r="G2467">
        <v>3.94</v>
      </c>
      <c r="H2467">
        <v>3.15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0</v>
      </c>
    </row>
    <row r="2468" spans="1:15" x14ac:dyDescent="0.25">
      <c r="A2468" s="11">
        <v>43705.974942129629</v>
      </c>
      <c r="B2468" t="s">
        <v>2401</v>
      </c>
      <c r="C2468" t="s">
        <v>2866</v>
      </c>
      <c r="D2468" t="s">
        <v>2390</v>
      </c>
      <c r="E2468" s="27">
        <v>1458</v>
      </c>
      <c r="F2468">
        <v>3.63</v>
      </c>
      <c r="G2468">
        <v>3.94</v>
      </c>
      <c r="H2468">
        <v>3.15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0</v>
      </c>
    </row>
    <row r="2469" spans="1:15" x14ac:dyDescent="0.25">
      <c r="A2469" s="11">
        <v>43705.974942129629</v>
      </c>
      <c r="B2469" t="s">
        <v>2401</v>
      </c>
      <c r="C2469" t="s">
        <v>2830</v>
      </c>
      <c r="D2469" t="s">
        <v>2390</v>
      </c>
      <c r="E2469" t="s">
        <v>2831</v>
      </c>
      <c r="F2469">
        <v>3.63</v>
      </c>
      <c r="G2469">
        <v>3.94</v>
      </c>
      <c r="H2469">
        <v>3.15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0</v>
      </c>
    </row>
    <row r="2470" spans="1:15" x14ac:dyDescent="0.25">
      <c r="A2470" s="11">
        <v>43705.974942129629</v>
      </c>
      <c r="B2470" t="s">
        <v>2401</v>
      </c>
      <c r="C2470" t="s">
        <v>2832</v>
      </c>
      <c r="D2470" t="s">
        <v>2390</v>
      </c>
      <c r="E2470" t="s">
        <v>2833</v>
      </c>
      <c r="F2470">
        <v>3.63</v>
      </c>
      <c r="G2470">
        <v>3.94</v>
      </c>
      <c r="H2470">
        <v>3.15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0</v>
      </c>
    </row>
    <row r="2471" spans="1:15" x14ac:dyDescent="0.25">
      <c r="A2471" s="11">
        <v>43705.974942129629</v>
      </c>
      <c r="B2471" t="s">
        <v>2401</v>
      </c>
      <c r="C2471" t="s">
        <v>2834</v>
      </c>
      <c r="D2471" t="s">
        <v>2390</v>
      </c>
      <c r="E2471" t="s">
        <v>2835</v>
      </c>
      <c r="F2471">
        <v>3.63</v>
      </c>
      <c r="G2471">
        <v>3.94</v>
      </c>
      <c r="H2471">
        <v>3.15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0</v>
      </c>
    </row>
    <row r="2472" spans="1:15" x14ac:dyDescent="0.25">
      <c r="A2472" s="11">
        <v>43705.974942129629</v>
      </c>
      <c r="B2472" t="s">
        <v>2401</v>
      </c>
      <c r="C2472" t="s">
        <v>2836</v>
      </c>
      <c r="D2472" t="s">
        <v>2390</v>
      </c>
      <c r="E2472" t="s">
        <v>2837</v>
      </c>
      <c r="F2472">
        <v>3.63</v>
      </c>
      <c r="G2472">
        <v>3.94</v>
      </c>
      <c r="H2472">
        <v>3.15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0</v>
      </c>
    </row>
    <row r="2473" spans="1:15" x14ac:dyDescent="0.25">
      <c r="A2473" s="11">
        <v>43705.974942129629</v>
      </c>
      <c r="B2473" t="s">
        <v>2401</v>
      </c>
      <c r="C2473" t="s">
        <v>2838</v>
      </c>
      <c r="D2473" t="s">
        <v>2390</v>
      </c>
      <c r="E2473" t="s">
        <v>2837</v>
      </c>
      <c r="F2473">
        <v>3.63</v>
      </c>
      <c r="G2473">
        <v>3.94</v>
      </c>
      <c r="H2473">
        <v>3.15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0</v>
      </c>
    </row>
    <row r="2474" spans="1:15" x14ac:dyDescent="0.25">
      <c r="A2474" s="11">
        <v>43705.974942129629</v>
      </c>
      <c r="B2474" t="s">
        <v>2401</v>
      </c>
      <c r="C2474" t="s">
        <v>2839</v>
      </c>
      <c r="D2474" t="s">
        <v>2390</v>
      </c>
      <c r="E2474" t="s">
        <v>2840</v>
      </c>
      <c r="F2474">
        <v>3.63</v>
      </c>
      <c r="G2474">
        <v>3.94</v>
      </c>
      <c r="H2474">
        <v>3.15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0</v>
      </c>
    </row>
    <row r="2475" spans="1:15" x14ac:dyDescent="0.25">
      <c r="A2475" s="11">
        <v>43705.974942129629</v>
      </c>
      <c r="B2475" t="s">
        <v>2401</v>
      </c>
      <c r="C2475" t="s">
        <v>2841</v>
      </c>
      <c r="D2475" t="s">
        <v>2390</v>
      </c>
      <c r="E2475" t="s">
        <v>2842</v>
      </c>
      <c r="F2475">
        <v>3.63</v>
      </c>
      <c r="G2475">
        <v>3.94</v>
      </c>
      <c r="H2475">
        <v>3.15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0</v>
      </c>
    </row>
    <row r="2476" spans="1:15" x14ac:dyDescent="0.25">
      <c r="A2476" s="11">
        <v>43705.974942129629</v>
      </c>
      <c r="B2476" t="s">
        <v>2401</v>
      </c>
      <c r="C2476" t="s">
        <v>2843</v>
      </c>
      <c r="D2476" t="s">
        <v>2390</v>
      </c>
      <c r="E2476" t="s">
        <v>2844</v>
      </c>
      <c r="F2476">
        <v>3.63</v>
      </c>
      <c r="G2476">
        <v>3.94</v>
      </c>
      <c r="H2476">
        <v>3.15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0</v>
      </c>
    </row>
    <row r="2477" spans="1:15" x14ac:dyDescent="0.25">
      <c r="A2477" s="11">
        <v>43705.974942129629</v>
      </c>
      <c r="B2477" t="s">
        <v>2401</v>
      </c>
      <c r="C2477" t="s">
        <v>2383</v>
      </c>
      <c r="D2477" t="s">
        <v>2384</v>
      </c>
      <c r="E2477" s="12" t="s">
        <v>2385</v>
      </c>
      <c r="F2477">
        <v>3.63</v>
      </c>
      <c r="G2477">
        <v>3.94</v>
      </c>
      <c r="H2477">
        <v>3.15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0</v>
      </c>
    </row>
    <row r="2478" spans="1:15" x14ac:dyDescent="0.25">
      <c r="A2478" s="11">
        <v>43705.974942129629</v>
      </c>
      <c r="B2478" t="s">
        <v>2401</v>
      </c>
      <c r="C2478" t="s">
        <v>2383</v>
      </c>
      <c r="D2478" t="s">
        <v>2386</v>
      </c>
      <c r="E2478" t="s">
        <v>2870</v>
      </c>
      <c r="F2478">
        <v>3.63</v>
      </c>
      <c r="G2478">
        <v>3.94</v>
      </c>
      <c r="H2478">
        <v>3.15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0</v>
      </c>
    </row>
    <row r="2479" spans="1:15" x14ac:dyDescent="0.25">
      <c r="A2479" s="11">
        <v>43705.974942129629</v>
      </c>
      <c r="B2479" t="s">
        <v>2401</v>
      </c>
      <c r="C2479" t="s">
        <v>2383</v>
      </c>
      <c r="D2479" t="s">
        <v>2387</v>
      </c>
      <c r="E2479" t="s">
        <v>2846</v>
      </c>
      <c r="F2479">
        <v>3.63</v>
      </c>
      <c r="G2479">
        <v>3.94</v>
      </c>
      <c r="H2479">
        <v>3.15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0</v>
      </c>
    </row>
    <row r="2480" spans="1:15" x14ac:dyDescent="0.25">
      <c r="A2480" s="11">
        <v>43705.974942129629</v>
      </c>
      <c r="B2480" t="s">
        <v>2401</v>
      </c>
      <c r="C2480" t="s">
        <v>2383</v>
      </c>
      <c r="D2480" t="s">
        <v>2381</v>
      </c>
      <c r="E2480" t="s">
        <v>2847</v>
      </c>
      <c r="F2480">
        <v>3.63</v>
      </c>
      <c r="G2480">
        <v>3.94</v>
      </c>
      <c r="H2480">
        <v>3.15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0</v>
      </c>
    </row>
    <row r="2481" spans="1:15" x14ac:dyDescent="0.25">
      <c r="A2481" s="11">
        <v>43705.974942129629</v>
      </c>
      <c r="B2481" t="s">
        <v>2401</v>
      </c>
      <c r="C2481" t="s">
        <v>2383</v>
      </c>
      <c r="D2481" t="s">
        <v>2388</v>
      </c>
      <c r="E2481" t="s">
        <v>2848</v>
      </c>
      <c r="F2481">
        <v>3.63</v>
      </c>
      <c r="G2481">
        <v>3.94</v>
      </c>
      <c r="H2481">
        <v>3.15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0</v>
      </c>
    </row>
    <row r="2482" spans="1:15" x14ac:dyDescent="0.25">
      <c r="A2482" s="11">
        <v>43705.974953703706</v>
      </c>
      <c r="B2482" t="s">
        <v>2401</v>
      </c>
      <c r="C2482" t="s">
        <v>2383</v>
      </c>
      <c r="D2482" t="s">
        <v>2389</v>
      </c>
      <c r="E2482" s="12" t="s">
        <v>2385</v>
      </c>
      <c r="F2482">
        <v>3.63</v>
      </c>
      <c r="G2482">
        <v>3.94</v>
      </c>
      <c r="H2482">
        <v>3.15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0</v>
      </c>
    </row>
    <row r="2483" spans="1:15" x14ac:dyDescent="0.25">
      <c r="A2483" s="11">
        <v>43705.974965277775</v>
      </c>
      <c r="B2483" t="s">
        <v>2401</v>
      </c>
      <c r="C2483" t="s">
        <v>2779</v>
      </c>
      <c r="E2483" t="s">
        <v>2378</v>
      </c>
      <c r="F2483">
        <v>3.63</v>
      </c>
      <c r="G2483">
        <v>3.94</v>
      </c>
      <c r="H2483">
        <v>3.15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0</v>
      </c>
    </row>
    <row r="2484" spans="1:15" x14ac:dyDescent="0.25">
      <c r="A2484" s="11">
        <v>43705.975162037037</v>
      </c>
      <c r="B2484" t="s">
        <v>2401</v>
      </c>
      <c r="C2484" t="s">
        <v>2811</v>
      </c>
      <c r="D2484" t="s">
        <v>2390</v>
      </c>
      <c r="F2484">
        <v>3.63</v>
      </c>
      <c r="G2484">
        <v>3.94</v>
      </c>
      <c r="H2484">
        <v>3.15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0</v>
      </c>
    </row>
    <row r="2485" spans="1:15" x14ac:dyDescent="0.25">
      <c r="A2485" s="11">
        <v>43705.975173611114</v>
      </c>
      <c r="B2485" t="s">
        <v>2401</v>
      </c>
      <c r="C2485" t="s">
        <v>2864</v>
      </c>
      <c r="D2485" t="s">
        <v>2390</v>
      </c>
      <c r="E2485" s="27">
        <v>1402</v>
      </c>
      <c r="F2485">
        <v>3.63</v>
      </c>
      <c r="G2485">
        <v>3.94</v>
      </c>
      <c r="H2485">
        <v>3.15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0</v>
      </c>
    </row>
    <row r="2486" spans="1:15" x14ac:dyDescent="0.25">
      <c r="A2486" s="11">
        <v>43705.975173611114</v>
      </c>
      <c r="B2486" t="s">
        <v>2401</v>
      </c>
      <c r="C2486" t="s">
        <v>2827</v>
      </c>
      <c r="D2486" t="s">
        <v>2390</v>
      </c>
      <c r="E2486" t="s">
        <v>2828</v>
      </c>
      <c r="F2486">
        <v>3.63</v>
      </c>
      <c r="G2486">
        <v>3.94</v>
      </c>
      <c r="H2486">
        <v>3.15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0</v>
      </c>
    </row>
    <row r="2487" spans="1:15" x14ac:dyDescent="0.25">
      <c r="A2487" s="11">
        <v>43705.975173611114</v>
      </c>
      <c r="B2487" t="s">
        <v>2401</v>
      </c>
      <c r="C2487" t="s">
        <v>2829</v>
      </c>
      <c r="D2487" t="s">
        <v>2390</v>
      </c>
      <c r="E2487" t="s">
        <v>2828</v>
      </c>
      <c r="F2487">
        <v>3.63</v>
      </c>
      <c r="G2487">
        <v>3.94</v>
      </c>
      <c r="H2487">
        <v>3.15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0</v>
      </c>
    </row>
    <row r="2488" spans="1:15" x14ac:dyDescent="0.25">
      <c r="A2488" s="11">
        <v>43705.975173611114</v>
      </c>
      <c r="B2488" t="s">
        <v>2401</v>
      </c>
      <c r="C2488" t="s">
        <v>2865</v>
      </c>
      <c r="D2488" t="s">
        <v>2390</v>
      </c>
      <c r="E2488" s="27">
        <v>1408</v>
      </c>
      <c r="F2488">
        <v>3.63</v>
      </c>
      <c r="G2488">
        <v>3.94</v>
      </c>
      <c r="H2488">
        <v>3.15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0</v>
      </c>
    </row>
    <row r="2489" spans="1:15" x14ac:dyDescent="0.25">
      <c r="A2489" s="11">
        <v>43705.975173611114</v>
      </c>
      <c r="B2489" t="s">
        <v>2401</v>
      </c>
      <c r="C2489" t="s">
        <v>2866</v>
      </c>
      <c r="D2489" t="s">
        <v>2390</v>
      </c>
      <c r="E2489" s="27">
        <v>1458</v>
      </c>
      <c r="F2489">
        <v>3.63</v>
      </c>
      <c r="G2489">
        <v>3.94</v>
      </c>
      <c r="H2489">
        <v>3.15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0</v>
      </c>
    </row>
    <row r="2490" spans="1:15" x14ac:dyDescent="0.25">
      <c r="A2490" s="11">
        <v>43705.975173611114</v>
      </c>
      <c r="B2490" t="s">
        <v>2401</v>
      </c>
      <c r="C2490" t="s">
        <v>2830</v>
      </c>
      <c r="D2490" t="s">
        <v>2390</v>
      </c>
      <c r="E2490" t="s">
        <v>2831</v>
      </c>
      <c r="F2490">
        <v>3.63</v>
      </c>
      <c r="G2490">
        <v>3.94</v>
      </c>
      <c r="H2490">
        <v>3.15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0</v>
      </c>
    </row>
    <row r="2491" spans="1:15" x14ac:dyDescent="0.25">
      <c r="A2491" s="11">
        <v>43705.975173611114</v>
      </c>
      <c r="B2491" t="s">
        <v>2401</v>
      </c>
      <c r="C2491" t="s">
        <v>2832</v>
      </c>
      <c r="D2491" t="s">
        <v>2390</v>
      </c>
      <c r="E2491" t="s">
        <v>2833</v>
      </c>
      <c r="F2491">
        <v>3.63</v>
      </c>
      <c r="G2491">
        <v>3.94</v>
      </c>
      <c r="H2491">
        <v>3.15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0</v>
      </c>
    </row>
    <row r="2492" spans="1:15" x14ac:dyDescent="0.25">
      <c r="A2492" s="11">
        <v>43705.975185185183</v>
      </c>
      <c r="B2492" t="s">
        <v>2401</v>
      </c>
      <c r="C2492" t="s">
        <v>2834</v>
      </c>
      <c r="D2492" t="s">
        <v>2390</v>
      </c>
      <c r="E2492" t="s">
        <v>2835</v>
      </c>
      <c r="F2492">
        <v>3.63</v>
      </c>
      <c r="G2492">
        <v>3.94</v>
      </c>
      <c r="H2492">
        <v>3.15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0</v>
      </c>
    </row>
    <row r="2493" spans="1:15" x14ac:dyDescent="0.25">
      <c r="A2493" s="11">
        <v>43705.975185185183</v>
      </c>
      <c r="B2493" t="s">
        <v>2401</v>
      </c>
      <c r="C2493" t="s">
        <v>2836</v>
      </c>
      <c r="D2493" t="s">
        <v>2390</v>
      </c>
      <c r="E2493" t="s">
        <v>2837</v>
      </c>
      <c r="F2493">
        <v>3.63</v>
      </c>
      <c r="G2493">
        <v>3.94</v>
      </c>
      <c r="H2493">
        <v>3.15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0</v>
      </c>
    </row>
    <row r="2494" spans="1:15" x14ac:dyDescent="0.25">
      <c r="A2494" s="11">
        <v>43705.975185185183</v>
      </c>
      <c r="B2494" t="s">
        <v>2401</v>
      </c>
      <c r="C2494" t="s">
        <v>2838</v>
      </c>
      <c r="D2494" t="s">
        <v>2390</v>
      </c>
      <c r="E2494" t="s">
        <v>2837</v>
      </c>
      <c r="F2494">
        <v>3.63</v>
      </c>
      <c r="G2494">
        <v>3.94</v>
      </c>
      <c r="H2494">
        <v>3.15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0</v>
      </c>
    </row>
    <row r="2495" spans="1:15" x14ac:dyDescent="0.25">
      <c r="A2495" s="11">
        <v>43705.975185185183</v>
      </c>
      <c r="B2495" t="s">
        <v>2401</v>
      </c>
      <c r="C2495" t="s">
        <v>2839</v>
      </c>
      <c r="D2495" t="s">
        <v>2390</v>
      </c>
      <c r="E2495" t="s">
        <v>2840</v>
      </c>
      <c r="F2495">
        <v>3.63</v>
      </c>
      <c r="G2495">
        <v>3.94</v>
      </c>
      <c r="H2495">
        <v>3.15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0</v>
      </c>
    </row>
    <row r="2496" spans="1:15" x14ac:dyDescent="0.25">
      <c r="A2496" s="11">
        <v>43705.975185185183</v>
      </c>
      <c r="B2496" t="s">
        <v>2401</v>
      </c>
      <c r="C2496" t="s">
        <v>2841</v>
      </c>
      <c r="D2496" t="s">
        <v>2390</v>
      </c>
      <c r="E2496" t="s">
        <v>2842</v>
      </c>
      <c r="F2496">
        <v>3.63</v>
      </c>
      <c r="G2496">
        <v>3.94</v>
      </c>
      <c r="H2496">
        <v>3.15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0</v>
      </c>
    </row>
    <row r="2497" spans="1:15" x14ac:dyDescent="0.25">
      <c r="A2497" s="11">
        <v>43705.975185185183</v>
      </c>
      <c r="B2497" t="s">
        <v>2401</v>
      </c>
      <c r="C2497" t="s">
        <v>2843</v>
      </c>
      <c r="D2497" t="s">
        <v>2390</v>
      </c>
      <c r="E2497" t="s">
        <v>2844</v>
      </c>
      <c r="F2497">
        <v>3.63</v>
      </c>
      <c r="G2497">
        <v>3.94</v>
      </c>
      <c r="H2497">
        <v>3.15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0</v>
      </c>
    </row>
    <row r="2498" spans="1:15" x14ac:dyDescent="0.25">
      <c r="A2498" s="11">
        <v>43705.975185185183</v>
      </c>
      <c r="B2498" t="s">
        <v>2401</v>
      </c>
      <c r="C2498" t="s">
        <v>2383</v>
      </c>
      <c r="D2498" t="s">
        <v>2384</v>
      </c>
      <c r="E2498" s="12" t="s">
        <v>2385</v>
      </c>
      <c r="F2498">
        <v>3.63</v>
      </c>
      <c r="G2498">
        <v>3.94</v>
      </c>
      <c r="H2498">
        <v>3.15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0</v>
      </c>
    </row>
    <row r="2499" spans="1:15" x14ac:dyDescent="0.25">
      <c r="A2499" s="11">
        <v>43705.975185185183</v>
      </c>
      <c r="B2499" t="s">
        <v>2401</v>
      </c>
      <c r="C2499" t="s">
        <v>2383</v>
      </c>
      <c r="D2499" t="s">
        <v>2386</v>
      </c>
      <c r="E2499" t="s">
        <v>2870</v>
      </c>
      <c r="F2499">
        <v>3.63</v>
      </c>
      <c r="G2499">
        <v>3.94</v>
      </c>
      <c r="H2499">
        <v>3.15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0</v>
      </c>
    </row>
    <row r="2500" spans="1:15" x14ac:dyDescent="0.25">
      <c r="A2500" s="11">
        <v>43705.975185185183</v>
      </c>
      <c r="B2500" t="s">
        <v>2401</v>
      </c>
      <c r="C2500" t="s">
        <v>2383</v>
      </c>
      <c r="D2500" t="s">
        <v>2387</v>
      </c>
      <c r="E2500" t="s">
        <v>2846</v>
      </c>
      <c r="F2500">
        <v>3.63</v>
      </c>
      <c r="G2500">
        <v>3.94</v>
      </c>
      <c r="H2500">
        <v>3.15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0</v>
      </c>
    </row>
    <row r="2501" spans="1:15" x14ac:dyDescent="0.25">
      <c r="A2501" s="11">
        <v>43705.975185185183</v>
      </c>
      <c r="B2501" t="s">
        <v>2401</v>
      </c>
      <c r="C2501" t="s">
        <v>2383</v>
      </c>
      <c r="D2501" t="s">
        <v>2381</v>
      </c>
      <c r="E2501" t="s">
        <v>2847</v>
      </c>
      <c r="F2501">
        <v>3.63</v>
      </c>
      <c r="G2501">
        <v>3.94</v>
      </c>
      <c r="H2501">
        <v>3.15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0</v>
      </c>
    </row>
    <row r="2502" spans="1:15" x14ac:dyDescent="0.25">
      <c r="A2502" s="11">
        <v>43705.975185185183</v>
      </c>
      <c r="B2502" t="s">
        <v>2401</v>
      </c>
      <c r="C2502" t="s">
        <v>2383</v>
      </c>
      <c r="D2502" t="s">
        <v>2388</v>
      </c>
      <c r="E2502" t="s">
        <v>2848</v>
      </c>
      <c r="F2502">
        <v>3.63</v>
      </c>
      <c r="G2502">
        <v>3.94</v>
      </c>
      <c r="H2502">
        <v>3.15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0</v>
      </c>
    </row>
    <row r="2503" spans="1:15" x14ac:dyDescent="0.25">
      <c r="A2503" s="11">
        <v>43705.975185185183</v>
      </c>
      <c r="B2503" t="s">
        <v>2401</v>
      </c>
      <c r="C2503" t="s">
        <v>2383</v>
      </c>
      <c r="D2503" t="s">
        <v>2389</v>
      </c>
      <c r="E2503" s="12" t="s">
        <v>2385</v>
      </c>
      <c r="F2503">
        <v>3.63</v>
      </c>
      <c r="G2503">
        <v>3.94</v>
      </c>
      <c r="H2503">
        <v>3.15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0</v>
      </c>
    </row>
    <row r="2504" spans="1:15" x14ac:dyDescent="0.25">
      <c r="A2504" s="11">
        <v>43705.97519675926</v>
      </c>
      <c r="B2504" t="s">
        <v>2401</v>
      </c>
      <c r="C2504" t="s">
        <v>2779</v>
      </c>
      <c r="E2504" t="s">
        <v>2378</v>
      </c>
      <c r="F2504">
        <v>3.63</v>
      </c>
      <c r="G2504">
        <v>3.94</v>
      </c>
      <c r="H2504">
        <v>3.15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0</v>
      </c>
    </row>
    <row r="2505" spans="1:15" x14ac:dyDescent="0.25">
      <c r="A2505" s="11">
        <v>43705.980416666665</v>
      </c>
      <c r="B2505" t="s">
        <v>2401</v>
      </c>
      <c r="C2505" t="s">
        <v>2811</v>
      </c>
      <c r="D2505" t="s">
        <v>2390</v>
      </c>
      <c r="F2505">
        <v>3.63</v>
      </c>
      <c r="G2505">
        <v>3.94</v>
      </c>
      <c r="H2505">
        <v>3.15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0</v>
      </c>
    </row>
    <row r="2506" spans="1:15" x14ac:dyDescent="0.25">
      <c r="A2506" s="11">
        <v>43705.980439814812</v>
      </c>
      <c r="B2506" t="s">
        <v>2401</v>
      </c>
      <c r="C2506" t="s">
        <v>2864</v>
      </c>
      <c r="D2506" t="s">
        <v>2390</v>
      </c>
      <c r="E2506" s="27">
        <v>1402</v>
      </c>
      <c r="F2506">
        <v>3.63</v>
      </c>
      <c r="G2506">
        <v>3.94</v>
      </c>
      <c r="H2506">
        <v>3.15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0</v>
      </c>
    </row>
    <row r="2507" spans="1:15" x14ac:dyDescent="0.25">
      <c r="A2507" s="11">
        <v>43705.980439814812</v>
      </c>
      <c r="B2507" t="s">
        <v>2401</v>
      </c>
      <c r="C2507" t="s">
        <v>2827</v>
      </c>
      <c r="D2507" t="s">
        <v>2390</v>
      </c>
      <c r="E2507" t="s">
        <v>2828</v>
      </c>
      <c r="F2507">
        <v>3.63</v>
      </c>
      <c r="G2507">
        <v>3.94</v>
      </c>
      <c r="H2507">
        <v>3.15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0</v>
      </c>
    </row>
    <row r="2508" spans="1:15" x14ac:dyDescent="0.25">
      <c r="A2508" s="11">
        <v>43705.980439814812</v>
      </c>
      <c r="B2508" t="s">
        <v>2401</v>
      </c>
      <c r="C2508" t="s">
        <v>2829</v>
      </c>
      <c r="D2508" t="s">
        <v>2390</v>
      </c>
      <c r="E2508" t="s">
        <v>2828</v>
      </c>
      <c r="F2508">
        <v>3.63</v>
      </c>
      <c r="G2508">
        <v>3.94</v>
      </c>
      <c r="H2508">
        <v>3.15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0</v>
      </c>
    </row>
    <row r="2509" spans="1:15" x14ac:dyDescent="0.25">
      <c r="A2509" s="11">
        <v>43705.980439814812</v>
      </c>
      <c r="B2509" t="s">
        <v>2401</v>
      </c>
      <c r="C2509" t="s">
        <v>2865</v>
      </c>
      <c r="D2509" t="s">
        <v>2390</v>
      </c>
      <c r="E2509" s="27">
        <v>1408</v>
      </c>
      <c r="F2509">
        <v>3.63</v>
      </c>
      <c r="G2509">
        <v>3.94</v>
      </c>
      <c r="H2509">
        <v>3.15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0</v>
      </c>
    </row>
    <row r="2510" spans="1:15" x14ac:dyDescent="0.25">
      <c r="A2510" s="11">
        <v>43705.980439814812</v>
      </c>
      <c r="B2510" t="s">
        <v>2401</v>
      </c>
      <c r="C2510" t="s">
        <v>2866</v>
      </c>
      <c r="D2510" t="s">
        <v>2390</v>
      </c>
      <c r="E2510" s="27">
        <v>1458</v>
      </c>
      <c r="F2510">
        <v>3.63</v>
      </c>
      <c r="G2510">
        <v>3.94</v>
      </c>
      <c r="H2510">
        <v>3.15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0</v>
      </c>
    </row>
    <row r="2511" spans="1:15" x14ac:dyDescent="0.25">
      <c r="A2511" s="11">
        <v>43705.980439814812</v>
      </c>
      <c r="B2511" t="s">
        <v>2401</v>
      </c>
      <c r="C2511" t="s">
        <v>2830</v>
      </c>
      <c r="D2511" t="s">
        <v>2390</v>
      </c>
      <c r="E2511" t="s">
        <v>2831</v>
      </c>
      <c r="F2511">
        <v>3.63</v>
      </c>
      <c r="G2511">
        <v>3.94</v>
      </c>
      <c r="H2511">
        <v>3.15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0</v>
      </c>
    </row>
    <row r="2512" spans="1:15" x14ac:dyDescent="0.25">
      <c r="A2512" s="11">
        <v>43705.980439814812</v>
      </c>
      <c r="B2512" t="s">
        <v>2401</v>
      </c>
      <c r="C2512" t="s">
        <v>2832</v>
      </c>
      <c r="D2512" t="s">
        <v>2390</v>
      </c>
      <c r="E2512" t="s">
        <v>2833</v>
      </c>
      <c r="F2512">
        <v>3.63</v>
      </c>
      <c r="G2512">
        <v>3.94</v>
      </c>
      <c r="H2512">
        <v>3.15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0</v>
      </c>
    </row>
    <row r="2513" spans="1:15" x14ac:dyDescent="0.25">
      <c r="A2513" s="11">
        <v>43705.980439814812</v>
      </c>
      <c r="B2513" t="s">
        <v>2401</v>
      </c>
      <c r="C2513" t="s">
        <v>2834</v>
      </c>
      <c r="D2513" t="s">
        <v>2390</v>
      </c>
      <c r="E2513" t="s">
        <v>2835</v>
      </c>
      <c r="F2513">
        <v>3.63</v>
      </c>
      <c r="G2513">
        <v>3.94</v>
      </c>
      <c r="H2513">
        <v>3.15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0</v>
      </c>
    </row>
    <row r="2514" spans="1:15" x14ac:dyDescent="0.25">
      <c r="A2514" s="11">
        <v>43705.980439814812</v>
      </c>
      <c r="B2514" t="s">
        <v>2401</v>
      </c>
      <c r="C2514" t="s">
        <v>2836</v>
      </c>
      <c r="D2514" t="s">
        <v>2390</v>
      </c>
      <c r="E2514" t="s">
        <v>2837</v>
      </c>
      <c r="F2514">
        <v>3.63</v>
      </c>
      <c r="G2514">
        <v>3.94</v>
      </c>
      <c r="H2514">
        <v>3.15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0</v>
      </c>
    </row>
    <row r="2515" spans="1:15" x14ac:dyDescent="0.25">
      <c r="A2515" s="11">
        <v>43705.980439814812</v>
      </c>
      <c r="B2515" t="s">
        <v>2401</v>
      </c>
      <c r="C2515" t="s">
        <v>2838</v>
      </c>
      <c r="D2515" t="s">
        <v>2390</v>
      </c>
      <c r="E2515" t="s">
        <v>2837</v>
      </c>
      <c r="F2515">
        <v>3.63</v>
      </c>
      <c r="G2515">
        <v>3.94</v>
      </c>
      <c r="H2515">
        <v>3.15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0</v>
      </c>
    </row>
    <row r="2516" spans="1:15" x14ac:dyDescent="0.25">
      <c r="A2516" s="11">
        <v>43705.980439814812</v>
      </c>
      <c r="B2516" t="s">
        <v>2401</v>
      </c>
      <c r="C2516" t="s">
        <v>2839</v>
      </c>
      <c r="D2516" t="s">
        <v>2390</v>
      </c>
      <c r="E2516" t="s">
        <v>2840</v>
      </c>
      <c r="F2516">
        <v>3.63</v>
      </c>
      <c r="G2516">
        <v>3.94</v>
      </c>
      <c r="H2516">
        <v>3.15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0</v>
      </c>
    </row>
    <row r="2517" spans="1:15" x14ac:dyDescent="0.25">
      <c r="A2517" s="11">
        <v>43705.980439814812</v>
      </c>
      <c r="B2517" t="s">
        <v>2401</v>
      </c>
      <c r="C2517" t="s">
        <v>2841</v>
      </c>
      <c r="D2517" t="s">
        <v>2390</v>
      </c>
      <c r="E2517" t="s">
        <v>2842</v>
      </c>
      <c r="F2517">
        <v>3.63</v>
      </c>
      <c r="G2517">
        <v>3.94</v>
      </c>
      <c r="H2517">
        <v>3.15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0</v>
      </c>
    </row>
    <row r="2518" spans="1:15" x14ac:dyDescent="0.25">
      <c r="A2518" s="11">
        <v>43705.980451388888</v>
      </c>
      <c r="B2518" t="s">
        <v>2401</v>
      </c>
      <c r="C2518" t="s">
        <v>2843</v>
      </c>
      <c r="D2518" t="s">
        <v>2390</v>
      </c>
      <c r="E2518" t="s">
        <v>2844</v>
      </c>
      <c r="F2518">
        <v>3.63</v>
      </c>
      <c r="G2518">
        <v>3.94</v>
      </c>
      <c r="H2518">
        <v>3.15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0</v>
      </c>
    </row>
    <row r="2519" spans="1:15" x14ac:dyDescent="0.25">
      <c r="A2519" s="11">
        <v>43705.980451388888</v>
      </c>
      <c r="B2519" t="s">
        <v>2401</v>
      </c>
      <c r="C2519" t="s">
        <v>2383</v>
      </c>
      <c r="D2519" t="s">
        <v>2384</v>
      </c>
      <c r="E2519" s="12" t="s">
        <v>2385</v>
      </c>
      <c r="F2519">
        <v>3.63</v>
      </c>
      <c r="G2519">
        <v>3.94</v>
      </c>
      <c r="H2519">
        <v>3.15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0</v>
      </c>
    </row>
    <row r="2520" spans="1:15" x14ac:dyDescent="0.25">
      <c r="A2520" s="11">
        <v>43705.980451388888</v>
      </c>
      <c r="B2520" t="s">
        <v>2401</v>
      </c>
      <c r="C2520" t="s">
        <v>2383</v>
      </c>
      <c r="D2520" t="s">
        <v>2386</v>
      </c>
      <c r="E2520" t="s">
        <v>2870</v>
      </c>
      <c r="F2520">
        <v>3.63</v>
      </c>
      <c r="G2520">
        <v>3.94</v>
      </c>
      <c r="H2520">
        <v>3.15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0</v>
      </c>
    </row>
    <row r="2521" spans="1:15" x14ac:dyDescent="0.25">
      <c r="A2521" s="11">
        <v>43705.980451388888</v>
      </c>
      <c r="B2521" t="s">
        <v>2401</v>
      </c>
      <c r="C2521" t="s">
        <v>2383</v>
      </c>
      <c r="D2521" t="s">
        <v>2387</v>
      </c>
      <c r="E2521" t="s">
        <v>2846</v>
      </c>
      <c r="F2521">
        <v>3.63</v>
      </c>
      <c r="G2521">
        <v>3.94</v>
      </c>
      <c r="H2521">
        <v>3.15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0</v>
      </c>
    </row>
    <row r="2522" spans="1:15" x14ac:dyDescent="0.25">
      <c r="A2522" s="11">
        <v>43705.980451388888</v>
      </c>
      <c r="B2522" t="s">
        <v>2401</v>
      </c>
      <c r="C2522" t="s">
        <v>2383</v>
      </c>
      <c r="D2522" t="s">
        <v>2381</v>
      </c>
      <c r="E2522" t="s">
        <v>2847</v>
      </c>
      <c r="F2522">
        <v>3.63</v>
      </c>
      <c r="G2522">
        <v>3.94</v>
      </c>
      <c r="H2522">
        <v>3.15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0</v>
      </c>
    </row>
    <row r="2523" spans="1:15" x14ac:dyDescent="0.25">
      <c r="A2523" s="11">
        <v>43705.980451388888</v>
      </c>
      <c r="B2523" t="s">
        <v>2401</v>
      </c>
      <c r="C2523" t="s">
        <v>2383</v>
      </c>
      <c r="D2523" t="s">
        <v>2388</v>
      </c>
      <c r="E2523" t="s">
        <v>2848</v>
      </c>
      <c r="F2523">
        <v>3.63</v>
      </c>
      <c r="G2523">
        <v>3.94</v>
      </c>
      <c r="H2523">
        <v>3.15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0</v>
      </c>
    </row>
    <row r="2524" spans="1:15" x14ac:dyDescent="0.25">
      <c r="A2524" s="11">
        <v>43705.980451388888</v>
      </c>
      <c r="B2524" t="s">
        <v>2401</v>
      </c>
      <c r="C2524" t="s">
        <v>2383</v>
      </c>
      <c r="D2524" t="s">
        <v>2389</v>
      </c>
      <c r="E2524" s="12" t="s">
        <v>2385</v>
      </c>
      <c r="F2524">
        <v>3.63</v>
      </c>
      <c r="G2524">
        <v>3.94</v>
      </c>
      <c r="H2524">
        <v>3.15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0</v>
      </c>
    </row>
    <row r="2525" spans="1:15" x14ac:dyDescent="0.25">
      <c r="A2525" s="11">
        <v>43705.980462962965</v>
      </c>
      <c r="B2525" t="s">
        <v>2401</v>
      </c>
      <c r="C2525" t="s">
        <v>2779</v>
      </c>
      <c r="E2525" t="s">
        <v>2378</v>
      </c>
      <c r="F2525">
        <v>3.63</v>
      </c>
      <c r="G2525">
        <v>3.94</v>
      </c>
      <c r="H2525">
        <v>3.15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0</v>
      </c>
    </row>
    <row r="2526" spans="1:15" x14ac:dyDescent="0.25">
      <c r="A2526" s="11">
        <v>43705.981273148151</v>
      </c>
      <c r="B2526" t="s">
        <v>2401</v>
      </c>
      <c r="C2526" t="s">
        <v>2450</v>
      </c>
      <c r="D2526" t="s">
        <v>2429</v>
      </c>
      <c r="E2526">
        <v>0</v>
      </c>
      <c r="F2526">
        <v>3.63</v>
      </c>
      <c r="G2526">
        <v>3.94</v>
      </c>
      <c r="H2526">
        <v>3.15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0</v>
      </c>
    </row>
    <row r="2527" spans="1:15" x14ac:dyDescent="0.25">
      <c r="A2527" s="11">
        <v>43705.98296296296</v>
      </c>
      <c r="B2527" t="s">
        <v>2401</v>
      </c>
      <c r="C2527" t="s">
        <v>2811</v>
      </c>
      <c r="D2527" t="s">
        <v>2390</v>
      </c>
      <c r="F2527">
        <v>3.63</v>
      </c>
      <c r="G2527">
        <v>3.94</v>
      </c>
      <c r="H2527">
        <v>3.15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0</v>
      </c>
    </row>
    <row r="2528" spans="1:15" x14ac:dyDescent="0.25">
      <c r="A2528" s="11">
        <v>43705.98300925926</v>
      </c>
      <c r="B2528" t="s">
        <v>2401</v>
      </c>
      <c r="C2528" t="s">
        <v>2871</v>
      </c>
      <c r="D2528" t="s">
        <v>2390</v>
      </c>
      <c r="E2528" s="27">
        <v>1402</v>
      </c>
      <c r="F2528">
        <v>3.63</v>
      </c>
      <c r="G2528">
        <v>3.94</v>
      </c>
      <c r="H2528">
        <v>3.15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0</v>
      </c>
    </row>
    <row r="2529" spans="1:15" x14ac:dyDescent="0.25">
      <c r="A2529" s="11">
        <v>43705.983032407406</v>
      </c>
      <c r="B2529" t="s">
        <v>2401</v>
      </c>
      <c r="C2529" t="s">
        <v>2872</v>
      </c>
      <c r="D2529" t="s">
        <v>2390</v>
      </c>
      <c r="E2529" t="s">
        <v>2840</v>
      </c>
      <c r="F2529">
        <v>3.63</v>
      </c>
      <c r="G2529">
        <v>3.94</v>
      </c>
      <c r="H2529">
        <v>3.15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0</v>
      </c>
    </row>
    <row r="2530" spans="1:15" x14ac:dyDescent="0.25">
      <c r="A2530" s="11">
        <v>43705.983032407406</v>
      </c>
      <c r="B2530" t="s">
        <v>2401</v>
      </c>
      <c r="C2530" t="s">
        <v>2873</v>
      </c>
      <c r="D2530" t="s">
        <v>2390</v>
      </c>
      <c r="E2530" t="s">
        <v>2828</v>
      </c>
      <c r="F2530">
        <v>3.63</v>
      </c>
      <c r="G2530">
        <v>3.94</v>
      </c>
      <c r="H2530">
        <v>3.15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0</v>
      </c>
    </row>
    <row r="2531" spans="1:15" x14ac:dyDescent="0.25">
      <c r="A2531" s="11">
        <v>43705.983032407406</v>
      </c>
      <c r="B2531" t="s">
        <v>2401</v>
      </c>
      <c r="C2531" t="s">
        <v>2874</v>
      </c>
      <c r="D2531" t="s">
        <v>2390</v>
      </c>
      <c r="E2531" t="s">
        <v>2844</v>
      </c>
      <c r="F2531">
        <v>3.63</v>
      </c>
      <c r="G2531">
        <v>3.94</v>
      </c>
      <c r="H2531">
        <v>3.15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0</v>
      </c>
    </row>
    <row r="2532" spans="1:15" x14ac:dyDescent="0.25">
      <c r="A2532" s="11">
        <v>43705.983043981483</v>
      </c>
      <c r="B2532" t="s">
        <v>2401</v>
      </c>
      <c r="C2532" t="s">
        <v>2875</v>
      </c>
      <c r="D2532" t="s">
        <v>2390</v>
      </c>
      <c r="E2532" s="27">
        <v>1408</v>
      </c>
      <c r="F2532">
        <v>3.63</v>
      </c>
      <c r="G2532">
        <v>3.94</v>
      </c>
      <c r="H2532">
        <v>3.15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0</v>
      </c>
    </row>
    <row r="2533" spans="1:15" x14ac:dyDescent="0.25">
      <c r="A2533" s="11">
        <v>43705.983055555553</v>
      </c>
      <c r="B2533" t="s">
        <v>2401</v>
      </c>
      <c r="C2533" t="s">
        <v>2876</v>
      </c>
      <c r="D2533" t="s">
        <v>2390</v>
      </c>
      <c r="E2533" t="s">
        <v>2837</v>
      </c>
      <c r="F2533">
        <v>3.63</v>
      </c>
      <c r="G2533">
        <v>3.94</v>
      </c>
      <c r="H2533">
        <v>3.15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0</v>
      </c>
    </row>
    <row r="2534" spans="1:15" x14ac:dyDescent="0.25">
      <c r="A2534" s="11">
        <v>43705.983067129629</v>
      </c>
      <c r="B2534" t="s">
        <v>2401</v>
      </c>
      <c r="C2534" t="s">
        <v>2877</v>
      </c>
      <c r="D2534" t="s">
        <v>2390</v>
      </c>
      <c r="E2534" s="27">
        <v>1458</v>
      </c>
      <c r="F2534">
        <v>3.63</v>
      </c>
      <c r="G2534">
        <v>3.94</v>
      </c>
      <c r="H2534">
        <v>3.15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0</v>
      </c>
    </row>
    <row r="2535" spans="1:15" x14ac:dyDescent="0.25">
      <c r="A2535" s="11">
        <v>43705.983067129629</v>
      </c>
      <c r="B2535" t="s">
        <v>2401</v>
      </c>
      <c r="C2535" t="s">
        <v>2878</v>
      </c>
      <c r="D2535" t="s">
        <v>2390</v>
      </c>
      <c r="E2535" t="s">
        <v>2831</v>
      </c>
      <c r="F2535">
        <v>3.63</v>
      </c>
      <c r="G2535">
        <v>3.94</v>
      </c>
      <c r="H2535">
        <v>3.15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0</v>
      </c>
    </row>
    <row r="2536" spans="1:15" x14ac:dyDescent="0.25">
      <c r="A2536" s="11">
        <v>43705.983078703706</v>
      </c>
      <c r="B2536" t="s">
        <v>2401</v>
      </c>
      <c r="C2536" t="s">
        <v>2383</v>
      </c>
      <c r="D2536" t="s">
        <v>2384</v>
      </c>
      <c r="E2536" s="12" t="s">
        <v>2385</v>
      </c>
      <c r="F2536">
        <v>3.63</v>
      </c>
      <c r="G2536">
        <v>3.94</v>
      </c>
      <c r="H2536">
        <v>3.15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0</v>
      </c>
    </row>
    <row r="2537" spans="1:15" x14ac:dyDescent="0.25">
      <c r="A2537" s="11">
        <v>43705.983078703706</v>
      </c>
      <c r="B2537" t="s">
        <v>2401</v>
      </c>
      <c r="C2537" t="s">
        <v>2383</v>
      </c>
      <c r="D2537" t="s">
        <v>2386</v>
      </c>
      <c r="E2537" t="s">
        <v>2879</v>
      </c>
      <c r="F2537">
        <v>3.63</v>
      </c>
      <c r="G2537">
        <v>3.94</v>
      </c>
      <c r="H2537">
        <v>3.15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0</v>
      </c>
    </row>
    <row r="2538" spans="1:15" x14ac:dyDescent="0.25">
      <c r="A2538" s="11">
        <v>43705.983078703706</v>
      </c>
      <c r="B2538" t="s">
        <v>2401</v>
      </c>
      <c r="C2538" t="s">
        <v>2383</v>
      </c>
      <c r="D2538" t="s">
        <v>2387</v>
      </c>
      <c r="E2538" t="s">
        <v>2880</v>
      </c>
      <c r="F2538">
        <v>3.63</v>
      </c>
      <c r="G2538">
        <v>3.94</v>
      </c>
      <c r="H2538">
        <v>3.15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0</v>
      </c>
    </row>
    <row r="2539" spans="1:15" x14ac:dyDescent="0.25">
      <c r="A2539" s="11">
        <v>43705.983078703706</v>
      </c>
      <c r="B2539" t="s">
        <v>2401</v>
      </c>
      <c r="C2539" t="s">
        <v>2383</v>
      </c>
      <c r="D2539" t="s">
        <v>2381</v>
      </c>
      <c r="E2539" t="s">
        <v>2881</v>
      </c>
      <c r="F2539">
        <v>3.63</v>
      </c>
      <c r="G2539">
        <v>3.94</v>
      </c>
      <c r="H2539">
        <v>3.15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0</v>
      </c>
    </row>
    <row r="2540" spans="1:15" x14ac:dyDescent="0.25">
      <c r="A2540" s="11">
        <v>43705.983078703706</v>
      </c>
      <c r="B2540" t="s">
        <v>2401</v>
      </c>
      <c r="C2540" t="s">
        <v>2383</v>
      </c>
      <c r="D2540" t="s">
        <v>2388</v>
      </c>
      <c r="E2540" t="s">
        <v>2882</v>
      </c>
      <c r="F2540">
        <v>3.63</v>
      </c>
      <c r="G2540">
        <v>3.94</v>
      </c>
      <c r="H2540">
        <v>3.15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0</v>
      </c>
    </row>
    <row r="2541" spans="1:15" x14ac:dyDescent="0.25">
      <c r="A2541" s="11">
        <v>43705.983078703706</v>
      </c>
      <c r="B2541" t="s">
        <v>2401</v>
      </c>
      <c r="C2541" t="s">
        <v>2383</v>
      </c>
      <c r="D2541" t="s">
        <v>2389</v>
      </c>
      <c r="E2541" s="12" t="s">
        <v>2385</v>
      </c>
      <c r="F2541">
        <v>3.63</v>
      </c>
      <c r="G2541">
        <v>3.94</v>
      </c>
      <c r="H2541">
        <v>3.15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0</v>
      </c>
    </row>
    <row r="2542" spans="1:15" x14ac:dyDescent="0.25">
      <c r="A2542" s="11">
        <v>43705.983252314814</v>
      </c>
      <c r="B2542" t="s">
        <v>2401</v>
      </c>
      <c r="C2542" t="s">
        <v>2779</v>
      </c>
      <c r="E2542" t="s">
        <v>2378</v>
      </c>
      <c r="F2542">
        <v>3.63</v>
      </c>
      <c r="G2542">
        <v>3.94</v>
      </c>
      <c r="H2542">
        <v>3.15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0</v>
      </c>
    </row>
    <row r="2543" spans="1:15" x14ac:dyDescent="0.25">
      <c r="A2543" s="11">
        <v>43705.985810185186</v>
      </c>
      <c r="B2543" t="s">
        <v>2401</v>
      </c>
      <c r="C2543" t="s">
        <v>2811</v>
      </c>
      <c r="D2543" t="s">
        <v>2390</v>
      </c>
      <c r="F2543">
        <v>3.63</v>
      </c>
      <c r="G2543">
        <v>3.94</v>
      </c>
      <c r="H2543">
        <v>3.15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0</v>
      </c>
    </row>
    <row r="2544" spans="1:15" x14ac:dyDescent="0.25">
      <c r="A2544" s="11">
        <v>43705.985868055555</v>
      </c>
      <c r="B2544" t="s">
        <v>2401</v>
      </c>
      <c r="C2544" t="s">
        <v>2871</v>
      </c>
      <c r="D2544" t="s">
        <v>2390</v>
      </c>
      <c r="E2544" s="27">
        <v>1402</v>
      </c>
      <c r="F2544">
        <v>3.63</v>
      </c>
      <c r="G2544">
        <v>3.94</v>
      </c>
      <c r="H2544">
        <v>3.15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0</v>
      </c>
    </row>
    <row r="2545" spans="1:15" x14ac:dyDescent="0.25">
      <c r="A2545" s="11">
        <v>43705.985891203702</v>
      </c>
      <c r="B2545" t="s">
        <v>2401</v>
      </c>
      <c r="C2545" t="s">
        <v>2872</v>
      </c>
      <c r="D2545" t="s">
        <v>2390</v>
      </c>
      <c r="E2545" t="s">
        <v>2840</v>
      </c>
      <c r="F2545">
        <v>3.63</v>
      </c>
      <c r="G2545">
        <v>3.94</v>
      </c>
      <c r="H2545">
        <v>3.15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0</v>
      </c>
    </row>
    <row r="2546" spans="1:15" x14ac:dyDescent="0.25">
      <c r="A2546" s="11">
        <v>43705.985891203702</v>
      </c>
      <c r="B2546" t="s">
        <v>2401</v>
      </c>
      <c r="C2546" t="s">
        <v>2873</v>
      </c>
      <c r="D2546" t="s">
        <v>2390</v>
      </c>
      <c r="E2546" t="s">
        <v>2828</v>
      </c>
      <c r="F2546">
        <v>3.63</v>
      </c>
      <c r="G2546">
        <v>3.94</v>
      </c>
      <c r="H2546">
        <v>3.15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0</v>
      </c>
    </row>
    <row r="2547" spans="1:15" x14ac:dyDescent="0.25">
      <c r="A2547" s="11">
        <v>43705.985891203702</v>
      </c>
      <c r="B2547" t="s">
        <v>2401</v>
      </c>
      <c r="C2547" t="s">
        <v>2874</v>
      </c>
      <c r="D2547" t="s">
        <v>2390</v>
      </c>
      <c r="E2547" t="s">
        <v>2844</v>
      </c>
      <c r="F2547">
        <v>3.63</v>
      </c>
      <c r="G2547">
        <v>3.94</v>
      </c>
      <c r="H2547">
        <v>3.15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0</v>
      </c>
    </row>
    <row r="2548" spans="1:15" x14ac:dyDescent="0.25">
      <c r="A2548" s="11">
        <v>43705.985902777778</v>
      </c>
      <c r="B2548" t="s">
        <v>2401</v>
      </c>
      <c r="C2548" t="s">
        <v>2875</v>
      </c>
      <c r="D2548" t="s">
        <v>2390</v>
      </c>
      <c r="E2548" s="27">
        <v>1408</v>
      </c>
      <c r="F2548">
        <v>3.63</v>
      </c>
      <c r="G2548">
        <v>3.94</v>
      </c>
      <c r="H2548">
        <v>3.15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0</v>
      </c>
    </row>
    <row r="2549" spans="1:15" x14ac:dyDescent="0.25">
      <c r="A2549" s="11">
        <v>43705.985914351855</v>
      </c>
      <c r="B2549" t="s">
        <v>2401</v>
      </c>
      <c r="C2549" t="s">
        <v>2876</v>
      </c>
      <c r="D2549" t="s">
        <v>2390</v>
      </c>
      <c r="E2549" t="s">
        <v>2837</v>
      </c>
      <c r="F2549">
        <v>3.63</v>
      </c>
      <c r="G2549">
        <v>3.94</v>
      </c>
      <c r="H2549">
        <v>3.15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0</v>
      </c>
    </row>
    <row r="2550" spans="1:15" x14ac:dyDescent="0.25">
      <c r="A2550" s="11">
        <v>43705.985914351855</v>
      </c>
      <c r="B2550" t="s">
        <v>2401</v>
      </c>
      <c r="C2550" t="s">
        <v>2877</v>
      </c>
      <c r="D2550" t="s">
        <v>2390</v>
      </c>
      <c r="E2550" s="27">
        <v>1458</v>
      </c>
      <c r="F2550">
        <v>3.63</v>
      </c>
      <c r="G2550">
        <v>3.94</v>
      </c>
      <c r="H2550">
        <v>3.15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0</v>
      </c>
    </row>
    <row r="2551" spans="1:15" x14ac:dyDescent="0.25">
      <c r="A2551" s="11">
        <v>43705.985914351855</v>
      </c>
      <c r="B2551" t="s">
        <v>2401</v>
      </c>
      <c r="C2551" t="s">
        <v>2878</v>
      </c>
      <c r="D2551" t="s">
        <v>2390</v>
      </c>
      <c r="E2551" t="s">
        <v>2831</v>
      </c>
      <c r="F2551">
        <v>3.63</v>
      </c>
      <c r="G2551">
        <v>3.94</v>
      </c>
      <c r="H2551">
        <v>3.15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0</v>
      </c>
    </row>
    <row r="2552" spans="1:15" x14ac:dyDescent="0.25">
      <c r="A2552" s="11">
        <v>43705.985937500001</v>
      </c>
      <c r="B2552" t="s">
        <v>2401</v>
      </c>
      <c r="C2552" t="s">
        <v>2383</v>
      </c>
      <c r="D2552" t="s">
        <v>2384</v>
      </c>
      <c r="E2552" s="12" t="s">
        <v>2385</v>
      </c>
      <c r="F2552">
        <v>3.63</v>
      </c>
      <c r="G2552">
        <v>3.94</v>
      </c>
      <c r="H2552">
        <v>3.15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0</v>
      </c>
    </row>
    <row r="2553" spans="1:15" x14ac:dyDescent="0.25">
      <c r="A2553" s="11">
        <v>43705.985937500001</v>
      </c>
      <c r="B2553" t="s">
        <v>2401</v>
      </c>
      <c r="C2553" t="s">
        <v>2383</v>
      </c>
      <c r="D2553" t="s">
        <v>2386</v>
      </c>
      <c r="E2553" t="s">
        <v>2879</v>
      </c>
      <c r="F2553">
        <v>3.63</v>
      </c>
      <c r="G2553">
        <v>3.94</v>
      </c>
      <c r="H2553">
        <v>3.15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0</v>
      </c>
    </row>
    <row r="2554" spans="1:15" x14ac:dyDescent="0.25">
      <c r="A2554" s="11">
        <v>43705.985937500001</v>
      </c>
      <c r="B2554" t="s">
        <v>2401</v>
      </c>
      <c r="C2554" t="s">
        <v>2383</v>
      </c>
      <c r="D2554" t="s">
        <v>2387</v>
      </c>
      <c r="E2554" t="s">
        <v>2880</v>
      </c>
      <c r="F2554">
        <v>3.63</v>
      </c>
      <c r="G2554">
        <v>3.94</v>
      </c>
      <c r="H2554">
        <v>3.15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0</v>
      </c>
    </row>
    <row r="2555" spans="1:15" x14ac:dyDescent="0.25">
      <c r="A2555" s="11">
        <v>43705.985937500001</v>
      </c>
      <c r="B2555" t="s">
        <v>2401</v>
      </c>
      <c r="C2555" t="s">
        <v>2383</v>
      </c>
      <c r="D2555" t="s">
        <v>2381</v>
      </c>
      <c r="E2555" t="s">
        <v>2881</v>
      </c>
      <c r="F2555">
        <v>3.63</v>
      </c>
      <c r="G2555">
        <v>3.94</v>
      </c>
      <c r="H2555">
        <v>3.15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0</v>
      </c>
    </row>
    <row r="2556" spans="1:15" x14ac:dyDescent="0.25">
      <c r="A2556" s="11">
        <v>43705.985937500001</v>
      </c>
      <c r="B2556" t="s">
        <v>2401</v>
      </c>
      <c r="C2556" t="s">
        <v>2383</v>
      </c>
      <c r="D2556" t="s">
        <v>2388</v>
      </c>
      <c r="E2556" t="s">
        <v>2882</v>
      </c>
      <c r="F2556">
        <v>3.63</v>
      </c>
      <c r="G2556">
        <v>3.94</v>
      </c>
      <c r="H2556">
        <v>3.15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0</v>
      </c>
    </row>
    <row r="2557" spans="1:15" x14ac:dyDescent="0.25">
      <c r="A2557" s="11">
        <v>43705.985937500001</v>
      </c>
      <c r="B2557" t="s">
        <v>2401</v>
      </c>
      <c r="C2557" t="s">
        <v>2383</v>
      </c>
      <c r="D2557" t="s">
        <v>2389</v>
      </c>
      <c r="E2557" s="12" t="s">
        <v>2385</v>
      </c>
      <c r="F2557">
        <v>3.63</v>
      </c>
      <c r="G2557">
        <v>3.94</v>
      </c>
      <c r="H2557">
        <v>3.15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0</v>
      </c>
    </row>
    <row r="2558" spans="1:15" x14ac:dyDescent="0.25">
      <c r="A2558" s="11">
        <v>43705.986111111109</v>
      </c>
      <c r="B2558" t="s">
        <v>2401</v>
      </c>
      <c r="C2558" t="s">
        <v>2779</v>
      </c>
      <c r="E2558" t="s">
        <v>2378</v>
      </c>
      <c r="F2558">
        <v>3.63</v>
      </c>
      <c r="G2558">
        <v>3.94</v>
      </c>
      <c r="H2558">
        <v>3.15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0</v>
      </c>
    </row>
    <row r="2559" spans="1:15" x14ac:dyDescent="0.25">
      <c r="A2559" s="11">
        <v>43705.98642361111</v>
      </c>
      <c r="B2559" t="s">
        <v>2401</v>
      </c>
      <c r="C2559" t="s">
        <v>2811</v>
      </c>
      <c r="D2559" t="s">
        <v>2390</v>
      </c>
      <c r="F2559">
        <v>3.63</v>
      </c>
      <c r="G2559">
        <v>3.94</v>
      </c>
      <c r="H2559">
        <v>3.15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0</v>
      </c>
    </row>
    <row r="2560" spans="1:15" x14ac:dyDescent="0.25">
      <c r="A2560" s="11">
        <v>43705.986446759256</v>
      </c>
      <c r="B2560" t="s">
        <v>2401</v>
      </c>
      <c r="C2560" t="s">
        <v>2864</v>
      </c>
      <c r="D2560" t="s">
        <v>2390</v>
      </c>
      <c r="E2560" s="27">
        <v>1402</v>
      </c>
      <c r="F2560">
        <v>3.63</v>
      </c>
      <c r="G2560">
        <v>3.94</v>
      </c>
      <c r="H2560">
        <v>3.15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0</v>
      </c>
    </row>
    <row r="2561" spans="1:15" x14ac:dyDescent="0.25">
      <c r="A2561" s="11">
        <v>43705.986446759256</v>
      </c>
      <c r="B2561" t="s">
        <v>2401</v>
      </c>
      <c r="C2561" t="s">
        <v>2827</v>
      </c>
      <c r="D2561" t="s">
        <v>2390</v>
      </c>
      <c r="E2561" t="s">
        <v>2828</v>
      </c>
      <c r="F2561">
        <v>3.63</v>
      </c>
      <c r="G2561">
        <v>3.94</v>
      </c>
      <c r="H2561">
        <v>3.15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0</v>
      </c>
    </row>
    <row r="2562" spans="1:15" x14ac:dyDescent="0.25">
      <c r="A2562" s="11">
        <v>43705.986446759256</v>
      </c>
      <c r="B2562" t="s">
        <v>2401</v>
      </c>
      <c r="C2562" t="s">
        <v>2829</v>
      </c>
      <c r="D2562" t="s">
        <v>2390</v>
      </c>
      <c r="E2562" t="s">
        <v>2828</v>
      </c>
      <c r="F2562">
        <v>3.63</v>
      </c>
      <c r="G2562">
        <v>3.94</v>
      </c>
      <c r="H2562">
        <v>3.15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0</v>
      </c>
    </row>
    <row r="2563" spans="1:15" x14ac:dyDescent="0.25">
      <c r="A2563" s="11">
        <v>43705.986446759256</v>
      </c>
      <c r="B2563" t="s">
        <v>2401</v>
      </c>
      <c r="C2563" t="s">
        <v>2865</v>
      </c>
      <c r="D2563" t="s">
        <v>2390</v>
      </c>
      <c r="E2563" s="27">
        <v>1408</v>
      </c>
      <c r="F2563">
        <v>3.63</v>
      </c>
      <c r="G2563">
        <v>3.94</v>
      </c>
      <c r="H2563">
        <v>3.15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0</v>
      </c>
    </row>
    <row r="2564" spans="1:15" x14ac:dyDescent="0.25">
      <c r="A2564" s="11">
        <v>43705.986446759256</v>
      </c>
      <c r="B2564" t="s">
        <v>2401</v>
      </c>
      <c r="C2564" t="s">
        <v>2866</v>
      </c>
      <c r="D2564" t="s">
        <v>2390</v>
      </c>
      <c r="E2564" s="27">
        <v>1458</v>
      </c>
      <c r="F2564">
        <v>3.63</v>
      </c>
      <c r="G2564">
        <v>3.94</v>
      </c>
      <c r="H2564">
        <v>3.15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0</v>
      </c>
    </row>
    <row r="2565" spans="1:15" x14ac:dyDescent="0.25">
      <c r="A2565" s="11">
        <v>43705.986446759256</v>
      </c>
      <c r="B2565" t="s">
        <v>2401</v>
      </c>
      <c r="C2565" t="s">
        <v>2830</v>
      </c>
      <c r="D2565" t="s">
        <v>2390</v>
      </c>
      <c r="E2565" t="s">
        <v>2831</v>
      </c>
      <c r="F2565">
        <v>3.63</v>
      </c>
      <c r="G2565">
        <v>3.94</v>
      </c>
      <c r="H2565">
        <v>3.15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0</v>
      </c>
    </row>
    <row r="2566" spans="1:15" x14ac:dyDescent="0.25">
      <c r="A2566" s="11">
        <v>43705.986446759256</v>
      </c>
      <c r="B2566" t="s">
        <v>2401</v>
      </c>
      <c r="C2566" t="s">
        <v>2832</v>
      </c>
      <c r="D2566" t="s">
        <v>2390</v>
      </c>
      <c r="E2566" t="s">
        <v>2833</v>
      </c>
      <c r="F2566">
        <v>3.63</v>
      </c>
      <c r="G2566">
        <v>3.94</v>
      </c>
      <c r="H2566">
        <v>3.15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0</v>
      </c>
    </row>
    <row r="2567" spans="1:15" x14ac:dyDescent="0.25">
      <c r="A2567" s="11">
        <v>43705.986446759256</v>
      </c>
      <c r="B2567" t="s">
        <v>2401</v>
      </c>
      <c r="C2567" t="s">
        <v>2834</v>
      </c>
      <c r="D2567" t="s">
        <v>2390</v>
      </c>
      <c r="E2567" t="s">
        <v>2835</v>
      </c>
      <c r="F2567">
        <v>3.63</v>
      </c>
      <c r="G2567">
        <v>3.94</v>
      </c>
      <c r="H2567">
        <v>3.15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0</v>
      </c>
    </row>
    <row r="2568" spans="1:15" x14ac:dyDescent="0.25">
      <c r="A2568" s="11">
        <v>43705.986446759256</v>
      </c>
      <c r="B2568" t="s">
        <v>2401</v>
      </c>
      <c r="C2568" t="s">
        <v>2836</v>
      </c>
      <c r="D2568" t="s">
        <v>2390</v>
      </c>
      <c r="E2568" t="s">
        <v>2837</v>
      </c>
      <c r="F2568">
        <v>3.63</v>
      </c>
      <c r="G2568">
        <v>3.94</v>
      </c>
      <c r="H2568">
        <v>3.15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0</v>
      </c>
    </row>
    <row r="2569" spans="1:15" x14ac:dyDescent="0.25">
      <c r="A2569" s="11">
        <v>43705.986446759256</v>
      </c>
      <c r="B2569" t="s">
        <v>2401</v>
      </c>
      <c r="C2569" t="s">
        <v>2838</v>
      </c>
      <c r="D2569" t="s">
        <v>2390</v>
      </c>
      <c r="E2569" t="s">
        <v>2837</v>
      </c>
      <c r="F2569">
        <v>3.63</v>
      </c>
      <c r="G2569">
        <v>3.94</v>
      </c>
      <c r="H2569">
        <v>3.15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0</v>
      </c>
    </row>
    <row r="2570" spans="1:15" x14ac:dyDescent="0.25">
      <c r="A2570" s="11">
        <v>43705.986446759256</v>
      </c>
      <c r="B2570" t="s">
        <v>2401</v>
      </c>
      <c r="C2570" t="s">
        <v>2839</v>
      </c>
      <c r="D2570" t="s">
        <v>2390</v>
      </c>
      <c r="E2570" t="s">
        <v>2840</v>
      </c>
      <c r="F2570">
        <v>3.63</v>
      </c>
      <c r="G2570">
        <v>3.94</v>
      </c>
      <c r="H2570">
        <v>3.15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0</v>
      </c>
    </row>
    <row r="2571" spans="1:15" x14ac:dyDescent="0.25">
      <c r="A2571" s="11">
        <v>43705.986446759256</v>
      </c>
      <c r="B2571" t="s">
        <v>2401</v>
      </c>
      <c r="C2571" t="s">
        <v>2841</v>
      </c>
      <c r="D2571" t="s">
        <v>2390</v>
      </c>
      <c r="E2571" t="s">
        <v>2842</v>
      </c>
      <c r="F2571">
        <v>3.63</v>
      </c>
      <c r="G2571">
        <v>3.94</v>
      </c>
      <c r="H2571">
        <v>3.15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0</v>
      </c>
    </row>
    <row r="2572" spans="1:15" x14ac:dyDescent="0.25">
      <c r="A2572" s="11">
        <v>43705.986458333333</v>
      </c>
      <c r="B2572" t="s">
        <v>2401</v>
      </c>
      <c r="C2572" t="s">
        <v>2843</v>
      </c>
      <c r="D2572" t="s">
        <v>2390</v>
      </c>
      <c r="E2572" t="s">
        <v>2844</v>
      </c>
      <c r="F2572">
        <v>3.63</v>
      </c>
      <c r="G2572">
        <v>3.94</v>
      </c>
      <c r="H2572">
        <v>3.15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0</v>
      </c>
    </row>
    <row r="2573" spans="1:15" x14ac:dyDescent="0.25">
      <c r="A2573" s="11">
        <v>43705.986458333333</v>
      </c>
      <c r="B2573" t="s">
        <v>2401</v>
      </c>
      <c r="C2573" t="s">
        <v>2383</v>
      </c>
      <c r="D2573" t="s">
        <v>2384</v>
      </c>
      <c r="E2573" s="12" t="s">
        <v>2385</v>
      </c>
      <c r="F2573">
        <v>3.63</v>
      </c>
      <c r="G2573">
        <v>3.94</v>
      </c>
      <c r="H2573">
        <v>3.15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0</v>
      </c>
    </row>
    <row r="2574" spans="1:15" x14ac:dyDescent="0.25">
      <c r="A2574" s="11">
        <v>43705.986458333333</v>
      </c>
      <c r="B2574" t="s">
        <v>2401</v>
      </c>
      <c r="C2574" t="s">
        <v>2383</v>
      </c>
      <c r="D2574" t="s">
        <v>2386</v>
      </c>
      <c r="E2574" t="s">
        <v>2870</v>
      </c>
      <c r="F2574">
        <v>3.63</v>
      </c>
      <c r="G2574">
        <v>3.94</v>
      </c>
      <c r="H2574">
        <v>3.15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0</v>
      </c>
    </row>
    <row r="2575" spans="1:15" x14ac:dyDescent="0.25">
      <c r="A2575" s="11">
        <v>43705.986458333333</v>
      </c>
      <c r="B2575" t="s">
        <v>2401</v>
      </c>
      <c r="C2575" t="s">
        <v>2383</v>
      </c>
      <c r="D2575" t="s">
        <v>2387</v>
      </c>
      <c r="E2575" t="s">
        <v>2883</v>
      </c>
      <c r="F2575">
        <v>3.63</v>
      </c>
      <c r="G2575">
        <v>3.94</v>
      </c>
      <c r="H2575">
        <v>3.15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0</v>
      </c>
    </row>
    <row r="2576" spans="1:15" x14ac:dyDescent="0.25">
      <c r="A2576" s="11">
        <v>43705.986458333333</v>
      </c>
      <c r="B2576" t="s">
        <v>2401</v>
      </c>
      <c r="C2576" t="s">
        <v>2383</v>
      </c>
      <c r="D2576" t="s">
        <v>2381</v>
      </c>
      <c r="E2576" t="s">
        <v>2847</v>
      </c>
      <c r="F2576">
        <v>3.63</v>
      </c>
      <c r="G2576">
        <v>3.94</v>
      </c>
      <c r="H2576">
        <v>3.15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0</v>
      </c>
    </row>
    <row r="2577" spans="1:15" x14ac:dyDescent="0.25">
      <c r="A2577" s="11">
        <v>43705.986458333333</v>
      </c>
      <c r="B2577" t="s">
        <v>2401</v>
      </c>
      <c r="C2577" t="s">
        <v>2383</v>
      </c>
      <c r="D2577" t="s">
        <v>2388</v>
      </c>
      <c r="E2577" t="s">
        <v>2848</v>
      </c>
      <c r="F2577">
        <v>3.63</v>
      </c>
      <c r="G2577">
        <v>3.94</v>
      </c>
      <c r="H2577">
        <v>3.15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0</v>
      </c>
    </row>
    <row r="2578" spans="1:15" x14ac:dyDescent="0.25">
      <c r="A2578" s="11">
        <v>43705.986458333333</v>
      </c>
      <c r="B2578" t="s">
        <v>2401</v>
      </c>
      <c r="C2578" t="s">
        <v>2383</v>
      </c>
      <c r="D2578" t="s">
        <v>2389</v>
      </c>
      <c r="E2578" s="12" t="s">
        <v>2385</v>
      </c>
      <c r="F2578">
        <v>3.63</v>
      </c>
      <c r="G2578">
        <v>3.94</v>
      </c>
      <c r="H2578">
        <v>3.15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0</v>
      </c>
    </row>
    <row r="2579" spans="1:15" x14ac:dyDescent="0.25">
      <c r="A2579" s="11">
        <v>43705.986458333333</v>
      </c>
      <c r="B2579" t="s">
        <v>2401</v>
      </c>
      <c r="C2579" t="s">
        <v>2779</v>
      </c>
      <c r="E2579" t="s">
        <v>2378</v>
      </c>
      <c r="F2579">
        <v>3.63</v>
      </c>
      <c r="G2579">
        <v>3.94</v>
      </c>
      <c r="H2579">
        <v>3.15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0</v>
      </c>
    </row>
    <row r="2580" spans="1:15" x14ac:dyDescent="0.25">
      <c r="A2580" s="11">
        <v>43705.988078703704</v>
      </c>
      <c r="B2580" t="s">
        <v>2401</v>
      </c>
      <c r="C2580" t="s">
        <v>2811</v>
      </c>
      <c r="D2580" t="s">
        <v>2390</v>
      </c>
      <c r="F2580">
        <v>3.63</v>
      </c>
      <c r="G2580">
        <v>3.94</v>
      </c>
      <c r="H2580">
        <v>3.15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0</v>
      </c>
    </row>
    <row r="2581" spans="1:15" x14ac:dyDescent="0.25">
      <c r="A2581" s="11">
        <v>43705.98814814815</v>
      </c>
      <c r="B2581" t="s">
        <v>2401</v>
      </c>
      <c r="C2581" t="s">
        <v>2786</v>
      </c>
      <c r="E2581" t="s">
        <v>2378</v>
      </c>
      <c r="F2581">
        <v>3.63</v>
      </c>
      <c r="G2581">
        <v>3.94</v>
      </c>
      <c r="H2581">
        <v>3.15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0</v>
      </c>
    </row>
    <row r="2582" spans="1:15" x14ac:dyDescent="0.25">
      <c r="A2582" s="11">
        <v>43707.603483796294</v>
      </c>
      <c r="B2582" t="s">
        <v>2407</v>
      </c>
      <c r="C2582" t="s">
        <v>2886</v>
      </c>
      <c r="D2582" t="s">
        <v>2429</v>
      </c>
      <c r="E2582">
        <v>0</v>
      </c>
      <c r="F2582">
        <v>3.63</v>
      </c>
      <c r="G2582">
        <v>3.94</v>
      </c>
      <c r="H2582">
        <v>3.15</v>
      </c>
      <c r="I2582">
        <v>0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0</v>
      </c>
    </row>
    <row r="2583" spans="1:15" x14ac:dyDescent="0.25">
      <c r="A2583" s="11">
        <v>43707.603645833333</v>
      </c>
      <c r="B2583" t="s">
        <v>2407</v>
      </c>
      <c r="C2583" t="s">
        <v>2886</v>
      </c>
      <c r="D2583" t="s">
        <v>2429</v>
      </c>
      <c r="E2583">
        <v>0</v>
      </c>
      <c r="F2583">
        <v>3.63</v>
      </c>
      <c r="G2583">
        <v>3.94</v>
      </c>
      <c r="H2583">
        <v>3.15</v>
      </c>
      <c r="I2583">
        <v>0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0</v>
      </c>
    </row>
    <row r="2584" spans="1:15" x14ac:dyDescent="0.25">
      <c r="A2584" s="11">
        <v>43707.603715277779</v>
      </c>
      <c r="B2584" t="s">
        <v>2407</v>
      </c>
      <c r="C2584" t="s">
        <v>2887</v>
      </c>
      <c r="E2584" t="s">
        <v>2378</v>
      </c>
      <c r="F2584">
        <v>3.63</v>
      </c>
      <c r="G2584">
        <v>3.94</v>
      </c>
      <c r="H2584">
        <v>3.15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0</v>
      </c>
    </row>
    <row r="2585" spans="1:15" x14ac:dyDescent="0.25">
      <c r="A2585" s="11">
        <v>43707.603750000002</v>
      </c>
      <c r="B2585" t="s">
        <v>2407</v>
      </c>
      <c r="C2585" t="s">
        <v>2888</v>
      </c>
      <c r="D2585" t="s">
        <v>2431</v>
      </c>
      <c r="E2585" t="s">
        <v>2378</v>
      </c>
      <c r="F2585">
        <v>3.63</v>
      </c>
      <c r="G2585">
        <v>3.94</v>
      </c>
      <c r="H2585">
        <v>3.15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0</v>
      </c>
    </row>
    <row r="2586" spans="1:15" x14ac:dyDescent="0.25">
      <c r="A2586" s="11">
        <v>43707.60396990741</v>
      </c>
      <c r="B2586" t="s">
        <v>2407</v>
      </c>
      <c r="C2586" t="s">
        <v>2886</v>
      </c>
      <c r="D2586" t="s">
        <v>2429</v>
      </c>
      <c r="E2586">
        <v>0</v>
      </c>
      <c r="F2586">
        <v>3.63</v>
      </c>
      <c r="G2586">
        <v>3.94</v>
      </c>
      <c r="H2586">
        <v>3.15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0</v>
      </c>
    </row>
    <row r="2587" spans="1:15" x14ac:dyDescent="0.25">
      <c r="A2587" s="11">
        <v>43707.603981481479</v>
      </c>
      <c r="B2587" t="s">
        <v>2407</v>
      </c>
      <c r="C2587" t="s">
        <v>2888</v>
      </c>
      <c r="E2587" t="s">
        <v>2378</v>
      </c>
      <c r="F2587">
        <v>3.63</v>
      </c>
      <c r="G2587">
        <v>3.94</v>
      </c>
      <c r="H2587">
        <v>3.15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0</v>
      </c>
    </row>
    <row r="2588" spans="1:15" x14ac:dyDescent="0.25">
      <c r="A2588" s="11">
        <v>43707.604027777779</v>
      </c>
      <c r="B2588" t="s">
        <v>2407</v>
      </c>
      <c r="C2588" t="s">
        <v>2886</v>
      </c>
      <c r="D2588" t="s">
        <v>2429</v>
      </c>
      <c r="E2588">
        <v>0</v>
      </c>
      <c r="F2588">
        <v>3.63</v>
      </c>
      <c r="G2588">
        <v>3.94</v>
      </c>
      <c r="H2588">
        <v>3.15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0</v>
      </c>
    </row>
    <row r="2589" spans="1:15" x14ac:dyDescent="0.25">
      <c r="A2589" s="11">
        <v>43707.604039351849</v>
      </c>
      <c r="B2589" t="s">
        <v>2407</v>
      </c>
      <c r="C2589" t="s">
        <v>2888</v>
      </c>
      <c r="E2589" t="s">
        <v>2378</v>
      </c>
      <c r="F2589">
        <v>3.63</v>
      </c>
      <c r="G2589">
        <v>3.94</v>
      </c>
      <c r="H2589">
        <v>3.15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0</v>
      </c>
    </row>
    <row r="2590" spans="1:15" x14ac:dyDescent="0.25">
      <c r="A2590" s="11">
        <v>43707.604074074072</v>
      </c>
      <c r="B2590" t="s">
        <v>2407</v>
      </c>
      <c r="C2590" t="s">
        <v>2450</v>
      </c>
      <c r="D2590" t="s">
        <v>2429</v>
      </c>
      <c r="E2590">
        <v>0</v>
      </c>
      <c r="F2590">
        <v>3.63</v>
      </c>
      <c r="G2590">
        <v>3.94</v>
      </c>
      <c r="H2590">
        <v>3.15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0</v>
      </c>
    </row>
    <row r="2591" spans="1:15" x14ac:dyDescent="0.25">
      <c r="A2591" s="11">
        <v>43707.604108796295</v>
      </c>
      <c r="B2591" t="s">
        <v>2407</v>
      </c>
      <c r="C2591" t="s">
        <v>2886</v>
      </c>
      <c r="D2591" t="s">
        <v>2429</v>
      </c>
      <c r="E2591">
        <v>0</v>
      </c>
      <c r="F2591">
        <v>3.63</v>
      </c>
      <c r="G2591">
        <v>3.94</v>
      </c>
      <c r="H2591">
        <v>3.15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0</v>
      </c>
    </row>
    <row r="2592" spans="1:15" x14ac:dyDescent="0.25">
      <c r="A2592" s="11">
        <v>43707.604178240741</v>
      </c>
      <c r="B2592" t="s">
        <v>2407</v>
      </c>
      <c r="C2592" t="s">
        <v>2886</v>
      </c>
      <c r="D2592" t="s">
        <v>2429</v>
      </c>
      <c r="E2592">
        <v>0</v>
      </c>
      <c r="F2592">
        <v>3.63</v>
      </c>
      <c r="G2592">
        <v>3.94</v>
      </c>
      <c r="H2592">
        <v>3.15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0</v>
      </c>
    </row>
    <row r="2593" spans="1:15" x14ac:dyDescent="0.25">
      <c r="A2593" s="11">
        <v>43707.60434027778</v>
      </c>
      <c r="B2593" t="s">
        <v>2407</v>
      </c>
      <c r="C2593" t="s">
        <v>2886</v>
      </c>
      <c r="D2593" t="s">
        <v>2429</v>
      </c>
      <c r="E2593">
        <v>1</v>
      </c>
      <c r="F2593">
        <v>3.63</v>
      </c>
      <c r="G2593">
        <v>3.94</v>
      </c>
      <c r="H2593">
        <v>3.15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0</v>
      </c>
    </row>
    <row r="2594" spans="1:15" x14ac:dyDescent="0.25">
      <c r="A2594" s="11">
        <v>43707.604386574072</v>
      </c>
      <c r="B2594" t="s">
        <v>2407</v>
      </c>
      <c r="C2594" t="s">
        <v>2886</v>
      </c>
      <c r="D2594" t="s">
        <v>2429</v>
      </c>
      <c r="E2594">
        <v>0</v>
      </c>
      <c r="F2594">
        <v>3.63</v>
      </c>
      <c r="G2594">
        <v>3.94</v>
      </c>
      <c r="H2594">
        <v>3.15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0</v>
      </c>
    </row>
    <row r="2595" spans="1:15" x14ac:dyDescent="0.25">
      <c r="A2595" s="11">
        <v>43707.604618055557</v>
      </c>
      <c r="B2595" t="s">
        <v>2407</v>
      </c>
      <c r="C2595" t="s">
        <v>2886</v>
      </c>
      <c r="D2595" t="s">
        <v>2429</v>
      </c>
      <c r="E2595">
        <v>0</v>
      </c>
      <c r="F2595">
        <v>3.63</v>
      </c>
      <c r="G2595">
        <v>3.94</v>
      </c>
      <c r="H2595">
        <v>3.15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0</v>
      </c>
    </row>
    <row r="2596" spans="1:15" x14ac:dyDescent="0.25">
      <c r="A2596" s="11">
        <v>43707.605763888889</v>
      </c>
      <c r="B2596" t="s">
        <v>2407</v>
      </c>
      <c r="C2596" t="s">
        <v>2888</v>
      </c>
      <c r="E2596" t="s">
        <v>2378</v>
      </c>
      <c r="F2596">
        <v>3.63</v>
      </c>
      <c r="G2596">
        <v>3.94</v>
      </c>
      <c r="H2596">
        <v>3.15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0</v>
      </c>
    </row>
    <row r="2597" spans="1:15" x14ac:dyDescent="0.25">
      <c r="A2597" s="11">
        <v>43707.605798611112</v>
      </c>
      <c r="B2597" t="s">
        <v>2407</v>
      </c>
      <c r="C2597" t="s">
        <v>2886</v>
      </c>
      <c r="D2597" t="s">
        <v>2429</v>
      </c>
      <c r="E2597">
        <v>0</v>
      </c>
      <c r="F2597">
        <v>3.63</v>
      </c>
      <c r="G2597">
        <v>3.94</v>
      </c>
      <c r="H2597">
        <v>3.15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0</v>
      </c>
    </row>
    <row r="2598" spans="1:15" x14ac:dyDescent="0.25">
      <c r="A2598" s="11">
        <v>43707.605821759258</v>
      </c>
      <c r="B2598" t="s">
        <v>2407</v>
      </c>
      <c r="C2598" t="s">
        <v>2888</v>
      </c>
      <c r="E2598" t="s">
        <v>2378</v>
      </c>
      <c r="F2598">
        <v>3.63</v>
      </c>
      <c r="G2598">
        <v>3.94</v>
      </c>
      <c r="H2598">
        <v>3.15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0</v>
      </c>
    </row>
    <row r="2599" spans="1:15" x14ac:dyDescent="0.25">
      <c r="A2599" s="11">
        <v>43707.605856481481</v>
      </c>
      <c r="B2599" t="s">
        <v>2407</v>
      </c>
      <c r="C2599" t="s">
        <v>2886</v>
      </c>
      <c r="D2599" t="s">
        <v>2429</v>
      </c>
      <c r="E2599">
        <v>0</v>
      </c>
      <c r="F2599">
        <v>3.63</v>
      </c>
      <c r="G2599">
        <v>3.94</v>
      </c>
      <c r="H2599">
        <v>3.15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0</v>
      </c>
    </row>
    <row r="2600" spans="1:15" x14ac:dyDescent="0.25">
      <c r="A2600" s="11">
        <v>43707.605868055558</v>
      </c>
      <c r="B2600" t="s">
        <v>2407</v>
      </c>
      <c r="C2600" t="s">
        <v>2888</v>
      </c>
      <c r="E2600" t="s">
        <v>2378</v>
      </c>
      <c r="F2600">
        <v>3.63</v>
      </c>
      <c r="G2600">
        <v>3.94</v>
      </c>
      <c r="H2600">
        <v>3.15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0</v>
      </c>
    </row>
    <row r="2601" spans="1:15" x14ac:dyDescent="0.25">
      <c r="A2601" s="11">
        <v>43707.605949074074</v>
      </c>
      <c r="B2601" t="s">
        <v>2407</v>
      </c>
      <c r="C2601" t="s">
        <v>2886</v>
      </c>
      <c r="D2601" t="s">
        <v>2429</v>
      </c>
      <c r="E2601">
        <v>0</v>
      </c>
      <c r="F2601">
        <v>3.63</v>
      </c>
      <c r="G2601">
        <v>3.94</v>
      </c>
      <c r="H2601">
        <v>3.15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0</v>
      </c>
    </row>
    <row r="2602" spans="1:15" x14ac:dyDescent="0.25">
      <c r="A2602" s="11">
        <v>43707.60596064815</v>
      </c>
      <c r="B2602" t="s">
        <v>2407</v>
      </c>
      <c r="C2602" t="s">
        <v>2888</v>
      </c>
      <c r="E2602" t="s">
        <v>2378</v>
      </c>
      <c r="F2602">
        <v>3.63</v>
      </c>
      <c r="G2602">
        <v>3.94</v>
      </c>
      <c r="H2602">
        <v>3.15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0</v>
      </c>
    </row>
    <row r="2603" spans="1:15" x14ac:dyDescent="0.25">
      <c r="A2603" s="11">
        <v>43707.606064814812</v>
      </c>
      <c r="B2603" t="s">
        <v>2407</v>
      </c>
      <c r="C2603" t="s">
        <v>2886</v>
      </c>
      <c r="D2603" t="s">
        <v>2429</v>
      </c>
      <c r="E2603">
        <v>0</v>
      </c>
      <c r="F2603">
        <v>3.63</v>
      </c>
      <c r="G2603">
        <v>3.94</v>
      </c>
      <c r="H2603">
        <v>3.15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0</v>
      </c>
    </row>
    <row r="2604" spans="1:15" x14ac:dyDescent="0.25">
      <c r="A2604" s="11">
        <v>43707.607685185183</v>
      </c>
      <c r="B2604" t="s">
        <v>2407</v>
      </c>
      <c r="C2604" t="s">
        <v>2376</v>
      </c>
      <c r="D2604" t="b">
        <v>1</v>
      </c>
      <c r="E2604" t="s">
        <v>2472</v>
      </c>
      <c r="F2604">
        <v>3.63</v>
      </c>
      <c r="G2604">
        <v>3.94</v>
      </c>
      <c r="H2604">
        <v>3.15</v>
      </c>
      <c r="I2604">
        <v>0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0</v>
      </c>
    </row>
    <row r="2605" spans="1:15" x14ac:dyDescent="0.25">
      <c r="A2605" s="11">
        <v>43707.607789351852</v>
      </c>
      <c r="B2605" t="s">
        <v>2407</v>
      </c>
      <c r="C2605" t="s">
        <v>2886</v>
      </c>
      <c r="D2605" t="s">
        <v>2429</v>
      </c>
      <c r="E2605">
        <v>0</v>
      </c>
      <c r="F2605">
        <v>3.63</v>
      </c>
      <c r="G2605">
        <v>3.94</v>
      </c>
      <c r="H2605">
        <v>3.15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0</v>
      </c>
    </row>
    <row r="2606" spans="1:15" x14ac:dyDescent="0.25">
      <c r="A2606" s="11">
        <v>43707.608032407406</v>
      </c>
      <c r="B2606" t="s">
        <v>2407</v>
      </c>
      <c r="C2606" t="s">
        <v>2888</v>
      </c>
      <c r="E2606" t="s">
        <v>2378</v>
      </c>
      <c r="F2606">
        <v>3.63</v>
      </c>
      <c r="G2606">
        <v>3.94</v>
      </c>
      <c r="H2606">
        <v>3.15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0</v>
      </c>
    </row>
    <row r="2607" spans="1:15" x14ac:dyDescent="0.25">
      <c r="A2607" s="11">
        <v>43707.608622685184</v>
      </c>
      <c r="B2607" t="s">
        <v>2407</v>
      </c>
      <c r="C2607" t="s">
        <v>2886</v>
      </c>
      <c r="D2607" t="s">
        <v>2429</v>
      </c>
      <c r="E2607">
        <v>0</v>
      </c>
      <c r="F2607">
        <v>3.63</v>
      </c>
      <c r="G2607">
        <v>3.94</v>
      </c>
      <c r="H2607">
        <v>3.15</v>
      </c>
      <c r="I2607">
        <v>1</v>
      </c>
      <c r="J2607" t="b">
        <v>0</v>
      </c>
      <c r="K2607" t="b">
        <v>0</v>
      </c>
      <c r="L2607" t="b">
        <v>0</v>
      </c>
      <c r="M2607" t="b">
        <v>1</v>
      </c>
      <c r="N2607" t="b">
        <v>1</v>
      </c>
      <c r="O2607" t="b">
        <v>0</v>
      </c>
    </row>
    <row r="2608" spans="1:15" x14ac:dyDescent="0.25">
      <c r="A2608" s="11">
        <v>43707.60864583333</v>
      </c>
      <c r="B2608" t="s">
        <v>2407</v>
      </c>
      <c r="C2608" t="s">
        <v>2888</v>
      </c>
      <c r="E2608" t="s">
        <v>2378</v>
      </c>
      <c r="F2608">
        <v>3.63</v>
      </c>
      <c r="G2608">
        <v>3.94</v>
      </c>
      <c r="H2608">
        <v>3.15</v>
      </c>
      <c r="I2608">
        <v>1</v>
      </c>
      <c r="J2608" t="b">
        <v>0</v>
      </c>
      <c r="K2608" t="b">
        <v>0</v>
      </c>
      <c r="L2608" t="b">
        <v>0</v>
      </c>
      <c r="M2608" t="b">
        <v>1</v>
      </c>
      <c r="N2608" t="b">
        <v>1</v>
      </c>
      <c r="O2608" t="b">
        <v>0</v>
      </c>
    </row>
    <row r="2609" spans="1:15" x14ac:dyDescent="0.25">
      <c r="A2609" s="11">
        <v>43707.608668981484</v>
      </c>
      <c r="B2609" t="s">
        <v>2407</v>
      </c>
      <c r="C2609" t="s">
        <v>2450</v>
      </c>
      <c r="D2609" t="s">
        <v>2429</v>
      </c>
      <c r="E2609">
        <v>0</v>
      </c>
      <c r="F2609">
        <v>3.63</v>
      </c>
      <c r="G2609">
        <v>3.94</v>
      </c>
      <c r="H2609">
        <v>3.15</v>
      </c>
      <c r="I2609">
        <v>1</v>
      </c>
      <c r="J2609" t="b">
        <v>0</v>
      </c>
      <c r="K2609" t="b">
        <v>0</v>
      </c>
      <c r="L2609" t="b">
        <v>0</v>
      </c>
      <c r="M2609" t="b">
        <v>1</v>
      </c>
      <c r="N2609" t="b">
        <v>1</v>
      </c>
      <c r="O2609" t="b">
        <v>0</v>
      </c>
    </row>
    <row r="2610" spans="1:15" x14ac:dyDescent="0.25">
      <c r="A2610" s="11">
        <v>43707.608715277776</v>
      </c>
      <c r="B2610" t="s">
        <v>2407</v>
      </c>
      <c r="C2610" t="s">
        <v>2886</v>
      </c>
      <c r="D2610" t="s">
        <v>2429</v>
      </c>
      <c r="E2610">
        <v>0</v>
      </c>
      <c r="F2610">
        <v>3.63</v>
      </c>
      <c r="G2610">
        <v>3.94</v>
      </c>
      <c r="H2610">
        <v>3.15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0</v>
      </c>
    </row>
    <row r="2611" spans="1:15" x14ac:dyDescent="0.25">
      <c r="A2611" s="11">
        <v>43707.608738425923</v>
      </c>
      <c r="B2611" t="s">
        <v>2407</v>
      </c>
      <c r="C2611" t="s">
        <v>2450</v>
      </c>
      <c r="D2611" t="s">
        <v>2429</v>
      </c>
      <c r="E2611">
        <v>0</v>
      </c>
      <c r="F2611">
        <v>3.63</v>
      </c>
      <c r="G2611">
        <v>3.94</v>
      </c>
      <c r="H2611">
        <v>3.15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0</v>
      </c>
    </row>
    <row r="2612" spans="1:15" x14ac:dyDescent="0.25">
      <c r="A2612" s="11">
        <v>43707.608819444446</v>
      </c>
      <c r="B2612" t="s">
        <v>2407</v>
      </c>
      <c r="C2612" t="s">
        <v>2886</v>
      </c>
      <c r="D2612" t="s">
        <v>2429</v>
      </c>
      <c r="E2612">
        <v>0</v>
      </c>
      <c r="F2612">
        <v>3.63</v>
      </c>
      <c r="G2612">
        <v>3.94</v>
      </c>
      <c r="H2612">
        <v>3.15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0</v>
      </c>
    </row>
    <row r="2613" spans="1:15" x14ac:dyDescent="0.25">
      <c r="A2613" s="11">
        <v>43707.633900462963</v>
      </c>
      <c r="B2613" t="s">
        <v>2407</v>
      </c>
      <c r="C2613" t="s">
        <v>2779</v>
      </c>
      <c r="E2613" t="s">
        <v>2379</v>
      </c>
      <c r="F2613">
        <v>3.63</v>
      </c>
      <c r="G2613">
        <v>3.94</v>
      </c>
      <c r="H2613">
        <v>3.15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0</v>
      </c>
    </row>
    <row r="2614" spans="1:15" x14ac:dyDescent="0.25">
      <c r="A2614" s="11">
        <v>43707.634050925924</v>
      </c>
      <c r="B2614" t="s">
        <v>2407</v>
      </c>
      <c r="C2614" t="s">
        <v>2383</v>
      </c>
      <c r="D2614" t="s">
        <v>2384</v>
      </c>
      <c r="E2614" s="12" t="s">
        <v>2385</v>
      </c>
      <c r="F2614">
        <v>3.63</v>
      </c>
      <c r="G2614">
        <v>3.94</v>
      </c>
      <c r="H2614">
        <v>3.15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0</v>
      </c>
    </row>
    <row r="2615" spans="1:15" x14ac:dyDescent="0.25">
      <c r="A2615" s="11">
        <v>43707.634050925924</v>
      </c>
      <c r="B2615" t="s">
        <v>2407</v>
      </c>
      <c r="C2615" t="s">
        <v>2383</v>
      </c>
      <c r="D2615" t="s">
        <v>2386</v>
      </c>
      <c r="E2615">
        <v>0</v>
      </c>
      <c r="F2615">
        <v>3.63</v>
      </c>
      <c r="G2615">
        <v>3.94</v>
      </c>
      <c r="H2615">
        <v>3.15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0</v>
      </c>
    </row>
    <row r="2616" spans="1:15" x14ac:dyDescent="0.25">
      <c r="A2616" s="11">
        <v>43707.634050925924</v>
      </c>
      <c r="B2616" t="s">
        <v>2407</v>
      </c>
      <c r="C2616" t="s">
        <v>2383</v>
      </c>
      <c r="D2616" t="s">
        <v>2387</v>
      </c>
      <c r="E2616" t="s">
        <v>2891</v>
      </c>
      <c r="F2616">
        <v>3.63</v>
      </c>
      <c r="G2616">
        <v>3.94</v>
      </c>
      <c r="H2616">
        <v>3.15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0</v>
      </c>
    </row>
    <row r="2617" spans="1:15" x14ac:dyDescent="0.25">
      <c r="A2617" s="11">
        <v>43707.634050925924</v>
      </c>
      <c r="B2617" t="s">
        <v>2407</v>
      </c>
      <c r="C2617" t="s">
        <v>2383</v>
      </c>
      <c r="D2617" t="s">
        <v>2381</v>
      </c>
      <c r="E2617">
        <v>0</v>
      </c>
      <c r="F2617">
        <v>3.63</v>
      </c>
      <c r="G2617">
        <v>3.94</v>
      </c>
      <c r="H2617">
        <v>3.15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0</v>
      </c>
    </row>
    <row r="2618" spans="1:15" x14ac:dyDescent="0.25">
      <c r="A2618" s="11">
        <v>43707.634050925924</v>
      </c>
      <c r="B2618" t="s">
        <v>2407</v>
      </c>
      <c r="C2618" t="s">
        <v>2383</v>
      </c>
      <c r="D2618" t="s">
        <v>2388</v>
      </c>
      <c r="E2618">
        <v>0</v>
      </c>
      <c r="F2618">
        <v>3.63</v>
      </c>
      <c r="G2618">
        <v>3.94</v>
      </c>
      <c r="H2618">
        <v>3.15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0</v>
      </c>
    </row>
    <row r="2619" spans="1:15" x14ac:dyDescent="0.25">
      <c r="A2619" s="11">
        <v>43707.634050925924</v>
      </c>
      <c r="B2619" t="s">
        <v>2407</v>
      </c>
      <c r="C2619" t="s">
        <v>2383</v>
      </c>
      <c r="D2619" t="s">
        <v>2389</v>
      </c>
      <c r="E2619" s="12" t="s">
        <v>2385</v>
      </c>
      <c r="F2619">
        <v>3.63</v>
      </c>
      <c r="G2619">
        <v>3.94</v>
      </c>
      <c r="H2619">
        <v>3.15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0</v>
      </c>
    </row>
    <row r="2620" spans="1:15" x14ac:dyDescent="0.25">
      <c r="A2620" s="11">
        <v>43707.634050925924</v>
      </c>
      <c r="B2620" t="s">
        <v>2407</v>
      </c>
      <c r="C2620" t="s">
        <v>2779</v>
      </c>
      <c r="E2620" t="s">
        <v>2378</v>
      </c>
      <c r="F2620">
        <v>3.63</v>
      </c>
      <c r="G2620">
        <v>3.94</v>
      </c>
      <c r="H2620">
        <v>3.15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0</v>
      </c>
    </row>
    <row r="2621" spans="1:15" x14ac:dyDescent="0.25">
      <c r="A2621" s="11">
        <v>43707.658101851855</v>
      </c>
      <c r="B2621" t="s">
        <v>2407</v>
      </c>
      <c r="C2621" t="s">
        <v>2779</v>
      </c>
      <c r="E2621" t="s">
        <v>2379</v>
      </c>
      <c r="F2621">
        <v>3.63</v>
      </c>
      <c r="G2621">
        <v>3.94</v>
      </c>
      <c r="H2621">
        <v>3.15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0</v>
      </c>
    </row>
    <row r="2622" spans="1:15" x14ac:dyDescent="0.25">
      <c r="A2622" s="11">
        <v>43707.658194444448</v>
      </c>
      <c r="B2622" t="s">
        <v>2407</v>
      </c>
      <c r="C2622" t="s">
        <v>2383</v>
      </c>
      <c r="D2622" t="s">
        <v>2384</v>
      </c>
      <c r="E2622" s="12" t="s">
        <v>2385</v>
      </c>
      <c r="F2622">
        <v>3.63</v>
      </c>
      <c r="G2622">
        <v>3.94</v>
      </c>
      <c r="H2622">
        <v>3.15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0</v>
      </c>
    </row>
    <row r="2623" spans="1:15" x14ac:dyDescent="0.25">
      <c r="A2623" s="11">
        <v>43707.658194444448</v>
      </c>
      <c r="B2623" t="s">
        <v>2407</v>
      </c>
      <c r="C2623" t="s">
        <v>2383</v>
      </c>
      <c r="D2623" t="s">
        <v>2386</v>
      </c>
      <c r="E2623" t="s">
        <v>2892</v>
      </c>
      <c r="F2623">
        <v>3.63</v>
      </c>
      <c r="G2623">
        <v>3.94</v>
      </c>
      <c r="H2623">
        <v>3.15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0</v>
      </c>
    </row>
    <row r="2624" spans="1:15" x14ac:dyDescent="0.25">
      <c r="A2624" s="11">
        <v>43707.658194444448</v>
      </c>
      <c r="B2624" t="s">
        <v>2407</v>
      </c>
      <c r="C2624" t="s">
        <v>2383</v>
      </c>
      <c r="D2624" t="s">
        <v>2387</v>
      </c>
      <c r="E2624" t="s">
        <v>2893</v>
      </c>
      <c r="F2624">
        <v>3.63</v>
      </c>
      <c r="G2624">
        <v>3.94</v>
      </c>
      <c r="H2624">
        <v>3.15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0</v>
      </c>
    </row>
    <row r="2625" spans="1:15" x14ac:dyDescent="0.25">
      <c r="A2625" s="11">
        <v>43707.658194444448</v>
      </c>
      <c r="B2625" t="s">
        <v>2407</v>
      </c>
      <c r="C2625" t="s">
        <v>2383</v>
      </c>
      <c r="D2625" t="s">
        <v>2381</v>
      </c>
      <c r="E2625">
        <v>0</v>
      </c>
      <c r="F2625">
        <v>3.63</v>
      </c>
      <c r="G2625">
        <v>3.94</v>
      </c>
      <c r="H2625">
        <v>3.15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0</v>
      </c>
    </row>
    <row r="2626" spans="1:15" x14ac:dyDescent="0.25">
      <c r="A2626" s="11">
        <v>43707.658194444448</v>
      </c>
      <c r="B2626" t="s">
        <v>2407</v>
      </c>
      <c r="C2626" t="s">
        <v>2383</v>
      </c>
      <c r="D2626" t="s">
        <v>2388</v>
      </c>
      <c r="E2626" t="s">
        <v>2894</v>
      </c>
      <c r="F2626">
        <v>3.63</v>
      </c>
      <c r="G2626">
        <v>3.94</v>
      </c>
      <c r="H2626">
        <v>3.15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0</v>
      </c>
    </row>
    <row r="2627" spans="1:15" x14ac:dyDescent="0.25">
      <c r="A2627" s="11">
        <v>43707.658194444448</v>
      </c>
      <c r="B2627" t="s">
        <v>2407</v>
      </c>
      <c r="C2627" t="s">
        <v>2383</v>
      </c>
      <c r="D2627" t="s">
        <v>2389</v>
      </c>
      <c r="E2627" s="12" t="s">
        <v>2385</v>
      </c>
      <c r="F2627">
        <v>3.63</v>
      </c>
      <c r="G2627">
        <v>3.94</v>
      </c>
      <c r="H2627">
        <v>3.15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0</v>
      </c>
    </row>
    <row r="2628" spans="1:15" x14ac:dyDescent="0.25">
      <c r="A2628" s="11">
        <v>43707.658194444448</v>
      </c>
      <c r="B2628" t="s">
        <v>2407</v>
      </c>
      <c r="C2628" t="s">
        <v>2779</v>
      </c>
      <c r="E2628" t="s">
        <v>2378</v>
      </c>
      <c r="F2628">
        <v>3.63</v>
      </c>
      <c r="G2628">
        <v>3.94</v>
      </c>
      <c r="H2628">
        <v>3.15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0</v>
      </c>
    </row>
    <row r="2629" spans="1:15" x14ac:dyDescent="0.25">
      <c r="A2629" s="11">
        <v>43725.450312499997</v>
      </c>
      <c r="B2629" t="s">
        <v>2407</v>
      </c>
      <c r="C2629" t="s">
        <v>2919</v>
      </c>
      <c r="D2629" t="s">
        <v>2429</v>
      </c>
      <c r="E2629">
        <v>0</v>
      </c>
      <c r="F2629">
        <v>3.63</v>
      </c>
      <c r="G2629">
        <v>3.94</v>
      </c>
      <c r="H2629">
        <v>3.15</v>
      </c>
      <c r="I2629">
        <v>0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0</v>
      </c>
    </row>
    <row r="2630" spans="1:15" x14ac:dyDescent="0.25">
      <c r="A2630" s="11">
        <v>43725.450370370374</v>
      </c>
      <c r="B2630" t="s">
        <v>2407</v>
      </c>
      <c r="C2630" t="s">
        <v>2919</v>
      </c>
      <c r="D2630" t="s">
        <v>2429</v>
      </c>
      <c r="E2630">
        <v>0</v>
      </c>
      <c r="F2630">
        <v>3.63</v>
      </c>
      <c r="G2630">
        <v>3.94</v>
      </c>
      <c r="H2630">
        <v>3.15</v>
      </c>
      <c r="I2630">
        <v>0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0</v>
      </c>
    </row>
    <row r="2631" spans="1:15" x14ac:dyDescent="0.25">
      <c r="A2631" s="11">
        <v>43725.450381944444</v>
      </c>
      <c r="B2631" t="s">
        <v>2407</v>
      </c>
      <c r="C2631" t="s">
        <v>2919</v>
      </c>
      <c r="D2631" t="s">
        <v>2429</v>
      </c>
      <c r="E2631">
        <v>0</v>
      </c>
      <c r="F2631">
        <v>3.63</v>
      </c>
      <c r="G2631">
        <v>3.94</v>
      </c>
      <c r="H2631">
        <v>3.15</v>
      </c>
      <c r="I2631">
        <v>0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0</v>
      </c>
    </row>
    <row r="2632" spans="1:15" x14ac:dyDescent="0.25">
      <c r="A2632" s="11">
        <v>43725.450497685182</v>
      </c>
      <c r="B2632" t="s">
        <v>2407</v>
      </c>
      <c r="C2632" t="s">
        <v>2920</v>
      </c>
      <c r="E2632" t="s">
        <v>2921</v>
      </c>
      <c r="F2632">
        <v>3.63</v>
      </c>
      <c r="G2632">
        <v>3.94</v>
      </c>
      <c r="H2632">
        <v>3.15</v>
      </c>
      <c r="I2632">
        <v>0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0</v>
      </c>
    </row>
    <row r="2633" spans="1:15" x14ac:dyDescent="0.25">
      <c r="A2633" s="11">
        <v>43725.450509259259</v>
      </c>
      <c r="B2633" t="s">
        <v>2407</v>
      </c>
      <c r="C2633" t="s">
        <v>2919</v>
      </c>
      <c r="D2633" t="s">
        <v>2429</v>
      </c>
      <c r="E2633">
        <v>1</v>
      </c>
      <c r="F2633">
        <v>3.63</v>
      </c>
      <c r="G2633">
        <v>3.94</v>
      </c>
      <c r="H2633">
        <v>3.15</v>
      </c>
      <c r="I2633">
        <v>0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0</v>
      </c>
    </row>
    <row r="2634" spans="1:15" x14ac:dyDescent="0.25">
      <c r="A2634" s="11">
        <v>43725.450590277775</v>
      </c>
      <c r="B2634" t="s">
        <v>2407</v>
      </c>
      <c r="C2634" t="s">
        <v>2920</v>
      </c>
      <c r="E2634" t="s">
        <v>2923</v>
      </c>
      <c r="F2634">
        <v>3.63</v>
      </c>
      <c r="G2634">
        <v>3.94</v>
      </c>
      <c r="H2634">
        <v>3.15</v>
      </c>
      <c r="I2634">
        <v>0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0</v>
      </c>
    </row>
    <row r="2635" spans="1:15" x14ac:dyDescent="0.25">
      <c r="A2635" s="11">
        <v>43725.450601851851</v>
      </c>
      <c r="B2635" t="s">
        <v>2407</v>
      </c>
      <c r="C2635" t="s">
        <v>2919</v>
      </c>
      <c r="D2635" t="s">
        <v>2429</v>
      </c>
      <c r="E2635">
        <v>1</v>
      </c>
      <c r="F2635">
        <v>3.63</v>
      </c>
      <c r="G2635">
        <v>3.94</v>
      </c>
      <c r="H2635">
        <v>3.15</v>
      </c>
      <c r="I2635">
        <v>0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0</v>
      </c>
    </row>
    <row r="2636" spans="1:15" x14ac:dyDescent="0.25">
      <c r="A2636" s="11">
        <v>43725.450648148151</v>
      </c>
      <c r="B2636" t="s">
        <v>2407</v>
      </c>
      <c r="C2636" t="s">
        <v>2919</v>
      </c>
      <c r="D2636" t="s">
        <v>2429</v>
      </c>
      <c r="E2636">
        <v>1</v>
      </c>
      <c r="F2636">
        <v>3.63</v>
      </c>
      <c r="G2636">
        <v>3.94</v>
      </c>
      <c r="H2636">
        <v>3.15</v>
      </c>
      <c r="I2636">
        <v>0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0</v>
      </c>
    </row>
    <row r="2637" spans="1:15" x14ac:dyDescent="0.25">
      <c r="A2637" s="11">
        <v>43725.451956018522</v>
      </c>
      <c r="B2637" t="s">
        <v>2407</v>
      </c>
      <c r="C2637" t="s">
        <v>2474</v>
      </c>
      <c r="E2637" t="s">
        <v>2378</v>
      </c>
      <c r="F2637">
        <v>3.63</v>
      </c>
      <c r="G2637">
        <v>3.94</v>
      </c>
      <c r="H2637">
        <v>3.15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0</v>
      </c>
    </row>
    <row r="2638" spans="1:15" x14ac:dyDescent="0.25">
      <c r="A2638" s="11">
        <v>43726.660567129627</v>
      </c>
      <c r="B2638" t="s">
        <v>2407</v>
      </c>
      <c r="C2638" t="s">
        <v>2919</v>
      </c>
      <c r="D2638" t="s">
        <v>2429</v>
      </c>
      <c r="E2638">
        <v>1</v>
      </c>
      <c r="F2638">
        <v>3.63</v>
      </c>
      <c r="G2638">
        <v>3.94</v>
      </c>
      <c r="H2638">
        <v>3.15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0</v>
      </c>
    </row>
    <row r="2639" spans="1:15" x14ac:dyDescent="0.25">
      <c r="A2639" s="11">
        <v>43726.660578703704</v>
      </c>
      <c r="B2639" t="s">
        <v>2407</v>
      </c>
      <c r="C2639" t="s">
        <v>2474</v>
      </c>
      <c r="E2639" t="s">
        <v>2378</v>
      </c>
      <c r="F2639">
        <v>3.63</v>
      </c>
      <c r="G2639">
        <v>3.94</v>
      </c>
      <c r="H2639">
        <v>3.15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0</v>
      </c>
    </row>
    <row r="2640" spans="1:15" x14ac:dyDescent="0.25">
      <c r="A2640" s="11">
        <v>43726.737384259257</v>
      </c>
      <c r="B2640" t="s">
        <v>2407</v>
      </c>
      <c r="C2640" t="s">
        <v>2928</v>
      </c>
      <c r="D2640" t="s">
        <v>2404</v>
      </c>
      <c r="E2640" t="s">
        <v>2378</v>
      </c>
      <c r="F2640">
        <v>3.64</v>
      </c>
      <c r="G2640">
        <v>3.94</v>
      </c>
      <c r="H2640">
        <v>3.15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0</v>
      </c>
    </row>
    <row r="2641" spans="1:15" x14ac:dyDescent="0.25">
      <c r="A2641" s="11">
        <v>43726.73809027778</v>
      </c>
      <c r="B2641" t="s">
        <v>2407</v>
      </c>
      <c r="D2641" t="s">
        <v>2929</v>
      </c>
      <c r="E2641" t="s">
        <v>2930</v>
      </c>
      <c r="F2641">
        <v>3.64</v>
      </c>
      <c r="G2641">
        <v>3.94</v>
      </c>
      <c r="H2641">
        <v>3.15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0</v>
      </c>
    </row>
    <row r="2642" spans="1:15" x14ac:dyDescent="0.25">
      <c r="A2642" s="11">
        <v>43726.73809027778</v>
      </c>
      <c r="B2642" t="s">
        <v>2407</v>
      </c>
      <c r="D2642" t="s">
        <v>2931</v>
      </c>
      <c r="E2642" t="s">
        <v>2932</v>
      </c>
      <c r="F2642">
        <v>3.64</v>
      </c>
      <c r="G2642">
        <v>3.94</v>
      </c>
      <c r="H2642">
        <v>3.15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0</v>
      </c>
    </row>
    <row r="2643" spans="1:15" x14ac:dyDescent="0.25">
      <c r="A2643" s="11">
        <v>43726.73809027778</v>
      </c>
      <c r="B2643" t="s">
        <v>2407</v>
      </c>
      <c r="D2643" t="s">
        <v>2933</v>
      </c>
      <c r="E2643" t="s">
        <v>2934</v>
      </c>
      <c r="F2643">
        <v>3.64</v>
      </c>
      <c r="G2643">
        <v>3.94</v>
      </c>
      <c r="H2643">
        <v>3.15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0</v>
      </c>
    </row>
    <row r="2644" spans="1:15" x14ac:dyDescent="0.25">
      <c r="A2644" s="11">
        <v>43726.73809027778</v>
      </c>
      <c r="B2644" t="s">
        <v>2407</v>
      </c>
      <c r="D2644" t="s">
        <v>2935</v>
      </c>
      <c r="E2644" t="s">
        <v>2936</v>
      </c>
      <c r="F2644">
        <v>3.64</v>
      </c>
      <c r="G2644">
        <v>3.94</v>
      </c>
      <c r="H2644">
        <v>3.15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0</v>
      </c>
    </row>
    <row r="2645" spans="1:15" x14ac:dyDescent="0.25">
      <c r="A2645" s="11">
        <v>43726.73809027778</v>
      </c>
      <c r="B2645" t="s">
        <v>2407</v>
      </c>
      <c r="D2645" t="s">
        <v>2937</v>
      </c>
      <c r="E2645" t="s">
        <v>2938</v>
      </c>
      <c r="F2645">
        <v>3.64</v>
      </c>
      <c r="G2645">
        <v>3.94</v>
      </c>
      <c r="H2645">
        <v>3.15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0</v>
      </c>
    </row>
    <row r="2646" spans="1:15" x14ac:dyDescent="0.25">
      <c r="A2646" s="11">
        <v>43726.73809027778</v>
      </c>
      <c r="B2646" t="s">
        <v>2407</v>
      </c>
      <c r="D2646" t="s">
        <v>2939</v>
      </c>
      <c r="E2646" t="s">
        <v>2940</v>
      </c>
      <c r="F2646">
        <v>3.64</v>
      </c>
      <c r="G2646">
        <v>3.94</v>
      </c>
      <c r="H2646">
        <v>3.15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0</v>
      </c>
    </row>
    <row r="2647" spans="1:15" x14ac:dyDescent="0.25">
      <c r="A2647" s="11">
        <v>43726.73809027778</v>
      </c>
      <c r="B2647" t="s">
        <v>2407</v>
      </c>
      <c r="D2647" t="s">
        <v>2941</v>
      </c>
      <c r="E2647" t="s">
        <v>2942</v>
      </c>
      <c r="F2647">
        <v>3.64</v>
      </c>
      <c r="G2647">
        <v>3.94</v>
      </c>
      <c r="H2647">
        <v>3.15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0</v>
      </c>
    </row>
    <row r="2648" spans="1:15" x14ac:dyDescent="0.25">
      <c r="A2648" s="11">
        <v>43726.73809027778</v>
      </c>
      <c r="B2648" t="s">
        <v>2407</v>
      </c>
      <c r="D2648" t="s">
        <v>2943</v>
      </c>
      <c r="E2648" t="s">
        <v>2944</v>
      </c>
      <c r="F2648">
        <v>3.64</v>
      </c>
      <c r="G2648">
        <v>3.94</v>
      </c>
      <c r="H2648">
        <v>3.15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0</v>
      </c>
    </row>
    <row r="2649" spans="1:15" x14ac:dyDescent="0.25">
      <c r="A2649" s="11">
        <v>43726.73809027778</v>
      </c>
      <c r="B2649" t="s">
        <v>2407</v>
      </c>
      <c r="D2649" t="s">
        <v>2945</v>
      </c>
      <c r="E2649" t="s">
        <v>2946</v>
      </c>
      <c r="F2649">
        <v>3.64</v>
      </c>
      <c r="G2649">
        <v>3.94</v>
      </c>
      <c r="H2649">
        <v>3.15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0</v>
      </c>
    </row>
    <row r="2650" spans="1:15" x14ac:dyDescent="0.25">
      <c r="A2650" s="11">
        <v>43726.73809027778</v>
      </c>
      <c r="B2650" t="s">
        <v>2407</v>
      </c>
      <c r="D2650" t="s">
        <v>2947</v>
      </c>
      <c r="E2650" t="s">
        <v>2948</v>
      </c>
      <c r="F2650">
        <v>3.64</v>
      </c>
      <c r="G2650">
        <v>3.94</v>
      </c>
      <c r="H2650">
        <v>3.15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0</v>
      </c>
    </row>
    <row r="2651" spans="1:15" x14ac:dyDescent="0.25">
      <c r="A2651" s="11">
        <v>43726.73810185185</v>
      </c>
      <c r="B2651" t="s">
        <v>2407</v>
      </c>
      <c r="D2651" t="s">
        <v>2949</v>
      </c>
      <c r="E2651" t="s">
        <v>2950</v>
      </c>
      <c r="F2651">
        <v>3.64</v>
      </c>
      <c r="G2651">
        <v>3.94</v>
      </c>
      <c r="H2651">
        <v>3.15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0</v>
      </c>
    </row>
    <row r="2652" spans="1:15" x14ac:dyDescent="0.25">
      <c r="A2652" s="11">
        <v>43726.73810185185</v>
      </c>
      <c r="B2652" t="s">
        <v>2407</v>
      </c>
      <c r="D2652" t="s">
        <v>2951</v>
      </c>
      <c r="E2652" t="s">
        <v>2952</v>
      </c>
      <c r="F2652">
        <v>3.64</v>
      </c>
      <c r="G2652">
        <v>3.94</v>
      </c>
      <c r="H2652">
        <v>3.15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0</v>
      </c>
    </row>
    <row r="2653" spans="1:15" x14ac:dyDescent="0.25">
      <c r="A2653" s="11">
        <v>43726.73810185185</v>
      </c>
      <c r="B2653" t="s">
        <v>2407</v>
      </c>
      <c r="D2653" t="s">
        <v>2953</v>
      </c>
      <c r="E2653" t="s">
        <v>2954</v>
      </c>
      <c r="F2653">
        <v>3.64</v>
      </c>
      <c r="G2653">
        <v>3.94</v>
      </c>
      <c r="H2653">
        <v>3.15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0</v>
      </c>
    </row>
    <row r="2654" spans="1:15" x14ac:dyDescent="0.25">
      <c r="A2654" s="11">
        <v>43726.73810185185</v>
      </c>
      <c r="B2654" t="s">
        <v>2407</v>
      </c>
      <c r="D2654" t="s">
        <v>2955</v>
      </c>
      <c r="E2654" t="s">
        <v>2956</v>
      </c>
      <c r="F2654">
        <v>3.64</v>
      </c>
      <c r="G2654">
        <v>3.94</v>
      </c>
      <c r="H2654">
        <v>3.15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0</v>
      </c>
    </row>
    <row r="2655" spans="1:15" x14ac:dyDescent="0.25">
      <c r="A2655" s="11">
        <v>43726.73810185185</v>
      </c>
      <c r="B2655" t="s">
        <v>2407</v>
      </c>
      <c r="D2655" t="s">
        <v>2957</v>
      </c>
      <c r="E2655" t="s">
        <v>2958</v>
      </c>
      <c r="F2655">
        <v>3.64</v>
      </c>
      <c r="G2655">
        <v>3.94</v>
      </c>
      <c r="H2655">
        <v>3.15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0</v>
      </c>
    </row>
    <row r="2656" spans="1:15" x14ac:dyDescent="0.25">
      <c r="A2656" s="11">
        <v>43726.73810185185</v>
      </c>
      <c r="B2656" t="s">
        <v>2407</v>
      </c>
      <c r="D2656" t="s">
        <v>2959</v>
      </c>
      <c r="E2656" t="s">
        <v>2960</v>
      </c>
      <c r="F2656">
        <v>3.64</v>
      </c>
      <c r="G2656">
        <v>3.94</v>
      </c>
      <c r="H2656">
        <v>3.15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0</v>
      </c>
    </row>
    <row r="2657" spans="1:15" x14ac:dyDescent="0.25">
      <c r="A2657" s="11">
        <v>43726.73810185185</v>
      </c>
      <c r="B2657" t="s">
        <v>2407</v>
      </c>
      <c r="D2657" t="s">
        <v>2961</v>
      </c>
      <c r="E2657" t="s">
        <v>2962</v>
      </c>
      <c r="F2657">
        <v>3.64</v>
      </c>
      <c r="G2657">
        <v>3.94</v>
      </c>
      <c r="H2657">
        <v>3.15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0</v>
      </c>
    </row>
    <row r="2658" spans="1:15" x14ac:dyDescent="0.25">
      <c r="A2658" s="11">
        <v>43726.73810185185</v>
      </c>
      <c r="B2658" t="s">
        <v>2407</v>
      </c>
      <c r="D2658" t="s">
        <v>2963</v>
      </c>
      <c r="E2658" t="s">
        <v>2964</v>
      </c>
      <c r="F2658">
        <v>3.64</v>
      </c>
      <c r="G2658">
        <v>3.94</v>
      </c>
      <c r="H2658">
        <v>3.15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0</v>
      </c>
    </row>
    <row r="2659" spans="1:15" x14ac:dyDescent="0.25">
      <c r="A2659" s="11">
        <v>43726.73810185185</v>
      </c>
      <c r="B2659" t="s">
        <v>2407</v>
      </c>
      <c r="D2659" t="s">
        <v>2965</v>
      </c>
      <c r="E2659" t="s">
        <v>2966</v>
      </c>
      <c r="F2659">
        <v>3.64</v>
      </c>
      <c r="G2659">
        <v>3.94</v>
      </c>
      <c r="H2659">
        <v>3.15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0</v>
      </c>
    </row>
    <row r="2660" spans="1:15" x14ac:dyDescent="0.25">
      <c r="A2660" s="11">
        <v>43726.73810185185</v>
      </c>
      <c r="B2660" t="s">
        <v>2407</v>
      </c>
      <c r="D2660" t="s">
        <v>2967</v>
      </c>
      <c r="E2660" t="s">
        <v>2968</v>
      </c>
      <c r="F2660">
        <v>3.64</v>
      </c>
      <c r="G2660">
        <v>3.94</v>
      </c>
      <c r="H2660">
        <v>3.15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0</v>
      </c>
    </row>
    <row r="2661" spans="1:15" x14ac:dyDescent="0.25">
      <c r="A2661" s="11">
        <v>43726.73810185185</v>
      </c>
      <c r="B2661" t="s">
        <v>2407</v>
      </c>
      <c r="D2661" t="s">
        <v>2969</v>
      </c>
      <c r="E2661" t="s">
        <v>2970</v>
      </c>
      <c r="F2661">
        <v>3.64</v>
      </c>
      <c r="G2661">
        <v>3.94</v>
      </c>
      <c r="H2661">
        <v>3.15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0</v>
      </c>
    </row>
    <row r="2662" spans="1:15" x14ac:dyDescent="0.25">
      <c r="A2662" s="11">
        <v>43726.73810185185</v>
      </c>
      <c r="B2662" t="s">
        <v>2407</v>
      </c>
      <c r="D2662" t="s">
        <v>2971</v>
      </c>
      <c r="E2662" t="s">
        <v>2972</v>
      </c>
      <c r="F2662">
        <v>3.64</v>
      </c>
      <c r="G2662">
        <v>3.94</v>
      </c>
      <c r="H2662">
        <v>3.15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0</v>
      </c>
    </row>
    <row r="2663" spans="1:15" x14ac:dyDescent="0.25">
      <c r="A2663" s="11">
        <v>43726.73810185185</v>
      </c>
      <c r="B2663" t="s">
        <v>2407</v>
      </c>
      <c r="D2663" t="s">
        <v>2973</v>
      </c>
      <c r="E2663" t="s">
        <v>2974</v>
      </c>
      <c r="F2663">
        <v>3.64</v>
      </c>
      <c r="G2663">
        <v>3.94</v>
      </c>
      <c r="H2663">
        <v>3.15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0</v>
      </c>
    </row>
    <row r="2664" spans="1:15" x14ac:dyDescent="0.25">
      <c r="A2664" s="11">
        <v>43726.73810185185</v>
      </c>
      <c r="B2664" t="s">
        <v>2407</v>
      </c>
      <c r="D2664" t="s">
        <v>2975</v>
      </c>
      <c r="E2664" t="s">
        <v>2976</v>
      </c>
      <c r="F2664">
        <v>3.64</v>
      </c>
      <c r="G2664">
        <v>3.94</v>
      </c>
      <c r="H2664">
        <v>3.15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0</v>
      </c>
    </row>
    <row r="2665" spans="1:15" x14ac:dyDescent="0.25">
      <c r="A2665" s="11">
        <v>43726.73810185185</v>
      </c>
      <c r="B2665" t="s">
        <v>2407</v>
      </c>
      <c r="D2665" t="s">
        <v>2977</v>
      </c>
      <c r="E2665" t="s">
        <v>2978</v>
      </c>
      <c r="F2665">
        <v>3.64</v>
      </c>
      <c r="G2665">
        <v>3.94</v>
      </c>
      <c r="H2665">
        <v>3.15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0</v>
      </c>
    </row>
    <row r="2666" spans="1:15" x14ac:dyDescent="0.25">
      <c r="A2666" s="11">
        <v>43726.73810185185</v>
      </c>
      <c r="B2666" t="s">
        <v>2407</v>
      </c>
      <c r="D2666" t="s">
        <v>2979</v>
      </c>
      <c r="E2666" t="s">
        <v>2980</v>
      </c>
      <c r="F2666">
        <v>3.64</v>
      </c>
      <c r="G2666">
        <v>3.94</v>
      </c>
      <c r="H2666">
        <v>3.15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0</v>
      </c>
    </row>
    <row r="2667" spans="1:15" x14ac:dyDescent="0.25">
      <c r="A2667" s="11">
        <v>43726.73810185185</v>
      </c>
      <c r="B2667" t="s">
        <v>2407</v>
      </c>
      <c r="D2667" t="s">
        <v>2981</v>
      </c>
      <c r="E2667" t="s">
        <v>2982</v>
      </c>
      <c r="F2667">
        <v>3.64</v>
      </c>
      <c r="G2667">
        <v>3.94</v>
      </c>
      <c r="H2667">
        <v>3.15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0</v>
      </c>
    </row>
    <row r="2668" spans="1:15" x14ac:dyDescent="0.25">
      <c r="A2668" s="11">
        <v>43726.73810185185</v>
      </c>
      <c r="B2668" t="s">
        <v>2407</v>
      </c>
      <c r="D2668" t="s">
        <v>2983</v>
      </c>
      <c r="E2668" t="s">
        <v>2984</v>
      </c>
      <c r="F2668">
        <v>3.64</v>
      </c>
      <c r="G2668">
        <v>3.94</v>
      </c>
      <c r="H2668">
        <v>3.15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0</v>
      </c>
    </row>
    <row r="2669" spans="1:15" x14ac:dyDescent="0.25">
      <c r="A2669" s="11">
        <v>43726.73810185185</v>
      </c>
      <c r="B2669" t="s">
        <v>2407</v>
      </c>
      <c r="D2669" t="s">
        <v>2985</v>
      </c>
      <c r="E2669" t="s">
        <v>2986</v>
      </c>
      <c r="F2669">
        <v>3.64</v>
      </c>
      <c r="G2669">
        <v>3.94</v>
      </c>
      <c r="H2669">
        <v>3.15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0</v>
      </c>
    </row>
    <row r="2670" spans="1:15" x14ac:dyDescent="0.25">
      <c r="A2670" s="11">
        <v>43726.73810185185</v>
      </c>
      <c r="B2670" t="s">
        <v>2407</v>
      </c>
      <c r="D2670" t="s">
        <v>2987</v>
      </c>
      <c r="E2670" t="s">
        <v>2988</v>
      </c>
      <c r="F2670">
        <v>3.64</v>
      </c>
      <c r="G2670">
        <v>3.94</v>
      </c>
      <c r="H2670">
        <v>3.15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0</v>
      </c>
    </row>
    <row r="2671" spans="1:15" x14ac:dyDescent="0.25">
      <c r="A2671" s="11">
        <v>43726.73810185185</v>
      </c>
      <c r="B2671" t="s">
        <v>2407</v>
      </c>
      <c r="D2671" t="s">
        <v>2989</v>
      </c>
      <c r="E2671" t="s">
        <v>2990</v>
      </c>
      <c r="F2671">
        <v>3.64</v>
      </c>
      <c r="G2671">
        <v>3.94</v>
      </c>
      <c r="H2671">
        <v>3.15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0</v>
      </c>
    </row>
    <row r="2672" spans="1:15" x14ac:dyDescent="0.25">
      <c r="A2672" s="11">
        <v>43726.73814814815</v>
      </c>
      <c r="B2672" t="s">
        <v>2407</v>
      </c>
      <c r="C2672" t="s">
        <v>2991</v>
      </c>
      <c r="D2672" t="s">
        <v>2456</v>
      </c>
      <c r="E2672" t="s">
        <v>2378</v>
      </c>
      <c r="F2672">
        <v>3.64</v>
      </c>
      <c r="G2672">
        <v>3.94</v>
      </c>
      <c r="H2672">
        <v>3.15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0</v>
      </c>
    </row>
    <row r="2673" spans="1:15" x14ac:dyDescent="0.25">
      <c r="A2673" s="11">
        <v>43726.740960648145</v>
      </c>
      <c r="B2673" t="s">
        <v>2407</v>
      </c>
      <c r="C2673" t="s">
        <v>2994</v>
      </c>
      <c r="D2673" t="s">
        <v>2435</v>
      </c>
      <c r="E2673" t="s">
        <v>2378</v>
      </c>
      <c r="F2673">
        <v>3.64</v>
      </c>
      <c r="G2673">
        <v>3.94</v>
      </c>
      <c r="H2673">
        <v>3.15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0</v>
      </c>
    </row>
    <row r="2674" spans="1:15" x14ac:dyDescent="0.25">
      <c r="A2674" s="11">
        <v>43726.741493055553</v>
      </c>
      <c r="B2674" t="s">
        <v>2407</v>
      </c>
      <c r="C2674" t="s">
        <v>2994</v>
      </c>
      <c r="E2674" t="s">
        <v>2378</v>
      </c>
      <c r="F2674">
        <v>3.64</v>
      </c>
      <c r="G2674">
        <v>3.94</v>
      </c>
      <c r="H2674">
        <v>3.15</v>
      </c>
      <c r="I2674">
        <v>1</v>
      </c>
      <c r="J2674" t="b">
        <v>1</v>
      </c>
      <c r="K2674" t="b">
        <v>1</v>
      </c>
      <c r="L2674" t="b">
        <v>0</v>
      </c>
      <c r="M2674" t="b">
        <v>0</v>
      </c>
      <c r="N2674" t="b">
        <v>1</v>
      </c>
      <c r="O2674" t="b">
        <v>0</v>
      </c>
    </row>
    <row r="2675" spans="1:15" x14ac:dyDescent="0.25">
      <c r="A2675" s="11">
        <v>43728.557442129626</v>
      </c>
      <c r="B2675" t="s">
        <v>2407</v>
      </c>
      <c r="C2675" t="s">
        <v>2928</v>
      </c>
      <c r="D2675" t="s">
        <v>2404</v>
      </c>
      <c r="E2675" t="s">
        <v>2378</v>
      </c>
      <c r="F2675">
        <v>3.64</v>
      </c>
      <c r="G2675">
        <v>3.94</v>
      </c>
      <c r="H2675">
        <v>3.15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0</v>
      </c>
    </row>
    <row r="2676" spans="1:15" x14ac:dyDescent="0.25">
      <c r="A2676" s="11">
        <v>43728.557997685188</v>
      </c>
      <c r="B2676" t="s">
        <v>2407</v>
      </c>
      <c r="C2676" t="s">
        <v>2928</v>
      </c>
      <c r="E2676" t="s">
        <v>2378</v>
      </c>
      <c r="F2676">
        <v>3.64</v>
      </c>
      <c r="G2676">
        <v>3.94</v>
      </c>
      <c r="H2676">
        <v>3.15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0</v>
      </c>
    </row>
    <row r="2677" spans="1:15" x14ac:dyDescent="0.25">
      <c r="A2677" s="11">
        <v>43728.559467592589</v>
      </c>
      <c r="B2677" t="s">
        <v>2407</v>
      </c>
      <c r="C2677" t="s">
        <v>2928</v>
      </c>
      <c r="E2677" t="s">
        <v>2378</v>
      </c>
      <c r="F2677">
        <v>3.64</v>
      </c>
      <c r="G2677">
        <v>3.94</v>
      </c>
      <c r="H2677">
        <v>3.15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0</v>
      </c>
    </row>
    <row r="2678" spans="1:15" x14ac:dyDescent="0.25">
      <c r="A2678" s="11">
        <v>43728.561122685183</v>
      </c>
      <c r="B2678" t="s">
        <v>2407</v>
      </c>
      <c r="C2678" t="s">
        <v>2928</v>
      </c>
      <c r="E2678" t="s">
        <v>2378</v>
      </c>
      <c r="F2678">
        <v>3.64</v>
      </c>
      <c r="G2678">
        <v>3.94</v>
      </c>
      <c r="H2678">
        <v>3.15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0</v>
      </c>
    </row>
    <row r="2679" spans="1:15" x14ac:dyDescent="0.25">
      <c r="A2679" s="11">
        <v>43728.561284722222</v>
      </c>
      <c r="B2679" t="s">
        <v>2407</v>
      </c>
      <c r="C2679" t="s">
        <v>2928</v>
      </c>
      <c r="E2679" t="s">
        <v>2378</v>
      </c>
      <c r="F2679">
        <v>3.64</v>
      </c>
      <c r="G2679">
        <v>3.94</v>
      </c>
      <c r="H2679">
        <v>3.15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0</v>
      </c>
    </row>
    <row r="2680" spans="1:15" x14ac:dyDescent="0.25">
      <c r="A2680" s="11">
        <v>43728.569050925929</v>
      </c>
      <c r="B2680" t="s">
        <v>2407</v>
      </c>
      <c r="C2680" t="s">
        <v>2928</v>
      </c>
      <c r="E2680" t="s">
        <v>2378</v>
      </c>
      <c r="F2680">
        <v>3.64</v>
      </c>
      <c r="G2680">
        <v>3.94</v>
      </c>
      <c r="H2680">
        <v>3.15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0</v>
      </c>
    </row>
    <row r="2681" spans="1:15" x14ac:dyDescent="0.25">
      <c r="A2681" s="11">
        <v>43728.570891203701</v>
      </c>
      <c r="B2681" t="s">
        <v>2407</v>
      </c>
      <c r="C2681" t="s">
        <v>2928</v>
      </c>
      <c r="E2681" t="s">
        <v>2378</v>
      </c>
      <c r="F2681">
        <v>3.64</v>
      </c>
      <c r="G2681">
        <v>3.94</v>
      </c>
      <c r="H2681">
        <v>3.15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0</v>
      </c>
    </row>
    <row r="2682" spans="1:15" x14ac:dyDescent="0.25">
      <c r="A2682" s="11">
        <v>43728.57135416667</v>
      </c>
      <c r="B2682" t="s">
        <v>2407</v>
      </c>
      <c r="C2682" t="s">
        <v>2928</v>
      </c>
      <c r="E2682" t="s">
        <v>2378</v>
      </c>
      <c r="F2682">
        <v>3.64</v>
      </c>
      <c r="G2682">
        <v>3.94</v>
      </c>
      <c r="H2682">
        <v>3.15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0</v>
      </c>
    </row>
    <row r="2683" spans="1:15" x14ac:dyDescent="0.25">
      <c r="A2683" s="11">
        <v>43728.571388888886</v>
      </c>
      <c r="B2683" t="s">
        <v>2407</v>
      </c>
      <c r="C2683" t="s">
        <v>2928</v>
      </c>
      <c r="E2683" t="s">
        <v>2378</v>
      </c>
      <c r="F2683">
        <v>3.64</v>
      </c>
      <c r="G2683">
        <v>3.94</v>
      </c>
      <c r="H2683">
        <v>3.15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0</v>
      </c>
    </row>
    <row r="2684" spans="1:15" x14ac:dyDescent="0.25">
      <c r="A2684" s="11">
        <v>43728.746111111112</v>
      </c>
      <c r="B2684" t="s">
        <v>2407</v>
      </c>
      <c r="C2684" t="s">
        <v>2779</v>
      </c>
      <c r="E2684" t="s">
        <v>2379</v>
      </c>
      <c r="F2684">
        <v>3.64</v>
      </c>
      <c r="G2684">
        <v>3.94</v>
      </c>
      <c r="H2684">
        <v>3.15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0</v>
      </c>
    </row>
    <row r="2685" spans="1:15" x14ac:dyDescent="0.25">
      <c r="A2685" s="11">
        <v>43728.746296296296</v>
      </c>
      <c r="B2685" t="s">
        <v>2407</v>
      </c>
      <c r="C2685" t="s">
        <v>2779</v>
      </c>
      <c r="E2685" t="s">
        <v>2379</v>
      </c>
      <c r="F2685">
        <v>3.64</v>
      </c>
      <c r="G2685">
        <v>3.94</v>
      </c>
      <c r="H2685">
        <v>3.15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0</v>
      </c>
    </row>
    <row r="2686" spans="1:15" x14ac:dyDescent="0.25">
      <c r="A2686" s="11">
        <v>43728.746342592596</v>
      </c>
      <c r="B2686" t="s">
        <v>2407</v>
      </c>
      <c r="C2686" t="s">
        <v>2383</v>
      </c>
      <c r="D2686" t="s">
        <v>2382</v>
      </c>
      <c r="E2686" t="s">
        <v>2379</v>
      </c>
      <c r="F2686">
        <v>3.64</v>
      </c>
      <c r="G2686">
        <v>3.94</v>
      </c>
      <c r="H2686">
        <v>3.15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0</v>
      </c>
    </row>
    <row r="2687" spans="1:15" x14ac:dyDescent="0.25">
      <c r="A2687" s="11">
        <v>43728.746550925927</v>
      </c>
      <c r="B2687" t="s">
        <v>2407</v>
      </c>
      <c r="C2687" t="s">
        <v>2779</v>
      </c>
      <c r="E2687" t="s">
        <v>2379</v>
      </c>
      <c r="F2687">
        <v>3.64</v>
      </c>
      <c r="G2687">
        <v>3.94</v>
      </c>
      <c r="H2687">
        <v>3.15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0</v>
      </c>
    </row>
    <row r="2688" spans="1:15" x14ac:dyDescent="0.25">
      <c r="A2688" s="11">
        <v>43728.763749999998</v>
      </c>
      <c r="B2688" t="s">
        <v>2407</v>
      </c>
      <c r="C2688" t="s">
        <v>2779</v>
      </c>
      <c r="E2688" t="s">
        <v>2379</v>
      </c>
      <c r="F2688">
        <v>3.64</v>
      </c>
      <c r="G2688">
        <v>3.94</v>
      </c>
      <c r="H2688">
        <v>3.15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0</v>
      </c>
    </row>
    <row r="2689" spans="1:15" x14ac:dyDescent="0.25">
      <c r="A2689" s="11">
        <v>43728.784143518518</v>
      </c>
      <c r="B2689" t="s">
        <v>2407</v>
      </c>
      <c r="C2689" t="s">
        <v>2779</v>
      </c>
      <c r="E2689" t="s">
        <v>2379</v>
      </c>
      <c r="F2689">
        <v>3.64</v>
      </c>
      <c r="G2689">
        <v>3.94</v>
      </c>
      <c r="H2689">
        <v>3.15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0</v>
      </c>
    </row>
    <row r="2690" spans="1:15" x14ac:dyDescent="0.25">
      <c r="A2690" s="11">
        <v>43728.784270833334</v>
      </c>
      <c r="B2690" t="s">
        <v>2407</v>
      </c>
      <c r="C2690" t="s">
        <v>2383</v>
      </c>
      <c r="D2690" t="s">
        <v>2384</v>
      </c>
      <c r="E2690" s="12" t="s">
        <v>2385</v>
      </c>
      <c r="F2690">
        <v>3.64</v>
      </c>
      <c r="G2690">
        <v>3.94</v>
      </c>
      <c r="H2690">
        <v>3.15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0</v>
      </c>
    </row>
    <row r="2691" spans="1:15" x14ac:dyDescent="0.25">
      <c r="A2691" s="11">
        <v>43728.784270833334</v>
      </c>
      <c r="B2691" t="s">
        <v>2407</v>
      </c>
      <c r="C2691" t="s">
        <v>2383</v>
      </c>
      <c r="D2691" t="s">
        <v>2386</v>
      </c>
      <c r="E2691" t="s">
        <v>3001</v>
      </c>
      <c r="F2691">
        <v>3.64</v>
      </c>
      <c r="G2691">
        <v>3.94</v>
      </c>
      <c r="H2691">
        <v>3.15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0</v>
      </c>
    </row>
    <row r="2692" spans="1:15" x14ac:dyDescent="0.25">
      <c r="A2692" s="11">
        <v>43728.784270833334</v>
      </c>
      <c r="B2692" t="s">
        <v>2407</v>
      </c>
      <c r="C2692" t="s">
        <v>2383</v>
      </c>
      <c r="D2692" t="s">
        <v>2387</v>
      </c>
      <c r="E2692" t="s">
        <v>3002</v>
      </c>
      <c r="F2692">
        <v>3.64</v>
      </c>
      <c r="G2692">
        <v>3.94</v>
      </c>
      <c r="H2692">
        <v>3.15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0</v>
      </c>
    </row>
    <row r="2693" spans="1:15" x14ac:dyDescent="0.25">
      <c r="A2693" s="11">
        <v>43728.784270833334</v>
      </c>
      <c r="B2693" t="s">
        <v>2407</v>
      </c>
      <c r="C2693" t="s">
        <v>2383</v>
      </c>
      <c r="D2693" t="s">
        <v>2381</v>
      </c>
      <c r="E2693" t="s">
        <v>3003</v>
      </c>
      <c r="F2693">
        <v>3.64</v>
      </c>
      <c r="G2693">
        <v>3.94</v>
      </c>
      <c r="H2693">
        <v>3.15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0</v>
      </c>
    </row>
    <row r="2694" spans="1:15" x14ac:dyDescent="0.25">
      <c r="A2694" s="11">
        <v>43728.784270833334</v>
      </c>
      <c r="B2694" t="s">
        <v>2407</v>
      </c>
      <c r="C2694" t="s">
        <v>2383</v>
      </c>
      <c r="D2694" t="s">
        <v>2388</v>
      </c>
      <c r="E2694" t="s">
        <v>3004</v>
      </c>
      <c r="F2694">
        <v>3.64</v>
      </c>
      <c r="G2694">
        <v>3.94</v>
      </c>
      <c r="H2694">
        <v>3.15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0</v>
      </c>
    </row>
    <row r="2695" spans="1:15" x14ac:dyDescent="0.25">
      <c r="A2695" s="11">
        <v>43728.784270833334</v>
      </c>
      <c r="B2695" t="s">
        <v>2407</v>
      </c>
      <c r="C2695" t="s">
        <v>2383</v>
      </c>
      <c r="D2695" t="s">
        <v>2389</v>
      </c>
      <c r="E2695" s="12" t="s">
        <v>2385</v>
      </c>
      <c r="F2695">
        <v>3.64</v>
      </c>
      <c r="G2695">
        <v>3.94</v>
      </c>
      <c r="H2695">
        <v>3.15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0</v>
      </c>
    </row>
    <row r="2696" spans="1:15" x14ac:dyDescent="0.25">
      <c r="A2696" s="11">
        <v>43728.784282407411</v>
      </c>
      <c r="B2696" t="s">
        <v>2407</v>
      </c>
      <c r="C2696" t="s">
        <v>2779</v>
      </c>
      <c r="E2696" t="s">
        <v>2378</v>
      </c>
      <c r="F2696">
        <v>3.64</v>
      </c>
      <c r="G2696">
        <v>3.94</v>
      </c>
      <c r="H2696">
        <v>3.15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0</v>
      </c>
    </row>
    <row r="2697" spans="1:15" x14ac:dyDescent="0.25">
      <c r="A2697" s="11">
        <v>43731.447974537034</v>
      </c>
      <c r="B2697" t="s">
        <v>2407</v>
      </c>
      <c r="C2697" t="s">
        <v>3092</v>
      </c>
      <c r="D2697" t="s">
        <v>2429</v>
      </c>
      <c r="E2697">
        <v>0</v>
      </c>
      <c r="F2697">
        <v>3.64</v>
      </c>
      <c r="G2697">
        <v>3.94</v>
      </c>
      <c r="H2697">
        <v>3.15</v>
      </c>
      <c r="I2697">
        <v>0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0</v>
      </c>
    </row>
    <row r="2698" spans="1:15" x14ac:dyDescent="0.25">
      <c r="A2698" s="11">
        <v>43731.448182870372</v>
      </c>
      <c r="B2698" t="s">
        <v>2407</v>
      </c>
      <c r="C2698" t="s">
        <v>2919</v>
      </c>
      <c r="D2698" t="s">
        <v>2429</v>
      </c>
      <c r="E2698">
        <v>1</v>
      </c>
      <c r="F2698">
        <v>3.64</v>
      </c>
      <c r="G2698">
        <v>3.94</v>
      </c>
      <c r="H2698">
        <v>3.15</v>
      </c>
      <c r="I2698">
        <v>0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0</v>
      </c>
    </row>
    <row r="2699" spans="1:15" x14ac:dyDescent="0.25">
      <c r="A2699" s="11">
        <v>43731.448263888888</v>
      </c>
      <c r="B2699" t="s">
        <v>2407</v>
      </c>
      <c r="C2699" t="s">
        <v>3092</v>
      </c>
      <c r="D2699" t="s">
        <v>2429</v>
      </c>
      <c r="E2699">
        <v>0</v>
      </c>
      <c r="F2699">
        <v>3.64</v>
      </c>
      <c r="G2699">
        <v>3.94</v>
      </c>
      <c r="H2699">
        <v>3.15</v>
      </c>
      <c r="I2699">
        <v>0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0</v>
      </c>
    </row>
    <row r="2700" spans="1:15" x14ac:dyDescent="0.25">
      <c r="A2700" s="11">
        <v>43731.44840277778</v>
      </c>
      <c r="B2700" t="s">
        <v>2407</v>
      </c>
      <c r="C2700" t="s">
        <v>3092</v>
      </c>
      <c r="D2700" t="s">
        <v>2429</v>
      </c>
      <c r="E2700">
        <v>0</v>
      </c>
      <c r="F2700">
        <v>3.64</v>
      </c>
      <c r="G2700">
        <v>3.94</v>
      </c>
      <c r="H2700">
        <v>3.15</v>
      </c>
      <c r="I2700">
        <v>0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0</v>
      </c>
    </row>
    <row r="2701" spans="1:15" x14ac:dyDescent="0.25">
      <c r="A2701" s="11">
        <v>43731.448553240742</v>
      </c>
      <c r="B2701" t="s">
        <v>2407</v>
      </c>
      <c r="C2701" t="s">
        <v>3104</v>
      </c>
      <c r="D2701" t="s">
        <v>2454</v>
      </c>
      <c r="E2701" t="s">
        <v>2378</v>
      </c>
      <c r="F2701">
        <v>3.64</v>
      </c>
      <c r="G2701">
        <v>3.94</v>
      </c>
      <c r="H2701">
        <v>3.15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0</v>
      </c>
    </row>
    <row r="2702" spans="1:15" x14ac:dyDescent="0.25">
      <c r="A2702" s="11">
        <v>43731.449131944442</v>
      </c>
      <c r="B2702" t="s">
        <v>2407</v>
      </c>
      <c r="C2702" t="s">
        <v>3092</v>
      </c>
      <c r="D2702" t="s">
        <v>2429</v>
      </c>
      <c r="E2702">
        <v>0</v>
      </c>
      <c r="F2702">
        <v>3.64</v>
      </c>
      <c r="G2702">
        <v>3.94</v>
      </c>
      <c r="H2702">
        <v>3.15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0</v>
      </c>
    </row>
    <row r="2703" spans="1:15" x14ac:dyDescent="0.25">
      <c r="A2703" s="11">
        <v>43731.450138888889</v>
      </c>
      <c r="B2703" t="s">
        <v>2407</v>
      </c>
      <c r="C2703" t="s">
        <v>3104</v>
      </c>
      <c r="E2703" t="s">
        <v>2378</v>
      </c>
      <c r="F2703">
        <v>3.64</v>
      </c>
      <c r="G2703">
        <v>3.94</v>
      </c>
      <c r="H2703">
        <v>3.15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0</v>
      </c>
    </row>
    <row r="2704" spans="1:15" x14ac:dyDescent="0.25">
      <c r="A2704" s="11">
        <v>43731.450162037036</v>
      </c>
      <c r="B2704" t="s">
        <v>2407</v>
      </c>
      <c r="C2704" t="s">
        <v>3092</v>
      </c>
      <c r="D2704" t="s">
        <v>2429</v>
      </c>
      <c r="E2704">
        <v>0</v>
      </c>
      <c r="F2704">
        <v>3.64</v>
      </c>
      <c r="G2704">
        <v>3.94</v>
      </c>
      <c r="H2704">
        <v>3.15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0</v>
      </c>
    </row>
    <row r="2705" spans="1:15" x14ac:dyDescent="0.25">
      <c r="A2705" s="11">
        <v>43731.454699074071</v>
      </c>
      <c r="B2705" t="s">
        <v>2407</v>
      </c>
      <c r="C2705" t="s">
        <v>3104</v>
      </c>
      <c r="E2705" t="s">
        <v>2378</v>
      </c>
      <c r="F2705">
        <v>3.64</v>
      </c>
      <c r="G2705">
        <v>3.94</v>
      </c>
      <c r="H2705">
        <v>3.15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0</v>
      </c>
    </row>
    <row r="2706" spans="1:15" x14ac:dyDescent="0.25">
      <c r="A2706" s="11">
        <v>43731.454733796294</v>
      </c>
      <c r="B2706" t="s">
        <v>2407</v>
      </c>
      <c r="C2706" t="s">
        <v>3092</v>
      </c>
      <c r="D2706" t="s">
        <v>2429</v>
      </c>
      <c r="E2706">
        <v>0</v>
      </c>
      <c r="F2706">
        <v>3.64</v>
      </c>
      <c r="G2706">
        <v>3.94</v>
      </c>
      <c r="H2706">
        <v>3.15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0</v>
      </c>
    </row>
    <row r="2707" spans="1:15" x14ac:dyDescent="0.25">
      <c r="A2707" s="11">
        <v>43731.454756944448</v>
      </c>
      <c r="B2707" t="s">
        <v>2407</v>
      </c>
      <c r="C2707" t="s">
        <v>3104</v>
      </c>
      <c r="E2707" t="s">
        <v>2378</v>
      </c>
      <c r="F2707">
        <v>3.64</v>
      </c>
      <c r="G2707">
        <v>3.94</v>
      </c>
      <c r="H2707">
        <v>3.15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0</v>
      </c>
    </row>
    <row r="2708" spans="1:15" x14ac:dyDescent="0.25">
      <c r="A2708" s="11">
        <v>43731.456226851849</v>
      </c>
      <c r="B2708" t="s">
        <v>2407</v>
      </c>
      <c r="C2708" t="s">
        <v>3092</v>
      </c>
      <c r="D2708" t="s">
        <v>2429</v>
      </c>
      <c r="E2708">
        <v>0</v>
      </c>
      <c r="F2708">
        <v>3.64</v>
      </c>
      <c r="G2708">
        <v>3.94</v>
      </c>
      <c r="H2708">
        <v>3.15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0</v>
      </c>
    </row>
    <row r="2709" spans="1:15" x14ac:dyDescent="0.25">
      <c r="A2709" s="11">
        <v>43731.460868055554</v>
      </c>
      <c r="B2709" t="s">
        <v>2407</v>
      </c>
      <c r="C2709" t="s">
        <v>3104</v>
      </c>
      <c r="E2709" t="s">
        <v>2378</v>
      </c>
      <c r="F2709">
        <v>3.64</v>
      </c>
      <c r="G2709">
        <v>3.94</v>
      </c>
      <c r="H2709">
        <v>3.15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0</v>
      </c>
    </row>
    <row r="2710" spans="1:15" x14ac:dyDescent="0.25">
      <c r="A2710" s="11">
        <v>43731.460902777777</v>
      </c>
      <c r="B2710" t="s">
        <v>2407</v>
      </c>
      <c r="C2710" t="s">
        <v>3092</v>
      </c>
      <c r="D2710" t="s">
        <v>2429</v>
      </c>
      <c r="E2710">
        <v>0</v>
      </c>
      <c r="F2710">
        <v>3.64</v>
      </c>
      <c r="G2710">
        <v>3.94</v>
      </c>
      <c r="H2710">
        <v>3.15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0</v>
      </c>
    </row>
    <row r="2711" spans="1:15" x14ac:dyDescent="0.25">
      <c r="A2711" s="11">
        <v>43731.462291666663</v>
      </c>
      <c r="B2711" t="s">
        <v>2407</v>
      </c>
      <c r="C2711" t="s">
        <v>3104</v>
      </c>
      <c r="E2711" t="s">
        <v>2378</v>
      </c>
      <c r="F2711">
        <v>3.64</v>
      </c>
      <c r="G2711">
        <v>3.94</v>
      </c>
      <c r="H2711">
        <v>3.15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0</v>
      </c>
    </row>
    <row r="2712" spans="1:15" x14ac:dyDescent="0.25">
      <c r="A2712" s="11">
        <v>43731.463252314818</v>
      </c>
      <c r="B2712" t="s">
        <v>2407</v>
      </c>
      <c r="C2712" t="s">
        <v>3092</v>
      </c>
      <c r="D2712" t="s">
        <v>2429</v>
      </c>
      <c r="E2712">
        <v>0</v>
      </c>
      <c r="F2712">
        <v>3.64</v>
      </c>
      <c r="G2712">
        <v>3.94</v>
      </c>
      <c r="H2712">
        <v>3.15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0</v>
      </c>
    </row>
    <row r="2713" spans="1:15" x14ac:dyDescent="0.25">
      <c r="A2713" s="11">
        <v>43731.463368055556</v>
      </c>
      <c r="B2713" t="s">
        <v>2407</v>
      </c>
      <c r="C2713" t="s">
        <v>3104</v>
      </c>
      <c r="E2713" t="s">
        <v>2378</v>
      </c>
      <c r="F2713">
        <v>3.64</v>
      </c>
      <c r="G2713">
        <v>3.94</v>
      </c>
      <c r="H2713">
        <v>3.15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0</v>
      </c>
    </row>
    <row r="2714" spans="1:15" x14ac:dyDescent="0.25">
      <c r="A2714" s="11">
        <v>43731.463391203702</v>
      </c>
      <c r="B2714" t="s">
        <v>2407</v>
      </c>
      <c r="C2714" t="s">
        <v>3092</v>
      </c>
      <c r="D2714" t="s">
        <v>2429</v>
      </c>
      <c r="E2714">
        <v>0</v>
      </c>
      <c r="F2714">
        <v>3.64</v>
      </c>
      <c r="G2714">
        <v>3.94</v>
      </c>
      <c r="H2714">
        <v>3.15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0</v>
      </c>
    </row>
    <row r="2715" spans="1:15" x14ac:dyDescent="0.25">
      <c r="A2715" s="11">
        <v>43731.466180555559</v>
      </c>
      <c r="B2715" t="s">
        <v>2407</v>
      </c>
      <c r="C2715" t="s">
        <v>3092</v>
      </c>
      <c r="D2715" t="s">
        <v>2429</v>
      </c>
      <c r="E2715">
        <v>0</v>
      </c>
      <c r="F2715">
        <v>3.64</v>
      </c>
      <c r="G2715">
        <v>3.94</v>
      </c>
      <c r="H2715">
        <v>3.15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0</v>
      </c>
    </row>
    <row r="2716" spans="1:15" x14ac:dyDescent="0.25">
      <c r="A2716" s="11">
        <v>43731.46671296296</v>
      </c>
      <c r="B2716" t="s">
        <v>2407</v>
      </c>
      <c r="C2716" t="s">
        <v>3104</v>
      </c>
      <c r="E2716" t="s">
        <v>2378</v>
      </c>
      <c r="F2716">
        <v>3.64</v>
      </c>
      <c r="G2716">
        <v>3.94</v>
      </c>
      <c r="H2716">
        <v>3.15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0</v>
      </c>
    </row>
    <row r="2717" spans="1:15" x14ac:dyDescent="0.25">
      <c r="A2717" s="11">
        <v>43731.466886574075</v>
      </c>
      <c r="B2717" t="s">
        <v>2407</v>
      </c>
      <c r="C2717" t="s">
        <v>3092</v>
      </c>
      <c r="D2717" t="s">
        <v>2429</v>
      </c>
      <c r="E2717">
        <v>0</v>
      </c>
      <c r="F2717">
        <v>3.64</v>
      </c>
      <c r="G2717">
        <v>3.94</v>
      </c>
      <c r="H2717">
        <v>3.15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0</v>
      </c>
    </row>
    <row r="2718" spans="1:15" x14ac:dyDescent="0.25">
      <c r="A2718" s="11">
        <v>43731.505173611113</v>
      </c>
      <c r="B2718" t="s">
        <v>2407</v>
      </c>
      <c r="C2718" t="s">
        <v>3092</v>
      </c>
      <c r="D2718" t="s">
        <v>2429</v>
      </c>
      <c r="E2718">
        <v>0</v>
      </c>
      <c r="F2718">
        <v>3.65</v>
      </c>
      <c r="G2718">
        <v>3.94</v>
      </c>
      <c r="H2718">
        <v>3.15</v>
      </c>
      <c r="I2718">
        <v>0</v>
      </c>
      <c r="J2718" t="b">
        <v>0</v>
      </c>
      <c r="K2718" t="b">
        <v>0</v>
      </c>
      <c r="L2718" t="b">
        <v>0</v>
      </c>
      <c r="M2718" t="b">
        <v>0</v>
      </c>
      <c r="N2718" t="b">
        <v>1</v>
      </c>
      <c r="O2718" t="b">
        <v>0</v>
      </c>
    </row>
    <row r="2719" spans="1:15" x14ac:dyDescent="0.25">
      <c r="A2719" s="11">
        <v>43731.506469907406</v>
      </c>
      <c r="B2719" t="s">
        <v>2407</v>
      </c>
      <c r="C2719" t="s">
        <v>3092</v>
      </c>
      <c r="D2719" t="s">
        <v>2429</v>
      </c>
      <c r="E2719">
        <v>0</v>
      </c>
      <c r="F2719">
        <v>3.65</v>
      </c>
      <c r="G2719">
        <v>3.94</v>
      </c>
      <c r="H2719">
        <v>3.15</v>
      </c>
      <c r="I2719">
        <v>1</v>
      </c>
      <c r="J2719" t="b">
        <v>0</v>
      </c>
      <c r="K2719" t="b">
        <v>0</v>
      </c>
      <c r="L2719" t="b">
        <v>0</v>
      </c>
      <c r="M2719" t="b">
        <v>0</v>
      </c>
      <c r="N2719" t="b">
        <v>1</v>
      </c>
      <c r="O2719" t="b">
        <v>0</v>
      </c>
    </row>
    <row r="2720" spans="1:15" x14ac:dyDescent="0.25">
      <c r="A2720" s="11">
        <v>43731.506493055553</v>
      </c>
      <c r="B2720" t="s">
        <v>2407</v>
      </c>
      <c r="C2720" t="s">
        <v>3104</v>
      </c>
      <c r="E2720" t="s">
        <v>2378</v>
      </c>
      <c r="F2720">
        <v>3.65</v>
      </c>
      <c r="G2720">
        <v>3.94</v>
      </c>
      <c r="H2720">
        <v>3.15</v>
      </c>
      <c r="I2720">
        <v>1</v>
      </c>
      <c r="J2720" t="b">
        <v>0</v>
      </c>
      <c r="K2720" t="b">
        <v>0</v>
      </c>
      <c r="L2720" t="b">
        <v>0</v>
      </c>
      <c r="M2720" t="b">
        <v>0</v>
      </c>
      <c r="N2720" t="b">
        <v>1</v>
      </c>
      <c r="O2720" t="b">
        <v>0</v>
      </c>
    </row>
    <row r="2721" spans="1:15" x14ac:dyDescent="0.25">
      <c r="A2721" s="11">
        <v>43731.506655092591</v>
      </c>
      <c r="B2721" t="s">
        <v>2407</v>
      </c>
      <c r="C2721" t="s">
        <v>3092</v>
      </c>
      <c r="D2721" t="s">
        <v>2429</v>
      </c>
      <c r="E2721">
        <v>0</v>
      </c>
      <c r="F2721">
        <v>3.65</v>
      </c>
      <c r="G2721">
        <v>3.94</v>
      </c>
      <c r="H2721">
        <v>3.15</v>
      </c>
      <c r="I2721">
        <v>1</v>
      </c>
      <c r="J2721" t="b">
        <v>0</v>
      </c>
      <c r="K2721" t="b">
        <v>0</v>
      </c>
      <c r="L2721" t="b">
        <v>0</v>
      </c>
      <c r="M2721" t="b">
        <v>0</v>
      </c>
      <c r="N2721" t="b">
        <v>1</v>
      </c>
      <c r="O2721" t="b">
        <v>0</v>
      </c>
    </row>
    <row r="2722" spans="1:15" x14ac:dyDescent="0.25">
      <c r="A2722" s="11">
        <v>43731.506747685184</v>
      </c>
      <c r="B2722" t="s">
        <v>2407</v>
      </c>
      <c r="C2722" t="s">
        <v>3104</v>
      </c>
      <c r="E2722" t="s">
        <v>2378</v>
      </c>
      <c r="F2722">
        <v>3.65</v>
      </c>
      <c r="G2722">
        <v>3.94</v>
      </c>
      <c r="H2722">
        <v>3.15</v>
      </c>
      <c r="I2722">
        <v>1</v>
      </c>
      <c r="J2722" t="b">
        <v>0</v>
      </c>
      <c r="K2722" t="b">
        <v>0</v>
      </c>
      <c r="L2722" t="b">
        <v>0</v>
      </c>
      <c r="M2722" t="b">
        <v>0</v>
      </c>
      <c r="N2722" t="b">
        <v>1</v>
      </c>
      <c r="O2722" t="b">
        <v>0</v>
      </c>
    </row>
    <row r="2723" spans="1:15" x14ac:dyDescent="0.25">
      <c r="A2723" s="11">
        <v>43731.506909722222</v>
      </c>
      <c r="B2723" t="s">
        <v>2407</v>
      </c>
      <c r="C2723" t="s">
        <v>3092</v>
      </c>
      <c r="D2723" t="s">
        <v>2429</v>
      </c>
      <c r="E2723">
        <v>0</v>
      </c>
      <c r="F2723">
        <v>3.65</v>
      </c>
      <c r="G2723">
        <v>3.94</v>
      </c>
      <c r="H2723">
        <v>3.15</v>
      </c>
      <c r="I2723">
        <v>1</v>
      </c>
      <c r="J2723" t="b">
        <v>0</v>
      </c>
      <c r="K2723" t="b">
        <v>0</v>
      </c>
      <c r="L2723" t="b">
        <v>0</v>
      </c>
      <c r="M2723" t="b">
        <v>0</v>
      </c>
      <c r="N2723" t="b">
        <v>1</v>
      </c>
      <c r="O2723" t="b">
        <v>0</v>
      </c>
    </row>
    <row r="2724" spans="1:15" x14ac:dyDescent="0.25">
      <c r="A2724" s="11">
        <v>43731.508935185186</v>
      </c>
      <c r="B2724" t="s">
        <v>2407</v>
      </c>
      <c r="C2724" t="s">
        <v>3104</v>
      </c>
      <c r="E2724" t="s">
        <v>2378</v>
      </c>
      <c r="F2724">
        <v>3.65</v>
      </c>
      <c r="G2724">
        <v>3.94</v>
      </c>
      <c r="H2724">
        <v>3.15</v>
      </c>
      <c r="I2724">
        <v>1</v>
      </c>
      <c r="J2724" t="b">
        <v>0</v>
      </c>
      <c r="K2724" t="b">
        <v>0</v>
      </c>
      <c r="L2724" t="b">
        <v>0</v>
      </c>
      <c r="M2724" t="b">
        <v>0</v>
      </c>
      <c r="N2724" t="b">
        <v>1</v>
      </c>
      <c r="O2724" t="b">
        <v>0</v>
      </c>
    </row>
    <row r="2725" spans="1:15" x14ac:dyDescent="0.25">
      <c r="A2725" s="11">
        <v>43731.509363425925</v>
      </c>
      <c r="B2725" t="s">
        <v>2407</v>
      </c>
      <c r="C2725" t="s">
        <v>3092</v>
      </c>
      <c r="D2725" t="s">
        <v>2429</v>
      </c>
      <c r="E2725">
        <v>0</v>
      </c>
      <c r="F2725">
        <v>3.65</v>
      </c>
      <c r="G2725">
        <v>3.94</v>
      </c>
      <c r="H2725">
        <v>3.15</v>
      </c>
      <c r="I2725">
        <v>1</v>
      </c>
      <c r="J2725" t="b">
        <v>0</v>
      </c>
      <c r="K2725" t="b">
        <v>0</v>
      </c>
      <c r="L2725" t="b">
        <v>0</v>
      </c>
      <c r="M2725" t="b">
        <v>0</v>
      </c>
      <c r="N2725" t="b">
        <v>1</v>
      </c>
      <c r="O2725" t="b">
        <v>0</v>
      </c>
    </row>
    <row r="2726" spans="1:15" x14ac:dyDescent="0.25">
      <c r="A2726" s="11">
        <v>43731.509525462963</v>
      </c>
      <c r="B2726" t="s">
        <v>2407</v>
      </c>
      <c r="C2726" t="s">
        <v>3104</v>
      </c>
      <c r="E2726" t="s">
        <v>2378</v>
      </c>
      <c r="F2726">
        <v>3.65</v>
      </c>
      <c r="G2726">
        <v>3.94</v>
      </c>
      <c r="H2726">
        <v>3.15</v>
      </c>
      <c r="I2726">
        <v>1</v>
      </c>
      <c r="J2726" t="b">
        <v>0</v>
      </c>
      <c r="K2726" t="b">
        <v>0</v>
      </c>
      <c r="L2726" t="b">
        <v>0</v>
      </c>
      <c r="M2726" t="b">
        <v>0</v>
      </c>
      <c r="N2726" t="b">
        <v>1</v>
      </c>
      <c r="O2726" t="b">
        <v>0</v>
      </c>
    </row>
    <row r="2727" spans="1:15" x14ac:dyDescent="0.25">
      <c r="A2727" s="11">
        <v>43731.512546296297</v>
      </c>
      <c r="B2727" t="s">
        <v>2407</v>
      </c>
      <c r="C2727" t="s">
        <v>3092</v>
      </c>
      <c r="D2727" t="s">
        <v>2429</v>
      </c>
      <c r="E2727">
        <v>0</v>
      </c>
      <c r="F2727">
        <v>3.65</v>
      </c>
      <c r="G2727">
        <v>3.94</v>
      </c>
      <c r="H2727">
        <v>3.15</v>
      </c>
      <c r="I2727">
        <v>1</v>
      </c>
      <c r="J2727" t="b">
        <v>0</v>
      </c>
      <c r="K2727" t="b">
        <v>0</v>
      </c>
      <c r="L2727" t="b">
        <v>0</v>
      </c>
      <c r="M2727" t="b">
        <v>0</v>
      </c>
      <c r="N2727" t="b">
        <v>1</v>
      </c>
      <c r="O2727" t="b">
        <v>0</v>
      </c>
    </row>
    <row r="2728" spans="1:15" x14ac:dyDescent="0.25">
      <c r="A2728" s="11">
        <v>43731.512557870374</v>
      </c>
      <c r="B2728" t="s">
        <v>2407</v>
      </c>
      <c r="C2728" t="s">
        <v>3104</v>
      </c>
      <c r="E2728" t="s">
        <v>2378</v>
      </c>
      <c r="F2728">
        <v>3.65</v>
      </c>
      <c r="G2728">
        <v>3.94</v>
      </c>
      <c r="H2728">
        <v>3.15</v>
      </c>
      <c r="I2728">
        <v>1</v>
      </c>
      <c r="J2728" t="b">
        <v>0</v>
      </c>
      <c r="K2728" t="b">
        <v>0</v>
      </c>
      <c r="L2728" t="b">
        <v>0</v>
      </c>
      <c r="M2728" t="b">
        <v>0</v>
      </c>
      <c r="N2728" t="b">
        <v>1</v>
      </c>
      <c r="O2728" t="b">
        <v>0</v>
      </c>
    </row>
    <row r="2729" spans="1:15" x14ac:dyDescent="0.25">
      <c r="A2729" s="11">
        <v>43731.512881944444</v>
      </c>
      <c r="B2729" t="s">
        <v>2407</v>
      </c>
      <c r="C2729" t="s">
        <v>3092</v>
      </c>
      <c r="D2729" t="s">
        <v>2429</v>
      </c>
      <c r="E2729">
        <v>0</v>
      </c>
      <c r="F2729">
        <v>3.65</v>
      </c>
      <c r="G2729">
        <v>3.94</v>
      </c>
      <c r="H2729">
        <v>3.15</v>
      </c>
      <c r="I2729">
        <v>1</v>
      </c>
      <c r="J2729" t="b">
        <v>0</v>
      </c>
      <c r="K2729" t="b">
        <v>0</v>
      </c>
      <c r="L2729" t="b">
        <v>0</v>
      </c>
      <c r="M2729" t="b">
        <v>0</v>
      </c>
      <c r="N2729" t="b">
        <v>1</v>
      </c>
      <c r="O2729" t="b">
        <v>0</v>
      </c>
    </row>
    <row r="2730" spans="1:15" x14ac:dyDescent="0.25">
      <c r="A2730" s="11">
        <v>43731.51290509259</v>
      </c>
      <c r="B2730" t="s">
        <v>2407</v>
      </c>
      <c r="C2730" t="s">
        <v>3104</v>
      </c>
      <c r="E2730" t="s">
        <v>2378</v>
      </c>
      <c r="F2730">
        <v>3.65</v>
      </c>
      <c r="G2730">
        <v>3.94</v>
      </c>
      <c r="H2730">
        <v>3.15</v>
      </c>
      <c r="I2730">
        <v>1</v>
      </c>
      <c r="J2730" t="b">
        <v>0</v>
      </c>
      <c r="K2730" t="b">
        <v>0</v>
      </c>
      <c r="L2730" t="b">
        <v>0</v>
      </c>
      <c r="M2730" t="b">
        <v>0</v>
      </c>
      <c r="N2730" t="b">
        <v>1</v>
      </c>
      <c r="O2730" t="b">
        <v>0</v>
      </c>
    </row>
    <row r="2731" spans="1:15" x14ac:dyDescent="0.25">
      <c r="A2731" s="11">
        <v>43731.513171296298</v>
      </c>
      <c r="B2731" t="s">
        <v>2407</v>
      </c>
      <c r="C2731" t="s">
        <v>3092</v>
      </c>
      <c r="D2731" t="s">
        <v>2429</v>
      </c>
      <c r="E2731">
        <v>0</v>
      </c>
      <c r="F2731">
        <v>3.65</v>
      </c>
      <c r="G2731">
        <v>3.94</v>
      </c>
      <c r="H2731">
        <v>3.15</v>
      </c>
      <c r="I2731">
        <v>1</v>
      </c>
      <c r="J2731" t="b">
        <v>0</v>
      </c>
      <c r="K2731" t="b">
        <v>0</v>
      </c>
      <c r="L2731" t="b">
        <v>0</v>
      </c>
      <c r="M2731" t="b">
        <v>0</v>
      </c>
      <c r="N2731" t="b">
        <v>1</v>
      </c>
      <c r="O2731" t="b">
        <v>0</v>
      </c>
    </row>
    <row r="2732" spans="1:15" x14ac:dyDescent="0.25">
      <c r="A2732" s="11">
        <v>43731.513194444444</v>
      </c>
      <c r="B2732" t="s">
        <v>2407</v>
      </c>
      <c r="C2732" t="s">
        <v>3104</v>
      </c>
      <c r="E2732" t="s">
        <v>2378</v>
      </c>
      <c r="F2732">
        <v>3.65</v>
      </c>
      <c r="G2732">
        <v>3.94</v>
      </c>
      <c r="H2732">
        <v>3.15</v>
      </c>
      <c r="I2732">
        <v>1</v>
      </c>
      <c r="J2732" t="b">
        <v>0</v>
      </c>
      <c r="K2732" t="b">
        <v>0</v>
      </c>
      <c r="L2732" t="b">
        <v>0</v>
      </c>
      <c r="M2732" t="b">
        <v>0</v>
      </c>
      <c r="N2732" t="b">
        <v>1</v>
      </c>
      <c r="O2732" t="b">
        <v>0</v>
      </c>
    </row>
    <row r="2733" spans="1:15" x14ac:dyDescent="0.25">
      <c r="A2733" s="11">
        <v>43731.513298611113</v>
      </c>
      <c r="B2733" t="s">
        <v>2407</v>
      </c>
      <c r="C2733" t="s">
        <v>3092</v>
      </c>
      <c r="D2733" t="s">
        <v>2429</v>
      </c>
      <c r="E2733">
        <v>0</v>
      </c>
      <c r="F2733">
        <v>3.65</v>
      </c>
      <c r="G2733">
        <v>3.94</v>
      </c>
      <c r="H2733">
        <v>3.15</v>
      </c>
      <c r="I2733">
        <v>1</v>
      </c>
      <c r="J2733" t="b">
        <v>0</v>
      </c>
      <c r="K2733" t="b">
        <v>0</v>
      </c>
      <c r="L2733" t="b">
        <v>0</v>
      </c>
      <c r="M2733" t="b">
        <v>0</v>
      </c>
      <c r="N2733" t="b">
        <v>1</v>
      </c>
      <c r="O2733" t="b">
        <v>0</v>
      </c>
    </row>
    <row r="2734" spans="1:15" x14ac:dyDescent="0.25">
      <c r="A2734" s="11">
        <v>43731.513310185182</v>
      </c>
      <c r="B2734" t="s">
        <v>2407</v>
      </c>
      <c r="C2734" t="s">
        <v>3104</v>
      </c>
      <c r="E2734" t="s">
        <v>2378</v>
      </c>
      <c r="F2734">
        <v>3.65</v>
      </c>
      <c r="G2734">
        <v>3.94</v>
      </c>
      <c r="H2734">
        <v>3.15</v>
      </c>
      <c r="I2734">
        <v>1</v>
      </c>
      <c r="J2734" t="b">
        <v>0</v>
      </c>
      <c r="K2734" t="b">
        <v>0</v>
      </c>
      <c r="L2734" t="b">
        <v>0</v>
      </c>
      <c r="M2734" t="b">
        <v>0</v>
      </c>
      <c r="N2734" t="b">
        <v>1</v>
      </c>
      <c r="O2734" t="b">
        <v>0</v>
      </c>
    </row>
    <row r="2735" spans="1:15" x14ac:dyDescent="0.25">
      <c r="A2735" s="11">
        <v>43731.513460648152</v>
      </c>
      <c r="B2735" t="s">
        <v>2407</v>
      </c>
      <c r="C2735" t="s">
        <v>3092</v>
      </c>
      <c r="D2735" t="s">
        <v>2429</v>
      </c>
      <c r="E2735">
        <v>0</v>
      </c>
      <c r="F2735">
        <v>3.65</v>
      </c>
      <c r="G2735">
        <v>3.94</v>
      </c>
      <c r="H2735">
        <v>3.15</v>
      </c>
      <c r="I2735">
        <v>1</v>
      </c>
      <c r="J2735" t="b">
        <v>0</v>
      </c>
      <c r="K2735" t="b">
        <v>0</v>
      </c>
      <c r="L2735" t="b">
        <v>0</v>
      </c>
      <c r="M2735" t="b">
        <v>0</v>
      </c>
      <c r="N2735" t="b">
        <v>1</v>
      </c>
      <c r="O2735" t="b">
        <v>0</v>
      </c>
    </row>
    <row r="2736" spans="1:15" x14ac:dyDescent="0.25">
      <c r="A2736" s="11">
        <v>43731.513749999998</v>
      </c>
      <c r="B2736" t="s">
        <v>2407</v>
      </c>
      <c r="C2736" t="s">
        <v>3104</v>
      </c>
      <c r="E2736" t="s">
        <v>2378</v>
      </c>
      <c r="F2736">
        <v>3.65</v>
      </c>
      <c r="G2736">
        <v>3.94</v>
      </c>
      <c r="H2736">
        <v>3.15</v>
      </c>
      <c r="I2736">
        <v>1</v>
      </c>
      <c r="J2736" t="b">
        <v>0</v>
      </c>
      <c r="K2736" t="b">
        <v>0</v>
      </c>
      <c r="L2736" t="b">
        <v>0</v>
      </c>
      <c r="M2736" t="b">
        <v>0</v>
      </c>
      <c r="N2736" t="b">
        <v>1</v>
      </c>
      <c r="O2736" t="b">
        <v>0</v>
      </c>
    </row>
    <row r="2737" spans="1:15" x14ac:dyDescent="0.25">
      <c r="A2737" s="11">
        <v>43731.513773148145</v>
      </c>
      <c r="B2737" t="s">
        <v>2407</v>
      </c>
      <c r="C2737" t="s">
        <v>3092</v>
      </c>
      <c r="D2737" t="s">
        <v>2429</v>
      </c>
      <c r="E2737">
        <v>0</v>
      </c>
      <c r="F2737">
        <v>3.65</v>
      </c>
      <c r="G2737">
        <v>3.94</v>
      </c>
      <c r="H2737">
        <v>3.15</v>
      </c>
      <c r="I2737">
        <v>1</v>
      </c>
      <c r="J2737" t="b">
        <v>0</v>
      </c>
      <c r="K2737" t="b">
        <v>0</v>
      </c>
      <c r="L2737" t="b">
        <v>0</v>
      </c>
      <c r="M2737" t="b">
        <v>0</v>
      </c>
      <c r="N2737" t="b">
        <v>1</v>
      </c>
      <c r="O2737" t="b">
        <v>0</v>
      </c>
    </row>
    <row r="2738" spans="1:15" x14ac:dyDescent="0.25">
      <c r="A2738" s="11">
        <v>43731.513796296298</v>
      </c>
      <c r="B2738" t="s">
        <v>2407</v>
      </c>
      <c r="C2738" t="s">
        <v>3104</v>
      </c>
      <c r="E2738" t="s">
        <v>2378</v>
      </c>
      <c r="F2738">
        <v>3.65</v>
      </c>
      <c r="G2738">
        <v>3.94</v>
      </c>
      <c r="H2738">
        <v>3.15</v>
      </c>
      <c r="I2738">
        <v>1</v>
      </c>
      <c r="J2738" t="b">
        <v>0</v>
      </c>
      <c r="K2738" t="b">
        <v>0</v>
      </c>
      <c r="L2738" t="b">
        <v>0</v>
      </c>
      <c r="M2738" t="b">
        <v>0</v>
      </c>
      <c r="N2738" t="b">
        <v>1</v>
      </c>
      <c r="O2738" t="b">
        <v>0</v>
      </c>
    </row>
    <row r="2739" spans="1:15" x14ac:dyDescent="0.25">
      <c r="A2739" s="11">
        <v>43731.513854166667</v>
      </c>
      <c r="B2739" t="s">
        <v>2407</v>
      </c>
      <c r="C2739" t="s">
        <v>3092</v>
      </c>
      <c r="D2739" t="s">
        <v>2429</v>
      </c>
      <c r="E2739">
        <v>0</v>
      </c>
      <c r="F2739">
        <v>3.65</v>
      </c>
      <c r="G2739">
        <v>3.94</v>
      </c>
      <c r="H2739">
        <v>3.15</v>
      </c>
      <c r="I2739">
        <v>1</v>
      </c>
      <c r="J2739" t="b">
        <v>0</v>
      </c>
      <c r="K2739" t="b">
        <v>0</v>
      </c>
      <c r="L2739" t="b">
        <v>0</v>
      </c>
      <c r="M2739" t="b">
        <v>0</v>
      </c>
      <c r="N2739" t="b">
        <v>1</v>
      </c>
      <c r="O2739" t="b">
        <v>0</v>
      </c>
    </row>
    <row r="2740" spans="1:15" x14ac:dyDescent="0.25">
      <c r="A2740" s="11">
        <v>43731.513993055552</v>
      </c>
      <c r="B2740" t="s">
        <v>2407</v>
      </c>
      <c r="C2740" t="s">
        <v>3104</v>
      </c>
      <c r="E2740" t="s">
        <v>2378</v>
      </c>
      <c r="F2740">
        <v>3.65</v>
      </c>
      <c r="G2740">
        <v>3.94</v>
      </c>
      <c r="H2740">
        <v>3.15</v>
      </c>
      <c r="I2740">
        <v>1</v>
      </c>
      <c r="J2740" t="b">
        <v>0</v>
      </c>
      <c r="K2740" t="b">
        <v>0</v>
      </c>
      <c r="L2740" t="b">
        <v>0</v>
      </c>
      <c r="M2740" t="b">
        <v>0</v>
      </c>
      <c r="N2740" t="b">
        <v>1</v>
      </c>
      <c r="O2740" t="b">
        <v>0</v>
      </c>
    </row>
    <row r="2741" spans="1:15" x14ac:dyDescent="0.25">
      <c r="A2741" s="11">
        <v>43731.514131944445</v>
      </c>
      <c r="B2741" t="s">
        <v>2407</v>
      </c>
      <c r="C2741" t="s">
        <v>3092</v>
      </c>
      <c r="D2741" t="s">
        <v>2429</v>
      </c>
      <c r="E2741">
        <v>0</v>
      </c>
      <c r="F2741">
        <v>3.65</v>
      </c>
      <c r="G2741">
        <v>3.94</v>
      </c>
      <c r="H2741">
        <v>3.15</v>
      </c>
      <c r="I2741">
        <v>1</v>
      </c>
      <c r="J2741" t="b">
        <v>0</v>
      </c>
      <c r="K2741" t="b">
        <v>0</v>
      </c>
      <c r="L2741" t="b">
        <v>0</v>
      </c>
      <c r="M2741" t="b">
        <v>0</v>
      </c>
      <c r="N2741" t="b">
        <v>1</v>
      </c>
      <c r="O2741" t="b">
        <v>0</v>
      </c>
    </row>
    <row r="2742" spans="1:15" x14ac:dyDescent="0.25">
      <c r="A2742" s="11">
        <v>43731.514155092591</v>
      </c>
      <c r="B2742" t="s">
        <v>2407</v>
      </c>
      <c r="C2742" t="s">
        <v>3104</v>
      </c>
      <c r="E2742" t="s">
        <v>2378</v>
      </c>
      <c r="F2742">
        <v>3.65</v>
      </c>
      <c r="G2742">
        <v>3.94</v>
      </c>
      <c r="H2742">
        <v>3.15</v>
      </c>
      <c r="I2742">
        <v>1</v>
      </c>
      <c r="J2742" t="b">
        <v>0</v>
      </c>
      <c r="K2742" t="b">
        <v>0</v>
      </c>
      <c r="L2742" t="b">
        <v>0</v>
      </c>
      <c r="M2742" t="b">
        <v>0</v>
      </c>
      <c r="N2742" t="b">
        <v>1</v>
      </c>
      <c r="O2742" t="b">
        <v>0</v>
      </c>
    </row>
    <row r="2743" spans="1:15" x14ac:dyDescent="0.25">
      <c r="A2743" s="11">
        <v>43731.514270833337</v>
      </c>
      <c r="B2743" t="s">
        <v>2407</v>
      </c>
      <c r="C2743" t="s">
        <v>3092</v>
      </c>
      <c r="D2743" t="s">
        <v>2429</v>
      </c>
      <c r="E2743">
        <v>0</v>
      </c>
      <c r="F2743">
        <v>3.65</v>
      </c>
      <c r="G2743">
        <v>3.94</v>
      </c>
      <c r="H2743">
        <v>3.15</v>
      </c>
      <c r="I2743">
        <v>1</v>
      </c>
      <c r="J2743" t="b">
        <v>0</v>
      </c>
      <c r="K2743" t="b">
        <v>0</v>
      </c>
      <c r="L2743" t="b">
        <v>0</v>
      </c>
      <c r="M2743" t="b">
        <v>0</v>
      </c>
      <c r="N2743" t="b">
        <v>1</v>
      </c>
      <c r="O2743" t="b">
        <v>0</v>
      </c>
    </row>
    <row r="2744" spans="1:15" x14ac:dyDescent="0.25">
      <c r="A2744" s="11">
        <v>43731.514293981483</v>
      </c>
      <c r="B2744" t="s">
        <v>2407</v>
      </c>
      <c r="C2744" t="s">
        <v>3104</v>
      </c>
      <c r="E2744" t="s">
        <v>2378</v>
      </c>
      <c r="F2744">
        <v>3.65</v>
      </c>
      <c r="G2744">
        <v>3.94</v>
      </c>
      <c r="H2744">
        <v>3.15</v>
      </c>
      <c r="I2744">
        <v>1</v>
      </c>
      <c r="J2744" t="b">
        <v>0</v>
      </c>
      <c r="K2744" t="b">
        <v>0</v>
      </c>
      <c r="L2744" t="b">
        <v>0</v>
      </c>
      <c r="M2744" t="b">
        <v>0</v>
      </c>
      <c r="N2744" t="b">
        <v>1</v>
      </c>
      <c r="O2744" t="b">
        <v>0</v>
      </c>
    </row>
    <row r="2745" spans="1:15" x14ac:dyDescent="0.25">
      <c r="A2745" s="11">
        <v>43731.514606481483</v>
      </c>
      <c r="B2745" t="s">
        <v>2407</v>
      </c>
      <c r="C2745" t="s">
        <v>3092</v>
      </c>
      <c r="D2745" t="s">
        <v>2429</v>
      </c>
      <c r="E2745">
        <v>0</v>
      </c>
      <c r="F2745">
        <v>3.65</v>
      </c>
      <c r="G2745">
        <v>3.94</v>
      </c>
      <c r="H2745">
        <v>3.15</v>
      </c>
      <c r="I2745">
        <v>1</v>
      </c>
      <c r="J2745" t="b">
        <v>0</v>
      </c>
      <c r="K2745" t="b">
        <v>0</v>
      </c>
      <c r="L2745" t="b">
        <v>0</v>
      </c>
      <c r="M2745" t="b">
        <v>0</v>
      </c>
      <c r="N2745" t="b">
        <v>1</v>
      </c>
      <c r="O2745" t="b">
        <v>0</v>
      </c>
    </row>
    <row r="2746" spans="1:15" x14ac:dyDescent="0.25">
      <c r="A2746" s="11">
        <v>43731.514780092592</v>
      </c>
      <c r="B2746" t="s">
        <v>2407</v>
      </c>
      <c r="C2746" t="s">
        <v>3104</v>
      </c>
      <c r="E2746" t="s">
        <v>2378</v>
      </c>
      <c r="F2746">
        <v>3.65</v>
      </c>
      <c r="G2746">
        <v>3.94</v>
      </c>
      <c r="H2746">
        <v>3.15</v>
      </c>
      <c r="I2746">
        <v>1</v>
      </c>
      <c r="J2746" t="b">
        <v>0</v>
      </c>
      <c r="K2746" t="b">
        <v>0</v>
      </c>
      <c r="L2746" t="b">
        <v>0</v>
      </c>
      <c r="M2746" t="b">
        <v>0</v>
      </c>
      <c r="N2746" t="b">
        <v>1</v>
      </c>
      <c r="O2746" t="b">
        <v>0</v>
      </c>
    </row>
    <row r="2747" spans="1:15" x14ac:dyDescent="0.25">
      <c r="A2747" s="11">
        <v>43731.515185185184</v>
      </c>
      <c r="B2747" t="s">
        <v>2407</v>
      </c>
      <c r="C2747" t="s">
        <v>3092</v>
      </c>
      <c r="D2747" t="s">
        <v>2429</v>
      </c>
      <c r="E2747">
        <v>0</v>
      </c>
      <c r="F2747">
        <v>3.65</v>
      </c>
      <c r="G2747">
        <v>3.94</v>
      </c>
      <c r="H2747">
        <v>3.15</v>
      </c>
      <c r="I2747">
        <v>1</v>
      </c>
      <c r="J2747" t="b">
        <v>0</v>
      </c>
      <c r="K2747" t="b">
        <v>0</v>
      </c>
      <c r="L2747" t="b">
        <v>0</v>
      </c>
      <c r="M2747" t="b">
        <v>0</v>
      </c>
      <c r="N2747" t="b">
        <v>1</v>
      </c>
      <c r="O2747" t="b">
        <v>0</v>
      </c>
    </row>
    <row r="2748" spans="1:15" x14ac:dyDescent="0.25">
      <c r="A2748" s="11">
        <v>43731.515208333331</v>
      </c>
      <c r="B2748" t="s">
        <v>2407</v>
      </c>
      <c r="C2748" t="s">
        <v>3104</v>
      </c>
      <c r="E2748" t="s">
        <v>2378</v>
      </c>
      <c r="F2748">
        <v>3.65</v>
      </c>
      <c r="G2748">
        <v>3.94</v>
      </c>
      <c r="H2748">
        <v>3.15</v>
      </c>
      <c r="I2748">
        <v>1</v>
      </c>
      <c r="J2748" t="b">
        <v>0</v>
      </c>
      <c r="K2748" t="b">
        <v>0</v>
      </c>
      <c r="L2748" t="b">
        <v>0</v>
      </c>
      <c r="M2748" t="b">
        <v>0</v>
      </c>
      <c r="N2748" t="b">
        <v>1</v>
      </c>
      <c r="O2748" t="b">
        <v>0</v>
      </c>
    </row>
    <row r="2749" spans="1:15" x14ac:dyDescent="0.25">
      <c r="A2749" s="11">
        <v>43731.515439814815</v>
      </c>
      <c r="B2749" t="s">
        <v>2407</v>
      </c>
      <c r="C2749" t="s">
        <v>3092</v>
      </c>
      <c r="D2749" t="s">
        <v>2429</v>
      </c>
      <c r="E2749">
        <v>0</v>
      </c>
      <c r="F2749">
        <v>3.65</v>
      </c>
      <c r="G2749">
        <v>3.94</v>
      </c>
      <c r="H2749">
        <v>3.15</v>
      </c>
      <c r="I2749">
        <v>1</v>
      </c>
      <c r="J2749" t="b">
        <v>0</v>
      </c>
      <c r="K2749" t="b">
        <v>0</v>
      </c>
      <c r="L2749" t="b">
        <v>0</v>
      </c>
      <c r="M2749" t="b">
        <v>0</v>
      </c>
      <c r="N2749" t="b">
        <v>1</v>
      </c>
      <c r="O2749" t="b">
        <v>0</v>
      </c>
    </row>
    <row r="2750" spans="1:15" x14ac:dyDescent="0.25">
      <c r="A2750" s="11">
        <v>43731.515451388892</v>
      </c>
      <c r="B2750" t="s">
        <v>2407</v>
      </c>
      <c r="C2750" t="s">
        <v>3104</v>
      </c>
      <c r="E2750" t="s">
        <v>2378</v>
      </c>
      <c r="F2750">
        <v>3.65</v>
      </c>
      <c r="G2750">
        <v>3.94</v>
      </c>
      <c r="H2750">
        <v>3.15</v>
      </c>
      <c r="I2750">
        <v>1</v>
      </c>
      <c r="J2750" t="b">
        <v>0</v>
      </c>
      <c r="K2750" t="b">
        <v>0</v>
      </c>
      <c r="L2750" t="b">
        <v>0</v>
      </c>
      <c r="M2750" t="b">
        <v>0</v>
      </c>
      <c r="N2750" t="b">
        <v>1</v>
      </c>
      <c r="O2750" t="b">
        <v>0</v>
      </c>
    </row>
    <row r="2751" spans="1:15" x14ac:dyDescent="0.25">
      <c r="A2751" s="11">
        <v>43731.515555555554</v>
      </c>
      <c r="B2751" t="s">
        <v>2407</v>
      </c>
      <c r="C2751" t="s">
        <v>3092</v>
      </c>
      <c r="D2751" t="s">
        <v>2429</v>
      </c>
      <c r="E2751">
        <v>0</v>
      </c>
      <c r="F2751">
        <v>3.65</v>
      </c>
      <c r="G2751">
        <v>3.94</v>
      </c>
      <c r="H2751">
        <v>3.15</v>
      </c>
      <c r="I2751">
        <v>1</v>
      </c>
      <c r="J2751" t="b">
        <v>0</v>
      </c>
      <c r="K2751" t="b">
        <v>0</v>
      </c>
      <c r="L2751" t="b">
        <v>0</v>
      </c>
      <c r="M2751" t="b">
        <v>0</v>
      </c>
      <c r="N2751" t="b">
        <v>1</v>
      </c>
      <c r="O2751" t="b">
        <v>0</v>
      </c>
    </row>
    <row r="2752" spans="1:15" x14ac:dyDescent="0.25">
      <c r="A2752" s="11">
        <v>43731.5155787037</v>
      </c>
      <c r="B2752" t="s">
        <v>2407</v>
      </c>
      <c r="C2752" t="s">
        <v>3104</v>
      </c>
      <c r="E2752" t="s">
        <v>2378</v>
      </c>
      <c r="F2752">
        <v>3.65</v>
      </c>
      <c r="G2752">
        <v>3.94</v>
      </c>
      <c r="H2752">
        <v>3.15</v>
      </c>
      <c r="I2752">
        <v>1</v>
      </c>
      <c r="J2752" t="b">
        <v>0</v>
      </c>
      <c r="K2752" t="b">
        <v>0</v>
      </c>
      <c r="L2752" t="b">
        <v>0</v>
      </c>
      <c r="M2752" t="b">
        <v>0</v>
      </c>
      <c r="N2752" t="b">
        <v>1</v>
      </c>
      <c r="O2752" t="b">
        <v>0</v>
      </c>
    </row>
    <row r="2753" spans="1:15" x14ac:dyDescent="0.25">
      <c r="A2753" s="11">
        <v>43731.515717592592</v>
      </c>
      <c r="B2753" t="s">
        <v>2407</v>
      </c>
      <c r="C2753" t="s">
        <v>3092</v>
      </c>
      <c r="D2753" t="s">
        <v>2429</v>
      </c>
      <c r="E2753">
        <v>0</v>
      </c>
      <c r="F2753">
        <v>3.65</v>
      </c>
      <c r="G2753">
        <v>3.94</v>
      </c>
      <c r="H2753">
        <v>3.15</v>
      </c>
      <c r="I2753">
        <v>1</v>
      </c>
      <c r="J2753" t="b">
        <v>0</v>
      </c>
      <c r="K2753" t="b">
        <v>0</v>
      </c>
      <c r="L2753" t="b">
        <v>0</v>
      </c>
      <c r="M2753" t="b">
        <v>0</v>
      </c>
      <c r="N2753" t="b">
        <v>1</v>
      </c>
      <c r="O2753" t="b">
        <v>0</v>
      </c>
    </row>
    <row r="2754" spans="1:15" x14ac:dyDescent="0.25">
      <c r="A2754" s="11">
        <v>43731.515740740739</v>
      </c>
      <c r="B2754" t="s">
        <v>2407</v>
      </c>
      <c r="C2754" t="s">
        <v>3111</v>
      </c>
      <c r="D2754" t="s">
        <v>2452</v>
      </c>
      <c r="E2754" t="s">
        <v>2378</v>
      </c>
      <c r="F2754">
        <v>3.65</v>
      </c>
      <c r="G2754">
        <v>3.94</v>
      </c>
      <c r="H2754">
        <v>3.15</v>
      </c>
      <c r="I2754">
        <v>1</v>
      </c>
      <c r="J2754" t="b">
        <v>0</v>
      </c>
      <c r="K2754" t="b">
        <v>0</v>
      </c>
      <c r="L2754" t="b">
        <v>0</v>
      </c>
      <c r="M2754" t="b">
        <v>0</v>
      </c>
      <c r="N2754" t="b">
        <v>1</v>
      </c>
      <c r="O2754" t="b">
        <v>0</v>
      </c>
    </row>
    <row r="2755" spans="1:15" x14ac:dyDescent="0.25">
      <c r="A2755" s="11">
        <v>43731.516064814816</v>
      </c>
      <c r="B2755" t="s">
        <v>2407</v>
      </c>
      <c r="C2755" t="s">
        <v>3092</v>
      </c>
      <c r="D2755" t="s">
        <v>2429</v>
      </c>
      <c r="E2755">
        <v>0</v>
      </c>
      <c r="F2755">
        <v>3.65</v>
      </c>
      <c r="G2755">
        <v>3.94</v>
      </c>
      <c r="H2755">
        <v>3.15</v>
      </c>
      <c r="I2755">
        <v>1</v>
      </c>
      <c r="J2755" t="b">
        <v>0</v>
      </c>
      <c r="K2755" t="b">
        <v>0</v>
      </c>
      <c r="L2755" t="b">
        <v>0</v>
      </c>
      <c r="M2755" t="b">
        <v>0</v>
      </c>
      <c r="N2755" t="b">
        <v>1</v>
      </c>
      <c r="O2755" t="b">
        <v>0</v>
      </c>
    </row>
    <row r="2756" spans="1:15" x14ac:dyDescent="0.25">
      <c r="A2756" s="11">
        <v>43731.516215277778</v>
      </c>
      <c r="B2756" t="s">
        <v>2407</v>
      </c>
      <c r="C2756" t="s">
        <v>3092</v>
      </c>
      <c r="D2756" t="s">
        <v>2429</v>
      </c>
      <c r="E2756">
        <v>0</v>
      </c>
      <c r="F2756">
        <v>3.65</v>
      </c>
      <c r="G2756">
        <v>3.94</v>
      </c>
      <c r="H2756">
        <v>3.15</v>
      </c>
      <c r="I2756">
        <v>1</v>
      </c>
      <c r="J2756" t="b">
        <v>0</v>
      </c>
      <c r="K2756" t="b">
        <v>0</v>
      </c>
      <c r="L2756" t="b">
        <v>0</v>
      </c>
      <c r="M2756" t="b">
        <v>1</v>
      </c>
      <c r="N2756" t="b">
        <v>1</v>
      </c>
      <c r="O2756" t="b">
        <v>0</v>
      </c>
    </row>
    <row r="2757" spans="1:15" x14ac:dyDescent="0.25">
      <c r="A2757" s="11">
        <v>43731.516238425924</v>
      </c>
      <c r="B2757" t="s">
        <v>2407</v>
      </c>
      <c r="C2757" t="s">
        <v>3104</v>
      </c>
      <c r="E2757" t="s">
        <v>2378</v>
      </c>
      <c r="F2757">
        <v>3.65</v>
      </c>
      <c r="G2757">
        <v>3.94</v>
      </c>
      <c r="H2757">
        <v>3.15</v>
      </c>
      <c r="I2757">
        <v>1</v>
      </c>
      <c r="J2757" t="b">
        <v>0</v>
      </c>
      <c r="K2757" t="b">
        <v>0</v>
      </c>
      <c r="L2757" t="b">
        <v>0</v>
      </c>
      <c r="M2757" t="b">
        <v>1</v>
      </c>
      <c r="N2757" t="b">
        <v>1</v>
      </c>
      <c r="O2757" t="b">
        <v>0</v>
      </c>
    </row>
    <row r="2758" spans="1:15" x14ac:dyDescent="0.25">
      <c r="A2758" s="11">
        <v>43731.517013888886</v>
      </c>
      <c r="B2758" t="s">
        <v>2407</v>
      </c>
      <c r="C2758" t="s">
        <v>3092</v>
      </c>
      <c r="D2758" t="s">
        <v>2429</v>
      </c>
      <c r="E2758">
        <v>0</v>
      </c>
      <c r="F2758">
        <v>3.65</v>
      </c>
      <c r="G2758">
        <v>3.94</v>
      </c>
      <c r="H2758">
        <v>3.15</v>
      </c>
      <c r="I2758">
        <v>1</v>
      </c>
      <c r="J2758" t="b">
        <v>0</v>
      </c>
      <c r="K2758" t="b">
        <v>0</v>
      </c>
      <c r="L2758" t="b">
        <v>0</v>
      </c>
      <c r="M2758" t="b">
        <v>1</v>
      </c>
      <c r="N2758" t="b">
        <v>1</v>
      </c>
      <c r="O2758" t="b">
        <v>0</v>
      </c>
    </row>
    <row r="2759" spans="1:15" x14ac:dyDescent="0.25">
      <c r="A2759" s="11">
        <v>43731.517256944448</v>
      </c>
      <c r="B2759" t="s">
        <v>2407</v>
      </c>
      <c r="C2759" t="s">
        <v>3104</v>
      </c>
      <c r="E2759" t="s">
        <v>2378</v>
      </c>
      <c r="F2759">
        <v>3.65</v>
      </c>
      <c r="G2759">
        <v>3.94</v>
      </c>
      <c r="H2759">
        <v>3.15</v>
      </c>
      <c r="I2759">
        <v>1</v>
      </c>
      <c r="J2759" t="b">
        <v>0</v>
      </c>
      <c r="K2759" t="b">
        <v>0</v>
      </c>
      <c r="L2759" t="b">
        <v>0</v>
      </c>
      <c r="M2759" t="b">
        <v>1</v>
      </c>
      <c r="N2759" t="b">
        <v>1</v>
      </c>
      <c r="O2759" t="b">
        <v>0</v>
      </c>
    </row>
    <row r="2760" spans="1:15" x14ac:dyDescent="0.25">
      <c r="A2760" s="11">
        <v>43731.51734953704</v>
      </c>
      <c r="B2760" t="s">
        <v>2407</v>
      </c>
      <c r="C2760" t="s">
        <v>3092</v>
      </c>
      <c r="D2760" t="s">
        <v>2429</v>
      </c>
      <c r="E2760">
        <v>0</v>
      </c>
      <c r="F2760">
        <v>3.65</v>
      </c>
      <c r="G2760">
        <v>3.94</v>
      </c>
      <c r="H2760">
        <v>3.15</v>
      </c>
      <c r="I2760">
        <v>1</v>
      </c>
      <c r="J2760" t="b">
        <v>0</v>
      </c>
      <c r="K2760" t="b">
        <v>0</v>
      </c>
      <c r="L2760" t="b">
        <v>0</v>
      </c>
      <c r="M2760" t="b">
        <v>1</v>
      </c>
      <c r="N2760" t="b">
        <v>1</v>
      </c>
      <c r="O2760" t="b">
        <v>0</v>
      </c>
    </row>
    <row r="2761" spans="1:15" x14ac:dyDescent="0.25">
      <c r="A2761" s="11">
        <v>43731.519884259258</v>
      </c>
      <c r="B2761" t="s">
        <v>2407</v>
      </c>
      <c r="C2761" t="s">
        <v>3092</v>
      </c>
      <c r="D2761" t="s">
        <v>2429</v>
      </c>
      <c r="E2761">
        <v>0</v>
      </c>
      <c r="F2761">
        <v>3.65</v>
      </c>
      <c r="G2761">
        <v>3.94</v>
      </c>
      <c r="H2761">
        <v>3.15</v>
      </c>
      <c r="I2761">
        <v>1</v>
      </c>
      <c r="J2761" t="b">
        <v>0</v>
      </c>
      <c r="K2761" t="b">
        <v>0</v>
      </c>
      <c r="L2761" t="b">
        <v>0</v>
      </c>
      <c r="M2761" t="b">
        <v>0</v>
      </c>
      <c r="N2761" t="b">
        <v>1</v>
      </c>
      <c r="O2761" t="b">
        <v>0</v>
      </c>
    </row>
    <row r="2762" spans="1:15" x14ac:dyDescent="0.25">
      <c r="A2762" s="11">
        <v>43731.521087962959</v>
      </c>
      <c r="B2762" t="s">
        <v>2407</v>
      </c>
      <c r="C2762" t="s">
        <v>3092</v>
      </c>
      <c r="D2762" t="s">
        <v>2429</v>
      </c>
      <c r="E2762">
        <v>0</v>
      </c>
      <c r="F2762">
        <v>3.65</v>
      </c>
      <c r="G2762">
        <v>3.94</v>
      </c>
      <c r="H2762">
        <v>3.15</v>
      </c>
      <c r="I2762">
        <v>1</v>
      </c>
      <c r="J2762" t="b">
        <v>0</v>
      </c>
      <c r="K2762" t="b">
        <v>0</v>
      </c>
      <c r="L2762" t="b">
        <v>0</v>
      </c>
      <c r="M2762" t="b">
        <v>0</v>
      </c>
      <c r="N2762" t="b">
        <v>1</v>
      </c>
      <c r="O2762" t="b">
        <v>0</v>
      </c>
    </row>
    <row r="2763" spans="1:15" x14ac:dyDescent="0.25">
      <c r="A2763" s="11">
        <v>43731.521215277775</v>
      </c>
      <c r="B2763" t="s">
        <v>2407</v>
      </c>
      <c r="C2763" t="s">
        <v>3104</v>
      </c>
      <c r="E2763" t="s">
        <v>2378</v>
      </c>
      <c r="F2763">
        <v>3.65</v>
      </c>
      <c r="G2763">
        <v>3.94</v>
      </c>
      <c r="H2763">
        <v>3.15</v>
      </c>
      <c r="I2763">
        <v>1</v>
      </c>
      <c r="J2763" t="b">
        <v>0</v>
      </c>
      <c r="K2763" t="b">
        <v>0</v>
      </c>
      <c r="L2763" t="b">
        <v>0</v>
      </c>
      <c r="M2763" t="b">
        <v>0</v>
      </c>
      <c r="N2763" t="b">
        <v>1</v>
      </c>
      <c r="O2763" t="b">
        <v>0</v>
      </c>
    </row>
    <row r="2764" spans="1:15" x14ac:dyDescent="0.25">
      <c r="A2764" s="11">
        <v>43731.521724537037</v>
      </c>
      <c r="B2764" t="s">
        <v>2407</v>
      </c>
      <c r="C2764" t="s">
        <v>3092</v>
      </c>
      <c r="D2764" t="s">
        <v>2429</v>
      </c>
      <c r="E2764">
        <v>0</v>
      </c>
      <c r="F2764">
        <v>3.65</v>
      </c>
      <c r="G2764">
        <v>3.94</v>
      </c>
      <c r="H2764">
        <v>3.15</v>
      </c>
      <c r="I2764">
        <v>1</v>
      </c>
      <c r="J2764" t="b">
        <v>0</v>
      </c>
      <c r="K2764" t="b">
        <v>0</v>
      </c>
      <c r="L2764" t="b">
        <v>0</v>
      </c>
      <c r="M2764" t="b">
        <v>0</v>
      </c>
      <c r="N2764" t="b">
        <v>1</v>
      </c>
      <c r="O2764" t="b">
        <v>0</v>
      </c>
    </row>
    <row r="2765" spans="1:15" x14ac:dyDescent="0.25">
      <c r="A2765" s="11">
        <v>43731.522881944446</v>
      </c>
      <c r="B2765" t="s">
        <v>2407</v>
      </c>
      <c r="C2765" t="s">
        <v>3104</v>
      </c>
      <c r="E2765" t="s">
        <v>2378</v>
      </c>
      <c r="F2765">
        <v>3.65</v>
      </c>
      <c r="G2765">
        <v>3.94</v>
      </c>
      <c r="H2765">
        <v>3.15</v>
      </c>
      <c r="I2765">
        <v>1</v>
      </c>
      <c r="J2765" t="b">
        <v>0</v>
      </c>
      <c r="K2765" t="b">
        <v>0</v>
      </c>
      <c r="L2765" t="b">
        <v>0</v>
      </c>
      <c r="M2765" t="b">
        <v>0</v>
      </c>
      <c r="N2765" t="b">
        <v>1</v>
      </c>
      <c r="O2765" t="b">
        <v>0</v>
      </c>
    </row>
    <row r="2766" spans="1:15" x14ac:dyDescent="0.25">
      <c r="A2766" s="11">
        <v>43731.522928240738</v>
      </c>
      <c r="B2766" t="s">
        <v>2407</v>
      </c>
      <c r="C2766" t="s">
        <v>3092</v>
      </c>
      <c r="D2766" t="s">
        <v>2429</v>
      </c>
      <c r="E2766">
        <v>0</v>
      </c>
      <c r="F2766">
        <v>3.65</v>
      </c>
      <c r="G2766">
        <v>3.94</v>
      </c>
      <c r="H2766">
        <v>3.15</v>
      </c>
      <c r="I2766">
        <v>1</v>
      </c>
      <c r="J2766" t="b">
        <v>0</v>
      </c>
      <c r="K2766" t="b">
        <v>0</v>
      </c>
      <c r="L2766" t="b">
        <v>0</v>
      </c>
      <c r="M2766" t="b">
        <v>0</v>
      </c>
      <c r="N2766" t="b">
        <v>1</v>
      </c>
      <c r="O2766" t="b">
        <v>0</v>
      </c>
    </row>
    <row r="2767" spans="1:15" x14ac:dyDescent="0.25">
      <c r="A2767" s="11">
        <v>43731.524143518516</v>
      </c>
      <c r="B2767" t="s">
        <v>2407</v>
      </c>
      <c r="C2767" t="s">
        <v>3104</v>
      </c>
      <c r="E2767" t="s">
        <v>2378</v>
      </c>
      <c r="F2767">
        <v>3.65</v>
      </c>
      <c r="G2767">
        <v>3.94</v>
      </c>
      <c r="H2767">
        <v>3.15</v>
      </c>
      <c r="I2767">
        <v>1</v>
      </c>
      <c r="J2767" t="b">
        <v>0</v>
      </c>
      <c r="K2767" t="b">
        <v>0</v>
      </c>
      <c r="L2767" t="b">
        <v>0</v>
      </c>
      <c r="M2767" t="b">
        <v>0</v>
      </c>
      <c r="N2767" t="b">
        <v>1</v>
      </c>
      <c r="O2767" t="b">
        <v>0</v>
      </c>
    </row>
    <row r="2768" spans="1:15" x14ac:dyDescent="0.25">
      <c r="A2768" s="11">
        <v>43731.530381944445</v>
      </c>
      <c r="B2768" t="s">
        <v>2407</v>
      </c>
      <c r="C2768" t="s">
        <v>3092</v>
      </c>
      <c r="D2768" t="s">
        <v>2429</v>
      </c>
      <c r="E2768">
        <v>0</v>
      </c>
      <c r="F2768">
        <v>3.65</v>
      </c>
      <c r="G2768">
        <v>3.94</v>
      </c>
      <c r="H2768">
        <v>3.15</v>
      </c>
      <c r="I2768">
        <v>1</v>
      </c>
      <c r="J2768" t="b">
        <v>0</v>
      </c>
      <c r="K2768" t="b">
        <v>0</v>
      </c>
      <c r="L2768" t="b">
        <v>0</v>
      </c>
      <c r="M2768" t="b">
        <v>0</v>
      </c>
      <c r="N2768" t="b">
        <v>1</v>
      </c>
      <c r="O2768" t="b">
        <v>0</v>
      </c>
    </row>
    <row r="2769" spans="1:15" x14ac:dyDescent="0.25">
      <c r="A2769" s="11">
        <v>43731.530752314815</v>
      </c>
      <c r="B2769" t="s">
        <v>2407</v>
      </c>
      <c r="C2769" t="s">
        <v>3104</v>
      </c>
      <c r="E2769" t="s">
        <v>2378</v>
      </c>
      <c r="F2769">
        <v>3.65</v>
      </c>
      <c r="G2769">
        <v>3.94</v>
      </c>
      <c r="H2769">
        <v>3.15</v>
      </c>
      <c r="I2769">
        <v>1</v>
      </c>
      <c r="J2769" t="b">
        <v>0</v>
      </c>
      <c r="K2769" t="b">
        <v>0</v>
      </c>
      <c r="L2769" t="b">
        <v>0</v>
      </c>
      <c r="M2769" t="b">
        <v>0</v>
      </c>
      <c r="N2769" t="b">
        <v>1</v>
      </c>
      <c r="O2769" t="b">
        <v>0</v>
      </c>
    </row>
    <row r="2770" spans="1:15" x14ac:dyDescent="0.25">
      <c r="A2770" s="11">
        <v>43731.531377314815</v>
      </c>
      <c r="B2770" t="s">
        <v>2407</v>
      </c>
      <c r="C2770" t="s">
        <v>3092</v>
      </c>
      <c r="D2770" t="s">
        <v>2429</v>
      </c>
      <c r="E2770">
        <v>0</v>
      </c>
      <c r="F2770">
        <v>3.65</v>
      </c>
      <c r="G2770">
        <v>3.94</v>
      </c>
      <c r="H2770">
        <v>3.15</v>
      </c>
      <c r="I2770">
        <v>1</v>
      </c>
      <c r="J2770" t="b">
        <v>0</v>
      </c>
      <c r="K2770" t="b">
        <v>0</v>
      </c>
      <c r="L2770" t="b">
        <v>0</v>
      </c>
      <c r="M2770" t="b">
        <v>0</v>
      </c>
      <c r="N2770" t="b">
        <v>1</v>
      </c>
      <c r="O2770" t="b">
        <v>0</v>
      </c>
    </row>
    <row r="2771" spans="1:15" x14ac:dyDescent="0.25">
      <c r="A2771" s="11">
        <v>43731.531574074077</v>
      </c>
      <c r="B2771" t="s">
        <v>2407</v>
      </c>
      <c r="C2771" t="s">
        <v>3104</v>
      </c>
      <c r="E2771" t="s">
        <v>2378</v>
      </c>
      <c r="F2771">
        <v>3.65</v>
      </c>
      <c r="G2771">
        <v>3.94</v>
      </c>
      <c r="H2771">
        <v>3.15</v>
      </c>
      <c r="I2771">
        <v>1</v>
      </c>
      <c r="J2771" t="b">
        <v>0</v>
      </c>
      <c r="K2771" t="b">
        <v>0</v>
      </c>
      <c r="L2771" t="b">
        <v>0</v>
      </c>
      <c r="M2771" t="b">
        <v>0</v>
      </c>
      <c r="N2771" t="b">
        <v>1</v>
      </c>
      <c r="O2771" t="b">
        <v>0</v>
      </c>
    </row>
    <row r="2772" spans="1:15" x14ac:dyDescent="0.25">
      <c r="A2772" s="11">
        <v>43731.531863425924</v>
      </c>
      <c r="B2772" t="s">
        <v>2407</v>
      </c>
      <c r="C2772" t="s">
        <v>3092</v>
      </c>
      <c r="D2772" t="s">
        <v>2429</v>
      </c>
      <c r="E2772">
        <v>0</v>
      </c>
      <c r="F2772">
        <v>3.65</v>
      </c>
      <c r="G2772">
        <v>3.94</v>
      </c>
      <c r="H2772">
        <v>3.15</v>
      </c>
      <c r="I2772">
        <v>1</v>
      </c>
      <c r="J2772" t="b">
        <v>0</v>
      </c>
      <c r="K2772" t="b">
        <v>0</v>
      </c>
      <c r="L2772" t="b">
        <v>0</v>
      </c>
      <c r="M2772" t="b">
        <v>1</v>
      </c>
      <c r="N2772" t="b">
        <v>1</v>
      </c>
      <c r="O2772" t="b">
        <v>0</v>
      </c>
    </row>
    <row r="2773" spans="1:15" x14ac:dyDescent="0.25">
      <c r="A2773" s="11">
        <v>43731.531886574077</v>
      </c>
      <c r="B2773" t="s">
        <v>2407</v>
      </c>
      <c r="C2773" t="s">
        <v>3104</v>
      </c>
      <c r="E2773" t="s">
        <v>2378</v>
      </c>
      <c r="F2773">
        <v>3.65</v>
      </c>
      <c r="G2773">
        <v>3.94</v>
      </c>
      <c r="H2773">
        <v>3.15</v>
      </c>
      <c r="I2773">
        <v>1</v>
      </c>
      <c r="J2773" t="b">
        <v>0</v>
      </c>
      <c r="K2773" t="b">
        <v>0</v>
      </c>
      <c r="L2773" t="b">
        <v>0</v>
      </c>
      <c r="M2773" t="b">
        <v>1</v>
      </c>
      <c r="N2773" t="b">
        <v>1</v>
      </c>
      <c r="O2773" t="b">
        <v>0</v>
      </c>
    </row>
    <row r="2774" spans="1:15" x14ac:dyDescent="0.25">
      <c r="A2774" s="11">
        <v>43731.532025462962</v>
      </c>
      <c r="B2774" t="s">
        <v>2407</v>
      </c>
      <c r="C2774" t="s">
        <v>3092</v>
      </c>
      <c r="D2774" t="s">
        <v>2429</v>
      </c>
      <c r="E2774">
        <v>0</v>
      </c>
      <c r="F2774">
        <v>3.65</v>
      </c>
      <c r="G2774">
        <v>3.94</v>
      </c>
      <c r="H2774">
        <v>3.15</v>
      </c>
      <c r="I2774">
        <v>1</v>
      </c>
      <c r="J2774" t="b">
        <v>0</v>
      </c>
      <c r="K2774" t="b">
        <v>0</v>
      </c>
      <c r="L2774" t="b">
        <v>0</v>
      </c>
      <c r="M2774" t="b">
        <v>1</v>
      </c>
      <c r="N2774" t="b">
        <v>1</v>
      </c>
      <c r="O2774" t="b">
        <v>0</v>
      </c>
    </row>
    <row r="2775" spans="1:15" x14ac:dyDescent="0.25">
      <c r="A2775" s="11">
        <v>43731.538807870369</v>
      </c>
      <c r="B2775" t="s">
        <v>2407</v>
      </c>
      <c r="C2775" t="s">
        <v>3092</v>
      </c>
      <c r="D2775" t="s">
        <v>2429</v>
      </c>
      <c r="E2775">
        <v>0</v>
      </c>
      <c r="F2775">
        <v>3.65</v>
      </c>
      <c r="G2775">
        <v>3.94</v>
      </c>
      <c r="H2775">
        <v>3.15</v>
      </c>
      <c r="I2775">
        <v>1</v>
      </c>
      <c r="J2775" t="b">
        <v>0</v>
      </c>
      <c r="K2775" t="b">
        <v>0</v>
      </c>
      <c r="L2775" t="b">
        <v>0</v>
      </c>
      <c r="M2775" t="b">
        <v>0</v>
      </c>
      <c r="N2775" t="b">
        <v>1</v>
      </c>
      <c r="O2775" t="b">
        <v>0</v>
      </c>
    </row>
    <row r="2776" spans="1:15" x14ac:dyDescent="0.25">
      <c r="A2776" s="11">
        <v>43731.543356481481</v>
      </c>
      <c r="B2776" t="s">
        <v>2407</v>
      </c>
      <c r="C2776" t="s">
        <v>3092</v>
      </c>
      <c r="D2776" t="s">
        <v>2429</v>
      </c>
      <c r="E2776">
        <v>0</v>
      </c>
      <c r="F2776">
        <v>3.65</v>
      </c>
      <c r="G2776">
        <v>3.94</v>
      </c>
      <c r="H2776">
        <v>3.15</v>
      </c>
      <c r="I2776">
        <v>1</v>
      </c>
      <c r="J2776" t="b">
        <v>0</v>
      </c>
      <c r="K2776" t="b">
        <v>0</v>
      </c>
      <c r="L2776" t="b">
        <v>0</v>
      </c>
      <c r="M2776" t="b">
        <v>0</v>
      </c>
      <c r="N2776" t="b">
        <v>1</v>
      </c>
      <c r="O2776" t="b">
        <v>0</v>
      </c>
    </row>
    <row r="2777" spans="1:15" x14ac:dyDescent="0.25">
      <c r="A2777" s="11">
        <v>43731.543379629627</v>
      </c>
      <c r="B2777" t="s">
        <v>2407</v>
      </c>
      <c r="C2777" t="s">
        <v>3104</v>
      </c>
      <c r="E2777" t="s">
        <v>2378</v>
      </c>
      <c r="F2777">
        <v>3.65</v>
      </c>
      <c r="G2777">
        <v>3.94</v>
      </c>
      <c r="H2777">
        <v>3.15</v>
      </c>
      <c r="I2777">
        <v>1</v>
      </c>
      <c r="J2777" t="b">
        <v>0</v>
      </c>
      <c r="K2777" t="b">
        <v>0</v>
      </c>
      <c r="L2777" t="b">
        <v>0</v>
      </c>
      <c r="M2777" t="b">
        <v>0</v>
      </c>
      <c r="N2777" t="b">
        <v>1</v>
      </c>
      <c r="O2777" t="b">
        <v>0</v>
      </c>
    </row>
    <row r="2778" spans="1:15" x14ac:dyDescent="0.25">
      <c r="A2778" s="11">
        <v>43731.543819444443</v>
      </c>
      <c r="B2778" t="s">
        <v>2407</v>
      </c>
      <c r="C2778" t="s">
        <v>3092</v>
      </c>
      <c r="D2778" t="s">
        <v>2429</v>
      </c>
      <c r="E2778">
        <v>0</v>
      </c>
      <c r="F2778">
        <v>3.65</v>
      </c>
      <c r="G2778">
        <v>3.94</v>
      </c>
      <c r="H2778">
        <v>3.15</v>
      </c>
      <c r="I2778">
        <v>1</v>
      </c>
      <c r="J2778" t="b">
        <v>0</v>
      </c>
      <c r="K2778" t="b">
        <v>0</v>
      </c>
      <c r="L2778" t="b">
        <v>0</v>
      </c>
      <c r="M2778" t="b">
        <v>1</v>
      </c>
      <c r="N2778" t="b">
        <v>1</v>
      </c>
      <c r="O2778" t="b">
        <v>0</v>
      </c>
    </row>
    <row r="2779" spans="1:15" x14ac:dyDescent="0.25">
      <c r="A2779" s="11">
        <v>43731.543842592589</v>
      </c>
      <c r="B2779" t="s">
        <v>2407</v>
      </c>
      <c r="C2779" t="s">
        <v>3104</v>
      </c>
      <c r="E2779" t="s">
        <v>2378</v>
      </c>
      <c r="F2779">
        <v>3.65</v>
      </c>
      <c r="G2779">
        <v>3.94</v>
      </c>
      <c r="H2779">
        <v>3.15</v>
      </c>
      <c r="I2779">
        <v>1</v>
      </c>
      <c r="J2779" t="b">
        <v>0</v>
      </c>
      <c r="K2779" t="b">
        <v>0</v>
      </c>
      <c r="L2779" t="b">
        <v>0</v>
      </c>
      <c r="M2779" t="b">
        <v>1</v>
      </c>
      <c r="N2779" t="b">
        <v>1</v>
      </c>
      <c r="O2779" t="b">
        <v>0</v>
      </c>
    </row>
    <row r="2780" spans="1:15" x14ac:dyDescent="0.25">
      <c r="A2780" s="11">
        <v>43731.544432870367</v>
      </c>
      <c r="B2780" t="s">
        <v>2407</v>
      </c>
      <c r="C2780" t="s">
        <v>3092</v>
      </c>
      <c r="D2780" t="s">
        <v>2429</v>
      </c>
      <c r="E2780">
        <v>0</v>
      </c>
      <c r="F2780">
        <v>3.65</v>
      </c>
      <c r="G2780">
        <v>3.94</v>
      </c>
      <c r="H2780">
        <v>3.15</v>
      </c>
      <c r="I2780">
        <v>1</v>
      </c>
      <c r="J2780" t="b">
        <v>0</v>
      </c>
      <c r="K2780" t="b">
        <v>0</v>
      </c>
      <c r="L2780" t="b">
        <v>0</v>
      </c>
      <c r="M2780" t="b">
        <v>1</v>
      </c>
      <c r="N2780" t="b">
        <v>1</v>
      </c>
      <c r="O2780" t="b">
        <v>0</v>
      </c>
    </row>
    <row r="2781" spans="1:15" x14ac:dyDescent="0.25">
      <c r="A2781" s="11">
        <v>43731.547037037039</v>
      </c>
      <c r="B2781" t="s">
        <v>2407</v>
      </c>
      <c r="C2781" t="s">
        <v>3104</v>
      </c>
      <c r="E2781" t="s">
        <v>2378</v>
      </c>
      <c r="F2781">
        <v>3.65</v>
      </c>
      <c r="G2781">
        <v>3.94</v>
      </c>
      <c r="H2781">
        <v>3.15</v>
      </c>
      <c r="I2781">
        <v>1</v>
      </c>
      <c r="J2781" t="b">
        <v>0</v>
      </c>
      <c r="K2781" t="b">
        <v>0</v>
      </c>
      <c r="L2781" t="b">
        <v>0</v>
      </c>
      <c r="M2781" t="b">
        <v>1</v>
      </c>
      <c r="N2781" t="b">
        <v>1</v>
      </c>
      <c r="O2781" t="b">
        <v>0</v>
      </c>
    </row>
    <row r="2782" spans="1:15" x14ac:dyDescent="0.25">
      <c r="A2782" s="11">
        <v>43731.547106481485</v>
      </c>
      <c r="B2782" t="s">
        <v>2407</v>
      </c>
      <c r="C2782" t="s">
        <v>3092</v>
      </c>
      <c r="D2782" t="s">
        <v>2429</v>
      </c>
      <c r="E2782">
        <v>0</v>
      </c>
      <c r="F2782">
        <v>3.65</v>
      </c>
      <c r="G2782">
        <v>3.94</v>
      </c>
      <c r="H2782">
        <v>3.15</v>
      </c>
      <c r="I2782">
        <v>1</v>
      </c>
      <c r="J2782" t="b">
        <v>0</v>
      </c>
      <c r="K2782" t="b">
        <v>0</v>
      </c>
      <c r="L2782" t="b">
        <v>0</v>
      </c>
      <c r="M2782" t="b">
        <v>0</v>
      </c>
      <c r="N2782" t="b">
        <v>1</v>
      </c>
      <c r="O2782" t="b">
        <v>0</v>
      </c>
    </row>
    <row r="2783" spans="1:15" x14ac:dyDescent="0.25">
      <c r="A2783" s="11">
        <v>43731.547129629631</v>
      </c>
      <c r="B2783" t="s">
        <v>2407</v>
      </c>
      <c r="C2783" t="s">
        <v>3104</v>
      </c>
      <c r="E2783" t="s">
        <v>2378</v>
      </c>
      <c r="F2783">
        <v>3.65</v>
      </c>
      <c r="G2783">
        <v>3.94</v>
      </c>
      <c r="H2783">
        <v>3.15</v>
      </c>
      <c r="I2783">
        <v>1</v>
      </c>
      <c r="J2783" t="b">
        <v>0</v>
      </c>
      <c r="K2783" t="b">
        <v>0</v>
      </c>
      <c r="L2783" t="b">
        <v>0</v>
      </c>
      <c r="M2783" t="b">
        <v>0</v>
      </c>
      <c r="N2783" t="b">
        <v>1</v>
      </c>
      <c r="O2783" t="b">
        <v>0</v>
      </c>
    </row>
    <row r="2784" spans="1:15" x14ac:dyDescent="0.25">
      <c r="A2784" s="11">
        <v>43731.547210648147</v>
      </c>
      <c r="B2784" t="s">
        <v>2407</v>
      </c>
      <c r="C2784" t="s">
        <v>3092</v>
      </c>
      <c r="D2784" t="s">
        <v>2429</v>
      </c>
      <c r="E2784">
        <v>0</v>
      </c>
      <c r="F2784">
        <v>3.65</v>
      </c>
      <c r="G2784">
        <v>3.94</v>
      </c>
      <c r="H2784">
        <v>3.15</v>
      </c>
      <c r="I2784">
        <v>1</v>
      </c>
      <c r="J2784" t="b">
        <v>0</v>
      </c>
      <c r="K2784" t="b">
        <v>0</v>
      </c>
      <c r="L2784" t="b">
        <v>0</v>
      </c>
      <c r="M2784" t="b">
        <v>1</v>
      </c>
      <c r="N2784" t="b">
        <v>1</v>
      </c>
      <c r="O2784" t="b">
        <v>0</v>
      </c>
    </row>
    <row r="2785" spans="1:15" x14ac:dyDescent="0.25">
      <c r="A2785" s="11">
        <v>43731.547233796293</v>
      </c>
      <c r="B2785" t="s">
        <v>2407</v>
      </c>
      <c r="C2785" t="s">
        <v>3104</v>
      </c>
      <c r="E2785" t="s">
        <v>2378</v>
      </c>
      <c r="F2785">
        <v>3.65</v>
      </c>
      <c r="G2785">
        <v>3.94</v>
      </c>
      <c r="H2785">
        <v>3.15</v>
      </c>
      <c r="I2785">
        <v>1</v>
      </c>
      <c r="J2785" t="b">
        <v>0</v>
      </c>
      <c r="K2785" t="b">
        <v>0</v>
      </c>
      <c r="L2785" t="b">
        <v>0</v>
      </c>
      <c r="M2785" t="b">
        <v>1</v>
      </c>
      <c r="N2785" t="b">
        <v>1</v>
      </c>
      <c r="O2785" t="b">
        <v>0</v>
      </c>
    </row>
    <row r="2786" spans="1:15" x14ac:dyDescent="0.25">
      <c r="A2786" s="11">
        <v>43731.550057870372</v>
      </c>
      <c r="B2786" t="s">
        <v>2407</v>
      </c>
      <c r="C2786" t="s">
        <v>3092</v>
      </c>
      <c r="D2786" t="s">
        <v>2429</v>
      </c>
      <c r="E2786">
        <v>0</v>
      </c>
      <c r="F2786">
        <v>3.66</v>
      </c>
      <c r="G2786">
        <v>3.94</v>
      </c>
      <c r="H2786">
        <v>3.15</v>
      </c>
      <c r="I2786">
        <v>1</v>
      </c>
      <c r="J2786" t="b">
        <v>0</v>
      </c>
      <c r="K2786" t="b">
        <v>0</v>
      </c>
      <c r="L2786" t="b">
        <v>0</v>
      </c>
      <c r="M2786" t="b">
        <v>0</v>
      </c>
      <c r="N2786" t="b">
        <v>1</v>
      </c>
      <c r="O2786" t="b">
        <v>0</v>
      </c>
    </row>
    <row r="2787" spans="1:15" x14ac:dyDescent="0.25">
      <c r="A2787" s="11">
        <v>43731.550081018519</v>
      </c>
      <c r="B2787" t="s">
        <v>2407</v>
      </c>
      <c r="C2787" t="s">
        <v>3104</v>
      </c>
      <c r="E2787" t="s">
        <v>2378</v>
      </c>
      <c r="F2787">
        <v>3.66</v>
      </c>
      <c r="G2787">
        <v>3.94</v>
      </c>
      <c r="H2787">
        <v>3.15</v>
      </c>
      <c r="I2787">
        <v>1</v>
      </c>
      <c r="J2787" t="b">
        <v>0</v>
      </c>
      <c r="K2787" t="b">
        <v>0</v>
      </c>
      <c r="L2787" t="b">
        <v>0</v>
      </c>
      <c r="M2787" t="b">
        <v>0</v>
      </c>
      <c r="N2787" t="b">
        <v>1</v>
      </c>
      <c r="O2787" t="b">
        <v>0</v>
      </c>
    </row>
    <row r="2788" spans="1:15" x14ac:dyDescent="0.25">
      <c r="A2788" s="11">
        <v>43731.550717592596</v>
      </c>
      <c r="B2788" t="s">
        <v>2407</v>
      </c>
      <c r="C2788" t="s">
        <v>3092</v>
      </c>
      <c r="D2788" t="s">
        <v>2429</v>
      </c>
      <c r="E2788">
        <v>0</v>
      </c>
      <c r="F2788">
        <v>3.66</v>
      </c>
      <c r="G2788">
        <v>3.94</v>
      </c>
      <c r="H2788">
        <v>3.15</v>
      </c>
      <c r="I2788">
        <v>1</v>
      </c>
      <c r="J2788" t="b">
        <v>0</v>
      </c>
      <c r="K2788" t="b">
        <v>0</v>
      </c>
      <c r="L2788" t="b">
        <v>0</v>
      </c>
      <c r="M2788" t="b">
        <v>0</v>
      </c>
      <c r="N2788" t="b">
        <v>1</v>
      </c>
      <c r="O2788" t="b">
        <v>0</v>
      </c>
    </row>
    <row r="2789" spans="1:15" x14ac:dyDescent="0.25">
      <c r="A2789" s="11">
        <v>43731.550740740742</v>
      </c>
      <c r="B2789" t="s">
        <v>2407</v>
      </c>
      <c r="C2789" t="s">
        <v>3104</v>
      </c>
      <c r="E2789" t="s">
        <v>2378</v>
      </c>
      <c r="F2789">
        <v>3.66</v>
      </c>
      <c r="G2789">
        <v>3.94</v>
      </c>
      <c r="H2789">
        <v>3.15</v>
      </c>
      <c r="I2789">
        <v>1</v>
      </c>
      <c r="J2789" t="b">
        <v>0</v>
      </c>
      <c r="K2789" t="b">
        <v>0</v>
      </c>
      <c r="L2789" t="b">
        <v>0</v>
      </c>
      <c r="M2789" t="b">
        <v>0</v>
      </c>
      <c r="N2789" t="b">
        <v>1</v>
      </c>
      <c r="O2789" t="b">
        <v>0</v>
      </c>
    </row>
    <row r="2790" spans="1:15" x14ac:dyDescent="0.25">
      <c r="A2790" s="11">
        <v>43731.552418981482</v>
      </c>
      <c r="B2790" t="s">
        <v>2407</v>
      </c>
      <c r="C2790" t="s">
        <v>3092</v>
      </c>
      <c r="D2790" t="s">
        <v>2429</v>
      </c>
      <c r="E2790">
        <v>0</v>
      </c>
      <c r="F2790">
        <v>3.66</v>
      </c>
      <c r="G2790">
        <v>3.94</v>
      </c>
      <c r="H2790">
        <v>3.15</v>
      </c>
      <c r="I2790">
        <v>1</v>
      </c>
      <c r="J2790" t="b">
        <v>0</v>
      </c>
      <c r="K2790" t="b">
        <v>0</v>
      </c>
      <c r="L2790" t="b">
        <v>0</v>
      </c>
      <c r="M2790" t="b">
        <v>0</v>
      </c>
      <c r="N2790" t="b">
        <v>1</v>
      </c>
      <c r="O2790" t="b">
        <v>0</v>
      </c>
    </row>
    <row r="2791" spans="1:15" x14ac:dyDescent="0.25">
      <c r="A2791" s="11">
        <v>43731.552430555559</v>
      </c>
      <c r="B2791" t="s">
        <v>2407</v>
      </c>
      <c r="C2791" t="s">
        <v>3104</v>
      </c>
      <c r="E2791" t="s">
        <v>2378</v>
      </c>
      <c r="F2791">
        <v>3.66</v>
      </c>
      <c r="G2791">
        <v>3.94</v>
      </c>
      <c r="H2791">
        <v>3.15</v>
      </c>
      <c r="I2791">
        <v>1</v>
      </c>
      <c r="J2791" t="b">
        <v>0</v>
      </c>
      <c r="K2791" t="b">
        <v>0</v>
      </c>
      <c r="L2791" t="b">
        <v>0</v>
      </c>
      <c r="M2791" t="b">
        <v>0</v>
      </c>
      <c r="N2791" t="b">
        <v>1</v>
      </c>
      <c r="O2791" t="b">
        <v>0</v>
      </c>
    </row>
    <row r="2792" spans="1:15" x14ac:dyDescent="0.25">
      <c r="A2792" s="11">
        <v>43731.55296296296</v>
      </c>
      <c r="B2792" t="s">
        <v>2407</v>
      </c>
      <c r="C2792" t="s">
        <v>3092</v>
      </c>
      <c r="D2792" t="s">
        <v>2429</v>
      </c>
      <c r="E2792">
        <v>0</v>
      </c>
      <c r="F2792">
        <v>3.66</v>
      </c>
      <c r="G2792">
        <v>3.94</v>
      </c>
      <c r="H2792">
        <v>3.15</v>
      </c>
      <c r="I2792">
        <v>1</v>
      </c>
      <c r="J2792" t="b">
        <v>0</v>
      </c>
      <c r="K2792" t="b">
        <v>0</v>
      </c>
      <c r="L2792" t="b">
        <v>0</v>
      </c>
      <c r="M2792" t="b">
        <v>0</v>
      </c>
      <c r="N2792" t="b">
        <v>1</v>
      </c>
      <c r="O2792" t="b">
        <v>0</v>
      </c>
    </row>
    <row r="2793" spans="1:15" x14ac:dyDescent="0.25">
      <c r="A2793" s="11">
        <v>43731.552986111114</v>
      </c>
      <c r="B2793" t="s">
        <v>2407</v>
      </c>
      <c r="C2793" t="s">
        <v>3104</v>
      </c>
      <c r="E2793" t="s">
        <v>2378</v>
      </c>
      <c r="F2793">
        <v>3.66</v>
      </c>
      <c r="G2793">
        <v>3.94</v>
      </c>
      <c r="H2793">
        <v>3.15</v>
      </c>
      <c r="I2793">
        <v>1</v>
      </c>
      <c r="J2793" t="b">
        <v>0</v>
      </c>
      <c r="K2793" t="b">
        <v>0</v>
      </c>
      <c r="L2793" t="b">
        <v>0</v>
      </c>
      <c r="M2793" t="b">
        <v>0</v>
      </c>
      <c r="N2793" t="b">
        <v>1</v>
      </c>
      <c r="O2793" t="b">
        <v>0</v>
      </c>
    </row>
    <row r="2794" spans="1:15" x14ac:dyDescent="0.25">
      <c r="A2794" s="11">
        <v>43731.553344907406</v>
      </c>
      <c r="B2794" t="s">
        <v>2407</v>
      </c>
      <c r="C2794" t="s">
        <v>3092</v>
      </c>
      <c r="D2794" t="s">
        <v>2429</v>
      </c>
      <c r="E2794">
        <v>0</v>
      </c>
      <c r="F2794">
        <v>3.66</v>
      </c>
      <c r="G2794">
        <v>3.94</v>
      </c>
      <c r="H2794">
        <v>3.15</v>
      </c>
      <c r="I2794">
        <v>1</v>
      </c>
      <c r="J2794" t="b">
        <v>0</v>
      </c>
      <c r="K2794" t="b">
        <v>0</v>
      </c>
      <c r="L2794" t="b">
        <v>0</v>
      </c>
      <c r="M2794" t="b">
        <v>0</v>
      </c>
      <c r="N2794" t="b">
        <v>1</v>
      </c>
      <c r="O2794" t="b">
        <v>0</v>
      </c>
    </row>
    <row r="2795" spans="1:15" x14ac:dyDescent="0.25">
      <c r="A2795" s="11">
        <v>43731.553368055553</v>
      </c>
      <c r="B2795" t="s">
        <v>2407</v>
      </c>
      <c r="C2795" t="s">
        <v>3104</v>
      </c>
      <c r="E2795" t="s">
        <v>2378</v>
      </c>
      <c r="F2795">
        <v>3.66</v>
      </c>
      <c r="G2795">
        <v>3.94</v>
      </c>
      <c r="H2795">
        <v>3.15</v>
      </c>
      <c r="I2795">
        <v>1</v>
      </c>
      <c r="J2795" t="b">
        <v>0</v>
      </c>
      <c r="K2795" t="b">
        <v>0</v>
      </c>
      <c r="L2795" t="b">
        <v>0</v>
      </c>
      <c r="M2795" t="b">
        <v>0</v>
      </c>
      <c r="N2795" t="b">
        <v>1</v>
      </c>
      <c r="O2795" t="b">
        <v>0</v>
      </c>
    </row>
    <row r="2796" spans="1:15" x14ac:dyDescent="0.25">
      <c r="A2796" s="11">
        <v>43731.554710648146</v>
      </c>
      <c r="B2796" t="s">
        <v>2407</v>
      </c>
      <c r="C2796" t="s">
        <v>3092</v>
      </c>
      <c r="D2796" t="s">
        <v>2429</v>
      </c>
      <c r="E2796">
        <v>0</v>
      </c>
      <c r="F2796">
        <v>3.66</v>
      </c>
      <c r="G2796">
        <v>3.94</v>
      </c>
      <c r="H2796">
        <v>3.15</v>
      </c>
      <c r="I2796">
        <v>1</v>
      </c>
      <c r="J2796" t="b">
        <v>0</v>
      </c>
      <c r="K2796" t="b">
        <v>0</v>
      </c>
      <c r="L2796" t="b">
        <v>0</v>
      </c>
      <c r="M2796" t="b">
        <v>0</v>
      </c>
      <c r="N2796" t="b">
        <v>1</v>
      </c>
      <c r="O2796" t="b">
        <v>0</v>
      </c>
    </row>
    <row r="2797" spans="1:15" x14ac:dyDescent="0.25">
      <c r="A2797" s="11">
        <v>43731.5547337963</v>
      </c>
      <c r="B2797" t="s">
        <v>2407</v>
      </c>
      <c r="C2797" t="s">
        <v>3104</v>
      </c>
      <c r="E2797" t="s">
        <v>2378</v>
      </c>
      <c r="F2797">
        <v>3.66</v>
      </c>
      <c r="G2797">
        <v>3.94</v>
      </c>
      <c r="H2797">
        <v>3.15</v>
      </c>
      <c r="I2797">
        <v>1</v>
      </c>
      <c r="J2797" t="b">
        <v>0</v>
      </c>
      <c r="K2797" t="b">
        <v>0</v>
      </c>
      <c r="L2797" t="b">
        <v>0</v>
      </c>
      <c r="M2797" t="b">
        <v>0</v>
      </c>
      <c r="N2797" t="b">
        <v>1</v>
      </c>
      <c r="O2797" t="b">
        <v>0</v>
      </c>
    </row>
    <row r="2798" spans="1:15" x14ac:dyDescent="0.25">
      <c r="A2798" s="11">
        <v>43731.555972222224</v>
      </c>
      <c r="B2798" t="s">
        <v>2407</v>
      </c>
      <c r="C2798" t="s">
        <v>3092</v>
      </c>
      <c r="D2798" t="s">
        <v>2429</v>
      </c>
      <c r="E2798">
        <v>0</v>
      </c>
      <c r="F2798">
        <v>3.66</v>
      </c>
      <c r="G2798">
        <v>3.94</v>
      </c>
      <c r="H2798">
        <v>3.15</v>
      </c>
      <c r="I2798">
        <v>1</v>
      </c>
      <c r="J2798" t="b">
        <v>0</v>
      </c>
      <c r="K2798" t="b">
        <v>0</v>
      </c>
      <c r="L2798" t="b">
        <v>0</v>
      </c>
      <c r="M2798" t="b">
        <v>0</v>
      </c>
      <c r="N2798" t="b">
        <v>1</v>
      </c>
      <c r="O2798" t="b">
        <v>0</v>
      </c>
    </row>
    <row r="2799" spans="1:15" x14ac:dyDescent="0.25">
      <c r="A2799" s="11">
        <v>43731.556006944447</v>
      </c>
      <c r="B2799" t="s">
        <v>2407</v>
      </c>
      <c r="C2799" t="s">
        <v>3104</v>
      </c>
      <c r="E2799" t="s">
        <v>2378</v>
      </c>
      <c r="F2799">
        <v>3.66</v>
      </c>
      <c r="G2799">
        <v>3.94</v>
      </c>
      <c r="H2799">
        <v>3.15</v>
      </c>
      <c r="I2799">
        <v>1</v>
      </c>
      <c r="J2799" t="b">
        <v>0</v>
      </c>
      <c r="K2799" t="b">
        <v>0</v>
      </c>
      <c r="L2799" t="b">
        <v>0</v>
      </c>
      <c r="M2799" t="b">
        <v>0</v>
      </c>
      <c r="N2799" t="b">
        <v>1</v>
      </c>
      <c r="O2799" t="b">
        <v>0</v>
      </c>
    </row>
    <row r="2800" spans="1:15" x14ac:dyDescent="0.25">
      <c r="A2800" s="11">
        <v>43731.55636574074</v>
      </c>
      <c r="B2800" t="s">
        <v>2407</v>
      </c>
      <c r="C2800" t="s">
        <v>3092</v>
      </c>
      <c r="D2800" t="s">
        <v>2429</v>
      </c>
      <c r="E2800">
        <v>0</v>
      </c>
      <c r="F2800">
        <v>3.66</v>
      </c>
      <c r="G2800">
        <v>3.94</v>
      </c>
      <c r="H2800">
        <v>3.15</v>
      </c>
      <c r="I2800">
        <v>1</v>
      </c>
      <c r="J2800" t="b">
        <v>0</v>
      </c>
      <c r="K2800" t="b">
        <v>0</v>
      </c>
      <c r="L2800" t="b">
        <v>0</v>
      </c>
      <c r="M2800" t="b">
        <v>0</v>
      </c>
      <c r="N2800" t="b">
        <v>1</v>
      </c>
      <c r="O2800" t="b">
        <v>0</v>
      </c>
    </row>
    <row r="2801" spans="1:15" x14ac:dyDescent="0.25">
      <c r="A2801" s="11">
        <v>43731.556400462963</v>
      </c>
      <c r="B2801" t="s">
        <v>2407</v>
      </c>
      <c r="C2801" t="s">
        <v>3104</v>
      </c>
      <c r="E2801" t="s">
        <v>2378</v>
      </c>
      <c r="F2801">
        <v>3.66</v>
      </c>
      <c r="G2801">
        <v>3.94</v>
      </c>
      <c r="H2801">
        <v>3.15</v>
      </c>
      <c r="I2801">
        <v>1</v>
      </c>
      <c r="J2801" t="b">
        <v>0</v>
      </c>
      <c r="K2801" t="b">
        <v>0</v>
      </c>
      <c r="L2801" t="b">
        <v>0</v>
      </c>
      <c r="M2801" t="b">
        <v>0</v>
      </c>
      <c r="N2801" t="b">
        <v>1</v>
      </c>
      <c r="O2801" t="b">
        <v>0</v>
      </c>
    </row>
    <row r="2802" spans="1:15" x14ac:dyDescent="0.25">
      <c r="A2802" s="11">
        <v>43731.556516203702</v>
      </c>
      <c r="B2802" t="s">
        <v>2407</v>
      </c>
      <c r="C2802" t="s">
        <v>3092</v>
      </c>
      <c r="D2802" t="s">
        <v>2429</v>
      </c>
      <c r="E2802">
        <v>0</v>
      </c>
      <c r="F2802">
        <v>3.66</v>
      </c>
      <c r="G2802">
        <v>3.94</v>
      </c>
      <c r="H2802">
        <v>3.15</v>
      </c>
      <c r="I2802">
        <v>1</v>
      </c>
      <c r="J2802" t="b">
        <v>0</v>
      </c>
      <c r="K2802" t="b">
        <v>0</v>
      </c>
      <c r="L2802" t="b">
        <v>0</v>
      </c>
      <c r="M2802" t="b">
        <v>0</v>
      </c>
      <c r="N2802" t="b">
        <v>1</v>
      </c>
      <c r="O2802" t="b">
        <v>0</v>
      </c>
    </row>
    <row r="2803" spans="1:15" x14ac:dyDescent="0.25">
      <c r="A2803" s="11">
        <v>43731.556539351855</v>
      </c>
      <c r="B2803" t="s">
        <v>2407</v>
      </c>
      <c r="C2803" t="s">
        <v>3104</v>
      </c>
      <c r="E2803" t="s">
        <v>2378</v>
      </c>
      <c r="F2803">
        <v>3.66</v>
      </c>
      <c r="G2803">
        <v>3.94</v>
      </c>
      <c r="H2803">
        <v>3.15</v>
      </c>
      <c r="I2803">
        <v>1</v>
      </c>
      <c r="J2803" t="b">
        <v>0</v>
      </c>
      <c r="K2803" t="b">
        <v>0</v>
      </c>
      <c r="L2803" t="b">
        <v>0</v>
      </c>
      <c r="M2803" t="b">
        <v>0</v>
      </c>
      <c r="N2803" t="b">
        <v>1</v>
      </c>
      <c r="O2803" t="b">
        <v>0</v>
      </c>
    </row>
    <row r="2804" spans="1:15" x14ac:dyDescent="0.25">
      <c r="A2804" s="11">
        <v>43731.556631944448</v>
      </c>
      <c r="B2804" t="s">
        <v>2407</v>
      </c>
      <c r="C2804" t="s">
        <v>3092</v>
      </c>
      <c r="D2804" t="s">
        <v>2429</v>
      </c>
      <c r="E2804">
        <v>0</v>
      </c>
      <c r="F2804">
        <v>3.66</v>
      </c>
      <c r="G2804">
        <v>3.94</v>
      </c>
      <c r="H2804">
        <v>3.15</v>
      </c>
      <c r="I2804">
        <v>1</v>
      </c>
      <c r="J2804" t="b">
        <v>0</v>
      </c>
      <c r="K2804" t="b">
        <v>0</v>
      </c>
      <c r="L2804" t="b">
        <v>0</v>
      </c>
      <c r="M2804" t="b">
        <v>1</v>
      </c>
      <c r="N2804" t="b">
        <v>1</v>
      </c>
      <c r="O2804" t="b">
        <v>0</v>
      </c>
    </row>
    <row r="2805" spans="1:15" x14ac:dyDescent="0.25">
      <c r="A2805" s="11">
        <v>43731.556655092594</v>
      </c>
      <c r="B2805" t="s">
        <v>2407</v>
      </c>
      <c r="C2805" t="s">
        <v>3104</v>
      </c>
      <c r="E2805" t="s">
        <v>2378</v>
      </c>
      <c r="F2805">
        <v>3.66</v>
      </c>
      <c r="G2805">
        <v>3.94</v>
      </c>
      <c r="H2805">
        <v>3.15</v>
      </c>
      <c r="I2805">
        <v>1</v>
      </c>
      <c r="J2805" t="b">
        <v>0</v>
      </c>
      <c r="K2805" t="b">
        <v>0</v>
      </c>
      <c r="L2805" t="b">
        <v>0</v>
      </c>
      <c r="M2805" t="b">
        <v>1</v>
      </c>
      <c r="N2805" t="b">
        <v>1</v>
      </c>
      <c r="O2805" t="b">
        <v>0</v>
      </c>
    </row>
    <row r="2806" spans="1:15" x14ac:dyDescent="0.25">
      <c r="A2806" s="11">
        <v>43731.557129629633</v>
      </c>
      <c r="B2806" t="s">
        <v>2407</v>
      </c>
      <c r="C2806" t="s">
        <v>3092</v>
      </c>
      <c r="D2806" t="s">
        <v>2429</v>
      </c>
      <c r="E2806">
        <v>0</v>
      </c>
      <c r="F2806">
        <v>3.66</v>
      </c>
      <c r="G2806">
        <v>3.94</v>
      </c>
      <c r="H2806">
        <v>3.15</v>
      </c>
      <c r="I2806">
        <v>1</v>
      </c>
      <c r="J2806" t="b">
        <v>0</v>
      </c>
      <c r="K2806" t="b">
        <v>0</v>
      </c>
      <c r="L2806" t="b">
        <v>0</v>
      </c>
      <c r="M2806" t="b">
        <v>1</v>
      </c>
      <c r="N2806" t="b">
        <v>1</v>
      </c>
      <c r="O2806" t="b">
        <v>0</v>
      </c>
    </row>
    <row r="2807" spans="1:15" x14ac:dyDescent="0.25">
      <c r="A2807" s="11">
        <v>43731.557152777779</v>
      </c>
      <c r="B2807" t="s">
        <v>2407</v>
      </c>
      <c r="C2807" t="s">
        <v>3104</v>
      </c>
      <c r="E2807" t="s">
        <v>2378</v>
      </c>
      <c r="F2807">
        <v>3.66</v>
      </c>
      <c r="G2807">
        <v>3.94</v>
      </c>
      <c r="H2807">
        <v>3.15</v>
      </c>
      <c r="I2807">
        <v>1</v>
      </c>
      <c r="J2807" t="b">
        <v>0</v>
      </c>
      <c r="K2807" t="b">
        <v>0</v>
      </c>
      <c r="L2807" t="b">
        <v>0</v>
      </c>
      <c r="M2807" t="b">
        <v>1</v>
      </c>
      <c r="N2807" t="b">
        <v>1</v>
      </c>
      <c r="O2807" t="b">
        <v>0</v>
      </c>
    </row>
    <row r="2808" spans="1:15" x14ac:dyDescent="0.25">
      <c r="A2808" s="11">
        <v>43731.557303240741</v>
      </c>
      <c r="B2808" t="s">
        <v>2407</v>
      </c>
      <c r="C2808" t="s">
        <v>3092</v>
      </c>
      <c r="D2808" t="s">
        <v>2429</v>
      </c>
      <c r="E2808">
        <v>0</v>
      </c>
      <c r="F2808">
        <v>3.66</v>
      </c>
      <c r="G2808">
        <v>3.94</v>
      </c>
      <c r="H2808">
        <v>3.15</v>
      </c>
      <c r="I2808">
        <v>1</v>
      </c>
      <c r="J2808" t="b">
        <v>0</v>
      </c>
      <c r="K2808" t="b">
        <v>0</v>
      </c>
      <c r="L2808" t="b">
        <v>0</v>
      </c>
      <c r="M2808" t="b">
        <v>0</v>
      </c>
      <c r="N2808" t="b">
        <v>1</v>
      </c>
      <c r="O2808" t="b">
        <v>0</v>
      </c>
    </row>
    <row r="2809" spans="1:15" x14ac:dyDescent="0.25">
      <c r="A2809" s="11">
        <v>43731.557326388887</v>
      </c>
      <c r="B2809" t="s">
        <v>2407</v>
      </c>
      <c r="C2809" t="s">
        <v>3104</v>
      </c>
      <c r="E2809" t="s">
        <v>2378</v>
      </c>
      <c r="F2809">
        <v>3.66</v>
      </c>
      <c r="G2809">
        <v>3.94</v>
      </c>
      <c r="H2809">
        <v>3.15</v>
      </c>
      <c r="I2809">
        <v>1</v>
      </c>
      <c r="J2809" t="b">
        <v>0</v>
      </c>
      <c r="K2809" t="b">
        <v>0</v>
      </c>
      <c r="L2809" t="b">
        <v>0</v>
      </c>
      <c r="M2809" t="b">
        <v>0</v>
      </c>
      <c r="N2809" t="b">
        <v>1</v>
      </c>
      <c r="O2809" t="b">
        <v>0</v>
      </c>
    </row>
    <row r="2810" spans="1:15" x14ac:dyDescent="0.25">
      <c r="A2810" s="11">
        <v>43731.557372685187</v>
      </c>
      <c r="B2810" t="s">
        <v>2407</v>
      </c>
      <c r="C2810" t="s">
        <v>3092</v>
      </c>
      <c r="D2810" t="s">
        <v>2429</v>
      </c>
      <c r="E2810">
        <v>0</v>
      </c>
      <c r="F2810">
        <v>3.66</v>
      </c>
      <c r="G2810">
        <v>3.94</v>
      </c>
      <c r="H2810">
        <v>3.15</v>
      </c>
      <c r="I2810">
        <v>1</v>
      </c>
      <c r="J2810" t="b">
        <v>0</v>
      </c>
      <c r="K2810" t="b">
        <v>0</v>
      </c>
      <c r="L2810" t="b">
        <v>0</v>
      </c>
      <c r="M2810" t="b">
        <v>0</v>
      </c>
      <c r="N2810" t="b">
        <v>1</v>
      </c>
      <c r="O2810" t="b">
        <v>0</v>
      </c>
    </row>
    <row r="2811" spans="1:15" x14ac:dyDescent="0.25">
      <c r="A2811" s="11">
        <v>43731.557395833333</v>
      </c>
      <c r="B2811" t="s">
        <v>2407</v>
      </c>
      <c r="C2811" t="s">
        <v>3104</v>
      </c>
      <c r="E2811" t="s">
        <v>2378</v>
      </c>
      <c r="F2811">
        <v>3.66</v>
      </c>
      <c r="G2811">
        <v>3.94</v>
      </c>
      <c r="H2811">
        <v>3.15</v>
      </c>
      <c r="I2811">
        <v>1</v>
      </c>
      <c r="J2811" t="b">
        <v>0</v>
      </c>
      <c r="K2811" t="b">
        <v>0</v>
      </c>
      <c r="L2811" t="b">
        <v>0</v>
      </c>
      <c r="M2811" t="b">
        <v>0</v>
      </c>
      <c r="N2811" t="b">
        <v>1</v>
      </c>
      <c r="O2811" t="b">
        <v>0</v>
      </c>
    </row>
    <row r="2812" spans="1:15" x14ac:dyDescent="0.25">
      <c r="A2812" s="11">
        <v>43731.557453703703</v>
      </c>
      <c r="B2812" t="s">
        <v>2407</v>
      </c>
      <c r="C2812" t="s">
        <v>3092</v>
      </c>
      <c r="D2812" t="s">
        <v>2429</v>
      </c>
      <c r="E2812">
        <v>0</v>
      </c>
      <c r="F2812">
        <v>3.66</v>
      </c>
      <c r="G2812">
        <v>3.94</v>
      </c>
      <c r="H2812">
        <v>3.15</v>
      </c>
      <c r="I2812">
        <v>1</v>
      </c>
      <c r="J2812" t="b">
        <v>0</v>
      </c>
      <c r="K2812" t="b">
        <v>0</v>
      </c>
      <c r="L2812" t="b">
        <v>0</v>
      </c>
      <c r="M2812" t="b">
        <v>0</v>
      </c>
      <c r="N2812" t="b">
        <v>1</v>
      </c>
      <c r="O2812" t="b">
        <v>0</v>
      </c>
    </row>
    <row r="2813" spans="1:15" x14ac:dyDescent="0.25">
      <c r="A2813" s="11">
        <v>43731.557476851849</v>
      </c>
      <c r="B2813" t="s">
        <v>2407</v>
      </c>
      <c r="C2813" t="s">
        <v>3104</v>
      </c>
      <c r="E2813" t="s">
        <v>2378</v>
      </c>
      <c r="F2813">
        <v>3.66</v>
      </c>
      <c r="G2813">
        <v>3.94</v>
      </c>
      <c r="H2813">
        <v>3.15</v>
      </c>
      <c r="I2813">
        <v>1</v>
      </c>
      <c r="J2813" t="b">
        <v>0</v>
      </c>
      <c r="K2813" t="b">
        <v>0</v>
      </c>
      <c r="L2813" t="b">
        <v>0</v>
      </c>
      <c r="M2813" t="b">
        <v>0</v>
      </c>
      <c r="N2813" t="b">
        <v>1</v>
      </c>
      <c r="O2813" t="b">
        <v>0</v>
      </c>
    </row>
    <row r="2814" spans="1:15" x14ac:dyDescent="0.25">
      <c r="A2814" s="11">
        <v>43731.557615740741</v>
      </c>
      <c r="B2814" t="s">
        <v>2407</v>
      </c>
      <c r="C2814" t="s">
        <v>3092</v>
      </c>
      <c r="D2814" t="s">
        <v>2429</v>
      </c>
      <c r="E2814">
        <v>0</v>
      </c>
      <c r="F2814">
        <v>3.66</v>
      </c>
      <c r="G2814">
        <v>3.94</v>
      </c>
      <c r="H2814">
        <v>3.15</v>
      </c>
      <c r="I2814">
        <v>1</v>
      </c>
      <c r="J2814" t="b">
        <v>0</v>
      </c>
      <c r="K2814" t="b">
        <v>0</v>
      </c>
      <c r="L2814" t="b">
        <v>0</v>
      </c>
      <c r="M2814" t="b">
        <v>0</v>
      </c>
      <c r="N2814" t="b">
        <v>1</v>
      </c>
      <c r="O2814" t="b">
        <v>0</v>
      </c>
    </row>
    <row r="2815" spans="1:15" x14ac:dyDescent="0.25">
      <c r="A2815" s="11">
        <v>43731.557638888888</v>
      </c>
      <c r="B2815" t="s">
        <v>2407</v>
      </c>
      <c r="C2815" t="s">
        <v>3104</v>
      </c>
      <c r="E2815" t="s">
        <v>2378</v>
      </c>
      <c r="F2815">
        <v>3.66</v>
      </c>
      <c r="G2815">
        <v>3.94</v>
      </c>
      <c r="H2815">
        <v>3.15</v>
      </c>
      <c r="I2815">
        <v>1</v>
      </c>
      <c r="J2815" t="b">
        <v>0</v>
      </c>
      <c r="K2815" t="b">
        <v>0</v>
      </c>
      <c r="L2815" t="b">
        <v>0</v>
      </c>
      <c r="M2815" t="b">
        <v>0</v>
      </c>
      <c r="N2815" t="b">
        <v>1</v>
      </c>
      <c r="O2815" t="b">
        <v>0</v>
      </c>
    </row>
    <row r="2816" spans="1:15" x14ac:dyDescent="0.25">
      <c r="A2816" s="11">
        <v>43731.55773148148</v>
      </c>
      <c r="B2816" t="s">
        <v>2407</v>
      </c>
      <c r="C2816" t="s">
        <v>3092</v>
      </c>
      <c r="D2816" t="s">
        <v>2429</v>
      </c>
      <c r="E2816">
        <v>0</v>
      </c>
      <c r="F2816">
        <v>3.66</v>
      </c>
      <c r="G2816">
        <v>3.94</v>
      </c>
      <c r="H2816">
        <v>3.15</v>
      </c>
      <c r="I2816">
        <v>1</v>
      </c>
      <c r="J2816" t="b">
        <v>0</v>
      </c>
      <c r="K2816" t="b">
        <v>0</v>
      </c>
      <c r="L2816" t="b">
        <v>0</v>
      </c>
      <c r="M2816" t="b">
        <v>0</v>
      </c>
      <c r="N2816" t="b">
        <v>1</v>
      </c>
      <c r="O2816" t="b">
        <v>0</v>
      </c>
    </row>
    <row r="2817" spans="1:15" x14ac:dyDescent="0.25">
      <c r="A2817" s="11">
        <v>43731.557928240742</v>
      </c>
      <c r="B2817" t="s">
        <v>2407</v>
      </c>
      <c r="C2817" t="s">
        <v>3104</v>
      </c>
      <c r="E2817" t="s">
        <v>2378</v>
      </c>
      <c r="F2817">
        <v>3.66</v>
      </c>
      <c r="G2817">
        <v>3.94</v>
      </c>
      <c r="H2817">
        <v>3.15</v>
      </c>
      <c r="I2817">
        <v>1</v>
      </c>
      <c r="J2817" t="b">
        <v>0</v>
      </c>
      <c r="K2817" t="b">
        <v>0</v>
      </c>
      <c r="L2817" t="b">
        <v>0</v>
      </c>
      <c r="M2817" t="b">
        <v>0</v>
      </c>
      <c r="N2817" t="b">
        <v>1</v>
      </c>
      <c r="O2817" t="b">
        <v>0</v>
      </c>
    </row>
    <row r="2818" spans="1:15" x14ac:dyDescent="0.25">
      <c r="A2818" s="11">
        <v>43731.558715277781</v>
      </c>
      <c r="B2818" t="s">
        <v>2407</v>
      </c>
      <c r="C2818" t="s">
        <v>3092</v>
      </c>
      <c r="D2818" t="s">
        <v>2429</v>
      </c>
      <c r="E2818">
        <v>0</v>
      </c>
      <c r="F2818">
        <v>3.66</v>
      </c>
      <c r="G2818">
        <v>3.94</v>
      </c>
      <c r="H2818">
        <v>3.15</v>
      </c>
      <c r="I2818">
        <v>1</v>
      </c>
      <c r="J2818" t="b">
        <v>0</v>
      </c>
      <c r="K2818" t="b">
        <v>0</v>
      </c>
      <c r="L2818" t="b">
        <v>0</v>
      </c>
      <c r="M2818" t="b">
        <v>0</v>
      </c>
      <c r="N2818" t="b">
        <v>1</v>
      </c>
      <c r="O2818" t="b">
        <v>0</v>
      </c>
    </row>
    <row r="2819" spans="1:15" x14ac:dyDescent="0.25">
      <c r="A2819" s="11">
        <v>43731.558877314812</v>
      </c>
      <c r="B2819" t="s">
        <v>2407</v>
      </c>
      <c r="C2819" t="s">
        <v>3104</v>
      </c>
      <c r="E2819" t="s">
        <v>2378</v>
      </c>
      <c r="F2819">
        <v>3.66</v>
      </c>
      <c r="G2819">
        <v>3.94</v>
      </c>
      <c r="H2819">
        <v>3.15</v>
      </c>
      <c r="I2819">
        <v>1</v>
      </c>
      <c r="J2819" t="b">
        <v>0</v>
      </c>
      <c r="K2819" t="b">
        <v>0</v>
      </c>
      <c r="L2819" t="b">
        <v>0</v>
      </c>
      <c r="M2819" t="b">
        <v>0</v>
      </c>
      <c r="N2819" t="b">
        <v>1</v>
      </c>
      <c r="O2819" t="b">
        <v>0</v>
      </c>
    </row>
    <row r="2820" spans="1:15" x14ac:dyDescent="0.25">
      <c r="A2820" s="11">
        <v>43731.559699074074</v>
      </c>
      <c r="B2820" t="s">
        <v>2407</v>
      </c>
      <c r="C2820" t="s">
        <v>3092</v>
      </c>
      <c r="D2820" t="s">
        <v>2429</v>
      </c>
      <c r="E2820">
        <v>0</v>
      </c>
      <c r="F2820">
        <v>3.66</v>
      </c>
      <c r="G2820">
        <v>3.94</v>
      </c>
      <c r="H2820">
        <v>3.15</v>
      </c>
      <c r="I2820">
        <v>1</v>
      </c>
      <c r="J2820" t="b">
        <v>0</v>
      </c>
      <c r="K2820" t="b">
        <v>0</v>
      </c>
      <c r="L2820" t="b">
        <v>0</v>
      </c>
      <c r="M2820" t="b">
        <v>0</v>
      </c>
      <c r="N2820" t="b">
        <v>1</v>
      </c>
      <c r="O2820" t="b">
        <v>0</v>
      </c>
    </row>
    <row r="2821" spans="1:15" x14ac:dyDescent="0.25">
      <c r="A2821" s="11">
        <v>43731.560277777775</v>
      </c>
      <c r="B2821" t="s">
        <v>2407</v>
      </c>
      <c r="C2821" t="s">
        <v>3092</v>
      </c>
      <c r="D2821" t="s">
        <v>2429</v>
      </c>
      <c r="E2821">
        <v>0</v>
      </c>
      <c r="F2821">
        <v>3.66</v>
      </c>
      <c r="G2821">
        <v>3.94</v>
      </c>
      <c r="H2821">
        <v>3.15</v>
      </c>
      <c r="I2821">
        <v>1</v>
      </c>
      <c r="J2821" t="b">
        <v>0</v>
      </c>
      <c r="K2821" t="b">
        <v>0</v>
      </c>
      <c r="L2821" t="b">
        <v>0</v>
      </c>
      <c r="M2821" t="b">
        <v>0</v>
      </c>
      <c r="N2821" t="b">
        <v>1</v>
      </c>
      <c r="O2821" t="b">
        <v>0</v>
      </c>
    </row>
    <row r="2822" spans="1:15" x14ac:dyDescent="0.25">
      <c r="A2822" s="11">
        <v>43731.568680555552</v>
      </c>
      <c r="B2822" t="s">
        <v>2407</v>
      </c>
      <c r="C2822" t="s">
        <v>3092</v>
      </c>
      <c r="D2822" t="s">
        <v>2429</v>
      </c>
      <c r="E2822">
        <v>0</v>
      </c>
      <c r="F2822">
        <v>3.66</v>
      </c>
      <c r="G2822">
        <v>3.94</v>
      </c>
      <c r="H2822">
        <v>3.15</v>
      </c>
      <c r="I2822">
        <v>1</v>
      </c>
      <c r="J2822" t="b">
        <v>0</v>
      </c>
      <c r="K2822" t="b">
        <v>0</v>
      </c>
      <c r="L2822" t="b">
        <v>0</v>
      </c>
      <c r="M2822" t="b">
        <v>0</v>
      </c>
      <c r="N2822" t="b">
        <v>1</v>
      </c>
      <c r="O2822" t="b">
        <v>0</v>
      </c>
    </row>
    <row r="2823" spans="1:15" x14ac:dyDescent="0.25">
      <c r="A2823" s="11">
        <v>43731.568888888891</v>
      </c>
      <c r="B2823" t="s">
        <v>2407</v>
      </c>
      <c r="C2823" t="s">
        <v>3104</v>
      </c>
      <c r="E2823" t="s">
        <v>2378</v>
      </c>
      <c r="F2823">
        <v>3.66</v>
      </c>
      <c r="G2823">
        <v>3.94</v>
      </c>
      <c r="H2823">
        <v>3.15</v>
      </c>
      <c r="I2823">
        <v>1</v>
      </c>
      <c r="J2823" t="b">
        <v>0</v>
      </c>
      <c r="K2823" t="b">
        <v>0</v>
      </c>
      <c r="L2823" t="b">
        <v>0</v>
      </c>
      <c r="M2823" t="b">
        <v>0</v>
      </c>
      <c r="N2823" t="b">
        <v>1</v>
      </c>
      <c r="O2823" t="b">
        <v>0</v>
      </c>
    </row>
    <row r="2824" spans="1:15" x14ac:dyDescent="0.25">
      <c r="A2824" s="11">
        <v>43731.569768518515</v>
      </c>
      <c r="B2824" t="s">
        <v>2407</v>
      </c>
      <c r="C2824" t="s">
        <v>3092</v>
      </c>
      <c r="D2824" t="s">
        <v>2429</v>
      </c>
      <c r="E2824">
        <v>0</v>
      </c>
      <c r="F2824">
        <v>3.66</v>
      </c>
      <c r="G2824">
        <v>3.94</v>
      </c>
      <c r="H2824">
        <v>3.15</v>
      </c>
      <c r="I2824">
        <v>1</v>
      </c>
      <c r="J2824" t="b">
        <v>0</v>
      </c>
      <c r="K2824" t="b">
        <v>0</v>
      </c>
      <c r="L2824" t="b">
        <v>0</v>
      </c>
      <c r="M2824" t="b">
        <v>0</v>
      </c>
      <c r="N2824" t="b">
        <v>1</v>
      </c>
      <c r="O2824" t="b">
        <v>0</v>
      </c>
    </row>
    <row r="2825" spans="1:15" x14ac:dyDescent="0.25">
      <c r="A2825" s="11">
        <v>43731.569780092592</v>
      </c>
      <c r="B2825" t="s">
        <v>2407</v>
      </c>
      <c r="C2825" t="s">
        <v>3104</v>
      </c>
      <c r="E2825" t="s">
        <v>2378</v>
      </c>
      <c r="F2825">
        <v>3.66</v>
      </c>
      <c r="G2825">
        <v>3.94</v>
      </c>
      <c r="H2825">
        <v>3.15</v>
      </c>
      <c r="I2825">
        <v>1</v>
      </c>
      <c r="J2825" t="b">
        <v>0</v>
      </c>
      <c r="K2825" t="b">
        <v>0</v>
      </c>
      <c r="L2825" t="b">
        <v>0</v>
      </c>
      <c r="M2825" t="b">
        <v>0</v>
      </c>
      <c r="N2825" t="b">
        <v>1</v>
      </c>
      <c r="O2825" t="b">
        <v>0</v>
      </c>
    </row>
    <row r="2826" spans="1:15" x14ac:dyDescent="0.25">
      <c r="A2826" s="11">
        <v>43731.569884259261</v>
      </c>
      <c r="B2826" t="s">
        <v>2407</v>
      </c>
      <c r="C2826" t="s">
        <v>3092</v>
      </c>
      <c r="D2826" t="s">
        <v>2429</v>
      </c>
      <c r="E2826">
        <v>0</v>
      </c>
      <c r="F2826">
        <v>3.66</v>
      </c>
      <c r="G2826">
        <v>3.94</v>
      </c>
      <c r="H2826">
        <v>3.15</v>
      </c>
      <c r="I2826">
        <v>1</v>
      </c>
      <c r="J2826" t="b">
        <v>0</v>
      </c>
      <c r="K2826" t="b">
        <v>0</v>
      </c>
      <c r="L2826" t="b">
        <v>0</v>
      </c>
      <c r="M2826" t="b">
        <v>0</v>
      </c>
      <c r="N2826" t="b">
        <v>1</v>
      </c>
      <c r="O2826" t="b">
        <v>0</v>
      </c>
    </row>
    <row r="2827" spans="1:15" x14ac:dyDescent="0.25">
      <c r="A2827" s="11">
        <v>43731.569895833331</v>
      </c>
      <c r="B2827" t="s">
        <v>2407</v>
      </c>
      <c r="C2827" t="s">
        <v>3104</v>
      </c>
      <c r="E2827" t="s">
        <v>2378</v>
      </c>
      <c r="F2827">
        <v>3.66</v>
      </c>
      <c r="G2827">
        <v>3.94</v>
      </c>
      <c r="H2827">
        <v>3.15</v>
      </c>
      <c r="I2827">
        <v>1</v>
      </c>
      <c r="J2827" t="b">
        <v>0</v>
      </c>
      <c r="K2827" t="b">
        <v>0</v>
      </c>
      <c r="L2827" t="b">
        <v>0</v>
      </c>
      <c r="M2827" t="b">
        <v>0</v>
      </c>
      <c r="N2827" t="b">
        <v>1</v>
      </c>
      <c r="O2827" t="b">
        <v>0</v>
      </c>
    </row>
    <row r="2828" spans="1:15" x14ac:dyDescent="0.25">
      <c r="A2828" s="11">
        <v>43731.570011574076</v>
      </c>
      <c r="B2828" t="s">
        <v>2407</v>
      </c>
      <c r="C2828" t="s">
        <v>3092</v>
      </c>
      <c r="D2828" t="s">
        <v>2429</v>
      </c>
      <c r="E2828">
        <v>0</v>
      </c>
      <c r="F2828">
        <v>3.66</v>
      </c>
      <c r="G2828">
        <v>3.94</v>
      </c>
      <c r="H2828">
        <v>3.15</v>
      </c>
      <c r="I2828">
        <v>1</v>
      </c>
      <c r="J2828" t="b">
        <v>0</v>
      </c>
      <c r="K2828" t="b">
        <v>0</v>
      </c>
      <c r="L2828" t="b">
        <v>0</v>
      </c>
      <c r="M2828" t="b">
        <v>0</v>
      </c>
      <c r="N2828" t="b">
        <v>1</v>
      </c>
      <c r="O2828" t="b">
        <v>0</v>
      </c>
    </row>
    <row r="2829" spans="1:15" x14ac:dyDescent="0.25">
      <c r="A2829" s="11">
        <v>43731.5700462963</v>
      </c>
      <c r="B2829" t="s">
        <v>2407</v>
      </c>
      <c r="C2829" t="s">
        <v>3104</v>
      </c>
      <c r="E2829" t="s">
        <v>2378</v>
      </c>
      <c r="F2829">
        <v>3.66</v>
      </c>
      <c r="G2829">
        <v>3.94</v>
      </c>
      <c r="H2829">
        <v>3.15</v>
      </c>
      <c r="I2829">
        <v>1</v>
      </c>
      <c r="J2829" t="b">
        <v>0</v>
      </c>
      <c r="K2829" t="b">
        <v>0</v>
      </c>
      <c r="L2829" t="b">
        <v>0</v>
      </c>
      <c r="M2829" t="b">
        <v>0</v>
      </c>
      <c r="N2829" t="b">
        <v>1</v>
      </c>
      <c r="O2829" t="b">
        <v>0</v>
      </c>
    </row>
    <row r="2830" spans="1:15" x14ac:dyDescent="0.25">
      <c r="A2830" s="11">
        <v>43731.570104166669</v>
      </c>
      <c r="B2830" t="s">
        <v>2407</v>
      </c>
      <c r="C2830" t="s">
        <v>3092</v>
      </c>
      <c r="D2830" t="s">
        <v>2429</v>
      </c>
      <c r="E2830">
        <v>0</v>
      </c>
      <c r="F2830">
        <v>3.66</v>
      </c>
      <c r="G2830">
        <v>3.94</v>
      </c>
      <c r="H2830">
        <v>3.15</v>
      </c>
      <c r="I2830">
        <v>1</v>
      </c>
      <c r="J2830" t="b">
        <v>0</v>
      </c>
      <c r="K2830" t="b">
        <v>0</v>
      </c>
      <c r="L2830" t="b">
        <v>0</v>
      </c>
      <c r="M2830" t="b">
        <v>0</v>
      </c>
      <c r="N2830" t="b">
        <v>1</v>
      </c>
      <c r="O2830" t="b">
        <v>0</v>
      </c>
    </row>
    <row r="2831" spans="1:15" x14ac:dyDescent="0.25">
      <c r="A2831" s="11">
        <v>43731.570115740738</v>
      </c>
      <c r="B2831" t="s">
        <v>2407</v>
      </c>
      <c r="C2831" t="s">
        <v>3104</v>
      </c>
      <c r="E2831" t="s">
        <v>2378</v>
      </c>
      <c r="F2831">
        <v>3.66</v>
      </c>
      <c r="G2831">
        <v>3.94</v>
      </c>
      <c r="H2831">
        <v>3.15</v>
      </c>
      <c r="I2831">
        <v>1</v>
      </c>
      <c r="J2831" t="b">
        <v>0</v>
      </c>
      <c r="K2831" t="b">
        <v>0</v>
      </c>
      <c r="L2831" t="b">
        <v>0</v>
      </c>
      <c r="M2831" t="b">
        <v>0</v>
      </c>
      <c r="N2831" t="b">
        <v>1</v>
      </c>
      <c r="O2831" t="b">
        <v>0</v>
      </c>
    </row>
    <row r="2832" spans="1:15" x14ac:dyDescent="0.25">
      <c r="A2832" s="11">
        <v>43731.570972222224</v>
      </c>
      <c r="B2832" t="s">
        <v>2407</v>
      </c>
      <c r="C2832" t="s">
        <v>3092</v>
      </c>
      <c r="D2832" t="s">
        <v>2429</v>
      </c>
      <c r="E2832">
        <v>0</v>
      </c>
      <c r="F2832">
        <v>3.66</v>
      </c>
      <c r="G2832">
        <v>3.94</v>
      </c>
      <c r="H2832">
        <v>3.15</v>
      </c>
      <c r="I2832">
        <v>1</v>
      </c>
      <c r="J2832" t="b">
        <v>0</v>
      </c>
      <c r="K2832" t="b">
        <v>0</v>
      </c>
      <c r="L2832" t="b">
        <v>0</v>
      </c>
      <c r="M2832" t="b">
        <v>0</v>
      </c>
      <c r="N2832" t="b">
        <v>1</v>
      </c>
      <c r="O2832" t="b">
        <v>0</v>
      </c>
    </row>
    <row r="2833" spans="1:15" x14ac:dyDescent="0.25">
      <c r="A2833" s="11">
        <v>43731.57099537037</v>
      </c>
      <c r="B2833" t="s">
        <v>2407</v>
      </c>
      <c r="C2833" t="s">
        <v>3104</v>
      </c>
      <c r="E2833" t="s">
        <v>2378</v>
      </c>
      <c r="F2833">
        <v>3.66</v>
      </c>
      <c r="G2833">
        <v>3.94</v>
      </c>
      <c r="H2833">
        <v>3.15</v>
      </c>
      <c r="I2833">
        <v>1</v>
      </c>
      <c r="J2833" t="b">
        <v>0</v>
      </c>
      <c r="K2833" t="b">
        <v>0</v>
      </c>
      <c r="L2833" t="b">
        <v>0</v>
      </c>
      <c r="M2833" t="b">
        <v>0</v>
      </c>
      <c r="N2833" t="b">
        <v>1</v>
      </c>
      <c r="O2833" t="b">
        <v>0</v>
      </c>
    </row>
    <row r="2834" spans="1:15" x14ac:dyDescent="0.25">
      <c r="A2834" s="11">
        <v>43731.571400462963</v>
      </c>
      <c r="B2834" t="s">
        <v>2407</v>
      </c>
      <c r="C2834" t="s">
        <v>3092</v>
      </c>
      <c r="D2834" t="s">
        <v>2429</v>
      </c>
      <c r="E2834">
        <v>0</v>
      </c>
      <c r="F2834">
        <v>3.66</v>
      </c>
      <c r="G2834">
        <v>3.94</v>
      </c>
      <c r="H2834">
        <v>3.15</v>
      </c>
      <c r="I2834">
        <v>1</v>
      </c>
      <c r="J2834" t="b">
        <v>0</v>
      </c>
      <c r="K2834" t="b">
        <v>0</v>
      </c>
      <c r="L2834" t="b">
        <v>0</v>
      </c>
      <c r="M2834" t="b">
        <v>0</v>
      </c>
      <c r="N2834" t="b">
        <v>1</v>
      </c>
      <c r="O2834" t="b">
        <v>0</v>
      </c>
    </row>
    <row r="2835" spans="1:15" x14ac:dyDescent="0.25">
      <c r="A2835" s="11">
        <v>43731.571423611109</v>
      </c>
      <c r="B2835" t="s">
        <v>2407</v>
      </c>
      <c r="C2835" t="s">
        <v>3104</v>
      </c>
      <c r="E2835" t="s">
        <v>2378</v>
      </c>
      <c r="F2835">
        <v>3.66</v>
      </c>
      <c r="G2835">
        <v>3.94</v>
      </c>
      <c r="H2835">
        <v>3.15</v>
      </c>
      <c r="I2835">
        <v>1</v>
      </c>
      <c r="J2835" t="b">
        <v>0</v>
      </c>
      <c r="K2835" t="b">
        <v>0</v>
      </c>
      <c r="L2835" t="b">
        <v>0</v>
      </c>
      <c r="M2835" t="b">
        <v>0</v>
      </c>
      <c r="N2835" t="b">
        <v>1</v>
      </c>
      <c r="O2835" t="b">
        <v>0</v>
      </c>
    </row>
    <row r="2836" spans="1:15" x14ac:dyDescent="0.25">
      <c r="A2836" s="11">
        <v>43731.57236111111</v>
      </c>
      <c r="B2836" t="s">
        <v>2407</v>
      </c>
      <c r="C2836" t="s">
        <v>3092</v>
      </c>
      <c r="D2836" t="s">
        <v>2429</v>
      </c>
      <c r="E2836">
        <v>0</v>
      </c>
      <c r="F2836">
        <v>3.66</v>
      </c>
      <c r="G2836">
        <v>3.94</v>
      </c>
      <c r="H2836">
        <v>3.15</v>
      </c>
      <c r="I2836">
        <v>1</v>
      </c>
      <c r="J2836" t="b">
        <v>0</v>
      </c>
      <c r="K2836" t="b">
        <v>0</v>
      </c>
      <c r="L2836" t="b">
        <v>0</v>
      </c>
      <c r="M2836" t="b">
        <v>0</v>
      </c>
      <c r="N2836" t="b">
        <v>1</v>
      </c>
      <c r="O2836" t="b">
        <v>0</v>
      </c>
    </row>
    <row r="2837" spans="1:15" x14ac:dyDescent="0.25">
      <c r="A2837" s="11">
        <v>43731.572997685187</v>
      </c>
      <c r="B2837" t="s">
        <v>2407</v>
      </c>
      <c r="C2837" t="s">
        <v>3104</v>
      </c>
      <c r="E2837" t="s">
        <v>2378</v>
      </c>
      <c r="F2837">
        <v>3.66</v>
      </c>
      <c r="G2837">
        <v>3.94</v>
      </c>
      <c r="H2837">
        <v>3.15</v>
      </c>
      <c r="I2837">
        <v>1</v>
      </c>
      <c r="J2837" t="b">
        <v>0</v>
      </c>
      <c r="K2837" t="b">
        <v>0</v>
      </c>
      <c r="L2837" t="b">
        <v>0</v>
      </c>
      <c r="M2837" t="b">
        <v>0</v>
      </c>
      <c r="N2837" t="b">
        <v>1</v>
      </c>
      <c r="O2837" t="b">
        <v>0</v>
      </c>
    </row>
    <row r="2838" spans="1:15" x14ac:dyDescent="0.25">
      <c r="A2838" s="11">
        <v>43731.573587962965</v>
      </c>
      <c r="B2838" t="s">
        <v>2407</v>
      </c>
      <c r="C2838" t="s">
        <v>3092</v>
      </c>
      <c r="D2838" t="s">
        <v>2429</v>
      </c>
      <c r="E2838">
        <v>0</v>
      </c>
      <c r="F2838">
        <v>3.66</v>
      </c>
      <c r="G2838">
        <v>3.94</v>
      </c>
      <c r="H2838">
        <v>3.15</v>
      </c>
      <c r="I2838">
        <v>1</v>
      </c>
      <c r="J2838" t="b">
        <v>0</v>
      </c>
      <c r="K2838" t="b">
        <v>0</v>
      </c>
      <c r="L2838" t="b">
        <v>0</v>
      </c>
      <c r="M2838" t="b">
        <v>0</v>
      </c>
      <c r="N2838" t="b">
        <v>1</v>
      </c>
      <c r="O2838" t="b">
        <v>0</v>
      </c>
    </row>
    <row r="2839" spans="1:15" x14ac:dyDescent="0.25">
      <c r="A2839" s="11">
        <v>43731.573611111111</v>
      </c>
      <c r="B2839" t="s">
        <v>2407</v>
      </c>
      <c r="C2839" t="s">
        <v>3104</v>
      </c>
      <c r="E2839" t="s">
        <v>2378</v>
      </c>
      <c r="F2839">
        <v>3.66</v>
      </c>
      <c r="G2839">
        <v>3.94</v>
      </c>
      <c r="H2839">
        <v>3.15</v>
      </c>
      <c r="I2839">
        <v>1</v>
      </c>
      <c r="J2839" t="b">
        <v>0</v>
      </c>
      <c r="K2839" t="b">
        <v>0</v>
      </c>
      <c r="L2839" t="b">
        <v>0</v>
      </c>
      <c r="M2839" t="b">
        <v>0</v>
      </c>
      <c r="N2839" t="b">
        <v>1</v>
      </c>
      <c r="O2839" t="b">
        <v>0</v>
      </c>
    </row>
    <row r="2840" spans="1:15" x14ac:dyDescent="0.25">
      <c r="A2840" s="11">
        <v>43731.573912037034</v>
      </c>
      <c r="B2840" t="s">
        <v>2407</v>
      </c>
      <c r="C2840" t="s">
        <v>3092</v>
      </c>
      <c r="D2840" t="s">
        <v>2429</v>
      </c>
      <c r="E2840">
        <v>0</v>
      </c>
      <c r="F2840">
        <v>3.66</v>
      </c>
      <c r="G2840">
        <v>3.94</v>
      </c>
      <c r="H2840">
        <v>3.15</v>
      </c>
      <c r="I2840">
        <v>1</v>
      </c>
      <c r="J2840" t="b">
        <v>0</v>
      </c>
      <c r="K2840" t="b">
        <v>0</v>
      </c>
      <c r="L2840" t="b">
        <v>0</v>
      </c>
      <c r="M2840" t="b">
        <v>0</v>
      </c>
      <c r="N2840" t="b">
        <v>1</v>
      </c>
      <c r="O2840" t="b">
        <v>0</v>
      </c>
    </row>
    <row r="2841" spans="1:15" x14ac:dyDescent="0.25">
      <c r="A2841" s="11">
        <v>43731.573935185188</v>
      </c>
      <c r="B2841" t="s">
        <v>2407</v>
      </c>
      <c r="C2841" t="s">
        <v>3104</v>
      </c>
      <c r="E2841" t="s">
        <v>2378</v>
      </c>
      <c r="F2841">
        <v>3.66</v>
      </c>
      <c r="G2841">
        <v>3.94</v>
      </c>
      <c r="H2841">
        <v>3.15</v>
      </c>
      <c r="I2841">
        <v>1</v>
      </c>
      <c r="J2841" t="b">
        <v>0</v>
      </c>
      <c r="K2841" t="b">
        <v>0</v>
      </c>
      <c r="L2841" t="b">
        <v>0</v>
      </c>
      <c r="M2841" t="b">
        <v>0</v>
      </c>
      <c r="N2841" t="b">
        <v>1</v>
      </c>
      <c r="O2841" t="b">
        <v>0</v>
      </c>
    </row>
    <row r="2842" spans="1:15" x14ac:dyDescent="0.25">
      <c r="A2842" s="11">
        <v>43731.574664351851</v>
      </c>
      <c r="B2842" t="s">
        <v>2407</v>
      </c>
      <c r="C2842" t="s">
        <v>3092</v>
      </c>
      <c r="D2842" t="s">
        <v>2429</v>
      </c>
      <c r="E2842">
        <v>0</v>
      </c>
      <c r="F2842">
        <v>3.66</v>
      </c>
      <c r="G2842">
        <v>3.94</v>
      </c>
      <c r="H2842">
        <v>3.15</v>
      </c>
      <c r="I2842">
        <v>1</v>
      </c>
      <c r="J2842" t="b">
        <v>0</v>
      </c>
      <c r="K2842" t="b">
        <v>0</v>
      </c>
      <c r="L2842" t="b">
        <v>0</v>
      </c>
      <c r="M2842" t="b">
        <v>0</v>
      </c>
      <c r="N2842" t="b">
        <v>1</v>
      </c>
      <c r="O2842" t="b">
        <v>0</v>
      </c>
    </row>
    <row r="2843" spans="1:15" x14ac:dyDescent="0.25">
      <c r="A2843" s="11">
        <v>43731.574675925927</v>
      </c>
      <c r="B2843" t="s">
        <v>2407</v>
      </c>
      <c r="C2843" t="s">
        <v>3104</v>
      </c>
      <c r="E2843" t="s">
        <v>2378</v>
      </c>
      <c r="F2843">
        <v>3.66</v>
      </c>
      <c r="G2843">
        <v>3.94</v>
      </c>
      <c r="H2843">
        <v>3.15</v>
      </c>
      <c r="I2843">
        <v>1</v>
      </c>
      <c r="J2843" t="b">
        <v>0</v>
      </c>
      <c r="K2843" t="b">
        <v>0</v>
      </c>
      <c r="L2843" t="b">
        <v>0</v>
      </c>
      <c r="M2843" t="b">
        <v>0</v>
      </c>
      <c r="N2843" t="b">
        <v>1</v>
      </c>
      <c r="O2843" t="b">
        <v>0</v>
      </c>
    </row>
    <row r="2844" spans="1:15" x14ac:dyDescent="0.25">
      <c r="A2844" s="11">
        <v>43731.574872685182</v>
      </c>
      <c r="B2844" t="s">
        <v>2407</v>
      </c>
      <c r="C2844" t="s">
        <v>3092</v>
      </c>
      <c r="D2844" t="s">
        <v>2429</v>
      </c>
      <c r="E2844">
        <v>0</v>
      </c>
      <c r="F2844">
        <v>3.66</v>
      </c>
      <c r="G2844">
        <v>3.94</v>
      </c>
      <c r="H2844">
        <v>3.15</v>
      </c>
      <c r="I2844">
        <v>1</v>
      </c>
      <c r="J2844" t="b">
        <v>0</v>
      </c>
      <c r="K2844" t="b">
        <v>0</v>
      </c>
      <c r="L2844" t="b">
        <v>0</v>
      </c>
      <c r="M2844" t="b">
        <v>0</v>
      </c>
      <c r="N2844" t="b">
        <v>1</v>
      </c>
      <c r="O2844" t="b">
        <v>0</v>
      </c>
    </row>
    <row r="2845" spans="1:15" x14ac:dyDescent="0.25">
      <c r="A2845" s="11">
        <v>43731.574895833335</v>
      </c>
      <c r="B2845" t="s">
        <v>2407</v>
      </c>
      <c r="C2845" t="s">
        <v>3104</v>
      </c>
      <c r="E2845" t="s">
        <v>2378</v>
      </c>
      <c r="F2845">
        <v>3.66</v>
      </c>
      <c r="G2845">
        <v>3.94</v>
      </c>
      <c r="H2845">
        <v>3.15</v>
      </c>
      <c r="I2845">
        <v>1</v>
      </c>
      <c r="J2845" t="b">
        <v>0</v>
      </c>
      <c r="K2845" t="b">
        <v>0</v>
      </c>
      <c r="L2845" t="b">
        <v>0</v>
      </c>
      <c r="M2845" t="b">
        <v>0</v>
      </c>
      <c r="N2845" t="b">
        <v>1</v>
      </c>
      <c r="O2845" t="b">
        <v>0</v>
      </c>
    </row>
    <row r="2846" spans="1:15" x14ac:dyDescent="0.25">
      <c r="A2846" s="11">
        <v>43731.575127314813</v>
      </c>
      <c r="B2846" t="s">
        <v>2407</v>
      </c>
      <c r="C2846" t="s">
        <v>3092</v>
      </c>
      <c r="D2846" t="s">
        <v>2429</v>
      </c>
      <c r="E2846">
        <v>0</v>
      </c>
      <c r="F2846">
        <v>3.66</v>
      </c>
      <c r="G2846">
        <v>3.94</v>
      </c>
      <c r="H2846">
        <v>3.15</v>
      </c>
      <c r="I2846">
        <v>1</v>
      </c>
      <c r="J2846" t="b">
        <v>0</v>
      </c>
      <c r="K2846" t="b">
        <v>0</v>
      </c>
      <c r="L2846" t="b">
        <v>0</v>
      </c>
      <c r="M2846" t="b">
        <v>0</v>
      </c>
      <c r="N2846" t="b">
        <v>1</v>
      </c>
      <c r="O2846" t="b">
        <v>0</v>
      </c>
    </row>
    <row r="2847" spans="1:15" x14ac:dyDescent="0.25">
      <c r="A2847" s="11">
        <v>43731.575138888889</v>
      </c>
      <c r="B2847" t="s">
        <v>2407</v>
      </c>
      <c r="C2847" t="s">
        <v>3104</v>
      </c>
      <c r="E2847" t="s">
        <v>2378</v>
      </c>
      <c r="F2847">
        <v>3.66</v>
      </c>
      <c r="G2847">
        <v>3.94</v>
      </c>
      <c r="H2847">
        <v>3.15</v>
      </c>
      <c r="I2847">
        <v>1</v>
      </c>
      <c r="J2847" t="b">
        <v>0</v>
      </c>
      <c r="K2847" t="b">
        <v>0</v>
      </c>
      <c r="L2847" t="b">
        <v>0</v>
      </c>
      <c r="M2847" t="b">
        <v>0</v>
      </c>
      <c r="N2847" t="b">
        <v>1</v>
      </c>
      <c r="O2847" t="b">
        <v>0</v>
      </c>
    </row>
    <row r="2848" spans="1:15" x14ac:dyDescent="0.25">
      <c r="A2848" s="11">
        <v>43731.575335648151</v>
      </c>
      <c r="B2848" t="s">
        <v>2407</v>
      </c>
      <c r="C2848" t="s">
        <v>3092</v>
      </c>
      <c r="D2848" t="s">
        <v>2429</v>
      </c>
      <c r="E2848">
        <v>0</v>
      </c>
      <c r="F2848">
        <v>3.66</v>
      </c>
      <c r="G2848">
        <v>3.94</v>
      </c>
      <c r="H2848">
        <v>3.15</v>
      </c>
      <c r="I2848">
        <v>1</v>
      </c>
      <c r="J2848" t="b">
        <v>0</v>
      </c>
      <c r="K2848" t="b">
        <v>0</v>
      </c>
      <c r="L2848" t="b">
        <v>0</v>
      </c>
      <c r="M2848" t="b">
        <v>0</v>
      </c>
      <c r="N2848" t="b">
        <v>1</v>
      </c>
      <c r="O2848" t="b">
        <v>0</v>
      </c>
    </row>
    <row r="2849" spans="1:15" x14ac:dyDescent="0.25">
      <c r="A2849" s="11">
        <v>43731.575358796297</v>
      </c>
      <c r="B2849" t="s">
        <v>2407</v>
      </c>
      <c r="C2849" t="s">
        <v>3104</v>
      </c>
      <c r="E2849" t="s">
        <v>2378</v>
      </c>
      <c r="F2849">
        <v>3.66</v>
      </c>
      <c r="G2849">
        <v>3.94</v>
      </c>
      <c r="H2849">
        <v>3.15</v>
      </c>
      <c r="I2849">
        <v>1</v>
      </c>
      <c r="J2849" t="b">
        <v>0</v>
      </c>
      <c r="K2849" t="b">
        <v>0</v>
      </c>
      <c r="L2849" t="b">
        <v>0</v>
      </c>
      <c r="M2849" t="b">
        <v>0</v>
      </c>
      <c r="N2849" t="b">
        <v>1</v>
      </c>
      <c r="O2849" t="b">
        <v>0</v>
      </c>
    </row>
    <row r="2850" spans="1:15" x14ac:dyDescent="0.25">
      <c r="A2850" s="11">
        <v>43731.575578703705</v>
      </c>
      <c r="B2850" t="s">
        <v>2407</v>
      </c>
      <c r="C2850" t="s">
        <v>3092</v>
      </c>
      <c r="D2850" t="s">
        <v>2429</v>
      </c>
      <c r="E2850">
        <v>0</v>
      </c>
      <c r="F2850">
        <v>3.66</v>
      </c>
      <c r="G2850">
        <v>3.94</v>
      </c>
      <c r="H2850">
        <v>3.15</v>
      </c>
      <c r="I2850">
        <v>1</v>
      </c>
      <c r="J2850" t="b">
        <v>0</v>
      </c>
      <c r="K2850" t="b">
        <v>0</v>
      </c>
      <c r="L2850" t="b">
        <v>0</v>
      </c>
      <c r="M2850" t="b">
        <v>0</v>
      </c>
      <c r="N2850" t="b">
        <v>1</v>
      </c>
      <c r="O2850" t="b">
        <v>0</v>
      </c>
    </row>
    <row r="2851" spans="1:15" x14ac:dyDescent="0.25">
      <c r="A2851" s="11">
        <v>43731.575590277775</v>
      </c>
      <c r="B2851" t="s">
        <v>2407</v>
      </c>
      <c r="C2851" t="s">
        <v>3104</v>
      </c>
      <c r="E2851" t="s">
        <v>2378</v>
      </c>
      <c r="F2851">
        <v>3.66</v>
      </c>
      <c r="G2851">
        <v>3.94</v>
      </c>
      <c r="H2851">
        <v>3.15</v>
      </c>
      <c r="I2851">
        <v>1</v>
      </c>
      <c r="J2851" t="b">
        <v>0</v>
      </c>
      <c r="K2851" t="b">
        <v>0</v>
      </c>
      <c r="L2851" t="b">
        <v>0</v>
      </c>
      <c r="M2851" t="b">
        <v>0</v>
      </c>
      <c r="N2851" t="b">
        <v>1</v>
      </c>
      <c r="O2851" t="b">
        <v>0</v>
      </c>
    </row>
    <row r="2852" spans="1:15" x14ac:dyDescent="0.25">
      <c r="A2852" s="11">
        <v>43731.575983796298</v>
      </c>
      <c r="B2852" t="s">
        <v>2407</v>
      </c>
      <c r="C2852" t="s">
        <v>3092</v>
      </c>
      <c r="D2852" t="s">
        <v>2429</v>
      </c>
      <c r="E2852">
        <v>0</v>
      </c>
      <c r="F2852">
        <v>3.66</v>
      </c>
      <c r="G2852">
        <v>3.94</v>
      </c>
      <c r="H2852">
        <v>3.15</v>
      </c>
      <c r="I2852">
        <v>1</v>
      </c>
      <c r="J2852" t="b">
        <v>0</v>
      </c>
      <c r="K2852" t="b">
        <v>0</v>
      </c>
      <c r="L2852" t="b">
        <v>0</v>
      </c>
      <c r="M2852" t="b">
        <v>0</v>
      </c>
      <c r="N2852" t="b">
        <v>1</v>
      </c>
      <c r="O2852" t="b">
        <v>0</v>
      </c>
    </row>
    <row r="2853" spans="1:15" x14ac:dyDescent="0.25">
      <c r="A2853" s="11">
        <v>43731.576006944444</v>
      </c>
      <c r="B2853" t="s">
        <v>2407</v>
      </c>
      <c r="C2853" t="s">
        <v>3104</v>
      </c>
      <c r="E2853" t="s">
        <v>2378</v>
      </c>
      <c r="F2853">
        <v>3.66</v>
      </c>
      <c r="G2853">
        <v>3.94</v>
      </c>
      <c r="H2853">
        <v>3.15</v>
      </c>
      <c r="I2853">
        <v>1</v>
      </c>
      <c r="J2853" t="b">
        <v>0</v>
      </c>
      <c r="K2853" t="b">
        <v>0</v>
      </c>
      <c r="L2853" t="b">
        <v>0</v>
      </c>
      <c r="M2853" t="b">
        <v>0</v>
      </c>
      <c r="N2853" t="b">
        <v>1</v>
      </c>
      <c r="O2853" t="b">
        <v>0</v>
      </c>
    </row>
    <row r="2854" spans="1:15" x14ac:dyDescent="0.25">
      <c r="A2854" s="11">
        <v>43731.57671296296</v>
      </c>
      <c r="B2854" t="s">
        <v>2407</v>
      </c>
      <c r="C2854" t="s">
        <v>3092</v>
      </c>
      <c r="D2854" t="s">
        <v>2429</v>
      </c>
      <c r="E2854">
        <v>0</v>
      </c>
      <c r="F2854">
        <v>3.66</v>
      </c>
      <c r="G2854">
        <v>3.94</v>
      </c>
      <c r="H2854">
        <v>3.15</v>
      </c>
      <c r="I2854">
        <v>1</v>
      </c>
      <c r="J2854" t="b">
        <v>0</v>
      </c>
      <c r="K2854" t="b">
        <v>0</v>
      </c>
      <c r="L2854" t="b">
        <v>0</v>
      </c>
      <c r="M2854" t="b">
        <v>0</v>
      </c>
      <c r="N2854" t="b">
        <v>1</v>
      </c>
      <c r="O2854" t="b">
        <v>0</v>
      </c>
    </row>
    <row r="2855" spans="1:15" x14ac:dyDescent="0.25">
      <c r="A2855" s="11">
        <v>43731.577280092592</v>
      </c>
      <c r="B2855" t="s">
        <v>2407</v>
      </c>
      <c r="C2855" t="s">
        <v>3104</v>
      </c>
      <c r="E2855" t="s">
        <v>2378</v>
      </c>
      <c r="F2855">
        <v>3.66</v>
      </c>
      <c r="G2855">
        <v>3.94</v>
      </c>
      <c r="H2855">
        <v>3.15</v>
      </c>
      <c r="I2855">
        <v>1</v>
      </c>
      <c r="J2855" t="b">
        <v>0</v>
      </c>
      <c r="K2855" t="b">
        <v>0</v>
      </c>
      <c r="L2855" t="b">
        <v>0</v>
      </c>
      <c r="M2855" t="b">
        <v>0</v>
      </c>
      <c r="N2855" t="b">
        <v>1</v>
      </c>
      <c r="O2855" t="b">
        <v>0</v>
      </c>
    </row>
    <row r="2856" spans="1:15" x14ac:dyDescent="0.25">
      <c r="A2856" s="11">
        <v>43731.577326388891</v>
      </c>
      <c r="B2856" t="s">
        <v>2407</v>
      </c>
      <c r="C2856" t="s">
        <v>3092</v>
      </c>
      <c r="D2856" t="s">
        <v>2429</v>
      </c>
      <c r="E2856">
        <v>0</v>
      </c>
      <c r="F2856">
        <v>3.66</v>
      </c>
      <c r="G2856">
        <v>3.94</v>
      </c>
      <c r="H2856">
        <v>3.15</v>
      </c>
      <c r="I2856">
        <v>1</v>
      </c>
      <c r="J2856" t="b">
        <v>0</v>
      </c>
      <c r="K2856" t="b">
        <v>0</v>
      </c>
      <c r="L2856" t="b">
        <v>0</v>
      </c>
      <c r="M2856" t="b">
        <v>0</v>
      </c>
      <c r="N2856" t="b">
        <v>1</v>
      </c>
      <c r="O2856" t="b">
        <v>0</v>
      </c>
    </row>
    <row r="2857" spans="1:15" x14ac:dyDescent="0.25">
      <c r="A2857" s="11">
        <v>43731.581203703703</v>
      </c>
      <c r="B2857" t="s">
        <v>2407</v>
      </c>
      <c r="C2857" t="s">
        <v>3104</v>
      </c>
      <c r="E2857" t="s">
        <v>2378</v>
      </c>
      <c r="F2857">
        <v>3.66</v>
      </c>
      <c r="G2857">
        <v>3.94</v>
      </c>
      <c r="H2857">
        <v>3.15</v>
      </c>
      <c r="I2857">
        <v>1</v>
      </c>
      <c r="J2857" t="b">
        <v>0</v>
      </c>
      <c r="K2857" t="b">
        <v>0</v>
      </c>
      <c r="L2857" t="b">
        <v>0</v>
      </c>
      <c r="M2857" t="b">
        <v>0</v>
      </c>
      <c r="N2857" t="b">
        <v>1</v>
      </c>
      <c r="O2857" t="b">
        <v>0</v>
      </c>
    </row>
    <row r="2858" spans="1:15" x14ac:dyDescent="0.25">
      <c r="A2858" s="11">
        <v>43731.581238425926</v>
      </c>
      <c r="B2858" t="s">
        <v>2407</v>
      </c>
      <c r="C2858" t="s">
        <v>3092</v>
      </c>
      <c r="D2858" t="s">
        <v>2429</v>
      </c>
      <c r="E2858">
        <v>0</v>
      </c>
      <c r="F2858">
        <v>3.66</v>
      </c>
      <c r="G2858">
        <v>3.94</v>
      </c>
      <c r="H2858">
        <v>3.15</v>
      </c>
      <c r="I2858">
        <v>1</v>
      </c>
      <c r="J2858" t="b">
        <v>0</v>
      </c>
      <c r="K2858" t="b">
        <v>0</v>
      </c>
      <c r="L2858" t="b">
        <v>0</v>
      </c>
      <c r="M2858" t="b">
        <v>0</v>
      </c>
      <c r="N2858" t="b">
        <v>1</v>
      </c>
      <c r="O2858" t="b">
        <v>0</v>
      </c>
    </row>
    <row r="2859" spans="1:15" x14ac:dyDescent="0.25">
      <c r="A2859" s="11">
        <v>43731.582083333335</v>
      </c>
      <c r="B2859" t="s">
        <v>2407</v>
      </c>
      <c r="C2859" t="s">
        <v>3104</v>
      </c>
      <c r="E2859" t="s">
        <v>2378</v>
      </c>
      <c r="F2859">
        <v>3.66</v>
      </c>
      <c r="G2859">
        <v>3.94</v>
      </c>
      <c r="H2859">
        <v>3.15</v>
      </c>
      <c r="I2859">
        <v>1</v>
      </c>
      <c r="J2859" t="b">
        <v>0</v>
      </c>
      <c r="K2859" t="b">
        <v>0</v>
      </c>
      <c r="L2859" t="b">
        <v>0</v>
      </c>
      <c r="M2859" t="b">
        <v>0</v>
      </c>
      <c r="N2859" t="b">
        <v>1</v>
      </c>
      <c r="O2859" t="b">
        <v>0</v>
      </c>
    </row>
    <row r="2860" spans="1:15" x14ac:dyDescent="0.25">
      <c r="A2860" s="11">
        <v>43731.583726851852</v>
      </c>
      <c r="B2860" t="s">
        <v>2407</v>
      </c>
      <c r="C2860" t="s">
        <v>3092</v>
      </c>
      <c r="D2860" t="s">
        <v>2429</v>
      </c>
      <c r="E2860">
        <v>0</v>
      </c>
      <c r="F2860">
        <v>3.66</v>
      </c>
      <c r="G2860">
        <v>3.94</v>
      </c>
      <c r="H2860">
        <v>3.15</v>
      </c>
      <c r="I2860">
        <v>1</v>
      </c>
      <c r="J2860" t="b">
        <v>0</v>
      </c>
      <c r="K2860" t="b">
        <v>0</v>
      </c>
      <c r="L2860" t="b">
        <v>0</v>
      </c>
      <c r="M2860" t="b">
        <v>0</v>
      </c>
      <c r="N2860" t="b">
        <v>1</v>
      </c>
      <c r="O2860" t="b">
        <v>0</v>
      </c>
    </row>
    <row r="2861" spans="1:15" x14ac:dyDescent="0.25">
      <c r="A2861" s="11">
        <v>43731.583738425928</v>
      </c>
      <c r="B2861" t="s">
        <v>2407</v>
      </c>
      <c r="C2861" t="s">
        <v>3104</v>
      </c>
      <c r="E2861" t="s">
        <v>2378</v>
      </c>
      <c r="F2861">
        <v>3.66</v>
      </c>
      <c r="G2861">
        <v>3.94</v>
      </c>
      <c r="H2861">
        <v>3.15</v>
      </c>
      <c r="I2861">
        <v>1</v>
      </c>
      <c r="J2861" t="b">
        <v>0</v>
      </c>
      <c r="K2861" t="b">
        <v>0</v>
      </c>
      <c r="L2861" t="b">
        <v>0</v>
      </c>
      <c r="M2861" t="b">
        <v>0</v>
      </c>
      <c r="N2861" t="b">
        <v>1</v>
      </c>
      <c r="O2861" t="b">
        <v>0</v>
      </c>
    </row>
    <row r="2862" spans="1:15" x14ac:dyDescent="0.25">
      <c r="A2862" s="11">
        <v>43731.583819444444</v>
      </c>
      <c r="B2862" t="s">
        <v>2407</v>
      </c>
      <c r="C2862" t="s">
        <v>3092</v>
      </c>
      <c r="D2862" t="s">
        <v>2429</v>
      </c>
      <c r="E2862">
        <v>0</v>
      </c>
      <c r="F2862">
        <v>3.66</v>
      </c>
      <c r="G2862">
        <v>3.94</v>
      </c>
      <c r="H2862">
        <v>3.15</v>
      </c>
      <c r="I2862">
        <v>1</v>
      </c>
      <c r="J2862" t="b">
        <v>0</v>
      </c>
      <c r="K2862" t="b">
        <v>0</v>
      </c>
      <c r="L2862" t="b">
        <v>0</v>
      </c>
      <c r="M2862" t="b">
        <v>0</v>
      </c>
      <c r="N2862" t="b">
        <v>1</v>
      </c>
      <c r="O2862" t="b">
        <v>0</v>
      </c>
    </row>
    <row r="2863" spans="1:15" x14ac:dyDescent="0.25">
      <c r="A2863" s="11">
        <v>43731.587858796294</v>
      </c>
      <c r="B2863" t="s">
        <v>2407</v>
      </c>
      <c r="C2863" t="s">
        <v>3092</v>
      </c>
      <c r="D2863" t="s">
        <v>2429</v>
      </c>
      <c r="E2863">
        <v>0</v>
      </c>
      <c r="F2863">
        <v>3.66</v>
      </c>
      <c r="G2863">
        <v>3.94</v>
      </c>
      <c r="H2863">
        <v>3.15</v>
      </c>
      <c r="I2863">
        <v>1</v>
      </c>
      <c r="J2863" t="b">
        <v>0</v>
      </c>
      <c r="K2863" t="b">
        <v>0</v>
      </c>
      <c r="L2863" t="b">
        <v>0</v>
      </c>
      <c r="M2863" t="b">
        <v>0</v>
      </c>
      <c r="N2863" t="b">
        <v>1</v>
      </c>
      <c r="O2863" t="b">
        <v>0</v>
      </c>
    </row>
    <row r="2864" spans="1:15" x14ac:dyDescent="0.25">
      <c r="A2864" s="11">
        <v>43731.590011574073</v>
      </c>
      <c r="B2864" t="s">
        <v>2407</v>
      </c>
      <c r="C2864" t="s">
        <v>3104</v>
      </c>
      <c r="E2864" t="s">
        <v>2378</v>
      </c>
      <c r="F2864">
        <v>3.66</v>
      </c>
      <c r="G2864">
        <v>3.94</v>
      </c>
      <c r="H2864">
        <v>3.15</v>
      </c>
      <c r="I2864">
        <v>1</v>
      </c>
      <c r="J2864" t="b">
        <v>0</v>
      </c>
      <c r="K2864" t="b">
        <v>0</v>
      </c>
      <c r="L2864" t="b">
        <v>0</v>
      </c>
      <c r="M2864" t="b">
        <v>0</v>
      </c>
      <c r="N2864" t="b">
        <v>1</v>
      </c>
      <c r="O2864" t="b">
        <v>0</v>
      </c>
    </row>
    <row r="2865" spans="1:15" x14ac:dyDescent="0.25">
      <c r="A2865" s="11">
        <v>43731.59003472222</v>
      </c>
      <c r="B2865" t="s">
        <v>2407</v>
      </c>
      <c r="C2865" t="s">
        <v>3092</v>
      </c>
      <c r="D2865" t="s">
        <v>2429</v>
      </c>
      <c r="E2865">
        <v>0</v>
      </c>
      <c r="F2865">
        <v>3.66</v>
      </c>
      <c r="G2865">
        <v>3.94</v>
      </c>
      <c r="H2865">
        <v>3.15</v>
      </c>
      <c r="I2865">
        <v>1</v>
      </c>
      <c r="J2865" t="b">
        <v>0</v>
      </c>
      <c r="K2865" t="b">
        <v>0</v>
      </c>
      <c r="L2865" t="b">
        <v>0</v>
      </c>
      <c r="M2865" t="b">
        <v>0</v>
      </c>
      <c r="N2865" t="b">
        <v>1</v>
      </c>
      <c r="O2865" t="b">
        <v>0</v>
      </c>
    </row>
    <row r="2866" spans="1:15" x14ac:dyDescent="0.25">
      <c r="A2866" s="11">
        <v>43731.590601851851</v>
      </c>
      <c r="B2866" t="s">
        <v>2407</v>
      </c>
      <c r="C2866" t="s">
        <v>3104</v>
      </c>
      <c r="E2866" t="s">
        <v>2378</v>
      </c>
      <c r="F2866">
        <v>3.66</v>
      </c>
      <c r="G2866">
        <v>3.94</v>
      </c>
      <c r="H2866">
        <v>3.15</v>
      </c>
      <c r="I2866">
        <v>1</v>
      </c>
      <c r="J2866" t="b">
        <v>0</v>
      </c>
      <c r="K2866" t="b">
        <v>0</v>
      </c>
      <c r="L2866" t="b">
        <v>0</v>
      </c>
      <c r="M2866" t="b">
        <v>0</v>
      </c>
      <c r="N2866" t="b">
        <v>1</v>
      </c>
      <c r="O2866" t="b">
        <v>0</v>
      </c>
    </row>
    <row r="2867" spans="1:15" x14ac:dyDescent="0.25">
      <c r="A2867" s="11">
        <v>43731.590636574074</v>
      </c>
      <c r="B2867" t="s">
        <v>2407</v>
      </c>
      <c r="C2867" t="s">
        <v>3092</v>
      </c>
      <c r="D2867" t="s">
        <v>2429</v>
      </c>
      <c r="E2867">
        <v>0</v>
      </c>
      <c r="F2867">
        <v>3.66</v>
      </c>
      <c r="G2867">
        <v>3.94</v>
      </c>
      <c r="H2867">
        <v>3.15</v>
      </c>
      <c r="I2867">
        <v>1</v>
      </c>
      <c r="J2867" t="b">
        <v>0</v>
      </c>
      <c r="K2867" t="b">
        <v>0</v>
      </c>
      <c r="L2867" t="b">
        <v>0</v>
      </c>
      <c r="M2867" t="b">
        <v>0</v>
      </c>
      <c r="N2867" t="b">
        <v>1</v>
      </c>
      <c r="O2867" t="b">
        <v>0</v>
      </c>
    </row>
    <row r="2868" spans="1:15" x14ac:dyDescent="0.25">
      <c r="A2868" s="11">
        <v>43731.591666666667</v>
      </c>
      <c r="B2868" t="s">
        <v>2407</v>
      </c>
      <c r="C2868" t="s">
        <v>3104</v>
      </c>
      <c r="E2868" t="s">
        <v>2378</v>
      </c>
      <c r="F2868">
        <v>3.66</v>
      </c>
      <c r="G2868">
        <v>3.94</v>
      </c>
      <c r="H2868">
        <v>3.15</v>
      </c>
      <c r="I2868">
        <v>1</v>
      </c>
      <c r="J2868" t="b">
        <v>0</v>
      </c>
      <c r="K2868" t="b">
        <v>0</v>
      </c>
      <c r="L2868" t="b">
        <v>0</v>
      </c>
      <c r="M2868" t="b">
        <v>0</v>
      </c>
      <c r="N2868" t="b">
        <v>1</v>
      </c>
      <c r="O2868" t="b">
        <v>0</v>
      </c>
    </row>
    <row r="2869" spans="1:15" x14ac:dyDescent="0.25">
      <c r="A2869" s="11">
        <v>43731.59171296296</v>
      </c>
      <c r="B2869" t="s">
        <v>2407</v>
      </c>
      <c r="C2869" t="s">
        <v>3092</v>
      </c>
      <c r="D2869" t="s">
        <v>2429</v>
      </c>
      <c r="E2869">
        <v>0</v>
      </c>
      <c r="F2869">
        <v>3.66</v>
      </c>
      <c r="G2869">
        <v>3.94</v>
      </c>
      <c r="H2869">
        <v>3.15</v>
      </c>
      <c r="I2869">
        <v>1</v>
      </c>
      <c r="J2869" t="b">
        <v>0</v>
      </c>
      <c r="K2869" t="b">
        <v>0</v>
      </c>
      <c r="L2869" t="b">
        <v>0</v>
      </c>
      <c r="M2869" t="b">
        <v>0</v>
      </c>
      <c r="N2869" t="b">
        <v>1</v>
      </c>
      <c r="O2869" t="b">
        <v>0</v>
      </c>
    </row>
    <row r="2870" spans="1:15" x14ac:dyDescent="0.25">
      <c r="A2870" s="11">
        <v>43731.592476851853</v>
      </c>
      <c r="B2870" t="s">
        <v>2407</v>
      </c>
      <c r="C2870" t="s">
        <v>3104</v>
      </c>
      <c r="E2870" t="s">
        <v>2378</v>
      </c>
      <c r="F2870">
        <v>3.66</v>
      </c>
      <c r="G2870">
        <v>3.94</v>
      </c>
      <c r="H2870">
        <v>3.15</v>
      </c>
      <c r="I2870">
        <v>1</v>
      </c>
      <c r="J2870" t="b">
        <v>0</v>
      </c>
      <c r="K2870" t="b">
        <v>0</v>
      </c>
      <c r="L2870" t="b">
        <v>0</v>
      </c>
      <c r="M2870" t="b">
        <v>0</v>
      </c>
      <c r="N2870" t="b">
        <v>1</v>
      </c>
      <c r="O2870" t="b">
        <v>0</v>
      </c>
    </row>
    <row r="2871" spans="1:15" x14ac:dyDescent="0.25">
      <c r="A2871" s="11">
        <v>43731.592499999999</v>
      </c>
      <c r="B2871" t="s">
        <v>2407</v>
      </c>
      <c r="C2871" t="s">
        <v>3092</v>
      </c>
      <c r="D2871" t="s">
        <v>2429</v>
      </c>
      <c r="E2871">
        <v>0</v>
      </c>
      <c r="F2871">
        <v>3.66</v>
      </c>
      <c r="G2871">
        <v>3.94</v>
      </c>
      <c r="H2871">
        <v>3.15</v>
      </c>
      <c r="I2871">
        <v>1</v>
      </c>
      <c r="J2871" t="b">
        <v>0</v>
      </c>
      <c r="K2871" t="b">
        <v>0</v>
      </c>
      <c r="L2871" t="b">
        <v>0</v>
      </c>
      <c r="M2871" t="b">
        <v>0</v>
      </c>
      <c r="N2871" t="b">
        <v>1</v>
      </c>
      <c r="O2871" t="b">
        <v>0</v>
      </c>
    </row>
    <row r="2872" spans="1:15" x14ac:dyDescent="0.25">
      <c r="A2872" s="11">
        <v>43731.593113425923</v>
      </c>
      <c r="B2872" t="s">
        <v>2407</v>
      </c>
      <c r="C2872" t="s">
        <v>3104</v>
      </c>
      <c r="E2872" t="s">
        <v>2378</v>
      </c>
      <c r="F2872">
        <v>3.66</v>
      </c>
      <c r="G2872">
        <v>3.94</v>
      </c>
      <c r="H2872">
        <v>3.15</v>
      </c>
      <c r="I2872">
        <v>1</v>
      </c>
      <c r="J2872" t="b">
        <v>0</v>
      </c>
      <c r="K2872" t="b">
        <v>0</v>
      </c>
      <c r="L2872" t="b">
        <v>0</v>
      </c>
      <c r="M2872" t="b">
        <v>0</v>
      </c>
      <c r="N2872" t="b">
        <v>1</v>
      </c>
      <c r="O2872" t="b">
        <v>0</v>
      </c>
    </row>
    <row r="2873" spans="1:15" x14ac:dyDescent="0.25">
      <c r="A2873" s="11">
        <v>43731.593136574076</v>
      </c>
      <c r="B2873" t="s">
        <v>2407</v>
      </c>
      <c r="C2873" t="s">
        <v>3092</v>
      </c>
      <c r="D2873" t="s">
        <v>2429</v>
      </c>
      <c r="E2873">
        <v>0</v>
      </c>
      <c r="F2873">
        <v>3.66</v>
      </c>
      <c r="G2873">
        <v>3.94</v>
      </c>
      <c r="H2873">
        <v>3.15</v>
      </c>
      <c r="I2873">
        <v>1</v>
      </c>
      <c r="J2873" t="b">
        <v>0</v>
      </c>
      <c r="K2873" t="b">
        <v>0</v>
      </c>
      <c r="L2873" t="b">
        <v>0</v>
      </c>
      <c r="M2873" t="b">
        <v>0</v>
      </c>
      <c r="N2873" t="b">
        <v>1</v>
      </c>
      <c r="O2873" t="b">
        <v>0</v>
      </c>
    </row>
    <row r="2874" spans="1:15" x14ac:dyDescent="0.25">
      <c r="A2874" s="11">
        <v>43731.593576388892</v>
      </c>
      <c r="B2874" t="s">
        <v>2407</v>
      </c>
      <c r="C2874" t="s">
        <v>3104</v>
      </c>
      <c r="E2874" t="s">
        <v>2378</v>
      </c>
      <c r="F2874">
        <v>3.66</v>
      </c>
      <c r="G2874">
        <v>3.94</v>
      </c>
      <c r="H2874">
        <v>3.15</v>
      </c>
      <c r="I2874">
        <v>1</v>
      </c>
      <c r="J2874" t="b">
        <v>0</v>
      </c>
      <c r="K2874" t="b">
        <v>0</v>
      </c>
      <c r="L2874" t="b">
        <v>0</v>
      </c>
      <c r="M2874" t="b">
        <v>0</v>
      </c>
      <c r="N2874" t="b">
        <v>1</v>
      </c>
      <c r="O2874" t="b">
        <v>0</v>
      </c>
    </row>
    <row r="2875" spans="1:15" x14ac:dyDescent="0.25">
      <c r="A2875" s="11">
        <v>43731.594201388885</v>
      </c>
      <c r="B2875" t="s">
        <v>2407</v>
      </c>
      <c r="C2875" t="s">
        <v>3092</v>
      </c>
      <c r="D2875" t="s">
        <v>2429</v>
      </c>
      <c r="E2875">
        <v>0</v>
      </c>
      <c r="F2875">
        <v>3.66</v>
      </c>
      <c r="G2875">
        <v>3.94</v>
      </c>
      <c r="H2875">
        <v>3.15</v>
      </c>
      <c r="I2875">
        <v>1</v>
      </c>
      <c r="J2875" t="b">
        <v>0</v>
      </c>
      <c r="K2875" t="b">
        <v>0</v>
      </c>
      <c r="L2875" t="b">
        <v>0</v>
      </c>
      <c r="M2875" t="b">
        <v>0</v>
      </c>
      <c r="N2875" t="b">
        <v>1</v>
      </c>
      <c r="O2875" t="b">
        <v>0</v>
      </c>
    </row>
    <row r="2876" spans="1:15" x14ac:dyDescent="0.25">
      <c r="A2876" s="11">
        <v>43731.59443287037</v>
      </c>
      <c r="B2876" t="s">
        <v>2407</v>
      </c>
      <c r="C2876" t="s">
        <v>3138</v>
      </c>
      <c r="E2876" t="s">
        <v>2378</v>
      </c>
      <c r="F2876">
        <v>3.66</v>
      </c>
      <c r="G2876">
        <v>3.94</v>
      </c>
      <c r="H2876">
        <v>3.15</v>
      </c>
      <c r="I2876">
        <v>1</v>
      </c>
      <c r="J2876" t="b">
        <v>0</v>
      </c>
      <c r="K2876" t="b">
        <v>0</v>
      </c>
      <c r="L2876" t="b">
        <v>0</v>
      </c>
      <c r="M2876" t="b">
        <v>0</v>
      </c>
      <c r="N2876" t="b">
        <v>1</v>
      </c>
      <c r="O2876" t="b">
        <v>0</v>
      </c>
    </row>
    <row r="2877" spans="1:15" x14ac:dyDescent="0.25">
      <c r="A2877" s="11">
        <v>43731.594525462962</v>
      </c>
      <c r="B2877" t="s">
        <v>2407</v>
      </c>
      <c r="C2877" t="s">
        <v>3092</v>
      </c>
      <c r="D2877" t="s">
        <v>2429</v>
      </c>
      <c r="E2877">
        <v>0</v>
      </c>
      <c r="F2877">
        <v>3.66</v>
      </c>
      <c r="G2877">
        <v>3.94</v>
      </c>
      <c r="H2877">
        <v>3.15</v>
      </c>
      <c r="I2877">
        <v>1</v>
      </c>
      <c r="J2877" t="b">
        <v>0</v>
      </c>
      <c r="K2877" t="b">
        <v>0</v>
      </c>
      <c r="L2877" t="b">
        <v>0</v>
      </c>
      <c r="M2877" t="b">
        <v>0</v>
      </c>
      <c r="N2877" t="b">
        <v>1</v>
      </c>
      <c r="O2877" t="b">
        <v>0</v>
      </c>
    </row>
    <row r="2878" spans="1:15" x14ac:dyDescent="0.25">
      <c r="A2878" s="11">
        <v>43731.594537037039</v>
      </c>
      <c r="B2878" t="s">
        <v>2407</v>
      </c>
      <c r="C2878" t="s">
        <v>3104</v>
      </c>
      <c r="E2878" t="s">
        <v>2378</v>
      </c>
      <c r="F2878">
        <v>3.66</v>
      </c>
      <c r="G2878">
        <v>3.94</v>
      </c>
      <c r="H2878">
        <v>3.15</v>
      </c>
      <c r="I2878">
        <v>1</v>
      </c>
      <c r="J2878" t="b">
        <v>0</v>
      </c>
      <c r="K2878" t="b">
        <v>0</v>
      </c>
      <c r="L2878" t="b">
        <v>0</v>
      </c>
      <c r="M2878" t="b">
        <v>0</v>
      </c>
      <c r="N2878" t="b">
        <v>1</v>
      </c>
      <c r="O2878" t="b">
        <v>0</v>
      </c>
    </row>
    <row r="2879" spans="1:15" x14ac:dyDescent="0.25">
      <c r="A2879" s="11">
        <v>43731.594687500001</v>
      </c>
      <c r="B2879" t="s">
        <v>2407</v>
      </c>
      <c r="C2879" t="s">
        <v>3092</v>
      </c>
      <c r="D2879" t="s">
        <v>2429</v>
      </c>
      <c r="E2879">
        <v>0</v>
      </c>
      <c r="F2879">
        <v>3.66</v>
      </c>
      <c r="G2879">
        <v>3.94</v>
      </c>
      <c r="H2879">
        <v>3.15</v>
      </c>
      <c r="I2879">
        <v>1</v>
      </c>
      <c r="J2879" t="b">
        <v>0</v>
      </c>
      <c r="K2879" t="b">
        <v>0</v>
      </c>
      <c r="L2879" t="b">
        <v>0</v>
      </c>
      <c r="M2879" t="b">
        <v>0</v>
      </c>
      <c r="N2879" t="b">
        <v>1</v>
      </c>
      <c r="O2879" t="b">
        <v>0</v>
      </c>
    </row>
    <row r="2880" spans="1:15" x14ac:dyDescent="0.25">
      <c r="A2880" s="11">
        <v>43731.594849537039</v>
      </c>
      <c r="B2880" t="s">
        <v>2407</v>
      </c>
      <c r="C2880" t="s">
        <v>3104</v>
      </c>
      <c r="E2880" t="s">
        <v>2378</v>
      </c>
      <c r="F2880">
        <v>3.66</v>
      </c>
      <c r="G2880">
        <v>3.94</v>
      </c>
      <c r="H2880">
        <v>3.15</v>
      </c>
      <c r="I2880">
        <v>1</v>
      </c>
      <c r="J2880" t="b">
        <v>0</v>
      </c>
      <c r="K2880" t="b">
        <v>0</v>
      </c>
      <c r="L2880" t="b">
        <v>0</v>
      </c>
      <c r="M2880" t="b">
        <v>0</v>
      </c>
      <c r="N2880" t="b">
        <v>1</v>
      </c>
      <c r="O2880" t="b">
        <v>0</v>
      </c>
    </row>
    <row r="2881" spans="1:15" x14ac:dyDescent="0.25">
      <c r="A2881" s="11">
        <v>43731.599027777775</v>
      </c>
      <c r="B2881" t="s">
        <v>2407</v>
      </c>
      <c r="C2881" t="s">
        <v>3092</v>
      </c>
      <c r="D2881" t="s">
        <v>2429</v>
      </c>
      <c r="E2881">
        <v>0</v>
      </c>
      <c r="F2881">
        <v>3.66</v>
      </c>
      <c r="G2881">
        <v>3.94</v>
      </c>
      <c r="H2881">
        <v>3.15</v>
      </c>
      <c r="I2881">
        <v>1</v>
      </c>
      <c r="J2881" t="b">
        <v>0</v>
      </c>
      <c r="K2881" t="b">
        <v>0</v>
      </c>
      <c r="L2881" t="b">
        <v>0</v>
      </c>
      <c r="M2881" t="b">
        <v>0</v>
      </c>
      <c r="N2881" t="b">
        <v>1</v>
      </c>
      <c r="O2881" t="b">
        <v>0</v>
      </c>
    </row>
    <row r="2882" spans="1:15" x14ac:dyDescent="0.25">
      <c r="A2882" s="11">
        <v>43731.599050925928</v>
      </c>
      <c r="B2882" t="s">
        <v>2407</v>
      </c>
      <c r="C2882" t="s">
        <v>3104</v>
      </c>
      <c r="E2882" t="s">
        <v>2378</v>
      </c>
      <c r="F2882">
        <v>3.66</v>
      </c>
      <c r="G2882">
        <v>3.94</v>
      </c>
      <c r="H2882">
        <v>3.15</v>
      </c>
      <c r="I2882">
        <v>1</v>
      </c>
      <c r="J2882" t="b">
        <v>0</v>
      </c>
      <c r="K2882" t="b">
        <v>0</v>
      </c>
      <c r="L2882" t="b">
        <v>0</v>
      </c>
      <c r="M2882" t="b">
        <v>0</v>
      </c>
      <c r="N2882" t="b">
        <v>1</v>
      </c>
      <c r="O2882" t="b">
        <v>0</v>
      </c>
    </row>
    <row r="2883" spans="1:15" x14ac:dyDescent="0.25">
      <c r="A2883" s="11">
        <v>43731.600034722222</v>
      </c>
      <c r="B2883" t="s">
        <v>2407</v>
      </c>
      <c r="C2883" t="s">
        <v>3092</v>
      </c>
      <c r="D2883" t="s">
        <v>2429</v>
      </c>
      <c r="E2883">
        <v>0</v>
      </c>
      <c r="F2883">
        <v>3.66</v>
      </c>
      <c r="G2883">
        <v>3.94</v>
      </c>
      <c r="H2883">
        <v>3.15</v>
      </c>
      <c r="I2883">
        <v>1</v>
      </c>
      <c r="J2883" t="b">
        <v>0</v>
      </c>
      <c r="K2883" t="b">
        <v>0</v>
      </c>
      <c r="L2883" t="b">
        <v>0</v>
      </c>
      <c r="M2883" t="b">
        <v>0</v>
      </c>
      <c r="N2883" t="b">
        <v>1</v>
      </c>
      <c r="O2883" t="b">
        <v>0</v>
      </c>
    </row>
    <row r="2884" spans="1:15" x14ac:dyDescent="0.25">
      <c r="A2884" s="11">
        <v>43731.600046296298</v>
      </c>
      <c r="B2884" t="s">
        <v>2407</v>
      </c>
      <c r="C2884" t="s">
        <v>3104</v>
      </c>
      <c r="E2884" t="s">
        <v>2378</v>
      </c>
      <c r="F2884">
        <v>3.66</v>
      </c>
      <c r="G2884">
        <v>3.94</v>
      </c>
      <c r="H2884">
        <v>3.15</v>
      </c>
      <c r="I2884">
        <v>1</v>
      </c>
      <c r="J2884" t="b">
        <v>0</v>
      </c>
      <c r="K2884" t="b">
        <v>0</v>
      </c>
      <c r="L2884" t="b">
        <v>0</v>
      </c>
      <c r="M2884" t="b">
        <v>0</v>
      </c>
      <c r="N2884" t="b">
        <v>1</v>
      </c>
      <c r="O2884" t="b">
        <v>0</v>
      </c>
    </row>
    <row r="2885" spans="1:15" x14ac:dyDescent="0.25">
      <c r="A2885" s="11">
        <v>43731.600243055553</v>
      </c>
      <c r="B2885" t="s">
        <v>2407</v>
      </c>
      <c r="C2885" t="s">
        <v>3092</v>
      </c>
      <c r="D2885" t="s">
        <v>2429</v>
      </c>
      <c r="E2885">
        <v>0</v>
      </c>
      <c r="F2885">
        <v>3.66</v>
      </c>
      <c r="G2885">
        <v>3.94</v>
      </c>
      <c r="H2885">
        <v>3.15</v>
      </c>
      <c r="I2885">
        <v>1</v>
      </c>
      <c r="J2885" t="b">
        <v>0</v>
      </c>
      <c r="K2885" t="b">
        <v>0</v>
      </c>
      <c r="L2885" t="b">
        <v>0</v>
      </c>
      <c r="M2885" t="b">
        <v>0</v>
      </c>
      <c r="N2885" t="b">
        <v>1</v>
      </c>
      <c r="O2885" t="b">
        <v>0</v>
      </c>
    </row>
    <row r="2886" spans="1:15" x14ac:dyDescent="0.25">
      <c r="A2886" s="11">
        <v>43731.600266203706</v>
      </c>
      <c r="B2886" t="s">
        <v>2407</v>
      </c>
      <c r="C2886" t="s">
        <v>3104</v>
      </c>
      <c r="E2886" t="s">
        <v>2378</v>
      </c>
      <c r="F2886">
        <v>3.66</v>
      </c>
      <c r="G2886">
        <v>3.94</v>
      </c>
      <c r="H2886">
        <v>3.15</v>
      </c>
      <c r="I2886">
        <v>1</v>
      </c>
      <c r="J2886" t="b">
        <v>0</v>
      </c>
      <c r="K2886" t="b">
        <v>0</v>
      </c>
      <c r="L2886" t="b">
        <v>0</v>
      </c>
      <c r="M2886" t="b">
        <v>0</v>
      </c>
      <c r="N2886" t="b">
        <v>1</v>
      </c>
      <c r="O2886" t="b">
        <v>0</v>
      </c>
    </row>
    <row r="2887" spans="1:15" x14ac:dyDescent="0.25">
      <c r="A2887" s="11">
        <v>43731.600312499999</v>
      </c>
      <c r="B2887" t="s">
        <v>2407</v>
      </c>
      <c r="C2887" t="s">
        <v>3092</v>
      </c>
      <c r="D2887" t="s">
        <v>2429</v>
      </c>
      <c r="E2887">
        <v>0</v>
      </c>
      <c r="F2887">
        <v>3.66</v>
      </c>
      <c r="G2887">
        <v>3.94</v>
      </c>
      <c r="H2887">
        <v>3.15</v>
      </c>
      <c r="I2887">
        <v>1</v>
      </c>
      <c r="J2887" t="b">
        <v>0</v>
      </c>
      <c r="K2887" t="b">
        <v>0</v>
      </c>
      <c r="L2887" t="b">
        <v>0</v>
      </c>
      <c r="M2887" t="b">
        <v>0</v>
      </c>
      <c r="N2887" t="b">
        <v>1</v>
      </c>
      <c r="O2887" t="b">
        <v>0</v>
      </c>
    </row>
    <row r="2888" spans="1:15" x14ac:dyDescent="0.25">
      <c r="A2888" s="11">
        <v>43731.600393518522</v>
      </c>
      <c r="B2888" t="s">
        <v>2407</v>
      </c>
      <c r="C2888" t="s">
        <v>3092</v>
      </c>
      <c r="D2888" t="s">
        <v>2429</v>
      </c>
      <c r="E2888">
        <v>0</v>
      </c>
      <c r="F2888">
        <v>3.66</v>
      </c>
      <c r="G2888">
        <v>3.94</v>
      </c>
      <c r="H2888">
        <v>3.15</v>
      </c>
      <c r="I2888">
        <v>1</v>
      </c>
      <c r="J2888" t="b">
        <v>0</v>
      </c>
      <c r="K2888" t="b">
        <v>0</v>
      </c>
      <c r="L2888" t="b">
        <v>0</v>
      </c>
      <c r="M2888" t="b">
        <v>1</v>
      </c>
      <c r="N2888" t="b">
        <v>1</v>
      </c>
      <c r="O2888" t="b">
        <v>0</v>
      </c>
    </row>
    <row r="2889" spans="1:15" x14ac:dyDescent="0.25">
      <c r="A2889" s="11">
        <v>43731.600416666668</v>
      </c>
      <c r="B2889" t="s">
        <v>2407</v>
      </c>
      <c r="C2889" t="s">
        <v>3104</v>
      </c>
      <c r="E2889" t="s">
        <v>2378</v>
      </c>
      <c r="F2889">
        <v>3.66</v>
      </c>
      <c r="G2889">
        <v>3.94</v>
      </c>
      <c r="H2889">
        <v>3.15</v>
      </c>
      <c r="I2889">
        <v>1</v>
      </c>
      <c r="J2889" t="b">
        <v>0</v>
      </c>
      <c r="K2889" t="b">
        <v>0</v>
      </c>
      <c r="L2889" t="b">
        <v>0</v>
      </c>
      <c r="M2889" t="b">
        <v>1</v>
      </c>
      <c r="N2889" t="b">
        <v>1</v>
      </c>
      <c r="O2889" t="b">
        <v>0</v>
      </c>
    </row>
    <row r="2890" spans="1:15" x14ac:dyDescent="0.25">
      <c r="A2890" s="11">
        <v>43731.60056712963</v>
      </c>
      <c r="B2890" t="s">
        <v>2407</v>
      </c>
      <c r="C2890" t="s">
        <v>3092</v>
      </c>
      <c r="D2890" t="s">
        <v>2429</v>
      </c>
      <c r="E2890">
        <v>0</v>
      </c>
      <c r="F2890">
        <v>3.66</v>
      </c>
      <c r="G2890">
        <v>3.94</v>
      </c>
      <c r="H2890">
        <v>3.15</v>
      </c>
      <c r="I2890">
        <v>1</v>
      </c>
      <c r="J2890" t="b">
        <v>0</v>
      </c>
      <c r="K2890" t="b">
        <v>0</v>
      </c>
      <c r="L2890" t="b">
        <v>0</v>
      </c>
      <c r="M2890" t="b">
        <v>1</v>
      </c>
      <c r="N2890" t="b">
        <v>1</v>
      </c>
      <c r="O2890" t="b">
        <v>0</v>
      </c>
    </row>
    <row r="2891" spans="1:15" x14ac:dyDescent="0.25">
      <c r="A2891" s="11">
        <v>43731.601030092592</v>
      </c>
      <c r="B2891" t="s">
        <v>2407</v>
      </c>
      <c r="C2891" t="s">
        <v>3092</v>
      </c>
      <c r="D2891" t="s">
        <v>2429</v>
      </c>
      <c r="E2891">
        <v>0</v>
      </c>
      <c r="F2891">
        <v>3.66</v>
      </c>
      <c r="G2891">
        <v>3.94</v>
      </c>
      <c r="H2891">
        <v>3.15</v>
      </c>
      <c r="I2891">
        <v>1</v>
      </c>
      <c r="J2891" t="b">
        <v>0</v>
      </c>
      <c r="K2891" t="b">
        <v>0</v>
      </c>
      <c r="L2891" t="b">
        <v>0</v>
      </c>
      <c r="M2891" t="b">
        <v>0</v>
      </c>
      <c r="N2891" t="b">
        <v>1</v>
      </c>
      <c r="O2891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F9"/>
  <sheetViews>
    <sheetView workbookViewId="0">
      <selection activeCell="O15" sqref="O1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64" t="s">
        <v>2896</v>
      </c>
      <c r="B1" s="65" t="s">
        <v>2897</v>
      </c>
      <c r="C1" s="65" t="s">
        <v>2898</v>
      </c>
      <c r="D1" s="65" t="s">
        <v>3121</v>
      </c>
      <c r="E1" s="65" t="s">
        <v>3122</v>
      </c>
      <c r="F1" s="66" t="s">
        <v>2852</v>
      </c>
    </row>
    <row r="2" spans="1:6" ht="15.75" x14ac:dyDescent="0.25">
      <c r="A2" s="68" t="s">
        <v>3043</v>
      </c>
      <c r="B2" s="111" t="s">
        <v>2391</v>
      </c>
      <c r="C2" s="62" t="s">
        <v>3123</v>
      </c>
      <c r="D2" s="62">
        <v>1</v>
      </c>
      <c r="E2" s="62">
        <v>7711.62</v>
      </c>
      <c r="F2" s="67" t="s">
        <v>3124</v>
      </c>
    </row>
    <row r="3" spans="1:6" ht="15.75" x14ac:dyDescent="0.25">
      <c r="A3" s="68" t="s">
        <v>3033</v>
      </c>
      <c r="B3" s="111"/>
      <c r="C3" s="62" t="s">
        <v>3125</v>
      </c>
      <c r="D3" s="62">
        <v>1</v>
      </c>
      <c r="E3" s="62">
        <v>2265.5100000000002</v>
      </c>
      <c r="F3" s="67" t="s">
        <v>3126</v>
      </c>
    </row>
    <row r="4" spans="1:6" ht="15.75" x14ac:dyDescent="0.25">
      <c r="A4" s="68" t="s">
        <v>3050</v>
      </c>
      <c r="B4" s="111"/>
      <c r="C4" s="62" t="s">
        <v>3127</v>
      </c>
      <c r="D4" s="62">
        <v>11</v>
      </c>
      <c r="E4" s="62" t="s">
        <v>4</v>
      </c>
      <c r="F4" s="67" t="s">
        <v>4</v>
      </c>
    </row>
    <row r="5" spans="1:6" ht="15.75" x14ac:dyDescent="0.25">
      <c r="A5" s="68" t="s">
        <v>2427</v>
      </c>
      <c r="B5" s="111"/>
      <c r="C5" s="62" t="s">
        <v>3128</v>
      </c>
      <c r="D5" s="62">
        <v>1</v>
      </c>
      <c r="E5" s="62">
        <v>12410.52</v>
      </c>
      <c r="F5" s="67" t="s">
        <v>3129</v>
      </c>
    </row>
    <row r="6" spans="1:6" ht="15.75" x14ac:dyDescent="0.25">
      <c r="A6" s="68" t="s">
        <v>3066</v>
      </c>
      <c r="B6" s="111"/>
      <c r="C6" s="62" t="s">
        <v>3130</v>
      </c>
      <c r="D6" s="62">
        <v>14</v>
      </c>
      <c r="E6" s="62">
        <v>467.59</v>
      </c>
      <c r="F6" s="67" t="s">
        <v>3131</v>
      </c>
    </row>
    <row r="7" spans="1:6" ht="15.75" x14ac:dyDescent="0.25">
      <c r="A7" s="68" t="s">
        <v>3061</v>
      </c>
      <c r="B7" s="111"/>
      <c r="C7" s="62" t="s">
        <v>3132</v>
      </c>
      <c r="D7" s="62">
        <v>2</v>
      </c>
      <c r="E7" s="62">
        <v>62.959999999999994</v>
      </c>
      <c r="F7" s="67" t="s">
        <v>3133</v>
      </c>
    </row>
    <row r="8" spans="1:6" ht="15.75" x14ac:dyDescent="0.25">
      <c r="A8" s="68" t="s">
        <v>3054</v>
      </c>
      <c r="B8" s="111"/>
      <c r="C8" s="62" t="s">
        <v>3134</v>
      </c>
      <c r="D8" s="62">
        <v>4</v>
      </c>
      <c r="E8" s="62">
        <v>319.08000000000004</v>
      </c>
      <c r="F8" s="67" t="s">
        <v>3135</v>
      </c>
    </row>
    <row r="9" spans="1:6" ht="16.5" thickBot="1" x14ac:dyDescent="0.3">
      <c r="A9" s="41" t="s">
        <v>3053</v>
      </c>
      <c r="B9" s="115"/>
      <c r="C9" s="42" t="s">
        <v>3136</v>
      </c>
      <c r="D9" s="42">
        <v>1</v>
      </c>
      <c r="E9" s="42">
        <v>1522.56</v>
      </c>
      <c r="F9" s="43" t="s">
        <v>3137</v>
      </c>
    </row>
  </sheetData>
  <mergeCells count="1">
    <mergeCell ref="B2:B9"/>
  </mergeCells>
  <conditionalFormatting sqref="A1:F9">
    <cfRule type="containsText" dxfId="421" priority="1" stopIfTrue="1" operator="containsText" text="С ЛИСТА">
      <formula>NOT(ISERROR(SEARCH("С ЛИСТА",A1)))</formula>
    </cfRule>
    <cfRule type="containsText" dxfId="420" priority="2" stopIfTrue="1" operator="containsText" text="ИЗ ФАЙЛА">
      <formula>NOT(ISERROR(SEARCH("ИЗ ФАЙЛА",A1)))</formula>
    </cfRule>
    <cfRule type="containsText" dxfId="419" priority="3" stopIfTrue="1" operator="containsText" text="!!!">
      <formula>NOT(ISERROR(SEARCH("!!!",A1)))</formula>
    </cfRule>
    <cfRule type="containsText" dxfId="418" priority="4" stopIfTrue="1" operator="containsText" text=" Изделия ">
      <formula>NOT(ISERROR(SEARCH(" Изделия ",A1)))</formula>
    </cfRule>
    <cfRule type="containsText" dxfId="417" priority="5" stopIfTrue="1" operator="containsText" text=" Прокат ">
      <formula>NOT(ISERROR(SEARCH(" Прокат ",A1)))</formula>
    </cfRule>
    <cfRule type="containsText" dxfId="416" priority="6" stopIfTrue="1" operator="containsText" text=" Сборочные единицы ">
      <formula>NOT(ISERROR(SEARCH(" Сборочные единицы ",A1)))</formula>
    </cfRule>
    <cfRule type="containsText" dxfId="415" priority="7" stopIfTrue="1" operator="containsText" text=" Материалы ">
      <formula>NOT(ISERROR(SEARCH(" Материалы ",A1)))</formula>
    </cfRule>
    <cfRule type="containsText" dxfId="414" priority="8" stopIfTrue="1" operator="containsText" text="Элементы на отм.">
      <formula>NOT(ISERROR(SEARCH("Элементы на отм.",A1)))</formula>
    </cfRule>
    <cfRule type="containsText" dxfId="413" priority="9" stopIfTrue="1" operator="containsText" text=", на ">
      <formula>NOT(ISERROR(SEARCH(", на ",A1)))</formula>
    </cfRule>
    <cfRule type="containsText" dxfId="41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X14"/>
  <sheetViews>
    <sheetView workbookViewId="0">
      <selection activeCell="T21" sqref="T21"/>
    </sheetView>
  </sheetViews>
  <sheetFormatPr defaultRowHeight="15" x14ac:dyDescent="0.25"/>
  <cols>
    <col min="1" max="1" width="16.28515625" style="9" customWidth="1"/>
    <col min="2" max="24" width="8.140625" style="9" customWidth="1"/>
    <col min="25" max="16384" width="9.140625" style="9"/>
  </cols>
  <sheetData>
    <row r="1" spans="1:24" ht="22.7" customHeight="1" x14ac:dyDescent="0.25">
      <c r="A1" s="107" t="s">
        <v>3093</v>
      </c>
      <c r="B1" s="110" t="s">
        <v>3094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 t="s">
        <v>3095</v>
      </c>
      <c r="N1" s="110"/>
      <c r="O1" s="110"/>
      <c r="P1" s="110"/>
      <c r="Q1" s="110"/>
      <c r="R1" s="110"/>
      <c r="S1" s="110"/>
      <c r="T1" s="73" t="s">
        <v>2992</v>
      </c>
      <c r="U1" s="107" t="s">
        <v>3096</v>
      </c>
      <c r="V1" s="110"/>
      <c r="W1" s="110"/>
      <c r="X1" s="113" t="s">
        <v>2992</v>
      </c>
    </row>
    <row r="2" spans="1:24" ht="22.7" customHeight="1" x14ac:dyDescent="0.25">
      <c r="A2" s="108"/>
      <c r="B2" s="111" t="s">
        <v>3097</v>
      </c>
      <c r="C2" s="111"/>
      <c r="D2" s="111"/>
      <c r="E2" s="111"/>
      <c r="F2" s="111"/>
      <c r="G2" s="111"/>
      <c r="H2" s="111"/>
      <c r="I2" s="111"/>
      <c r="J2" s="111" t="s">
        <v>2907</v>
      </c>
      <c r="K2" s="111"/>
      <c r="L2" s="111" t="s">
        <v>2992</v>
      </c>
      <c r="M2" s="111" t="s">
        <v>3097</v>
      </c>
      <c r="N2" s="111"/>
      <c r="O2" s="111" t="s">
        <v>2907</v>
      </c>
      <c r="P2" s="111"/>
      <c r="Q2" s="111"/>
      <c r="R2" s="111"/>
      <c r="S2" s="111" t="s">
        <v>2992</v>
      </c>
      <c r="T2" s="122"/>
      <c r="U2" s="127" t="s">
        <v>3039</v>
      </c>
      <c r="V2" s="128" t="s">
        <v>3026</v>
      </c>
      <c r="W2" s="128" t="s">
        <v>3052</v>
      </c>
      <c r="X2" s="114"/>
    </row>
    <row r="3" spans="1:24" ht="22.7" customHeight="1" x14ac:dyDescent="0.25">
      <c r="A3" s="108"/>
      <c r="B3" s="111" t="s">
        <v>2</v>
      </c>
      <c r="C3" s="111"/>
      <c r="D3" s="111"/>
      <c r="E3" s="111"/>
      <c r="F3" s="111"/>
      <c r="G3" s="111" t="s">
        <v>1</v>
      </c>
      <c r="H3" s="111"/>
      <c r="I3" s="111"/>
      <c r="J3" s="111" t="s">
        <v>2925</v>
      </c>
      <c r="K3" s="111"/>
      <c r="L3" s="111"/>
      <c r="M3" s="111" t="s">
        <v>2</v>
      </c>
      <c r="N3" s="111"/>
      <c r="O3" s="111" t="s">
        <v>2927</v>
      </c>
      <c r="P3" s="111"/>
      <c r="Q3" s="111"/>
      <c r="R3" s="111"/>
      <c r="S3" s="111"/>
      <c r="T3" s="122"/>
      <c r="U3" s="127"/>
      <c r="V3" s="128"/>
      <c r="W3" s="128"/>
      <c r="X3" s="114"/>
    </row>
    <row r="4" spans="1:24" ht="22.7" customHeight="1" x14ac:dyDescent="0.25">
      <c r="A4" s="108"/>
      <c r="B4" s="111" t="s">
        <v>2924</v>
      </c>
      <c r="C4" s="111"/>
      <c r="D4" s="111"/>
      <c r="E4" s="111"/>
      <c r="F4" s="111"/>
      <c r="G4" s="111"/>
      <c r="H4" s="111"/>
      <c r="I4" s="111"/>
      <c r="J4" s="111" t="s">
        <v>3031</v>
      </c>
      <c r="K4" s="111"/>
      <c r="L4" s="111"/>
      <c r="M4" s="111" t="s">
        <v>2924</v>
      </c>
      <c r="N4" s="111"/>
      <c r="O4" s="111" t="s">
        <v>3075</v>
      </c>
      <c r="P4" s="111"/>
      <c r="Q4" s="111" t="s">
        <v>2993</v>
      </c>
      <c r="R4" s="111"/>
      <c r="S4" s="111"/>
      <c r="T4" s="122"/>
      <c r="U4" s="127"/>
      <c r="V4" s="128"/>
      <c r="W4" s="128"/>
      <c r="X4" s="114"/>
    </row>
    <row r="5" spans="1:24" ht="22.7" customHeight="1" thickBot="1" x14ac:dyDescent="0.3">
      <c r="A5" s="109"/>
      <c r="B5" s="63" t="s">
        <v>3098</v>
      </c>
      <c r="C5" s="63" t="s">
        <v>3099</v>
      </c>
      <c r="D5" s="63" t="s">
        <v>3100</v>
      </c>
      <c r="E5" s="63" t="s">
        <v>3101</v>
      </c>
      <c r="F5" s="63" t="s">
        <v>2992</v>
      </c>
      <c r="G5" s="63" t="s">
        <v>3102</v>
      </c>
      <c r="H5" s="63" t="s">
        <v>3103</v>
      </c>
      <c r="I5" s="63" t="s">
        <v>2992</v>
      </c>
      <c r="J5" s="63" t="s">
        <v>444</v>
      </c>
      <c r="K5" s="63" t="s">
        <v>2992</v>
      </c>
      <c r="L5" s="112"/>
      <c r="M5" s="63" t="s">
        <v>3103</v>
      </c>
      <c r="N5" s="63" t="s">
        <v>2992</v>
      </c>
      <c r="O5" s="63" t="s">
        <v>2680</v>
      </c>
      <c r="P5" s="63" t="s">
        <v>2992</v>
      </c>
      <c r="Q5" s="63" t="s">
        <v>2071</v>
      </c>
      <c r="R5" s="63" t="s">
        <v>2992</v>
      </c>
      <c r="S5" s="112"/>
      <c r="T5" s="116"/>
      <c r="U5" s="127"/>
      <c r="V5" s="128"/>
      <c r="W5" s="128"/>
      <c r="X5" s="114"/>
    </row>
    <row r="6" spans="1:24" ht="22.7" customHeight="1" x14ac:dyDescent="0.25">
      <c r="A6" s="64" t="s">
        <v>3113</v>
      </c>
      <c r="B6" s="58">
        <v>876.3</v>
      </c>
      <c r="C6" s="58" t="s">
        <v>4</v>
      </c>
      <c r="D6" s="58" t="s">
        <v>4</v>
      </c>
      <c r="E6" s="58" t="s">
        <v>4</v>
      </c>
      <c r="F6" s="58">
        <v>876.3</v>
      </c>
      <c r="G6" s="58" t="s">
        <v>4</v>
      </c>
      <c r="H6" s="58" t="s">
        <v>4</v>
      </c>
      <c r="I6" s="58" t="s">
        <v>4</v>
      </c>
      <c r="J6" s="58" t="s">
        <v>4</v>
      </c>
      <c r="K6" s="58" t="s">
        <v>4</v>
      </c>
      <c r="L6" s="58">
        <v>876.3</v>
      </c>
      <c r="M6" s="58">
        <v>48.24</v>
      </c>
      <c r="N6" s="58">
        <v>48.24</v>
      </c>
      <c r="O6" s="58">
        <v>89.3</v>
      </c>
      <c r="P6" s="58">
        <v>89.3</v>
      </c>
      <c r="Q6" s="58">
        <v>346.84</v>
      </c>
      <c r="R6" s="58">
        <v>346.84</v>
      </c>
      <c r="S6" s="58">
        <v>484.38</v>
      </c>
      <c r="T6" s="123">
        <v>1360.68</v>
      </c>
      <c r="U6" s="68">
        <v>9.16</v>
      </c>
      <c r="V6" s="62">
        <v>4.4000000000000004</v>
      </c>
      <c r="W6" s="62" t="s">
        <v>4</v>
      </c>
      <c r="X6" s="67">
        <v>13.56</v>
      </c>
    </row>
    <row r="7" spans="1:24" ht="22.7" customHeight="1" x14ac:dyDescent="0.25">
      <c r="A7" s="68" t="s">
        <v>3114</v>
      </c>
      <c r="B7" s="59">
        <v>206.36</v>
      </c>
      <c r="C7" s="59" t="s">
        <v>4</v>
      </c>
      <c r="D7" s="59" t="s">
        <v>4</v>
      </c>
      <c r="E7" s="59" t="s">
        <v>4</v>
      </c>
      <c r="F7" s="59">
        <v>206.36</v>
      </c>
      <c r="G7" s="59" t="s">
        <v>4</v>
      </c>
      <c r="H7" s="59" t="s">
        <v>4</v>
      </c>
      <c r="I7" s="59" t="s">
        <v>4</v>
      </c>
      <c r="J7" s="59">
        <v>5.92</v>
      </c>
      <c r="K7" s="59">
        <v>5.92</v>
      </c>
      <c r="L7" s="59">
        <v>212.28</v>
      </c>
      <c r="M7" s="59">
        <v>10.48</v>
      </c>
      <c r="N7" s="59">
        <v>10.48</v>
      </c>
      <c r="O7" s="59">
        <v>20.9</v>
      </c>
      <c r="P7" s="59">
        <v>20.9</v>
      </c>
      <c r="Q7" s="59">
        <v>71.63</v>
      </c>
      <c r="R7" s="59">
        <v>71.63</v>
      </c>
      <c r="S7" s="59">
        <v>103.01</v>
      </c>
      <c r="T7" s="124">
        <v>315.29000000000002</v>
      </c>
      <c r="U7" s="68">
        <v>2.15</v>
      </c>
      <c r="V7" s="62">
        <v>1.24</v>
      </c>
      <c r="W7" s="62" t="s">
        <v>4</v>
      </c>
      <c r="X7" s="67">
        <v>3.39</v>
      </c>
    </row>
    <row r="8" spans="1:24" ht="22.7" customHeight="1" x14ac:dyDescent="0.25">
      <c r="A8" s="68" t="s">
        <v>3115</v>
      </c>
      <c r="B8" s="59" t="s">
        <v>4</v>
      </c>
      <c r="C8" s="59" t="s">
        <v>4</v>
      </c>
      <c r="D8" s="59" t="s">
        <v>4</v>
      </c>
      <c r="E8" s="59" t="s">
        <v>4</v>
      </c>
      <c r="F8" s="59" t="s">
        <v>4</v>
      </c>
      <c r="G8" s="59" t="s">
        <v>4</v>
      </c>
      <c r="H8" s="59" t="s">
        <v>4</v>
      </c>
      <c r="I8" s="59" t="s">
        <v>4</v>
      </c>
      <c r="J8" s="59" t="s">
        <v>4</v>
      </c>
      <c r="K8" s="59" t="s">
        <v>4</v>
      </c>
      <c r="L8" s="59" t="s">
        <v>4</v>
      </c>
      <c r="M8" s="59" t="s">
        <v>4</v>
      </c>
      <c r="N8" s="59" t="s">
        <v>4</v>
      </c>
      <c r="O8" s="59" t="s">
        <v>4</v>
      </c>
      <c r="P8" s="59" t="s">
        <v>4</v>
      </c>
      <c r="Q8" s="59" t="s">
        <v>4</v>
      </c>
      <c r="R8" s="59" t="s">
        <v>4</v>
      </c>
      <c r="S8" s="59" t="s">
        <v>4</v>
      </c>
      <c r="T8" s="124" t="s">
        <v>4</v>
      </c>
      <c r="U8" s="68">
        <v>0.23</v>
      </c>
      <c r="V8" s="62" t="s">
        <v>4</v>
      </c>
      <c r="W8" s="62" t="s">
        <v>4</v>
      </c>
      <c r="X8" s="67">
        <v>0.23</v>
      </c>
    </row>
    <row r="9" spans="1:24" ht="22.7" customHeight="1" x14ac:dyDescent="0.25">
      <c r="A9" s="68" t="s">
        <v>3116</v>
      </c>
      <c r="B9" s="59" t="s">
        <v>4</v>
      </c>
      <c r="C9" s="59">
        <v>10773.94</v>
      </c>
      <c r="D9" s="59" t="s">
        <v>4</v>
      </c>
      <c r="E9" s="59" t="s">
        <v>4</v>
      </c>
      <c r="F9" s="59">
        <v>10773.94</v>
      </c>
      <c r="G9" s="59" t="s">
        <v>4</v>
      </c>
      <c r="H9" s="59">
        <v>1082.8800000000001</v>
      </c>
      <c r="I9" s="59">
        <v>1082.8800000000001</v>
      </c>
      <c r="J9" s="59" t="s">
        <v>4</v>
      </c>
      <c r="K9" s="59" t="s">
        <v>4</v>
      </c>
      <c r="L9" s="59">
        <v>11856.82</v>
      </c>
      <c r="M9" s="59">
        <v>42.88</v>
      </c>
      <c r="N9" s="59">
        <v>42.88</v>
      </c>
      <c r="O9" s="59" t="s">
        <v>4</v>
      </c>
      <c r="P9" s="59" t="s">
        <v>4</v>
      </c>
      <c r="Q9" s="59">
        <v>505.18</v>
      </c>
      <c r="R9" s="59">
        <v>505.18</v>
      </c>
      <c r="S9" s="59">
        <v>548.06999999999994</v>
      </c>
      <c r="T9" s="124">
        <v>12404.88</v>
      </c>
      <c r="U9" s="68">
        <v>162</v>
      </c>
      <c r="V9" s="62">
        <v>64.8</v>
      </c>
      <c r="W9" s="62" t="s">
        <v>4</v>
      </c>
      <c r="X9" s="67">
        <v>226.8</v>
      </c>
    </row>
    <row r="10" spans="1:24" ht="22.7" customHeight="1" x14ac:dyDescent="0.25">
      <c r="A10" s="68" t="s">
        <v>3117</v>
      </c>
      <c r="B10" s="59" t="s">
        <v>4</v>
      </c>
      <c r="C10" s="59" t="s">
        <v>4</v>
      </c>
      <c r="D10" s="59">
        <v>389.98</v>
      </c>
      <c r="E10" s="59">
        <v>35.119999999999997</v>
      </c>
      <c r="F10" s="59">
        <v>425.1</v>
      </c>
      <c r="G10" s="59">
        <v>6.46</v>
      </c>
      <c r="H10" s="59">
        <v>36.04</v>
      </c>
      <c r="I10" s="59">
        <v>42.49</v>
      </c>
      <c r="J10" s="59" t="s">
        <v>4</v>
      </c>
      <c r="K10" s="59" t="s">
        <v>4</v>
      </c>
      <c r="L10" s="59">
        <v>467.59</v>
      </c>
      <c r="M10" s="59" t="s">
        <v>4</v>
      </c>
      <c r="N10" s="59" t="s">
        <v>4</v>
      </c>
      <c r="O10" s="59" t="s">
        <v>4</v>
      </c>
      <c r="P10" s="59" t="s">
        <v>4</v>
      </c>
      <c r="Q10" s="59" t="s">
        <v>4</v>
      </c>
      <c r="R10" s="59" t="s">
        <v>4</v>
      </c>
      <c r="S10" s="59" t="s">
        <v>4</v>
      </c>
      <c r="T10" s="124">
        <v>467.59</v>
      </c>
      <c r="U10" s="68">
        <v>5.07</v>
      </c>
      <c r="V10" s="62">
        <v>0.76</v>
      </c>
      <c r="W10" s="62" t="s">
        <v>4</v>
      </c>
      <c r="X10" s="67">
        <v>5.83</v>
      </c>
    </row>
    <row r="11" spans="1:24" ht="22.7" customHeight="1" x14ac:dyDescent="0.25">
      <c r="A11" s="68" t="s">
        <v>3118</v>
      </c>
      <c r="B11" s="59" t="s">
        <v>4</v>
      </c>
      <c r="C11" s="59">
        <v>27.04</v>
      </c>
      <c r="D11" s="59">
        <v>23.52</v>
      </c>
      <c r="E11" s="59" t="s">
        <v>4</v>
      </c>
      <c r="F11" s="59">
        <v>50.56</v>
      </c>
      <c r="G11" s="59">
        <v>2.8699999999999997</v>
      </c>
      <c r="H11" s="59">
        <v>9.5299999999999994</v>
      </c>
      <c r="I11" s="59">
        <v>12.39</v>
      </c>
      <c r="J11" s="59" t="s">
        <v>4</v>
      </c>
      <c r="K11" s="59" t="s">
        <v>4</v>
      </c>
      <c r="L11" s="59">
        <v>62.949999999999996</v>
      </c>
      <c r="M11" s="59" t="s">
        <v>4</v>
      </c>
      <c r="N11" s="59" t="s">
        <v>4</v>
      </c>
      <c r="O11" s="59" t="s">
        <v>4</v>
      </c>
      <c r="P11" s="59" t="s">
        <v>4</v>
      </c>
      <c r="Q11" s="59" t="s">
        <v>4</v>
      </c>
      <c r="R11" s="59" t="s">
        <v>4</v>
      </c>
      <c r="S11" s="59" t="s">
        <v>4</v>
      </c>
      <c r="T11" s="124">
        <v>62.949999999999996</v>
      </c>
      <c r="U11" s="68">
        <v>1.1100000000000001</v>
      </c>
      <c r="V11" s="62">
        <v>0.27</v>
      </c>
      <c r="W11" s="62" t="s">
        <v>4</v>
      </c>
      <c r="X11" s="67">
        <v>1.39</v>
      </c>
    </row>
    <row r="12" spans="1:24" ht="22.7" customHeight="1" x14ac:dyDescent="0.25">
      <c r="A12" s="68" t="s">
        <v>3119</v>
      </c>
      <c r="B12" s="59" t="s">
        <v>4</v>
      </c>
      <c r="C12" s="59">
        <v>288.42</v>
      </c>
      <c r="D12" s="59" t="s">
        <v>4</v>
      </c>
      <c r="E12" s="59" t="s">
        <v>4</v>
      </c>
      <c r="F12" s="59">
        <v>288.42</v>
      </c>
      <c r="G12" s="59" t="s">
        <v>4</v>
      </c>
      <c r="H12" s="59">
        <v>30.66</v>
      </c>
      <c r="I12" s="59">
        <v>30.66</v>
      </c>
      <c r="J12" s="59" t="s">
        <v>4</v>
      </c>
      <c r="K12" s="59" t="s">
        <v>4</v>
      </c>
      <c r="L12" s="59">
        <v>319.08</v>
      </c>
      <c r="M12" s="59" t="s">
        <v>4</v>
      </c>
      <c r="N12" s="59" t="s">
        <v>4</v>
      </c>
      <c r="O12" s="59" t="s">
        <v>4</v>
      </c>
      <c r="P12" s="59" t="s">
        <v>4</v>
      </c>
      <c r="Q12" s="59" t="s">
        <v>4</v>
      </c>
      <c r="R12" s="59" t="s">
        <v>4</v>
      </c>
      <c r="S12" s="59" t="s">
        <v>4</v>
      </c>
      <c r="T12" s="124">
        <v>319.08</v>
      </c>
      <c r="U12" s="68">
        <v>3.96</v>
      </c>
      <c r="V12" s="62">
        <v>1.19</v>
      </c>
      <c r="W12" s="62" t="s">
        <v>4</v>
      </c>
      <c r="X12" s="67">
        <v>5.15</v>
      </c>
    </row>
    <row r="13" spans="1:24" ht="22.7" customHeight="1" x14ac:dyDescent="0.25">
      <c r="A13" s="68" t="s">
        <v>3120</v>
      </c>
      <c r="B13" s="59">
        <v>1522.56</v>
      </c>
      <c r="C13" s="59" t="s">
        <v>4</v>
      </c>
      <c r="D13" s="59" t="s">
        <v>4</v>
      </c>
      <c r="E13" s="59" t="s">
        <v>4</v>
      </c>
      <c r="F13" s="59">
        <v>1522.56</v>
      </c>
      <c r="G13" s="59" t="s">
        <v>4</v>
      </c>
      <c r="H13" s="59" t="s">
        <v>4</v>
      </c>
      <c r="I13" s="59" t="s">
        <v>4</v>
      </c>
      <c r="J13" s="59" t="s">
        <v>4</v>
      </c>
      <c r="K13" s="59" t="s">
        <v>4</v>
      </c>
      <c r="L13" s="59">
        <v>1522.56</v>
      </c>
      <c r="M13" s="59" t="s">
        <v>4</v>
      </c>
      <c r="N13" s="59" t="s">
        <v>4</v>
      </c>
      <c r="O13" s="59" t="s">
        <v>4</v>
      </c>
      <c r="P13" s="59" t="s">
        <v>4</v>
      </c>
      <c r="Q13" s="59" t="s">
        <v>4</v>
      </c>
      <c r="R13" s="59" t="s">
        <v>4</v>
      </c>
      <c r="S13" s="59" t="s">
        <v>4</v>
      </c>
      <c r="T13" s="124">
        <v>1522.56</v>
      </c>
      <c r="U13" s="68">
        <v>18.579999999999998</v>
      </c>
      <c r="V13" s="62">
        <v>3.62</v>
      </c>
      <c r="W13" s="62">
        <v>5.19</v>
      </c>
      <c r="X13" s="67">
        <v>27.39</v>
      </c>
    </row>
    <row r="14" spans="1:24" ht="22.7" customHeight="1" thickBot="1" x14ac:dyDescent="0.3">
      <c r="A14" s="60" t="s">
        <v>2926</v>
      </c>
      <c r="B14" s="61">
        <v>2605.2199999999998</v>
      </c>
      <c r="C14" s="61">
        <v>11089.400000000001</v>
      </c>
      <c r="D14" s="61">
        <v>413.5</v>
      </c>
      <c r="E14" s="61">
        <v>35.119999999999997</v>
      </c>
      <c r="F14" s="61">
        <v>14143.24</v>
      </c>
      <c r="G14" s="61">
        <v>9.33</v>
      </c>
      <c r="H14" s="61">
        <v>1159.1100000000001</v>
      </c>
      <c r="I14" s="61">
        <v>1168.4200000000003</v>
      </c>
      <c r="J14" s="61">
        <v>5.92</v>
      </c>
      <c r="K14" s="61">
        <v>5.92</v>
      </c>
      <c r="L14" s="61">
        <v>15317.58</v>
      </c>
      <c r="M14" s="61">
        <v>101.6</v>
      </c>
      <c r="N14" s="61">
        <v>101.6</v>
      </c>
      <c r="O14" s="61">
        <v>110.19999999999999</v>
      </c>
      <c r="P14" s="61">
        <v>110.19999999999999</v>
      </c>
      <c r="Q14" s="61">
        <v>923.65</v>
      </c>
      <c r="R14" s="61">
        <v>923.65</v>
      </c>
      <c r="S14" s="61">
        <v>1135.46</v>
      </c>
      <c r="T14" s="125">
        <v>16453.03</v>
      </c>
      <c r="U14" s="41">
        <v>202.26</v>
      </c>
      <c r="V14" s="42">
        <v>76.28</v>
      </c>
      <c r="W14" s="42">
        <v>5.19</v>
      </c>
      <c r="X14" s="126">
        <v>283.74</v>
      </c>
    </row>
  </sheetData>
  <mergeCells count="25">
    <mergeCell ref="W2:W5"/>
    <mergeCell ref="T1:T5"/>
    <mergeCell ref="S2:S5"/>
    <mergeCell ref="X1:X5"/>
    <mergeCell ref="B4:I4"/>
    <mergeCell ref="J4:K4"/>
    <mergeCell ref="M4:N4"/>
    <mergeCell ref="O4:P4"/>
    <mergeCell ref="Q4:R4"/>
    <mergeCell ref="L2:L5"/>
    <mergeCell ref="J2:K2"/>
    <mergeCell ref="M2:N2"/>
    <mergeCell ref="O2:R2"/>
    <mergeCell ref="B3:F3"/>
    <mergeCell ref="G3:I3"/>
    <mergeCell ref="J3:K3"/>
    <mergeCell ref="M3:N3"/>
    <mergeCell ref="O3:R3"/>
    <mergeCell ref="A1:A5"/>
    <mergeCell ref="B1:L1"/>
    <mergeCell ref="M1:S1"/>
    <mergeCell ref="B2:I2"/>
    <mergeCell ref="U1:W1"/>
    <mergeCell ref="U2:U5"/>
    <mergeCell ref="V2:V5"/>
  </mergeCells>
  <conditionalFormatting sqref="A1:T5">
    <cfRule type="containsText" dxfId="58" priority="30" stopIfTrue="1" operator="containsText" text="шт.)">
      <formula>NOT(ISERROR(SEARCH("шт.)",A1)))</formula>
    </cfRule>
    <cfRule type="containsText" dxfId="57" priority="29" stopIfTrue="1" operator="containsText" text=", на ">
      <formula>NOT(ISERROR(SEARCH(", на ",A1)))</formula>
    </cfRule>
    <cfRule type="containsText" dxfId="56" priority="28" stopIfTrue="1" operator="containsText" text="Элементы на отм.">
      <formula>NOT(ISERROR(SEARCH("Элементы на отм.",A1)))</formula>
    </cfRule>
    <cfRule type="containsText" dxfId="55" priority="27" stopIfTrue="1" operator="containsText" text=" Материалы ">
      <formula>NOT(ISERROR(SEARCH(" Материалы ",A1)))</formula>
    </cfRule>
    <cfRule type="containsText" dxfId="54" priority="26" stopIfTrue="1" operator="containsText" text=" Сборочные единицы ">
      <formula>NOT(ISERROR(SEARCH(" Сборочные единицы ",A1)))</formula>
    </cfRule>
    <cfRule type="containsText" dxfId="53" priority="25" stopIfTrue="1" operator="containsText" text=" Прокат ">
      <formula>NOT(ISERROR(SEARCH(" Прокат ",A1)))</formula>
    </cfRule>
    <cfRule type="containsText" dxfId="52" priority="24" stopIfTrue="1" operator="containsText" text=" Изделия ">
      <formula>NOT(ISERROR(SEARCH(" Изделия ",A1)))</formula>
    </cfRule>
    <cfRule type="containsText" dxfId="51" priority="23" stopIfTrue="1" operator="containsText" text="!!!">
      <formula>NOT(ISERROR(SEARCH("!!!",A1)))</formula>
    </cfRule>
    <cfRule type="containsText" dxfId="50" priority="22" stopIfTrue="1" operator="containsText" text="ИЗ ФАЙЛА">
      <formula>NOT(ISERROR(SEARCH("ИЗ ФАЙЛА",A1)))</formula>
    </cfRule>
    <cfRule type="containsText" dxfId="49" priority="21" stopIfTrue="1" operator="containsText" text="С ЛИСТА">
      <formula>NOT(ISERROR(SEARCH("С ЛИСТА",A1)))</formula>
    </cfRule>
  </conditionalFormatting>
  <conditionalFormatting sqref="A6:T14">
    <cfRule type="containsText" dxfId="48" priority="20" stopIfTrue="1" operator="containsText" text="шт.)">
      <formula>NOT(ISERROR(SEARCH("шт.)",A6)))</formula>
    </cfRule>
    <cfRule type="containsText" dxfId="47" priority="19" stopIfTrue="1" operator="containsText" text=", на ">
      <formula>NOT(ISERROR(SEARCH(", на ",A6)))</formula>
    </cfRule>
    <cfRule type="containsText" dxfId="46" priority="18" stopIfTrue="1" operator="containsText" text="Элементы на отм.">
      <formula>NOT(ISERROR(SEARCH("Элементы на отм.",A6)))</formula>
    </cfRule>
    <cfRule type="containsText" dxfId="45" priority="17" stopIfTrue="1" operator="containsText" text=" Материалы ">
      <formula>NOT(ISERROR(SEARCH(" Материалы ",A6)))</formula>
    </cfRule>
    <cfRule type="containsText" dxfId="44" priority="16" stopIfTrue="1" operator="containsText" text=" Сборочные единицы ">
      <formula>NOT(ISERROR(SEARCH(" Сборочные единицы ",A6)))</formula>
    </cfRule>
    <cfRule type="containsText" dxfId="43" priority="15" stopIfTrue="1" operator="containsText" text=" Прокат ">
      <formula>NOT(ISERROR(SEARCH(" Прокат ",A6)))</formula>
    </cfRule>
    <cfRule type="containsText" dxfId="42" priority="14" stopIfTrue="1" operator="containsText" text=" Изделия ">
      <formula>NOT(ISERROR(SEARCH(" Изделия ",A6)))</formula>
    </cfRule>
    <cfRule type="containsText" dxfId="41" priority="13" stopIfTrue="1" operator="containsText" text="!!!">
      <formula>NOT(ISERROR(SEARCH("!!!",A6)))</formula>
    </cfRule>
    <cfRule type="containsText" dxfId="40" priority="12" stopIfTrue="1" operator="containsText" text="ИЗ ФАЙЛА">
      <formula>NOT(ISERROR(SEARCH("ИЗ ФАЙЛА",A6)))</formula>
    </cfRule>
    <cfRule type="containsText" dxfId="39" priority="11" stopIfTrue="1" operator="containsText" text="С ЛИСТА">
      <formula>NOT(ISERROR(SEARCH("С ЛИСТА",A6)))</formula>
    </cfRule>
  </conditionalFormatting>
  <conditionalFormatting sqref="U1:X14">
    <cfRule type="containsText" dxfId="38" priority="10" stopIfTrue="1" operator="containsText" text="шт.)">
      <formula>NOT(ISERROR(SEARCH("шт.)",U1)))</formula>
    </cfRule>
    <cfRule type="containsText" dxfId="37" priority="9" stopIfTrue="1" operator="containsText" text=", на ">
      <formula>NOT(ISERROR(SEARCH(", на ",U1)))</formula>
    </cfRule>
    <cfRule type="containsText" dxfId="36" priority="8" stopIfTrue="1" operator="containsText" text="Элементы на отм.">
      <formula>NOT(ISERROR(SEARCH("Элементы на отм.",U1)))</formula>
    </cfRule>
    <cfRule type="containsText" dxfId="35" priority="7" stopIfTrue="1" operator="containsText" text=" Материалы ">
      <formula>NOT(ISERROR(SEARCH(" Материалы ",U1)))</formula>
    </cfRule>
    <cfRule type="containsText" dxfId="34" priority="6" stopIfTrue="1" operator="containsText" text=" Сборочные единицы ">
      <formula>NOT(ISERROR(SEARCH(" Сборочные единицы ",U1)))</formula>
    </cfRule>
    <cfRule type="containsText" dxfId="33" priority="5" stopIfTrue="1" operator="containsText" text=" Прокат ">
      <formula>NOT(ISERROR(SEARCH(" Прокат ",U1)))</formula>
    </cfRule>
    <cfRule type="containsText" dxfId="32" priority="4" stopIfTrue="1" operator="containsText" text=" Изделия ">
      <formula>NOT(ISERROR(SEARCH(" Изделия ",U1)))</formula>
    </cfRule>
    <cfRule type="containsText" dxfId="31" priority="3" stopIfTrue="1" operator="containsText" text="!!!">
      <formula>NOT(ISERROR(SEARCH("!!!",U1)))</formula>
    </cfRule>
    <cfRule type="containsText" dxfId="30" priority="2" stopIfTrue="1" operator="containsText" text="ИЗ ФАЙЛА">
      <formula>NOT(ISERROR(SEARCH("ИЗ ФАЙЛА",U1)))</formula>
    </cfRule>
    <cfRule type="containsText" dxfId="29" priority="1" stopIfTrue="1" operator="containsText" text="С ЛИСТА">
      <formula>NOT(ISERROR(SEARCH("С ЛИСТА",U1)))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2473</v>
      </c>
      <c r="R1" t="s">
        <v>2714</v>
      </c>
      <c r="S1" t="s">
        <v>2473</v>
      </c>
      <c r="T1" t="s">
        <v>2482</v>
      </c>
      <c r="U1" t="s">
        <v>2485</v>
      </c>
      <c r="V1" t="s">
        <v>2586</v>
      </c>
      <c r="W1" t="s">
        <v>2637</v>
      </c>
      <c r="X1" t="s">
        <v>2661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2675</v>
      </c>
      <c r="Q3" t="s">
        <v>2474</v>
      </c>
      <c r="R3" t="s">
        <v>2715</v>
      </c>
      <c r="S3" t="s">
        <v>2474</v>
      </c>
      <c r="T3" t="s">
        <v>2483</v>
      </c>
      <c r="U3" t="s">
        <v>2486</v>
      </c>
      <c r="V3" t="s">
        <v>2587</v>
      </c>
      <c r="W3" t="s">
        <v>2638</v>
      </c>
      <c r="X3" t="s">
        <v>2662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2676</v>
      </c>
      <c r="Q4" t="s">
        <v>2475</v>
      </c>
      <c r="R4" t="s">
        <v>2716</v>
      </c>
      <c r="S4" t="s">
        <v>2475</v>
      </c>
      <c r="T4" t="s">
        <v>2484</v>
      </c>
      <c r="U4" t="s">
        <v>2487</v>
      </c>
      <c r="V4" t="s">
        <v>2588</v>
      </c>
      <c r="W4" t="s">
        <v>2639</v>
      </c>
      <c r="X4" t="s">
        <v>2663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2677</v>
      </c>
      <c r="Q5" t="s">
        <v>2476</v>
      </c>
      <c r="R5" t="s">
        <v>2717</v>
      </c>
      <c r="S5" t="s">
        <v>2476</v>
      </c>
      <c r="U5" t="s">
        <v>2488</v>
      </c>
      <c r="V5" t="s">
        <v>2589</v>
      </c>
      <c r="W5" t="s">
        <v>2640</v>
      </c>
      <c r="X5" t="s">
        <v>2664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2678</v>
      </c>
      <c r="Q6" t="s">
        <v>2477</v>
      </c>
      <c r="R6" t="s">
        <v>2718</v>
      </c>
      <c r="S6" t="s">
        <v>2477</v>
      </c>
      <c r="U6" t="s">
        <v>2489</v>
      </c>
      <c r="V6" t="s">
        <v>2590</v>
      </c>
      <c r="W6" t="s">
        <v>2641</v>
      </c>
      <c r="X6" t="s">
        <v>2665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2679</v>
      </c>
      <c r="Q7" t="s">
        <v>2478</v>
      </c>
      <c r="R7" t="s">
        <v>2719</v>
      </c>
      <c r="S7" t="s">
        <v>2478</v>
      </c>
      <c r="U7" t="s">
        <v>2490</v>
      </c>
      <c r="V7" t="s">
        <v>2591</v>
      </c>
      <c r="W7" t="s">
        <v>2642</v>
      </c>
      <c r="X7" t="s">
        <v>2666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2680</v>
      </c>
      <c r="Q8" t="s">
        <v>2479</v>
      </c>
      <c r="R8" t="s">
        <v>2720</v>
      </c>
      <c r="S8" t="s">
        <v>2479</v>
      </c>
      <c r="U8" t="s">
        <v>2491</v>
      </c>
      <c r="V8" t="s">
        <v>2592</v>
      </c>
      <c r="W8" t="s">
        <v>2643</v>
      </c>
      <c r="X8" t="s">
        <v>2667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2681</v>
      </c>
      <c r="Q9" t="s">
        <v>2480</v>
      </c>
      <c r="R9" t="s">
        <v>2721</v>
      </c>
      <c r="S9" t="s">
        <v>2480</v>
      </c>
      <c r="U9" t="s">
        <v>2492</v>
      </c>
      <c r="V9" t="s">
        <v>2593</v>
      </c>
      <c r="W9" t="s">
        <v>2644</v>
      </c>
      <c r="X9" t="s">
        <v>2668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2682</v>
      </c>
      <c r="Q10" t="s">
        <v>2481</v>
      </c>
      <c r="R10" t="s">
        <v>2722</v>
      </c>
      <c r="S10" t="s">
        <v>2481</v>
      </c>
      <c r="U10" t="s">
        <v>2493</v>
      </c>
      <c r="V10" t="s">
        <v>2594</v>
      </c>
      <c r="W10" t="s">
        <v>2645</v>
      </c>
      <c r="X10" t="s">
        <v>2669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2683</v>
      </c>
      <c r="R11" t="s">
        <v>2723</v>
      </c>
      <c r="U11" t="s">
        <v>2494</v>
      </c>
      <c r="V11" t="s">
        <v>2595</v>
      </c>
      <c r="W11" t="s">
        <v>2646</v>
      </c>
      <c r="X11" t="s">
        <v>2670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2724</v>
      </c>
      <c r="U12" t="s">
        <v>2495</v>
      </c>
      <c r="V12" t="s">
        <v>2596</v>
      </c>
      <c r="W12" t="s">
        <v>2647</v>
      </c>
      <c r="X12" t="s">
        <v>2671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2684</v>
      </c>
      <c r="R13" t="s">
        <v>2725</v>
      </c>
      <c r="U13" t="s">
        <v>2496</v>
      </c>
      <c r="V13" t="s">
        <v>2597</v>
      </c>
      <c r="W13" t="s">
        <v>1745</v>
      </c>
      <c r="X13" t="s">
        <v>2672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2685</v>
      </c>
      <c r="R14" t="s">
        <v>2726</v>
      </c>
      <c r="U14" t="s">
        <v>2497</v>
      </c>
      <c r="V14" t="s">
        <v>2598</v>
      </c>
      <c r="W14" t="s">
        <v>1777</v>
      </c>
      <c r="X14" t="s">
        <v>2673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2686</v>
      </c>
      <c r="R15" t="s">
        <v>2727</v>
      </c>
      <c r="U15" t="s">
        <v>2498</v>
      </c>
      <c r="V15" t="s">
        <v>2599</v>
      </c>
      <c r="W15" t="s">
        <v>1747</v>
      </c>
      <c r="X15" t="s">
        <v>2674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2687</v>
      </c>
      <c r="U16" t="s">
        <v>2499</v>
      </c>
      <c r="V16" t="s">
        <v>2600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2688</v>
      </c>
      <c r="U17" t="s">
        <v>2500</v>
      </c>
      <c r="V17" t="s">
        <v>2601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2501</v>
      </c>
      <c r="V18" t="s">
        <v>2602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2689</v>
      </c>
      <c r="U19" t="s">
        <v>2502</v>
      </c>
      <c r="V19" t="s">
        <v>2603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2690</v>
      </c>
      <c r="U20" t="s">
        <v>2503</v>
      </c>
      <c r="V20" t="s">
        <v>2604</v>
      </c>
      <c r="W20" t="s">
        <v>2648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2691</v>
      </c>
      <c r="U21" t="s">
        <v>2504</v>
      </c>
      <c r="V21" t="s">
        <v>2605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2692</v>
      </c>
      <c r="U22" t="s">
        <v>2505</v>
      </c>
      <c r="V22" t="s">
        <v>2606</v>
      </c>
      <c r="W22" t="s">
        <v>2649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2693</v>
      </c>
      <c r="U23" t="s">
        <v>2506</v>
      </c>
      <c r="V23" t="s">
        <v>2607</v>
      </c>
      <c r="W23" t="s">
        <v>2650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2694</v>
      </c>
      <c r="U24" t="s">
        <v>2507</v>
      </c>
      <c r="V24" t="s">
        <v>2608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2695</v>
      </c>
      <c r="U25" t="s">
        <v>2508</v>
      </c>
      <c r="V25" t="s">
        <v>2609</v>
      </c>
      <c r="W25" t="s">
        <v>2651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2696</v>
      </c>
      <c r="U26" t="s">
        <v>2509</v>
      </c>
      <c r="V26" t="s">
        <v>2610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2697</v>
      </c>
      <c r="U27" t="s">
        <v>2510</v>
      </c>
      <c r="V27" t="s">
        <v>2611</v>
      </c>
      <c r="W27" t="s">
        <v>2652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2698</v>
      </c>
      <c r="U28" t="s">
        <v>2511</v>
      </c>
      <c r="V28" t="s">
        <v>2612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2699</v>
      </c>
      <c r="U29" t="s">
        <v>2512</v>
      </c>
      <c r="V29" t="s">
        <v>2613</v>
      </c>
      <c r="W29" t="s">
        <v>2653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2700</v>
      </c>
      <c r="U30" t="s">
        <v>2513</v>
      </c>
      <c r="V30" t="s">
        <v>2614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2701</v>
      </c>
      <c r="U31" t="s">
        <v>2514</v>
      </c>
      <c r="V31" t="s">
        <v>2615</v>
      </c>
      <c r="W31" t="s">
        <v>2654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2702</v>
      </c>
      <c r="U32" t="s">
        <v>2515</v>
      </c>
      <c r="V32" t="s">
        <v>2616</v>
      </c>
      <c r="W32" t="s">
        <v>2655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2703</v>
      </c>
      <c r="U33" t="s">
        <v>2516</v>
      </c>
      <c r="V33" t="s">
        <v>2617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2704</v>
      </c>
      <c r="U34" t="s">
        <v>2517</v>
      </c>
      <c r="V34" t="s">
        <v>2618</v>
      </c>
      <c r="W34" t="s">
        <v>2656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2705</v>
      </c>
      <c r="U35" t="s">
        <v>2518</v>
      </c>
      <c r="V35" t="s">
        <v>2619</v>
      </c>
      <c r="W35" t="s">
        <v>2657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2706</v>
      </c>
      <c r="U36" t="s">
        <v>2519</v>
      </c>
      <c r="V36" t="s">
        <v>2620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2707</v>
      </c>
      <c r="U37" t="s">
        <v>2520</v>
      </c>
      <c r="V37" t="s">
        <v>2621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2708</v>
      </c>
      <c r="U38" t="s">
        <v>2521</v>
      </c>
      <c r="V38" t="s">
        <v>2622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2709</v>
      </c>
      <c r="U39" t="s">
        <v>2522</v>
      </c>
      <c r="V39" t="s">
        <v>2623</v>
      </c>
      <c r="W39" t="s">
        <v>2658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2710</v>
      </c>
      <c r="U40" t="s">
        <v>2523</v>
      </c>
      <c r="V40" t="s">
        <v>2624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2711</v>
      </c>
      <c r="U41" t="s">
        <v>2524</v>
      </c>
      <c r="V41" t="s">
        <v>2625</v>
      </c>
      <c r="W41" t="s">
        <v>2659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2712</v>
      </c>
      <c r="U42" t="s">
        <v>2525</v>
      </c>
      <c r="V42" t="s">
        <v>2626</v>
      </c>
      <c r="W42" t="s">
        <v>2660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2713</v>
      </c>
      <c r="U43" t="s">
        <v>2526</v>
      </c>
      <c r="V43" t="s">
        <v>2627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2527</v>
      </c>
      <c r="V44" t="s">
        <v>2628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2528</v>
      </c>
      <c r="V45" t="s">
        <v>2629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2529</v>
      </c>
      <c r="V46" t="s">
        <v>2630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2530</v>
      </c>
      <c r="V47" t="s">
        <v>2631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2531</v>
      </c>
      <c r="V48" t="s">
        <v>2632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2532</v>
      </c>
      <c r="V49" t="s">
        <v>2633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2533</v>
      </c>
      <c r="V50" t="s">
        <v>2634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2534</v>
      </c>
      <c r="V51" t="s">
        <v>2635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2535</v>
      </c>
      <c r="V52" t="s">
        <v>2636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2536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2537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2538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2539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2540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2541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2542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2543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2544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2545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2546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2547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2548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2549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2550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2551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2552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2553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2554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2555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2556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2557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2558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2559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2560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2561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2562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2563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2564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2565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2566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2567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2568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2569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2570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2571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2572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2573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2574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2575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2576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2577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2578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2579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2580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2581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2582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2583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2584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2585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|Содержание|</vt:lpstr>
      <vt:lpstr>КЖ_спец</vt:lpstr>
      <vt:lpstr>КЖ_норм</vt:lpstr>
      <vt:lpstr>Изделия_спец.И</vt:lpstr>
      <vt:lpstr>Ведомость отделки_правила</vt:lpstr>
      <vt:lpstr>Ведомость отделки_вед</vt:lpstr>
      <vt:lpstr>|Лог|</vt:lpstr>
      <vt:lpstr>КЖ</vt:lpstr>
      <vt:lpstr>КЖ_кж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2019-09-23T11:30:12Z</dcterms:modified>
</cp:coreProperties>
</file>