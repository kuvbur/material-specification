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8370" yWindow="0" windowWidth="17700" windowHeight="8340" tabRatio="850" activeTab="2"/>
  </bookViews>
  <sheets>
    <sheet name="|Содержание|" sheetId="661" r:id="rId1"/>
    <sheet name="|Лог|" sheetId="948" state="hidden" r:id="rId2"/>
    <sheet name="КЖ_спец" sheetId="938" r:id="rId3"/>
    <sheet name="КЖ_норм" sheetId="941" r:id="rId4"/>
    <sheet name="Изделия_спец.И" sheetId="939" r:id="rId5"/>
    <sheet name="Ведомость отделки-Тип_вед" sheetId="946" r:id="rId6"/>
    <sheet name="Ведомость отделки_правила" sheetId="926" r:id="rId7"/>
    <sheet name="Ведомость отделки_вед" sheetId="927" r:id="rId8"/>
    <sheet name="едомость отделки-Тип_вед_log" sheetId="949" r:id="rId9"/>
    <sheet name="!System" sheetId="932" state="hidden" r:id="rId10"/>
  </sheets>
  <functionGroups builtInGroupCount="18"/>
  <externalReferences>
    <externalReference r:id="rId11"/>
  </externalReferences>
  <calcPr calcId="162913"/>
</workbook>
</file>

<file path=xl/calcChain.xml><?xml version="1.0" encoding="utf-8"?>
<calcChain xmlns="http://schemas.openxmlformats.org/spreadsheetml/2006/main">
  <c r="B106" i="938" l="1"/>
  <c r="C106" i="938"/>
  <c r="D106" i="938"/>
  <c r="B124" i="938"/>
  <c r="C124" i="938"/>
  <c r="D124" i="938"/>
  <c r="D123" i="938"/>
  <c r="B123" i="938"/>
  <c r="C123" i="938"/>
  <c r="C12" i="926" l="1"/>
  <c r="C7" i="926"/>
  <c r="C8" i="926"/>
  <c r="C9" i="926"/>
  <c r="C10" i="926"/>
  <c r="C11" i="926"/>
  <c r="C6" i="926"/>
  <c r="C5" i="926"/>
  <c r="D23" i="938" l="1"/>
  <c r="B5" i="939" l="1"/>
  <c r="D5" i="939" s="1"/>
  <c r="D20" i="938" s="1"/>
  <c r="A6" i="939"/>
  <c r="A7" i="939"/>
  <c r="B10" i="939"/>
  <c r="D10" i="939"/>
  <c r="D83" i="938" s="1"/>
  <c r="A11" i="939"/>
  <c r="A12" i="939"/>
  <c r="B15" i="939"/>
  <c r="D15" i="939" s="1"/>
  <c r="D50" i="938" s="1"/>
  <c r="A16" i="939"/>
  <c r="A17" i="939"/>
  <c r="B21" i="939"/>
  <c r="D21" i="939" s="1"/>
  <c r="D19" i="938" s="1"/>
  <c r="A22" i="939"/>
  <c r="A23" i="939"/>
  <c r="B26" i="939"/>
  <c r="D26" i="939"/>
  <c r="A27" i="939"/>
  <c r="A28" i="939"/>
  <c r="B31" i="939"/>
  <c r="B60" i="938" s="1"/>
  <c r="D31" i="939"/>
  <c r="D60" i="938" s="1"/>
  <c r="A32" i="939"/>
  <c r="A33" i="939"/>
  <c r="B37" i="939"/>
  <c r="A38" i="939"/>
  <c r="A39" i="939"/>
  <c r="B42" i="939"/>
  <c r="A43" i="939"/>
  <c r="K43" i="939"/>
  <c r="A44" i="939"/>
  <c r="E5" i="938"/>
  <c r="E6" i="938"/>
  <c r="E7" i="938"/>
  <c r="E8" i="938"/>
  <c r="E9" i="938"/>
  <c r="A13" i="938"/>
  <c r="A12" i="938" s="1"/>
  <c r="D13" i="938"/>
  <c r="H16" i="938"/>
  <c r="H17" i="938"/>
  <c r="H18" i="938"/>
  <c r="B19" i="938"/>
  <c r="C19" i="938"/>
  <c r="B20" i="938"/>
  <c r="C20" i="938"/>
  <c r="E21" i="938"/>
  <c r="E22" i="938"/>
  <c r="E27" i="938"/>
  <c r="E28" i="938"/>
  <c r="E29" i="938"/>
  <c r="A32" i="938"/>
  <c r="A33" i="938" s="1"/>
  <c r="A34" i="938" s="1"/>
  <c r="A35" i="938" s="1"/>
  <c r="A36" i="938" s="1"/>
  <c r="A37" i="938" s="1"/>
  <c r="A38" i="938" s="1"/>
  <c r="A39" i="938" s="1"/>
  <c r="D32" i="938"/>
  <c r="H33" i="938"/>
  <c r="H34" i="938"/>
  <c r="B36" i="938"/>
  <c r="C36" i="938"/>
  <c r="D36" i="938"/>
  <c r="E37" i="938"/>
  <c r="D39" i="938"/>
  <c r="E43" i="938"/>
  <c r="E44" i="938"/>
  <c r="E50" i="938" s="1"/>
  <c r="A46" i="938"/>
  <c r="A45" i="938" s="1"/>
  <c r="D46" i="938"/>
  <c r="C50" i="938"/>
  <c r="D52" i="938"/>
  <c r="E55" i="938"/>
  <c r="E62" i="938" s="1"/>
  <c r="A59" i="938"/>
  <c r="A58" i="938" s="1"/>
  <c r="D59" i="938"/>
  <c r="C60" i="938"/>
  <c r="E60" i="938"/>
  <c r="E61" i="938"/>
  <c r="D62" i="938"/>
  <c r="E63" i="938"/>
  <c r="E66" i="938"/>
  <c r="E71" i="938" s="1"/>
  <c r="A70" i="938"/>
  <c r="A69" i="938" s="1"/>
  <c r="D70" i="938"/>
  <c r="D71" i="938"/>
  <c r="E77" i="938"/>
  <c r="E74" i="938" s="1"/>
  <c r="E89" i="938" s="1"/>
  <c r="A79" i="938"/>
  <c r="A78" i="938" s="1"/>
  <c r="D79" i="938"/>
  <c r="E81" i="938"/>
  <c r="E82" i="938"/>
  <c r="B83" i="938"/>
  <c r="C83" i="938"/>
  <c r="B84" i="938"/>
  <c r="C84" i="938"/>
  <c r="D84" i="938"/>
  <c r="E84" i="938"/>
  <c r="E85" i="938"/>
  <c r="E87" i="938"/>
  <c r="E86" i="938" s="1"/>
  <c r="D89" i="938"/>
  <c r="E93" i="938"/>
  <c r="E100" i="938" s="1"/>
  <c r="A98" i="938"/>
  <c r="A97" i="938" s="1"/>
  <c r="D98" i="938"/>
  <c r="B100" i="938"/>
  <c r="C100" i="938"/>
  <c r="D100" i="938"/>
  <c r="B101" i="938"/>
  <c r="C101" i="938"/>
  <c r="D101" i="938"/>
  <c r="D105" i="938"/>
  <c r="E111" i="938"/>
  <c r="E108" i="938" s="1"/>
  <c r="E122" i="938" s="1"/>
  <c r="A114" i="938"/>
  <c r="A115" i="938" s="1"/>
  <c r="A116" i="938" s="1"/>
  <c r="A117" i="938" s="1"/>
  <c r="A118" i="938" s="1"/>
  <c r="A119" i="938" s="1"/>
  <c r="A120" i="938" s="1"/>
  <c r="A121" i="938" s="1"/>
  <c r="A122" i="938" s="1"/>
  <c r="D114" i="938"/>
  <c r="B117" i="938"/>
  <c r="C117" i="938"/>
  <c r="D117" i="938"/>
  <c r="E117" i="938"/>
  <c r="B118" i="938"/>
  <c r="C118" i="938"/>
  <c r="D118" i="938"/>
  <c r="E118" i="938"/>
  <c r="D122" i="938"/>
  <c r="H47" i="938"/>
  <c r="H80" i="938"/>
  <c r="E95" i="938" l="1"/>
  <c r="E92" i="938" s="1"/>
  <c r="E105" i="938" s="1"/>
  <c r="E26" i="938"/>
  <c r="E39" i="938" s="1"/>
  <c r="E42" i="938"/>
  <c r="E52" i="938" s="1"/>
  <c r="E4" i="938"/>
  <c r="E23" i="938" s="1"/>
  <c r="E51" i="938"/>
  <c r="E83" i="938"/>
  <c r="A31" i="938"/>
  <c r="C31" i="938" s="1"/>
  <c r="A71" i="938"/>
  <c r="A14" i="938"/>
  <c r="A15" i="938" s="1"/>
  <c r="A16" i="938" s="1"/>
  <c r="A17" i="938" s="1"/>
  <c r="A18" i="938" s="1"/>
  <c r="A19" i="938" s="1"/>
  <c r="A20" i="938" s="1"/>
  <c r="A21" i="938" s="1"/>
  <c r="A22" i="938" s="1"/>
  <c r="A23" i="938" s="1"/>
  <c r="A99" i="938"/>
  <c r="A100" i="938" s="1"/>
  <c r="A101" i="938" s="1"/>
  <c r="A102" i="938" s="1"/>
  <c r="A103" i="938" s="1"/>
  <c r="A104" i="938" s="1"/>
  <c r="A105" i="938" s="1"/>
  <c r="A47" i="938"/>
  <c r="A48" i="938" s="1"/>
  <c r="A49" i="938" s="1"/>
  <c r="A50" i="938" s="1"/>
  <c r="A51" i="938" s="1"/>
  <c r="A52" i="938" s="1"/>
  <c r="E88" i="938"/>
  <c r="A80" i="938"/>
  <c r="A81" i="938" s="1"/>
  <c r="A82" i="938" s="1"/>
  <c r="A83" i="938" s="1"/>
  <c r="A84" i="938" s="1"/>
  <c r="A85" i="938" s="1"/>
  <c r="A86" i="938" s="1"/>
  <c r="A87" i="938" s="1"/>
  <c r="A88" i="938" s="1"/>
  <c r="A89" i="938" s="1"/>
  <c r="A60" i="938"/>
  <c r="A61" i="938" s="1"/>
  <c r="A62" i="938" s="1"/>
  <c r="A63" i="938" s="1"/>
  <c r="A113" i="938"/>
  <c r="A112" i="938" s="1"/>
  <c r="A111" i="938" s="1"/>
  <c r="B50" i="938"/>
  <c r="C78" i="938"/>
  <c r="A77" i="938"/>
  <c r="A68" i="938"/>
  <c r="C69" i="938"/>
  <c r="A11" i="938"/>
  <c r="C12" i="938"/>
  <c r="A96" i="938"/>
  <c r="C97" i="938"/>
  <c r="A57" i="938"/>
  <c r="C58" i="938"/>
  <c r="A44" i="938"/>
  <c r="C45" i="938"/>
  <c r="E20" i="938"/>
  <c r="E121" i="938"/>
  <c r="E101" i="938"/>
  <c r="E38" i="938"/>
  <c r="H99" i="938"/>
  <c r="H115" i="938"/>
  <c r="H14" i="938"/>
  <c r="E104" i="938" l="1"/>
  <c r="A30" i="938"/>
  <c r="C30" i="938" s="1"/>
  <c r="C113" i="938"/>
  <c r="A110" i="938"/>
  <c r="A109" i="938" s="1"/>
  <c r="C111" i="938"/>
  <c r="C112" i="938"/>
  <c r="A76" i="938"/>
  <c r="C77" i="938"/>
  <c r="C11" i="938"/>
  <c r="C7" i="938" s="1"/>
  <c r="A10" i="938"/>
  <c r="C96" i="938"/>
  <c r="A95" i="938"/>
  <c r="C68" i="938"/>
  <c r="A67" i="938"/>
  <c r="C44" i="938"/>
  <c r="A43" i="938"/>
  <c r="A56" i="938"/>
  <c r="C57" i="938"/>
  <c r="A29" i="938" l="1"/>
  <c r="A28" i="938" s="1"/>
  <c r="A27" i="938" s="1"/>
  <c r="A26" i="938" s="1"/>
  <c r="C110" i="938"/>
  <c r="C43" i="938"/>
  <c r="A42" i="938"/>
  <c r="C67" i="938"/>
  <c r="A66" i="938"/>
  <c r="A94" i="938"/>
  <c r="C95" i="938"/>
  <c r="A75" i="938"/>
  <c r="C76" i="938"/>
  <c r="A9" i="938"/>
  <c r="C10" i="938"/>
  <c r="A55" i="938"/>
  <c r="C56" i="938"/>
  <c r="A108" i="938"/>
  <c r="C109" i="938"/>
  <c r="C29" i="938" l="1"/>
  <c r="C28" i="938" s="1"/>
  <c r="C27" i="938" s="1"/>
  <c r="C9" i="938"/>
  <c r="C6" i="938" s="1"/>
  <c r="A8" i="938"/>
  <c r="C75" i="938"/>
  <c r="A74" i="938"/>
  <c r="C94" i="938"/>
  <c r="A93" i="938"/>
  <c r="A92" i="938" l="1"/>
  <c r="C93" i="938"/>
  <c r="A7" i="938"/>
  <c r="A6" i="938" s="1"/>
  <c r="A5" i="938" s="1"/>
  <c r="A4" i="938" s="1"/>
  <c r="C8" i="938"/>
</calcChain>
</file>

<file path=xl/comments1.xml><?xml version="1.0" encoding="utf-8"?>
<comments xmlns="http://schemas.openxmlformats.org/spreadsheetml/2006/main">
  <authors>
    <author>admin</author>
  </authors>
  <commentList>
    <comment ref="E14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4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47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80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80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99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99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15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</commentList>
</comments>
</file>

<file path=xl/sharedStrings.xml><?xml version="1.0" encoding="utf-8"?>
<sst xmlns="http://schemas.openxmlformats.org/spreadsheetml/2006/main" count="3988" uniqueCount="2878">
  <si>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</si>
  <si>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</si>
  <si>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</si>
  <si>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</si>
  <si>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</si>
  <si>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</si>
  <si>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</si>
  <si>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</si>
  <si>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</si>
  <si>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</si>
  <si>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</si>
  <si>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</si>
  <si>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</si>
  <si>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</si>
  <si>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</si>
  <si>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</si>
  <si>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</si>
  <si>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</si>
  <si>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</si>
  <si>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</si>
  <si>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</si>
  <si>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</si>
  <si>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</si>
  <si>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</si>
  <si>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</si>
  <si>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</si>
  <si>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</si>
  <si>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</si>
  <si>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</si>
  <si>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</si>
  <si>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</si>
  <si>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</si>
  <si>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</si>
  <si>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</si>
  <si>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</si>
  <si>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</si>
  <si>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</si>
  <si>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</si>
  <si>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</si>
  <si>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</si>
  <si>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</si>
  <si>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</si>
  <si>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</si>
  <si>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</si>
  <si>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</si>
  <si>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</si>
  <si>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</si>
  <si>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</si>
  <si>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</si>
  <si>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</si>
  <si>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</si>
  <si>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</si>
  <si>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</si>
  <si>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</si>
  <si>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</si>
  <si>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</si>
  <si>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</si>
  <si>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</si>
  <si>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</si>
  <si>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</si>
  <si>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</si>
  <si>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</si>
  <si>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</si>
  <si>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</si>
  <si>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</si>
  <si>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</si>
  <si>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</si>
  <si>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</si>
  <si>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</si>
  <si>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</si>
  <si>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</si>
  <si>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</si>
  <si>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</si>
  <si>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</si>
  <si>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</si>
  <si>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</si>
  <si>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</si>
  <si>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</si>
  <si>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</si>
  <si>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</si>
  <si>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</si>
  <si>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</si>
  <si>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</si>
  <si>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</si>
  <si>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</si>
  <si>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</si>
  <si>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</si>
  <si>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</si>
  <si>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</si>
  <si>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</si>
  <si>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</si>
  <si>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</si>
  <si>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</si>
  <si>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</si>
  <si>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</si>
  <si>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</si>
  <si>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</si>
  <si>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</si>
  <si>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</si>
  <si>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</si>
  <si>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</si>
  <si>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</si>
  <si>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</si>
  <si>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</si>
  <si>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</si>
  <si>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</si>
  <si>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</si>
  <si>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</si>
  <si>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</si>
  <si>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</si>
  <si>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</si>
  <si>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</si>
  <si>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</si>
  <si>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</si>
  <si>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</si>
  <si>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</si>
  <si>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</si>
  <si>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</si>
  <si>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</si>
  <si>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</si>
  <si>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</si>
  <si>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</si>
  <si>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</si>
  <si>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</si>
  <si>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</si>
  <si>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</si>
  <si>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</si>
  <si>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</si>
  <si>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</si>
  <si>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</si>
  <si>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</si>
  <si>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</si>
  <si>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</si>
  <si>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</si>
  <si>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</si>
  <si>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</si>
  <si>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</si>
  <si>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</si>
  <si>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</si>
  <si>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</si>
  <si>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</si>
  <si>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</si>
  <si>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</si>
  <si>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</si>
  <si>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</si>
  <si>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</si>
  <si>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</si>
  <si>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</si>
  <si>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</si>
  <si>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</si>
  <si>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</si>
  <si>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</si>
  <si>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</si>
  <si>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</si>
  <si>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</si>
  <si>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</si>
  <si>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</si>
  <si>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</si>
  <si>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</si>
  <si>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</si>
  <si>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</si>
  <si>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</si>
  <si>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</si>
  <si>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</si>
  <si>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</si>
  <si>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</si>
  <si>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</si>
  <si>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</si>
  <si>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</si>
  <si>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</si>
  <si>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</si>
  <si>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</si>
  <si>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</si>
  <si>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</si>
  <si>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</si>
  <si>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</si>
  <si>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</si>
  <si>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</si>
  <si>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</si>
  <si>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</si>
  <si>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</si>
  <si>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</si>
  <si>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</si>
  <si>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</si>
  <si>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</si>
  <si>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</si>
  <si>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</si>
  <si>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</si>
  <si>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</si>
  <si>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</si>
  <si>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</si>
  <si>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</si>
  <si>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</si>
  <si>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</si>
  <si>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</si>
  <si>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</si>
  <si>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</si>
  <si>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</si>
  <si>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</si>
  <si>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</si>
  <si>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</si>
  <si>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</si>
  <si>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</si>
  <si>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</si>
  <si>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</si>
  <si>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</si>
  <si>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</si>
  <si>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</si>
  <si>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</si>
  <si>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</si>
  <si>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</si>
  <si>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</si>
  <si>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</si>
  <si>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</si>
  <si>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</si>
  <si>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</si>
  <si>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</si>
  <si>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</si>
  <si>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</si>
  <si>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</si>
  <si>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</si>
  <si>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</si>
  <si>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</si>
  <si>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</si>
  <si>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</si>
  <si>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</si>
  <si>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</si>
  <si>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</si>
  <si>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</si>
  <si>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</si>
  <si>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</si>
  <si>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</si>
  <si>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</si>
  <si>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</si>
  <si>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</si>
  <si>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</si>
  <si>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</si>
  <si>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</si>
  <si>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</si>
  <si>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</si>
  <si>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</si>
  <si>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</si>
  <si>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</si>
  <si>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</si>
  <si>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</si>
  <si>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</si>
  <si>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</si>
  <si>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</si>
  <si>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</si>
  <si>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</si>
  <si>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</si>
  <si>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</si>
  <si>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</si>
  <si>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</si>
  <si>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</si>
  <si>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</si>
  <si>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</si>
  <si>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</si>
  <si>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</si>
  <si>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</si>
  <si>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</si>
  <si>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</si>
  <si>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</si>
  <si>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</si>
  <si>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</si>
  <si>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</si>
  <si>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</si>
  <si>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</si>
  <si>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</si>
  <si>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</si>
  <si>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</si>
  <si>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</si>
  <si>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</si>
  <si>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</si>
  <si>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</si>
  <si>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</si>
  <si>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</si>
  <si>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</si>
  <si>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</si>
  <si>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</si>
  <si>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</si>
  <si>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</si>
  <si>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</si>
  <si>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</si>
  <si>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</si>
  <si>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</si>
  <si>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</si>
  <si>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</si>
  <si>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</si>
  <si>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</si>
  <si>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</si>
  <si>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</si>
  <si>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</si>
  <si>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</si>
  <si>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</si>
  <si>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</si>
  <si>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</si>
  <si>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</si>
  <si>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</si>
  <si>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</si>
  <si>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</si>
  <si>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</si>
  <si>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</si>
  <si>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</si>
  <si>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</si>
  <si>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</si>
  <si>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</si>
  <si>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</si>
  <si>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</si>
  <si>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</si>
  <si>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</si>
  <si>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</si>
  <si>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</si>
  <si>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</si>
  <si>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</si>
  <si>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</si>
  <si>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</si>
  <si>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</si>
  <si>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</si>
  <si>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</si>
  <si>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</si>
  <si>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</si>
  <si>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</si>
  <si>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</si>
  <si>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</si>
  <si>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</si>
  <si>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</si>
  <si>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</si>
  <si>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</si>
  <si>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</si>
  <si>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</si>
  <si>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</si>
  <si>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</si>
  <si>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</si>
  <si>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</si>
  <si>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</si>
  <si>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</si>
  <si>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</si>
  <si>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</si>
  <si>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</si>
  <si>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</si>
  <si>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</si>
  <si>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</si>
  <si>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</si>
  <si>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</si>
  <si>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</si>
  <si>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</si>
  <si>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</si>
  <si>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</si>
  <si>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</si>
  <si>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</si>
  <si>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</si>
  <si>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</si>
  <si>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</si>
  <si>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</si>
  <si>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</si>
  <si>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</si>
  <si>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</si>
  <si>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</si>
  <si>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</si>
  <si>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</si>
  <si>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</si>
  <si>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</si>
  <si>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</si>
  <si>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</si>
  <si>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</si>
  <si>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</si>
  <si>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</si>
  <si>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</si>
  <si>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</si>
  <si>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</si>
  <si>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</si>
  <si>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</si>
  <si>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</si>
  <si>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</si>
  <si>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</si>
  <si>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</si>
  <si>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</si>
  <si>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</si>
  <si>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</si>
  <si>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</si>
  <si>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</si>
  <si>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</si>
  <si>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</si>
  <si>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</si>
  <si>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</si>
  <si>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</si>
  <si>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</si>
  <si>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</si>
  <si>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</si>
  <si>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</si>
  <si>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</si>
  <si>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</si>
  <si>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</si>
  <si>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</si>
  <si>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</si>
  <si>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</si>
  <si>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</si>
  <si>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</si>
  <si>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</si>
  <si>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</si>
  <si>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</si>
  <si>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</si>
  <si>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</si>
  <si>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</si>
  <si>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</si>
  <si>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</si>
  <si>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</si>
  <si>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</si>
  <si>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</si>
  <si>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</si>
  <si>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</si>
  <si>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</si>
  <si>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</si>
  <si>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</si>
  <si>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</si>
  <si>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</si>
  <si>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</si>
  <si>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</si>
  <si>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</si>
  <si>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</si>
  <si>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</si>
  <si>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</si>
  <si>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</si>
  <si>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</si>
  <si>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</si>
  <si>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</si>
  <si>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</si>
  <si>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</si>
  <si>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</si>
  <si>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</si>
  <si>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</si>
  <si>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</si>
  <si>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</si>
  <si>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</si>
  <si>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</si>
  <si>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</si>
  <si>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</si>
  <si>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</si>
  <si>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</si>
  <si>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</si>
  <si>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</si>
  <si>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</si>
  <si>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</si>
  <si>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</si>
  <si>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</si>
  <si>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</si>
  <si>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</si>
  <si>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</si>
  <si>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</si>
  <si>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</si>
  <si>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</si>
  <si>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</si>
  <si>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</si>
  <si>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</si>
  <si>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</si>
  <si>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</si>
  <si>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</si>
  <si>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</si>
  <si>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</si>
  <si>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</si>
  <si>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</si>
  <si>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</si>
  <si>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</si>
  <si>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</si>
  <si>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</si>
  <si>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</si>
  <si>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</si>
  <si>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</si>
  <si>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</si>
  <si>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</si>
  <si>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</si>
  <si>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</si>
  <si>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</si>
  <si>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</si>
  <si>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</si>
  <si>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</si>
  <si>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</si>
  <si>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</si>
  <si>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</si>
  <si>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</si>
  <si>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</si>
  <si>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</si>
  <si>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</si>
  <si>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</si>
  <si>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</si>
  <si>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</si>
  <si>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</si>
  <si>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</si>
  <si>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</si>
  <si>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</si>
  <si>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</si>
  <si>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</si>
  <si>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</si>
  <si>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</si>
  <si>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</si>
  <si>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</si>
  <si>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</si>
  <si>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</si>
  <si>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</si>
  <si>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</si>
  <si>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</si>
  <si>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</si>
  <si>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</si>
  <si>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</si>
  <si>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</si>
  <si>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</si>
  <si>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</si>
  <si>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</si>
  <si>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</si>
  <si>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</si>
  <si>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</si>
  <si>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</si>
  <si>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</si>
  <si>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</si>
  <si>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</si>
  <si>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</si>
  <si>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</si>
  <si>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</si>
  <si>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</si>
  <si>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</si>
  <si>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</si>
  <si>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</si>
  <si>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</si>
  <si>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</si>
  <si>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</si>
  <si>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</si>
  <si>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</si>
  <si>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</si>
  <si>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</si>
  <si>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</si>
  <si>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</si>
  <si>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</si>
  <si>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</si>
  <si>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</si>
  <si>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</si>
  <si>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</si>
  <si>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</si>
  <si>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</si>
  <si>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</si>
  <si>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</si>
  <si>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</si>
  <si>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</si>
  <si>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</si>
  <si>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</si>
  <si>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</si>
  <si>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</si>
  <si>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</si>
  <si>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</si>
  <si>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</si>
  <si>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</si>
  <si>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</si>
  <si>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</si>
  <si>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</si>
  <si>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</si>
  <si>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</si>
  <si>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</si>
  <si>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</si>
  <si>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</si>
  <si>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</si>
  <si>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</si>
  <si>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</si>
  <si>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</si>
  <si>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</si>
  <si>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</si>
  <si>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</si>
  <si>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</si>
  <si>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</si>
  <si>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</si>
  <si>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</si>
  <si>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</si>
  <si>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</si>
  <si>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</si>
  <si>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</si>
  <si>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</si>
  <si>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</si>
  <si>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</si>
  <si>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</si>
  <si>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</si>
  <si>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</si>
  <si>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</si>
  <si>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</si>
  <si>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</si>
  <si>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</si>
  <si>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</si>
  <si>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</si>
  <si>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</si>
  <si>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</si>
  <si>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</si>
  <si>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</si>
  <si>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</si>
  <si>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</si>
  <si>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</si>
  <si>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</si>
  <si>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</si>
  <si>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</si>
  <si>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</si>
  <si>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</si>
  <si>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</si>
  <si>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</si>
  <si>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</si>
  <si>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</si>
  <si>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</si>
  <si>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</si>
  <si>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</si>
  <si>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</si>
  <si>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</si>
  <si>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</si>
  <si>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</si>
  <si>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</si>
  <si>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</si>
  <si>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</si>
  <si>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</si>
  <si>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</si>
  <si>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</si>
  <si>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</si>
  <si>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</si>
  <si>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</si>
  <si>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</si>
  <si>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</si>
  <si>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</si>
  <si>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</si>
  <si>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</si>
  <si>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</si>
  <si>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</si>
  <si>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</si>
  <si>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</si>
  <si>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</si>
  <si>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</si>
  <si>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</si>
  <si>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</si>
  <si>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</si>
  <si>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</si>
  <si>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</si>
  <si>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</si>
  <si>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</si>
  <si>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</si>
  <si>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</si>
  <si>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</si>
  <si>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</si>
  <si>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</si>
  <si>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</si>
  <si>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</si>
  <si>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</si>
  <si>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</si>
  <si>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</si>
  <si>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</si>
  <si>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</si>
  <si>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</si>
  <si>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</si>
  <si>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</si>
  <si>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</si>
  <si>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</si>
  <si>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</si>
  <si>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</si>
  <si>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</si>
  <si>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</si>
  <si>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</si>
  <si>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</si>
  <si>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</si>
  <si>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</si>
  <si>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</si>
  <si>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</si>
  <si>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</si>
  <si>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</si>
  <si>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</si>
  <si>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</si>
  <si>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</si>
  <si>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</si>
  <si>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</si>
  <si>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</si>
  <si>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</si>
  <si>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</si>
  <si>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</si>
  <si>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</si>
  <si>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</si>
  <si>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</si>
  <si>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</si>
  <si>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</si>
  <si>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</si>
  <si>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</si>
  <si>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</si>
  <si>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</si>
  <si>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</si>
  <si>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</si>
  <si>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</si>
  <si>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</si>
  <si>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</si>
  <si>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</si>
  <si>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</si>
  <si>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</si>
  <si>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</si>
  <si>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</si>
  <si>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</si>
  <si>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</si>
  <si>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</si>
  <si>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</si>
  <si>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</si>
  <si>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</si>
  <si>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</si>
  <si>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</si>
  <si>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</si>
  <si>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</si>
  <si>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</si>
  <si>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</si>
  <si>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</si>
  <si>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</si>
  <si>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</si>
  <si>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</si>
  <si>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</si>
  <si>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</si>
  <si>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</si>
  <si>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</si>
  <si>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</si>
  <si>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</si>
  <si>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</si>
  <si>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</si>
  <si>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</si>
  <si>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</si>
  <si>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</si>
  <si>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</si>
  <si>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</si>
  <si>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</si>
  <si>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</si>
  <si>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</si>
  <si>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</si>
  <si>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</si>
  <si>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</si>
  <si>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</si>
  <si>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</si>
  <si>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</si>
  <si>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</si>
  <si>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</si>
  <si>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</si>
  <si>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</si>
  <si>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</si>
  <si>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</si>
  <si>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</si>
  <si>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</si>
  <si>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</si>
  <si>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</si>
  <si>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</si>
  <si>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</si>
  <si>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</si>
  <si>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</si>
  <si>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</si>
  <si>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</si>
  <si>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</si>
  <si>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</si>
  <si>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</si>
  <si>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</si>
  <si>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</si>
  <si>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</si>
  <si>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</si>
  <si>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</si>
  <si>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</si>
  <si>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</si>
  <si>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</si>
  <si>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</si>
  <si>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</si>
  <si>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</si>
  <si>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</si>
  <si>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</si>
  <si>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</si>
  <si>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</si>
  <si>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</si>
  <si>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</si>
  <si>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</si>
  <si>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</si>
  <si>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</si>
  <si>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</si>
  <si>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</si>
  <si>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</si>
  <si>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</si>
  <si>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</si>
  <si>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</si>
  <si>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</si>
  <si>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</si>
  <si>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</si>
  <si>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</si>
  <si>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</si>
  <si>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</si>
  <si>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</si>
  <si>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</si>
  <si>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</si>
  <si>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</si>
  <si>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</si>
  <si>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</si>
  <si>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</si>
  <si>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</si>
  <si>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</si>
  <si>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</si>
  <si>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</si>
  <si>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</si>
  <si>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</si>
  <si>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</si>
  <si>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</si>
  <si>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</si>
  <si>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</si>
  <si>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</si>
  <si>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</si>
  <si>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</si>
  <si>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</si>
  <si>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</si>
  <si>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</si>
  <si>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</si>
  <si>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</si>
  <si>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</si>
  <si>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</si>
  <si>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</si>
  <si>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</si>
  <si>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</si>
  <si>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</si>
  <si>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</si>
  <si>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</si>
  <si>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</si>
  <si>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</si>
  <si>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</si>
  <si>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</si>
  <si>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</si>
  <si>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</si>
  <si>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</si>
  <si>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</si>
  <si>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</si>
  <si>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</si>
  <si>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</si>
  <si>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</si>
  <si>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</si>
  <si>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</si>
  <si>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</si>
  <si>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</si>
  <si>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</si>
  <si>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</si>
  <si>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</si>
  <si>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</si>
  <si>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</si>
  <si>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</si>
  <si>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</si>
  <si>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</si>
  <si>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</si>
  <si>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</si>
  <si>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</si>
  <si>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</si>
  <si>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</si>
  <si>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</si>
  <si>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</si>
  <si>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</si>
  <si>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</si>
  <si>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</si>
  <si>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</si>
  <si>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</si>
  <si>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</si>
  <si>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</si>
  <si>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</si>
  <si>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</si>
  <si>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</si>
  <si>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</si>
  <si>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</si>
  <si>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</si>
  <si>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</si>
  <si>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</si>
  <si>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</si>
  <si>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</si>
  <si>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</si>
  <si>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</si>
  <si>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</si>
  <si>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</si>
  <si>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</si>
  <si>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</si>
  <si>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</si>
  <si>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</si>
  <si>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</si>
  <si>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</si>
  <si>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</si>
  <si>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</si>
  <si>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</si>
  <si>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</si>
  <si>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</si>
  <si>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</si>
  <si>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</si>
  <si>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</si>
  <si>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</si>
  <si>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</si>
  <si>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</si>
  <si>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</si>
  <si>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</si>
  <si>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</si>
  <si>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</si>
  <si>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</si>
  <si>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</si>
  <si>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</si>
  <si>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</si>
  <si>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</si>
  <si>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</si>
  <si>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</si>
  <si>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</si>
  <si>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</si>
  <si>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</si>
  <si>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</si>
  <si>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</si>
  <si>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</si>
  <si>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</si>
  <si>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</si>
  <si>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</si>
  <si>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</si>
  <si>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</si>
  <si>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</si>
  <si>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</si>
  <si>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</si>
  <si>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</si>
  <si>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</si>
  <si>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</si>
  <si>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</si>
  <si>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</si>
  <si>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</si>
  <si>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</si>
  <si>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</si>
  <si>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</si>
  <si>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</si>
  <si>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</si>
  <si>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</si>
  <si>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</si>
  <si>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</si>
  <si>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</si>
  <si>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</si>
  <si>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</si>
  <si>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</si>
  <si>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</si>
  <si>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</si>
  <si>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</si>
  <si>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</si>
  <si>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</si>
  <si>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</si>
  <si>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</si>
  <si>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</si>
  <si>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</si>
  <si>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</si>
  <si>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</si>
  <si>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</si>
  <si>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</si>
  <si>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</si>
  <si>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</si>
  <si>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</si>
  <si>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</si>
  <si>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</si>
  <si>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</si>
  <si>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</si>
  <si>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</si>
  <si>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</si>
  <si>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</si>
  <si>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</si>
  <si>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</si>
  <si>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</si>
  <si>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</si>
  <si>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</si>
  <si>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</si>
  <si>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</si>
  <si>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</si>
  <si>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</si>
  <si>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</si>
  <si>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</si>
  <si>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</si>
  <si>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</si>
  <si>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</si>
  <si>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</si>
  <si>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</si>
  <si>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</si>
  <si>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</si>
  <si>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</si>
  <si>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</si>
  <si>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</si>
  <si>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</si>
  <si>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</si>
  <si>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</si>
  <si>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</si>
  <si>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</si>
  <si>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</si>
  <si>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</si>
  <si>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</si>
  <si>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</si>
  <si>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</si>
  <si>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</si>
  <si>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</si>
  <si>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</si>
  <si>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</si>
  <si>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</si>
  <si>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</si>
  <si>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</si>
  <si>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</si>
  <si>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</si>
  <si>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</si>
  <si>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</si>
  <si>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</si>
  <si>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</si>
  <si>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</si>
  <si>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</si>
  <si>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</si>
  <si>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</si>
  <si>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</si>
  <si>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</si>
  <si>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</si>
  <si>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</si>
  <si>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</si>
  <si>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</si>
  <si>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</si>
  <si>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</si>
  <si>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</si>
  <si>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</si>
  <si>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</si>
  <si>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</si>
  <si>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</si>
  <si>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</si>
  <si>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</si>
  <si>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</si>
  <si>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</si>
  <si>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</si>
  <si>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</si>
  <si>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</si>
  <si>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</si>
  <si>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</si>
  <si>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</si>
  <si>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</si>
  <si>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</si>
  <si>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</si>
  <si>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</si>
  <si>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</si>
  <si>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</si>
  <si>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</si>
  <si>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</si>
  <si>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</si>
  <si>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</si>
  <si>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</si>
  <si>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</si>
  <si>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</si>
  <si>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</si>
  <si>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</si>
  <si>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</si>
  <si>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</si>
  <si>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</si>
  <si>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</si>
  <si>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</si>
  <si>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</si>
  <si>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</si>
  <si>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</si>
  <si>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</si>
  <si>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</si>
  <si>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</si>
  <si>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</si>
  <si>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</si>
  <si>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</si>
  <si>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</si>
  <si>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</si>
  <si>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</si>
  <si>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</si>
  <si>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</si>
  <si>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</si>
  <si>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</si>
  <si>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</si>
  <si>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</si>
  <si>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</si>
  <si>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</si>
  <si>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</si>
  <si>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</si>
  <si>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</si>
  <si>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</si>
  <si>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</si>
  <si>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</si>
  <si>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</si>
  <si>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</si>
  <si>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</si>
  <si>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</si>
  <si>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</si>
  <si>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</si>
  <si>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</si>
  <si>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</si>
  <si>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</si>
  <si>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</si>
  <si>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</si>
  <si>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</si>
  <si>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</si>
  <si>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</si>
  <si>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</si>
  <si>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</si>
  <si>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</si>
  <si>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</si>
  <si>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</si>
  <si>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</si>
  <si>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</si>
  <si>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</si>
  <si>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</si>
  <si>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</si>
  <si>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</si>
  <si>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</si>
  <si>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</si>
  <si>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</si>
  <si>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</si>
  <si>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</si>
  <si>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</si>
  <si>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</si>
  <si>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</si>
  <si>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</si>
  <si>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</si>
  <si>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</si>
  <si>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</si>
  <si>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</si>
  <si>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</si>
  <si>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</si>
  <si>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</si>
  <si>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</si>
  <si>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</si>
  <si>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</si>
  <si>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</si>
  <si>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</si>
  <si>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</si>
  <si>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</si>
  <si>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</si>
  <si>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</si>
  <si>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</si>
  <si>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</si>
  <si>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</si>
  <si>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</si>
  <si>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</si>
  <si>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</si>
  <si>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</si>
  <si>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</si>
  <si>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</si>
  <si>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</si>
  <si>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</si>
  <si>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</si>
  <si>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</si>
  <si>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</si>
  <si>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</si>
  <si>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</si>
  <si>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</si>
  <si>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</si>
  <si>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</si>
  <si>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</si>
  <si>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</si>
  <si>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</si>
  <si>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</si>
  <si>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</si>
  <si>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</si>
  <si>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</si>
  <si>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</si>
  <si>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</si>
  <si>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</si>
  <si>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</si>
  <si>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</si>
  <si>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</si>
  <si>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</si>
  <si>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</si>
  <si>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</si>
  <si>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</si>
  <si>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</si>
  <si>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</si>
  <si>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</si>
  <si>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</si>
  <si>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</si>
  <si>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</si>
  <si>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</si>
  <si>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</si>
  <si>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</si>
  <si>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</si>
  <si>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</si>
  <si>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</si>
  <si>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</si>
  <si>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</si>
  <si>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</si>
  <si>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</si>
  <si>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</si>
  <si>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</si>
  <si>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</si>
  <si>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</si>
  <si>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</si>
  <si>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</si>
  <si>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</si>
  <si>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</si>
  <si>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</si>
  <si>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</si>
  <si>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</si>
  <si>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</si>
  <si>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</si>
  <si>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</si>
  <si>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</si>
  <si>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</si>
  <si>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</si>
  <si>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</si>
  <si>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</si>
  <si>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</si>
  <si>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</si>
  <si>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</si>
  <si>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</si>
  <si>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</si>
  <si>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</si>
  <si>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</si>
  <si>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</si>
  <si>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</si>
  <si>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</si>
  <si>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</si>
  <si>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</si>
  <si>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</si>
  <si>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</si>
  <si>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</si>
  <si>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</si>
  <si>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</si>
  <si>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</si>
  <si>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</si>
  <si>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</si>
  <si>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</si>
  <si>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</si>
  <si>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</si>
  <si>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</si>
  <si>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</si>
  <si>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</si>
  <si>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</si>
  <si>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</si>
  <si>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</si>
  <si>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</si>
  <si>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</si>
  <si>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</si>
  <si>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</si>
  <si>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</si>
  <si>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</si>
  <si>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</si>
  <si>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</si>
  <si>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</si>
  <si>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</si>
  <si>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</si>
  <si>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</si>
  <si>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</si>
  <si>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</si>
  <si>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</si>
  <si>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</si>
  <si>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</si>
  <si>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</si>
  <si>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</si>
  <si>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</si>
  <si>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</si>
  <si>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</si>
  <si>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</si>
  <si>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</si>
  <si>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</si>
  <si>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</si>
  <si>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</si>
  <si>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</si>
  <si>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</si>
  <si>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</si>
  <si>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</si>
  <si>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</si>
  <si>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</si>
  <si>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</si>
  <si>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</si>
  <si>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</si>
  <si>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</si>
  <si>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</si>
  <si>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</si>
  <si>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</si>
  <si>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</si>
  <si>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</si>
  <si>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</si>
  <si>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</si>
  <si>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</si>
  <si>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</si>
  <si>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</si>
  <si>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</si>
  <si>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</si>
  <si>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</si>
  <si>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</si>
  <si>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</si>
  <si>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</si>
  <si>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</si>
  <si>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</si>
  <si>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</si>
  <si>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</si>
  <si>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</si>
  <si>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</si>
  <si>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</si>
  <si>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</si>
  <si>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</si>
  <si>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</si>
  <si>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</si>
  <si>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</si>
  <si>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</si>
  <si>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</si>
  <si>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</si>
  <si>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</si>
  <si>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</si>
  <si>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</si>
  <si>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</si>
  <si>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</si>
  <si>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</si>
  <si>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</si>
  <si>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</si>
  <si>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</si>
  <si>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</si>
  <si>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</si>
  <si>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</si>
  <si>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</si>
  <si>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</si>
  <si>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</si>
  <si>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</si>
  <si>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</si>
  <si>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</si>
  <si>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</si>
  <si>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</si>
  <si>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</si>
  <si>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</si>
  <si>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</si>
  <si>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</si>
  <si>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</si>
  <si>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</si>
  <si>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</si>
  <si>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</si>
  <si>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</si>
  <si>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</si>
  <si>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</si>
  <si>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</si>
  <si>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</si>
  <si>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</si>
  <si>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</si>
  <si>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</si>
  <si>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</si>
  <si>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</si>
  <si>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</si>
  <si>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</si>
  <si>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</si>
  <si>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</si>
  <si>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</si>
  <si>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</si>
  <si>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</si>
  <si>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</si>
  <si>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</si>
  <si>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</si>
  <si>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</si>
  <si>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</si>
  <si>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</si>
  <si>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</si>
  <si>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</si>
  <si>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</si>
  <si>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</si>
  <si>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</si>
  <si>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</si>
  <si>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</si>
  <si>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</si>
  <si>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</si>
  <si>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</si>
  <si>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</si>
  <si>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</si>
  <si>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</si>
  <si>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</si>
  <si>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</si>
  <si>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</si>
  <si>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</si>
  <si>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</si>
  <si>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</si>
  <si>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</si>
  <si>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</si>
  <si>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</si>
  <si>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</si>
  <si>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</si>
  <si>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</si>
  <si>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</si>
  <si>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</si>
  <si>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</si>
  <si>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</si>
  <si>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</si>
  <si>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</si>
  <si>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</si>
  <si>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</si>
  <si>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</si>
  <si>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</si>
  <si>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</si>
  <si>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</si>
  <si>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</si>
  <si>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</si>
  <si>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</si>
  <si>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</si>
  <si>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</si>
  <si>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</si>
  <si>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</si>
  <si>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</si>
  <si>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</si>
  <si>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</si>
  <si>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</si>
  <si>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</si>
  <si>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</si>
  <si>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</si>
  <si>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</si>
  <si>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</si>
  <si>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</si>
  <si>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</si>
  <si>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</si>
  <si>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</si>
  <si>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</si>
  <si>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</si>
  <si>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</si>
  <si>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</si>
  <si>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</si>
  <si>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</si>
  <si>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</si>
  <si>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</si>
  <si>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</si>
  <si>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</si>
  <si>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</si>
  <si>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</si>
  <si>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</si>
  <si>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</si>
  <si>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</si>
  <si>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</si>
  <si>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</si>
  <si>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</si>
  <si>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</si>
  <si>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</si>
  <si>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</si>
  <si>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</si>
  <si>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</si>
  <si>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</si>
  <si>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</si>
  <si>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</si>
  <si>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</si>
  <si>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</si>
  <si>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</si>
  <si>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</si>
  <si>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</si>
  <si>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</si>
  <si>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</si>
  <si>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</si>
  <si>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</si>
  <si>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</si>
  <si>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</si>
  <si>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</si>
  <si>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</si>
  <si>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</si>
  <si>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</si>
  <si>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</si>
  <si>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</si>
  <si>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</si>
  <si>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</si>
  <si>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</si>
  <si>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</si>
  <si>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</si>
  <si>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</si>
  <si>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</si>
  <si>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</si>
  <si>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</si>
  <si>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</si>
  <si>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</si>
  <si>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</si>
  <si>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</si>
  <si>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</si>
  <si>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</si>
  <si>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</si>
  <si>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</si>
  <si>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</si>
  <si>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</si>
  <si>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</si>
  <si>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</si>
  <si>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</si>
  <si>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</si>
  <si>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</si>
  <si>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</si>
  <si>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</si>
  <si>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</si>
  <si>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</si>
  <si>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</si>
  <si>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</si>
  <si>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</si>
  <si>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</si>
  <si>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</si>
  <si>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</si>
  <si>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</si>
  <si>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</si>
  <si>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</si>
  <si>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</si>
  <si>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</si>
  <si>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</si>
  <si>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</si>
  <si>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</si>
  <si>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</si>
  <si>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</si>
  <si>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</si>
  <si>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</si>
  <si>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</si>
  <si>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</si>
  <si>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</si>
  <si>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</si>
  <si>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</si>
  <si>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</si>
  <si>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</si>
  <si>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</si>
  <si>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</si>
  <si>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</si>
  <si>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</si>
  <si>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</si>
  <si>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</si>
  <si>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</si>
  <si>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</si>
  <si>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</si>
  <si>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</si>
  <si>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</si>
  <si>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</si>
  <si>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</si>
  <si>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</si>
  <si>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</si>
  <si>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</si>
  <si>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</si>
  <si>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</si>
  <si>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</si>
  <si>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</si>
  <si>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</si>
  <si>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</si>
  <si>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</si>
  <si>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</si>
  <si>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</si>
  <si>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</si>
  <si>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</si>
  <si>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</si>
  <si>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</si>
  <si>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</si>
  <si>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</si>
  <si>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</si>
  <si>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</si>
  <si>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</si>
  <si>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</si>
  <si>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</si>
  <si>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</si>
  <si>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</si>
  <si>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</si>
  <si>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</si>
  <si>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</si>
  <si>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</si>
  <si>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</si>
  <si>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</si>
  <si>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</si>
  <si>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</si>
  <si>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</si>
  <si>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</si>
  <si>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</si>
  <si>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</si>
  <si>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</si>
  <si>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</si>
  <si>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</si>
  <si>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</si>
  <si>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</si>
  <si>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</si>
  <si>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</si>
  <si>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</si>
  <si>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</si>
  <si>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</si>
  <si>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</si>
  <si>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</si>
  <si>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</si>
  <si>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</si>
  <si>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</si>
  <si>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</si>
  <si>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</si>
  <si>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</si>
  <si>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</si>
  <si>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</si>
  <si>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</si>
  <si>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</si>
  <si>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</si>
  <si>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</si>
  <si>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</si>
  <si>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</si>
  <si>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</si>
  <si>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</si>
  <si>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</si>
  <si>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</si>
  <si>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</si>
  <si>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</si>
  <si>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</si>
  <si>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</si>
  <si>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</si>
  <si>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</si>
  <si>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</si>
  <si>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</si>
  <si>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</si>
  <si>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</si>
  <si>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</si>
  <si>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</si>
  <si>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</si>
  <si>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</si>
  <si>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</si>
  <si>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</si>
  <si>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</si>
  <si>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</si>
  <si>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</si>
  <si>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</si>
  <si>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</si>
  <si>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</si>
  <si>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</si>
  <si>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</si>
  <si>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</si>
  <si>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</si>
  <si>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</si>
  <si>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</si>
  <si>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</si>
  <si>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</si>
  <si>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</si>
  <si>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</si>
  <si>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</si>
  <si>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</si>
  <si>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</si>
  <si>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</si>
  <si>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</si>
  <si>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</si>
  <si>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</si>
  <si>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</si>
  <si>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</si>
  <si>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</si>
  <si>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</si>
  <si>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</si>
  <si>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</si>
  <si>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</si>
  <si>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</si>
  <si>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</si>
  <si>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</si>
  <si>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</si>
  <si>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</si>
  <si>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</si>
  <si>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</si>
  <si>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</si>
  <si>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</si>
  <si>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</si>
  <si>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</si>
  <si>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</si>
  <si>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</si>
  <si>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</si>
  <si>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</si>
  <si>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</si>
  <si>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</si>
  <si>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</si>
  <si>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</si>
  <si>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</si>
  <si>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</si>
  <si>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</si>
  <si>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</si>
  <si>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</si>
  <si>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</si>
  <si>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</si>
  <si>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</si>
  <si>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</si>
  <si>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</si>
  <si>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</si>
  <si>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</si>
  <si>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</si>
  <si>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</si>
  <si>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</si>
  <si>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</si>
  <si>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</si>
  <si>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</si>
  <si>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</si>
  <si>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</si>
  <si>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</si>
  <si>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</si>
  <si>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</si>
  <si>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</si>
  <si>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</si>
  <si>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</si>
  <si>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</si>
  <si>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</si>
  <si>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</si>
  <si>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</si>
  <si>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</si>
  <si>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</si>
  <si>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</si>
  <si>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</si>
  <si>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</si>
  <si>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</si>
  <si>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</si>
  <si>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</si>
  <si>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</si>
  <si>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</si>
  <si>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</si>
  <si>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</si>
  <si>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</si>
  <si>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</si>
  <si>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</si>
  <si>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</si>
  <si>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</si>
  <si>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</si>
  <si>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</si>
  <si>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</si>
  <si>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</si>
  <si>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</si>
  <si>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</si>
  <si>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</si>
  <si>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</si>
  <si>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</si>
  <si>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</si>
  <si>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</si>
  <si>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</si>
  <si>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</si>
  <si>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</si>
  <si>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</si>
  <si>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</si>
  <si>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</si>
  <si>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</si>
  <si>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</si>
  <si>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</si>
  <si>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</si>
  <si>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</si>
  <si>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</si>
  <si>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</si>
  <si>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</si>
  <si>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</si>
  <si>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</si>
  <si>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</si>
  <si>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</si>
  <si>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</si>
  <si>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</si>
  <si>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</si>
  <si>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</si>
  <si>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</si>
  <si>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</si>
  <si>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</si>
  <si>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</si>
  <si>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</si>
  <si>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</si>
  <si>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</si>
  <si>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</si>
  <si>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</si>
  <si>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</si>
  <si>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</si>
  <si>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</si>
  <si>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</si>
  <si>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</si>
  <si>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</si>
  <si>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</si>
  <si>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</si>
  <si>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</si>
  <si>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</si>
  <si>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</si>
  <si>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</si>
  <si>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</si>
  <si>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</si>
  <si>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</si>
  <si>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</si>
  <si>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</si>
  <si>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</si>
  <si>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</si>
  <si>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</si>
  <si>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</si>
  <si>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</si>
  <si>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</si>
  <si>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</si>
  <si>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</si>
  <si>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</si>
  <si>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</si>
  <si>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</si>
  <si>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</si>
  <si>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</si>
  <si>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</si>
  <si>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</si>
  <si>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</si>
  <si>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</si>
  <si>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</si>
  <si>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</si>
  <si>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</si>
  <si>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</si>
  <si>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</si>
  <si>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</si>
  <si>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</si>
  <si>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</si>
  <si>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</si>
  <si>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</si>
  <si>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</si>
  <si>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</si>
  <si>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</si>
  <si>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</si>
  <si>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</si>
  <si>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</si>
  <si>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</si>
  <si>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</si>
  <si>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</si>
  <si>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</si>
  <si>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</si>
  <si>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</si>
  <si>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</si>
  <si>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</si>
  <si>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</si>
  <si>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</si>
  <si>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</si>
  <si>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</si>
  <si>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</si>
  <si>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</si>
  <si>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</si>
  <si>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</si>
  <si>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</si>
  <si>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</si>
  <si>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</si>
  <si>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</si>
  <si>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</si>
  <si>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</si>
  <si>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</si>
  <si>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</si>
  <si>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</si>
  <si>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</si>
  <si>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</si>
  <si>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</si>
  <si>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</si>
  <si>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</si>
  <si>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</si>
  <si>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</si>
  <si>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</si>
  <si>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</si>
  <si>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</si>
  <si>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</si>
  <si>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</si>
  <si>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</si>
  <si>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</si>
  <si>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</si>
  <si>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</si>
  <si>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</si>
  <si>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</si>
  <si>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</si>
  <si>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</si>
  <si>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</si>
  <si>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</si>
  <si>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</si>
  <si>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</si>
  <si>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</si>
  <si>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</si>
  <si>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</si>
  <si>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</si>
  <si>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</si>
  <si>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</si>
  <si>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</si>
  <si>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</si>
  <si>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</si>
  <si>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</si>
  <si>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</si>
  <si>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</si>
  <si>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</si>
  <si>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</si>
  <si>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</si>
  <si>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</si>
  <si>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</si>
  <si>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</si>
  <si>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</si>
  <si>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</si>
  <si>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</si>
  <si>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</si>
  <si>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</si>
  <si>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</si>
  <si>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</si>
  <si>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</si>
  <si>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</si>
  <si>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</si>
  <si>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</si>
  <si>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</si>
  <si>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</si>
  <si>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</si>
  <si>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</si>
  <si>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</si>
  <si>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</si>
  <si>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</si>
  <si>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</si>
  <si>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</si>
  <si>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</si>
  <si>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</si>
  <si>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</si>
  <si>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</si>
  <si>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</si>
  <si>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</si>
  <si>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</si>
  <si>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</si>
  <si>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</si>
  <si>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</si>
  <si>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</si>
  <si>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</si>
  <si>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</si>
  <si>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</si>
  <si>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</si>
  <si>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</si>
  <si>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</si>
  <si>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</si>
  <si>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</si>
  <si>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</si>
  <si>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</si>
  <si>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</si>
  <si>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</si>
  <si>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</si>
  <si>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</si>
  <si>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</si>
  <si>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</si>
  <si>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</si>
  <si>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</si>
  <si>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</si>
  <si>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</si>
  <si>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</si>
  <si>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</si>
  <si>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</si>
  <si>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</si>
  <si>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</si>
  <si>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</si>
  <si>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</si>
  <si>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</si>
  <si>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</si>
  <si>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</si>
  <si>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</si>
  <si>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</si>
  <si>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</si>
  <si>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</si>
  <si>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</si>
  <si>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</si>
  <si>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</si>
  <si>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</si>
  <si>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</si>
  <si>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</si>
  <si>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</si>
  <si>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</si>
  <si>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</si>
  <si>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</si>
  <si>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</si>
  <si>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</si>
  <si>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</si>
  <si>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</si>
  <si>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</si>
  <si>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</si>
  <si>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</si>
  <si>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</si>
  <si>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</si>
  <si>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</si>
  <si>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</si>
  <si>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</si>
  <si>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</si>
  <si>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</si>
  <si>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</si>
  <si>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</si>
  <si>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</si>
  <si>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</si>
  <si>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</si>
  <si>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</si>
  <si>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</si>
  <si>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</si>
  <si>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</si>
  <si>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</si>
  <si>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</si>
  <si>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</si>
  <si>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</si>
  <si>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</si>
  <si>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</si>
  <si>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</si>
  <si>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</si>
  <si>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</si>
  <si>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</si>
  <si>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</si>
  <si>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</si>
  <si>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</si>
  <si>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</si>
  <si>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</si>
  <si>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</si>
  <si>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</si>
  <si>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</si>
  <si>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</si>
  <si>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</si>
  <si>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</si>
  <si>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</si>
  <si>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</si>
  <si>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</si>
  <si>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</si>
  <si>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</si>
  <si>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</si>
  <si>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</si>
  <si>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</si>
  <si>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</si>
  <si>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</si>
  <si>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</si>
  <si>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</si>
  <si>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</si>
  <si>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</si>
  <si>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</si>
  <si>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</si>
  <si>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</si>
  <si>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</si>
  <si>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</si>
  <si>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</si>
  <si>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</si>
  <si>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</si>
  <si>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</si>
  <si>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</si>
  <si>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</si>
  <si>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</si>
  <si>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</si>
  <si>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</si>
  <si>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</si>
  <si>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</si>
  <si>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</si>
  <si>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</si>
  <si>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</si>
  <si>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</si>
  <si>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</si>
  <si>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</si>
  <si>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</si>
  <si>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</si>
  <si>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</si>
  <si>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</si>
  <si>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</si>
  <si>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</si>
  <si>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</si>
  <si>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</si>
  <si>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</si>
  <si>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</si>
  <si>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</si>
  <si>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</si>
  <si>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</si>
  <si>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</si>
  <si>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</si>
  <si>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</si>
  <si>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</si>
  <si>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</si>
  <si>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</si>
  <si>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</si>
  <si>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</si>
  <si>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</si>
  <si>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</si>
  <si>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</si>
  <si>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</si>
  <si>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</si>
  <si>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</si>
  <si>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</si>
  <si>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</si>
  <si>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</si>
  <si>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</si>
  <si>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</si>
  <si>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</si>
  <si>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</si>
  <si>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</si>
  <si>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</si>
  <si>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</si>
  <si>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</si>
  <si>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</si>
  <si>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</si>
  <si>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</si>
  <si>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</si>
  <si>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</si>
  <si>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</si>
  <si>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</si>
  <si>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</si>
  <si>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</si>
  <si>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</si>
  <si>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</si>
  <si>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</si>
  <si>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</si>
  <si>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</si>
  <si>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</si>
  <si>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</si>
  <si>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</si>
  <si>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</si>
  <si>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</si>
  <si>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</si>
  <si>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</si>
  <si>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</si>
  <si>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</si>
  <si>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</si>
  <si>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</si>
  <si>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</si>
  <si>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</si>
  <si>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</si>
  <si>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</si>
  <si>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</si>
  <si>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</si>
  <si>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</si>
  <si>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</si>
  <si>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</si>
  <si>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</si>
  <si>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</si>
  <si>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</si>
  <si>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</si>
  <si>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</si>
  <si>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</si>
  <si>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</si>
  <si>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</si>
  <si>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</si>
  <si>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</si>
  <si>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</si>
  <si>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</si>
  <si>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</si>
  <si>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</si>
  <si>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</si>
  <si>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</si>
  <si>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</si>
  <si>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</si>
  <si>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</si>
  <si>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</si>
  <si>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</si>
  <si>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</si>
  <si>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</si>
  <si>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</si>
  <si>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</si>
  <si>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</si>
  <si>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</si>
  <si>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</si>
  <si>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</si>
  <si>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</si>
  <si>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</si>
  <si>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</si>
  <si>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</si>
  <si>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</si>
  <si>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</si>
  <si>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</si>
  <si>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</si>
  <si>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</si>
  <si>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</si>
  <si>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</si>
  <si>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</si>
  <si>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</si>
  <si>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</si>
  <si>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</si>
  <si>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</si>
  <si>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</si>
  <si>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</si>
  <si>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</si>
  <si>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</si>
  <si>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</si>
  <si>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</si>
  <si>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</si>
  <si>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</si>
  <si>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</si>
  <si>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</si>
  <si>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</si>
  <si>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</si>
  <si>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</si>
  <si>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</si>
  <si>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</si>
  <si>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</si>
  <si>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</si>
  <si>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</si>
  <si>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</si>
  <si>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</si>
  <si>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</si>
  <si>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</si>
  <si>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</si>
  <si>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</si>
  <si>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</si>
  <si>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</si>
  <si>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</si>
  <si>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</si>
  <si>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</si>
  <si>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</si>
  <si>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</si>
  <si>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</si>
  <si>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</si>
  <si>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</si>
  <si>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</si>
  <si>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</si>
  <si>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</si>
  <si>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</si>
  <si>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</si>
  <si>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</si>
  <si>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</si>
  <si>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</si>
  <si>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</si>
  <si>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</si>
  <si>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</si>
  <si>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</si>
  <si>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</si>
  <si>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</si>
  <si>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</si>
  <si>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</si>
  <si>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</si>
  <si>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</si>
  <si>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</si>
  <si>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</si>
  <si>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</si>
  <si>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</si>
  <si>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</si>
  <si>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</si>
  <si>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</si>
  <si>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</si>
  <si>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</si>
  <si>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</si>
  <si>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</si>
  <si>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</si>
  <si>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</si>
  <si>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</si>
  <si>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</si>
  <si>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</si>
  <si>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</si>
  <si>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</si>
  <si>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</si>
  <si>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</si>
  <si>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</si>
  <si>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</si>
  <si>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</si>
  <si>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</si>
  <si>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</si>
  <si>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</si>
  <si>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</si>
  <si>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</si>
  <si>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</si>
  <si>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</si>
  <si>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</si>
  <si>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</si>
  <si>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</si>
  <si>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</si>
  <si>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</si>
  <si>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</si>
  <si>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</si>
  <si>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</si>
  <si>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</si>
  <si>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</si>
  <si>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</si>
  <si>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</si>
  <si>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</si>
  <si>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</si>
  <si>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</si>
  <si>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</si>
  <si>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</si>
  <si>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</si>
  <si>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</si>
  <si>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</si>
  <si>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</si>
  <si>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</si>
  <si>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</si>
  <si>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</si>
  <si>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</si>
  <si>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</si>
  <si>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</si>
  <si>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</si>
  <si>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</si>
  <si>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</si>
  <si>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</si>
  <si>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</si>
  <si>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</si>
  <si>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</si>
  <si>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</si>
  <si>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</si>
  <si>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</si>
  <si>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</si>
  <si>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</si>
  <si>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</si>
  <si>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</si>
  <si>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</si>
  <si>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</si>
  <si>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</si>
  <si>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</si>
  <si>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</si>
  <si>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</si>
  <si>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</si>
  <si>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</si>
  <si>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</si>
  <si>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</si>
  <si>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</si>
  <si>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</si>
  <si>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</si>
  <si>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</si>
  <si>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</si>
  <si>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</si>
  <si>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</si>
  <si>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</si>
  <si>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</si>
  <si>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</si>
  <si>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</si>
  <si>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</si>
  <si>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</si>
  <si>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</si>
  <si>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</si>
  <si>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</si>
  <si>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</si>
  <si>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</si>
  <si>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</si>
  <si>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</si>
  <si>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</si>
  <si>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</si>
  <si>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</si>
  <si>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</si>
  <si>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</si>
  <si>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</si>
  <si>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</si>
  <si>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</si>
  <si>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</si>
  <si>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</si>
  <si>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</si>
  <si>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</si>
  <si>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</si>
  <si>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</si>
  <si>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</si>
  <si>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</si>
  <si>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</si>
  <si>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</si>
  <si>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</si>
  <si>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</si>
  <si>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</si>
  <si>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</si>
  <si>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</si>
  <si>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</si>
  <si>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</si>
  <si>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</si>
  <si>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</si>
  <si>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</si>
  <si>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</si>
  <si>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</si>
  <si>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</si>
  <si>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</si>
  <si>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</si>
  <si>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</si>
  <si>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</si>
  <si>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</si>
  <si>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</si>
  <si>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</si>
  <si>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</si>
  <si>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</si>
  <si>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</si>
  <si>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</si>
  <si>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</si>
  <si>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</si>
  <si>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</si>
  <si>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</si>
  <si>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</si>
  <si>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</si>
  <si>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</si>
  <si>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</si>
  <si>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</si>
  <si>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</si>
  <si>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</si>
  <si>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</si>
  <si>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</si>
  <si>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</si>
  <si>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</si>
  <si>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</si>
  <si>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</si>
  <si>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</si>
  <si>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</si>
  <si>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</si>
  <si>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</si>
  <si>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</si>
  <si>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</si>
  <si>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</si>
  <si>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</si>
  <si>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</si>
  <si>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</si>
  <si>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</si>
  <si>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</si>
  <si>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</si>
  <si>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</si>
  <si>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</si>
  <si>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</si>
  <si>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</si>
  <si>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</si>
  <si>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</si>
  <si>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</si>
  <si>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</si>
  <si>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</si>
  <si>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</si>
  <si>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</si>
  <si>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</si>
  <si>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</si>
  <si>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</si>
  <si>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</si>
  <si>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</si>
  <si>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</si>
  <si>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</si>
  <si>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</si>
  <si>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Лист_19903</t>
  </si>
  <si>
    <t>--10</t>
  </si>
  <si>
    <t>--16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</si>
  <si>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</si>
  <si>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</si>
  <si>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</si>
  <si>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</si>
  <si>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</si>
  <si>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</si>
  <si>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</si>
  <si>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</si>
  <si>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</si>
  <si>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</si>
  <si>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</si>
  <si>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</si>
  <si>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</si>
  <si>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</si>
  <si>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</si>
  <si>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</si>
  <si>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</si>
  <si>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</si>
  <si>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</si>
  <si>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ОК</t>
  </si>
  <si>
    <t>Данные отсутвуют</t>
  </si>
  <si>
    <t>Колонны</t>
  </si>
  <si>
    <t>_вед</t>
  </si>
  <si>
    <t>Ведомость отделки</t>
  </si>
  <si>
    <t>ИТОГ</t>
  </si>
  <si>
    <t>====</t>
  </si>
  <si>
    <t>Потолки</t>
  </si>
  <si>
    <t>Стены</t>
  </si>
  <si>
    <t>Панели</t>
  </si>
  <si>
    <t>КОНЕЦ</t>
  </si>
  <si>
    <t xml:space="preserve"> </t>
  </si>
  <si>
    <t>---</t>
  </si>
  <si>
    <t>PC0002-da-rogojin</t>
  </si>
  <si>
    <t>ПФм1</t>
  </si>
  <si>
    <t>check</t>
  </si>
  <si>
    <t>Изделия_спец.И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</si>
  <si>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</si>
  <si>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</si>
  <si>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</si>
  <si>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</si>
  <si>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</si>
  <si>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</si>
  <si>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</si>
  <si>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</si>
  <si>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</si>
  <si>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</si>
  <si>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</si>
  <si>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</si>
  <si>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</si>
  <si>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</si>
  <si>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</si>
  <si>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</si>
  <si>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</si>
  <si>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</si>
  <si>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</si>
  <si>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</si>
  <si>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</si>
  <si>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</si>
  <si>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</si>
  <si>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</si>
  <si>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</si>
  <si>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</si>
  <si>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</si>
  <si>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</si>
  <si>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</si>
  <si>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</si>
  <si>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</si>
  <si>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</si>
  <si>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</si>
  <si>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</si>
  <si>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</si>
  <si>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</si>
  <si>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</si>
  <si>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</si>
  <si>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</si>
  <si>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</si>
  <si>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</si>
  <si>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</si>
  <si>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</si>
  <si>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</si>
  <si>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</si>
  <si>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</si>
  <si>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</si>
  <si>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</si>
  <si>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</si>
  <si>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</si>
  <si>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</si>
  <si>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</si>
  <si>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</si>
  <si>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</si>
  <si>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</si>
  <si>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</si>
  <si>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</si>
  <si>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</si>
  <si>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</si>
  <si>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</si>
  <si>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</si>
  <si>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</si>
  <si>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</si>
  <si>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</si>
  <si>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</si>
  <si>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</si>
  <si>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</si>
  <si>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</si>
  <si>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</si>
  <si>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</si>
  <si>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</si>
  <si>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</si>
  <si>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</si>
  <si>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</si>
  <si>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</si>
  <si>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</si>
  <si>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</si>
  <si>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</si>
  <si>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</si>
  <si>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</si>
  <si>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</si>
  <si>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</si>
  <si>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</si>
  <si>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</si>
  <si>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</si>
  <si>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</si>
  <si>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</si>
  <si>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</si>
  <si>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</si>
  <si>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</si>
  <si>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</si>
  <si>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</si>
  <si>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</si>
  <si>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</si>
  <si>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</si>
  <si>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</si>
  <si>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</si>
  <si>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</si>
  <si>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</si>
  <si>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</si>
  <si>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</si>
  <si>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</si>
  <si>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</si>
  <si>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</si>
  <si>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</si>
  <si>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</si>
  <si>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</si>
  <si>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</si>
  <si>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</si>
  <si>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</si>
  <si>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</si>
  <si>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</si>
  <si>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</si>
  <si>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</si>
  <si>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</si>
  <si>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</si>
  <si>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</si>
  <si>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</si>
  <si>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</si>
  <si>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</si>
  <si>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</si>
  <si>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</si>
  <si>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</si>
  <si>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</si>
  <si>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</si>
  <si>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</si>
  <si>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</si>
  <si>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</si>
  <si>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</si>
  <si>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</si>
  <si>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</si>
  <si>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</si>
  <si>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</si>
  <si>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</si>
  <si>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</si>
  <si>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</si>
  <si>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</si>
  <si>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</si>
  <si>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</si>
  <si>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</si>
  <si>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</si>
  <si>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</si>
  <si>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</si>
  <si>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</si>
  <si>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</si>
  <si>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</si>
  <si>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</si>
  <si>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</si>
  <si>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</si>
  <si>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</si>
  <si>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</si>
  <si>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</si>
  <si>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</si>
  <si>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</si>
  <si>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</si>
  <si>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</si>
  <si>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</si>
  <si>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</si>
  <si>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</si>
  <si>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</si>
  <si>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</si>
  <si>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</si>
  <si>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</si>
  <si>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</si>
  <si>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</si>
  <si>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</si>
  <si>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</si>
  <si>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</si>
  <si>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</si>
  <si>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</si>
  <si>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</si>
  <si>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</si>
  <si>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</si>
  <si>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</si>
  <si>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</si>
  <si>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</si>
  <si>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</si>
  <si>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</si>
  <si>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</si>
  <si>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</si>
  <si>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</si>
  <si>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</si>
  <si>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</si>
  <si>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</si>
  <si>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</si>
  <si>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</si>
  <si>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</si>
  <si>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</si>
  <si>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</si>
  <si>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</si>
  <si>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</si>
  <si>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</si>
  <si>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</si>
  <si>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</si>
  <si>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</si>
  <si>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</si>
  <si>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</si>
  <si>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</si>
  <si>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</si>
  <si>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</si>
  <si>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</si>
  <si>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</si>
  <si>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</si>
  <si>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</si>
  <si>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</si>
  <si>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</si>
  <si>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</si>
  <si>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</si>
  <si>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</si>
  <si>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</si>
  <si>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</si>
  <si>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--11</t>
  </si>
  <si>
    <t>--12</t>
  </si>
  <si>
    <t>--13</t>
  </si>
  <si>
    <t>--14</t>
  </si>
  <si>
    <t>--15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</si>
  <si>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</si>
  <si>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</si>
  <si>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</si>
  <si>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</si>
  <si>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</si>
  <si>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</si>
  <si>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</si>
  <si>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</si>
  <si>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</si>
  <si>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</si>
  <si>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</si>
  <si>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</si>
  <si>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</si>
  <si>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</si>
  <si>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</si>
  <si>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</si>
  <si>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</si>
  <si>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</si>
  <si>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</si>
  <si>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</si>
  <si>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</si>
  <si>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</si>
  <si>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</si>
  <si>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</si>
  <si>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</si>
  <si>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Лист_черн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</si>
  <si>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</si>
  <si>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</si>
  <si>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</si>
  <si>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</si>
  <si>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</si>
  <si>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</si>
  <si>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</si>
  <si>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</si>
  <si>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</si>
  <si>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</si>
  <si>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</si>
  <si>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</si>
  <si>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</si>
  <si>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Ведомость отделки_вед</t>
  </si>
  <si>
    <t>19 8 22/ 16 11 9</t>
  </si>
  <si>
    <t>Ведомость отделки_правила</t>
  </si>
  <si>
    <t>Имя многослойной конструкции (целиком или часть имени, строки с !! не учитываются)</t>
  </si>
  <si>
    <t>Слой</t>
  </si>
  <si>
    <t>Черновая отделка (разделитель ';')</t>
  </si>
  <si>
    <t>!!Исключить</t>
  </si>
  <si>
    <t>Облицовка керам. плиткой</t>
  </si>
  <si>
    <t>Шпатлёвка</t>
  </si>
  <si>
    <t>!!Добавить</t>
  </si>
  <si>
    <t>Обработка бетоноконтактом</t>
  </si>
  <si>
    <t>Стены-разделители зон</t>
  </si>
  <si>
    <t>Зоны.АР</t>
  </si>
  <si>
    <t>!</t>
  </si>
  <si>
    <t>ЖБ</t>
  </si>
  <si>
    <t>Потолок</t>
  </si>
  <si>
    <t>Перегородки ГКЛ.АР</t>
  </si>
  <si>
    <t>Стены наружные кирпич.АР</t>
  </si>
  <si>
    <t>Тип</t>
  </si>
  <si>
    <t>Номера помещений</t>
  </si>
  <si>
    <t>Ведомость отделки элементов интерьера</t>
  </si>
  <si>
    <t>Примечание</t>
  </si>
  <si>
    <t>Потолка</t>
  </si>
  <si>
    <t>Площадь, кв.м.</t>
  </si>
  <si>
    <t>Стены и перегородки</t>
  </si>
  <si>
    <t>Низа стен/колонн</t>
  </si>
  <si>
    <t>Высота, м.</t>
  </si>
  <si>
    <t>П1</t>
  </si>
  <si>
    <t>П3</t>
  </si>
  <si>
    <t>П2</t>
  </si>
  <si>
    <t>Общяя площадь отделки, кв.м.</t>
  </si>
  <si>
    <t>Низ ж/б лестниц</t>
  </si>
  <si>
    <t>Марка
элемента</t>
  </si>
  <si>
    <t>Поз.</t>
  </si>
  <si>
    <t>Обозначение</t>
  </si>
  <si>
    <t>Наименование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</si>
  <si>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</si>
  <si>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</si>
  <si>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</si>
  <si>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</si>
  <si>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</si>
  <si>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</si>
  <si>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</si>
  <si>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</si>
  <si>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Прокат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</si>
  <si>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</si>
  <si>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</si>
  <si>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</si>
  <si>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</si>
  <si>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</si>
  <si>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</si>
  <si>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</si>
  <si>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</si>
  <si>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</si>
  <si>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</si>
  <si>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</si>
  <si>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Ошибка арматуры</t>
  </si>
  <si>
    <t>НЕТ БЕТОНА</t>
  </si>
  <si>
    <t>ГОСТ 34028-2016</t>
  </si>
  <si>
    <t>Итого</t>
  </si>
  <si>
    <t>ГОСТ 8509-93</t>
  </si>
  <si>
    <t>Тип 2: Стена из газоблоков</t>
  </si>
  <si>
    <t>Перегородки газоблок.АР</t>
  </si>
  <si>
    <t>Тип 1: Наружная кирпичная стена</t>
  </si>
  <si>
    <t>Тип 4: ГКЛ перегородка тип С112</t>
  </si>
  <si>
    <t>Тип 3: Стена наружная железобетонная</t>
  </si>
  <si>
    <t>Стены.КЖ</t>
  </si>
  <si>
    <t>30,5</t>
  </si>
  <si>
    <t>108,1</t>
  </si>
  <si>
    <t>Колонн</t>
  </si>
  <si>
    <t>Тип А</t>
  </si>
  <si>
    <t>Окраска водостойкими в/э составами</t>
  </si>
  <si>
    <t>До 2,5м.:Облицовка керам. плиткой</t>
  </si>
  <si>
    <t>Lперим=45п.м.
Hmax=4,4м.</t>
  </si>
  <si>
    <t>Выше 2,5м.:Окраска в/э составами</t>
  </si>
  <si>
    <t>Тип Б</t>
  </si>
  <si>
    <t>Окраска в/э составами</t>
  </si>
  <si>
    <t>До 2,8м.:Окраска в/э составами</t>
  </si>
  <si>
    <t>1,2</t>
  </si>
  <si>
    <t>Lперим=99,1п.м.
Hmax=4,4м.</t>
  </si>
  <si>
    <t>Потолок: Окраска водостойкими в/э составами</t>
  </si>
  <si>
    <t>Потолок: Окраска в/э составами</t>
  </si>
  <si>
    <t>ГОСТ 25192-2012</t>
  </si>
  <si>
    <t>Бетон В7,5</t>
  </si>
  <si>
    <t>Плита П8д-8</t>
  </si>
  <si>
    <t>Серия 3.006.1-2.87 В.0</t>
  </si>
  <si>
    <t>П4</t>
  </si>
  <si>
    <t>Плита П8-8</t>
  </si>
  <si>
    <t>ГОСТ 10704-91</t>
  </si>
  <si>
    <t>фон</t>
  </si>
  <si>
    <t>Кнм2</t>
  </si>
  <si>
    <t>Толщина стенки и дна,мм</t>
  </si>
  <si>
    <t>!!!</t>
  </si>
  <si>
    <t>Высота, м</t>
  </si>
  <si>
    <t>Площадь, кв.м</t>
  </si>
  <si>
    <t>Ширина, мм</t>
  </si>
  <si>
    <t>Бетон В25</t>
  </si>
  <si>
    <t>Основной</t>
  </si>
  <si>
    <t>Плита П5д-8</t>
  </si>
  <si>
    <t>Плита П5-8</t>
  </si>
  <si>
    <t>Кнм1</t>
  </si>
  <si>
    <t>Профиль  из вспененного полиэтилена</t>
  </si>
  <si>
    <t>MasterSeal CR 460</t>
  </si>
  <si>
    <t>BASF</t>
  </si>
  <si>
    <t>Пенополистирол</t>
  </si>
  <si>
    <t>П-шка по цифр.</t>
  </si>
  <si>
    <t>П-шка по букв.</t>
  </si>
  <si>
    <t>Опм1</t>
  </si>
  <si>
    <t>Высота, мм</t>
  </si>
  <si>
    <t>Бетон В15</t>
  </si>
  <si>
    <t>Цм</t>
  </si>
  <si>
    <t>Фм3</t>
  </si>
  <si>
    <t>Высота подошвы, м</t>
  </si>
  <si>
    <t>Площадь подошвы, кв.м</t>
  </si>
  <si>
    <t>Периметр подошвы</t>
  </si>
  <si>
    <t>MasterFlow 928</t>
  </si>
  <si>
    <t>Хомут подколонника</t>
  </si>
  <si>
    <t>Вертик. Арм. Подколон.</t>
  </si>
  <si>
    <t>Фм2</t>
  </si>
  <si>
    <t>Высота подколонника, м</t>
  </si>
  <si>
    <t>Площадь подколонника, кв.м.</t>
  </si>
  <si>
    <t>П-шка</t>
  </si>
  <si>
    <t>Гориз. Арм. Подошвы</t>
  </si>
  <si>
    <t>Фм1</t>
  </si>
  <si>
    <t>Высота спупеней, м</t>
  </si>
  <si>
    <t>Площадь 2 ступени, кв.м.</t>
  </si>
  <si>
    <t>Площадь 1 ступени, кв.м.</t>
  </si>
  <si>
    <t>Стм(пескопульп)_спец</t>
  </si>
  <si>
    <t>C ЛИСТА</t>
  </si>
  <si>
    <t>Стержень</t>
  </si>
  <si>
    <t>ГОСТ Р 52544—2006</t>
  </si>
  <si>
    <t>100*200</t>
  </si>
  <si>
    <t>ГОСТ 19903-2005</t>
  </si>
  <si>
    <t>Закладная МН401-2</t>
  </si>
  <si>
    <t>Серия 1.400-15 В.1</t>
  </si>
  <si>
    <t>Зд2</t>
  </si>
  <si>
    <t>Уголок 50х5</t>
  </si>
  <si>
    <t>Закладная МН553</t>
  </si>
  <si>
    <t>Зд1</t>
  </si>
  <si>
    <t>Горизонтальный стержень</t>
  </si>
  <si>
    <t>Вертикальный стержень</t>
  </si>
  <si>
    <t>данный лист</t>
  </si>
  <si>
    <t>С3</t>
  </si>
  <si>
    <t>ГОСТ 5781-82*</t>
  </si>
  <si>
    <t>С2</t>
  </si>
  <si>
    <t>С1</t>
  </si>
  <si>
    <t>Кр3</t>
  </si>
  <si>
    <t>Кр2</t>
  </si>
  <si>
    <t>Кр1</t>
  </si>
  <si>
    <t>КЖ_спец</t>
  </si>
  <si>
    <t>Марка бетона</t>
  </si>
  <si>
    <t>Объём
бетона, куб.м.</t>
  </si>
  <si>
    <t>Вес арматуры, кг.</t>
  </si>
  <si>
    <t>Расход, кг/куб.м</t>
  </si>
  <si>
    <t>КЖ_норм</t>
  </si>
  <si>
    <t>19 9 23/ 12 22 40</t>
  </si>
  <si>
    <t>Номер помещения</t>
  </si>
  <si>
    <t>Наименование помещения</t>
  </si>
  <si>
    <t>1</t>
  </si>
  <si>
    <t>Зал</t>
  </si>
  <si>
    <t>Lперим=45п.м.
Hпом=4,4м.</t>
  </si>
  <si>
    <t>2</t>
  </si>
  <si>
    <t>Комната</t>
  </si>
  <si>
    <t>Lперим=16,7п.м.
Hпом=4,4м.</t>
  </si>
  <si>
    <t>3</t>
  </si>
  <si>
    <t>Санузел</t>
  </si>
  <si>
    <t>Lперим=7,5п.м.
Hпом=4,4м.</t>
  </si>
  <si>
    <t>4</t>
  </si>
  <si>
    <t>5</t>
  </si>
  <si>
    <t>Lперим=16,4п.м.
Hпом=4,4м.</t>
  </si>
  <si>
    <t>6</t>
  </si>
  <si>
    <t>Лестничная клетка</t>
  </si>
  <si>
    <t>Lперим=21,8п.м.
Hпом=4,4м.</t>
  </si>
  <si>
    <t>101</t>
  </si>
  <si>
    <t>102</t>
  </si>
  <si>
    <t>103</t>
  </si>
  <si>
    <t>104</t>
  </si>
  <si>
    <t>105</t>
  </si>
  <si>
    <t>106</t>
  </si>
  <si>
    <t>201</t>
  </si>
  <si>
    <t>202</t>
  </si>
  <si>
    <t>203</t>
  </si>
  <si>
    <t>204</t>
  </si>
  <si>
    <t>206</t>
  </si>
  <si>
    <t>204@@2</t>
  </si>
  <si>
    <t>Потолок: П2</t>
  </si>
  <si>
    <t>Потолок: П1</t>
  </si>
  <si>
    <t>11,5(12,1)</t>
  </si>
  <si>
    <t>6(5,4)</t>
  </si>
  <si>
    <t>6,5(7,65)</t>
  </si>
  <si>
    <t>3,6(3,3)</t>
  </si>
  <si>
    <t>19,2</t>
  </si>
  <si>
    <t>170,6</t>
  </si>
  <si>
    <t>14,3</t>
  </si>
  <si>
    <t>3; 4; 103; 104; 203; 204</t>
  </si>
  <si>
    <t>Ведомость отделки-Тип</t>
  </si>
  <si>
    <t>Кол-во ошибок</t>
  </si>
  <si>
    <t>Площадь</t>
  </si>
  <si>
    <t>Разница</t>
  </si>
  <si>
    <t>Пола</t>
  </si>
  <si>
    <t>Пл.колонн</t>
  </si>
  <si>
    <t>Пл.стен</t>
  </si>
  <si>
    <t>Nпотолков</t>
  </si>
  <si>
    <t>Nполов</t>
  </si>
  <si>
    <t>Ведомость отделки-Тип_вед</t>
  </si>
  <si>
    <t>19 9 23/ 15 38 0</t>
  </si>
  <si>
    <t>Время</t>
  </si>
  <si>
    <t>Логин</t>
  </si>
  <si>
    <t>Лист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</si>
  <si>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</si>
  <si>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</si>
  <si>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</si>
  <si>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</si>
  <si>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</si>
  <si>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</si>
  <si>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</si>
  <si>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</si>
  <si>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</si>
  <si>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</si>
  <si>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</si>
  <si>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>едомость отделки-Тип_вед_log</t>
  </si>
  <si>
    <t>85,6</t>
  </si>
  <si>
    <t>269,4</t>
  </si>
  <si>
    <t>2; 5; 102; 105; 202; 205</t>
  </si>
  <si>
    <t xml:space="preserve">
Бетон В25</t>
  </si>
  <si>
    <t>!Арматуры нет!</t>
  </si>
  <si>
    <t>Отсутвует вес для 0 0</t>
  </si>
  <si>
    <t>данный лист111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</si>
</sst>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ISOCPEUR"/>
      <family val="2"/>
      <charset val="204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6" tint="0.59999389629810485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05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49" fontId="0" fillId="0" borderId="0" xfId="0" applyNumberFormat="1" applyBorder="1"/>
    <xf numFmtId="49" fontId="24" fillId="0" borderId="19" xfId="0" applyNumberFormat="1" applyFont="1" applyFill="1" applyBorder="1" applyAlignment="1">
      <alignment horizontal="center" vertical="center" wrapText="1"/>
    </xf>
    <xf numFmtId="49" fontId="21" fillId="0" borderId="11" xfId="0" applyNumberFormat="1" applyFont="1" applyFill="1" applyBorder="1" applyAlignment="1">
      <alignment horizontal="center" vertical="center" textRotation="90" wrapText="1"/>
    </xf>
    <xf numFmtId="49" fontId="22" fillId="0" borderId="19" xfId="0" applyNumberFormat="1" applyFont="1" applyFill="1" applyBorder="1" applyAlignment="1">
      <alignment horizontal="center" vertical="center" wrapText="1" shrinkToFit="1"/>
    </xf>
    <xf numFmtId="49" fontId="22" fillId="0" borderId="14" xfId="0" applyNumberFormat="1" applyFont="1" applyFill="1" applyBorder="1" applyAlignment="1">
      <alignment horizontal="center" vertical="center" wrapText="1" shrinkToFit="1"/>
    </xf>
    <xf numFmtId="0" fontId="21" fillId="33" borderId="28" xfId="0" applyFont="1" applyFill="1" applyBorder="1" applyAlignment="1">
      <alignment horizontal="center" vertical="center" wrapText="1"/>
    </xf>
    <xf numFmtId="0" fontId="21" fillId="34" borderId="11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49" fontId="22" fillId="0" borderId="17" xfId="0" applyNumberFormat="1" applyFont="1" applyFill="1" applyBorder="1" applyAlignment="1">
      <alignment horizontal="center" vertical="center" wrapText="1" shrinkToFit="1"/>
    </xf>
    <xf numFmtId="0" fontId="21" fillId="34" borderId="14" xfId="0" applyFont="1" applyFill="1" applyBorder="1" applyAlignment="1">
      <alignment horizontal="center" vertical="center" wrapText="1"/>
    </xf>
    <xf numFmtId="0" fontId="21" fillId="35" borderId="14" xfId="0" applyFont="1" applyFill="1" applyBorder="1" applyAlignment="1">
      <alignment horizontal="center" vertical="center" wrapText="1"/>
    </xf>
    <xf numFmtId="0" fontId="21" fillId="36" borderId="14" xfId="0" applyFont="1" applyFill="1" applyBorder="1" applyAlignment="1">
      <alignment horizontal="center" vertical="center" wrapText="1"/>
    </xf>
    <xf numFmtId="0" fontId="21" fillId="37" borderId="14" xfId="0" applyFont="1" applyFill="1" applyBorder="1" applyAlignment="1">
      <alignment horizontal="center" vertical="center" wrapText="1"/>
    </xf>
    <xf numFmtId="0" fontId="21" fillId="38" borderId="14" xfId="0" applyFont="1" applyFill="1" applyBorder="1" applyAlignment="1">
      <alignment horizontal="center" vertical="center" wrapText="1"/>
    </xf>
    <xf numFmtId="0" fontId="21" fillId="39" borderId="13" xfId="0" applyFont="1" applyFill="1" applyBorder="1" applyAlignment="1">
      <alignment horizontal="center" vertical="center" wrapText="1"/>
    </xf>
    <xf numFmtId="0" fontId="21" fillId="39" borderId="14" xfId="0" applyFont="1" applyFill="1" applyBorder="1" applyAlignment="1">
      <alignment horizontal="center" vertical="center" wrapText="1"/>
    </xf>
    <xf numFmtId="0" fontId="21" fillId="39" borderId="15" xfId="0" applyFont="1" applyFill="1" applyBorder="1" applyAlignment="1">
      <alignment horizontal="center" vertical="center" wrapText="1"/>
    </xf>
    <xf numFmtId="0" fontId="21" fillId="34" borderId="13" xfId="0" applyFont="1" applyFill="1" applyBorder="1" applyAlignment="1">
      <alignment horizontal="center" vertical="center" wrapText="1"/>
    </xf>
    <xf numFmtId="0" fontId="21" fillId="34" borderId="15" xfId="0" applyFont="1" applyFill="1" applyBorder="1" applyAlignment="1">
      <alignment horizontal="center" vertical="center" wrapText="1"/>
    </xf>
    <xf numFmtId="0" fontId="21" fillId="40" borderId="13" xfId="0" applyFont="1" applyFill="1" applyBorder="1" applyAlignment="1">
      <alignment horizontal="center" vertical="center" wrapText="1"/>
    </xf>
    <xf numFmtId="0" fontId="21" fillId="40" borderId="14" xfId="0" applyFont="1" applyFill="1" applyBorder="1" applyAlignment="1">
      <alignment horizontal="center" vertical="center" wrapText="1"/>
    </xf>
    <xf numFmtId="0" fontId="21" fillId="40" borderId="15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shrinkToFit="1"/>
    </xf>
    <xf numFmtId="0" fontId="26" fillId="0" borderId="11" xfId="0" applyFont="1" applyFill="1" applyBorder="1" applyAlignment="1">
      <alignment horizontal="center" vertical="center" shrinkToFit="1"/>
    </xf>
    <xf numFmtId="0" fontId="21" fillId="0" borderId="13" xfId="0" applyFont="1" applyFill="1" applyBorder="1" applyAlignment="1">
      <alignment horizontal="center" vertical="center" shrinkToFit="1"/>
    </xf>
    <xf numFmtId="0" fontId="26" fillId="41" borderId="10" xfId="0" applyFont="1" applyFill="1" applyBorder="1" applyAlignment="1">
      <alignment horizontal="center" vertical="center" shrinkToFit="1"/>
    </xf>
    <xf numFmtId="49" fontId="24" fillId="0" borderId="14" xfId="0" applyNumberFormat="1" applyFont="1" applyFill="1" applyBorder="1" applyAlignment="1">
      <alignment horizontal="center" vertical="center" wrapText="1"/>
    </xf>
    <xf numFmtId="49" fontId="24" fillId="0" borderId="0" xfId="0" applyNumberFormat="1" applyFont="1" applyBorder="1" applyAlignment="1">
      <alignment horizontal="center" vertical="center" wrapText="1"/>
    </xf>
    <xf numFmtId="49" fontId="24" fillId="0" borderId="11" xfId="0" applyNumberFormat="1" applyFont="1" applyFill="1" applyBorder="1" applyAlignment="1">
      <alignment horizontal="center" vertical="center" wrapText="1"/>
    </xf>
    <xf numFmtId="49" fontId="24" fillId="0" borderId="17" xfId="0" applyNumberFormat="1" applyFont="1" applyFill="1" applyBorder="1" applyAlignment="1">
      <alignment horizontal="center" vertical="center" wrapText="1"/>
    </xf>
    <xf numFmtId="49" fontId="24" fillId="0" borderId="13" xfId="0" applyNumberFormat="1" applyFont="1" applyFill="1" applyBorder="1" applyAlignment="1">
      <alignment horizontal="center" vertical="center" wrapText="1"/>
    </xf>
    <xf numFmtId="49" fontId="24" fillId="0" borderId="10" xfId="0" applyNumberFormat="1" applyFont="1" applyFill="1" applyBorder="1" applyAlignment="1">
      <alignment horizontal="center" vertical="center" wrapText="1"/>
    </xf>
    <xf numFmtId="49" fontId="24" fillId="0" borderId="23" xfId="0" applyNumberFormat="1" applyFont="1" applyFill="1" applyBorder="1" applyAlignment="1">
      <alignment horizontal="center" vertical="center" wrapText="1"/>
    </xf>
    <xf numFmtId="49" fontId="22" fillId="0" borderId="23" xfId="0" applyNumberFormat="1" applyFont="1" applyFill="1" applyBorder="1" applyAlignment="1">
      <alignment horizontal="center" vertical="center" wrapText="1" shrinkToFit="1"/>
    </xf>
    <xf numFmtId="49" fontId="21" fillId="0" borderId="11" xfId="0" applyNumberFormat="1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6" fillId="0" borderId="18" xfId="0" applyFont="1" applyFill="1" applyBorder="1" applyAlignment="1">
      <alignment horizontal="center" vertical="center" wrapText="1"/>
    </xf>
    <xf numFmtId="0" fontId="26" fillId="0" borderId="17" xfId="0" applyFont="1" applyFill="1" applyBorder="1" applyAlignment="1">
      <alignment horizontal="center" vertical="center" wrapText="1"/>
    </xf>
    <xf numFmtId="0" fontId="26" fillId="0" borderId="16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shrinkToFit="1"/>
    </xf>
    <xf numFmtId="0" fontId="26" fillId="0" borderId="12" xfId="0" applyFont="1" applyFill="1" applyBorder="1" applyAlignment="1">
      <alignment horizontal="center" vertical="center" shrinkToFi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31" xfId="0" applyFont="1" applyFill="1" applyBorder="1" applyAlignment="1">
      <alignment horizontal="center" vertical="center" wrapText="1"/>
    </xf>
    <xf numFmtId="0" fontId="21" fillId="0" borderId="32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34" xfId="0" applyFont="1" applyFill="1" applyBorder="1" applyAlignment="1">
      <alignment horizontal="center" vertical="center" wrapText="1"/>
    </xf>
    <xf numFmtId="0" fontId="21" fillId="0" borderId="21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49" fontId="21" fillId="0" borderId="16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/>
    </xf>
    <xf numFmtId="49" fontId="24" fillId="0" borderId="20" xfId="0" applyNumberFormat="1" applyFont="1" applyFill="1" applyBorder="1" applyAlignment="1">
      <alignment horizontal="center" vertical="center" wrapText="1"/>
    </xf>
    <xf numFmtId="49" fontId="24" fillId="0" borderId="15" xfId="0" applyNumberFormat="1" applyFont="1" applyFill="1" applyBorder="1" applyAlignment="1">
      <alignment horizontal="center" vertical="center" wrapText="1"/>
    </xf>
    <xf numFmtId="49" fontId="24" fillId="0" borderId="24" xfId="0" applyNumberFormat="1" applyFont="1" applyFill="1" applyBorder="1" applyAlignment="1">
      <alignment horizontal="center" vertical="center" wrapText="1"/>
    </xf>
    <xf numFmtId="49" fontId="24" fillId="0" borderId="25" xfId="0" applyNumberFormat="1" applyFont="1" applyFill="1" applyBorder="1" applyAlignment="1">
      <alignment horizontal="center" vertical="center" wrapText="1"/>
    </xf>
    <xf numFmtId="49" fontId="24" fillId="0" borderId="13" xfId="0" applyNumberFormat="1" applyFont="1" applyFill="1" applyBorder="1" applyAlignment="1">
      <alignment horizontal="center" vertical="center" wrapText="1"/>
    </xf>
    <xf numFmtId="49" fontId="24" fillId="0" borderId="33" xfId="0" applyNumberFormat="1" applyFont="1" applyFill="1" applyBorder="1" applyAlignment="1">
      <alignment horizontal="center" vertical="center" wrapText="1"/>
    </xf>
    <xf numFmtId="49" fontId="24" fillId="0" borderId="18" xfId="0" applyNumberFormat="1" applyFont="1" applyFill="1" applyBorder="1" applyAlignment="1">
      <alignment horizontal="center" vertical="center" wrapText="1"/>
    </xf>
    <xf numFmtId="49" fontId="24" fillId="0" borderId="16" xfId="0" applyNumberFormat="1" applyFont="1" applyFill="1" applyBorder="1" applyAlignment="1">
      <alignment horizontal="center" vertical="center" wrapText="1"/>
    </xf>
    <xf numFmtId="49" fontId="22" fillId="0" borderId="22" xfId="0" applyNumberFormat="1" applyFont="1" applyFill="1" applyBorder="1" applyAlignment="1">
      <alignment horizontal="center" vertical="center" wrapText="1" shrinkToFit="1"/>
    </xf>
    <xf numFmtId="49" fontId="22" fillId="0" borderId="27" xfId="0" applyNumberFormat="1" applyFont="1" applyFill="1" applyBorder="1" applyAlignment="1">
      <alignment horizontal="center" vertical="center" wrapText="1" shrinkToFit="1"/>
    </xf>
    <xf numFmtId="49" fontId="21" fillId="0" borderId="21" xfId="0" applyNumberFormat="1" applyFont="1" applyFill="1" applyBorder="1" applyAlignment="1">
      <alignment horizontal="center" vertical="center" textRotation="90" wrapText="1"/>
    </xf>
    <xf numFmtId="49" fontId="21" fillId="0" borderId="26" xfId="0" applyNumberFormat="1" applyFont="1" applyFill="1" applyBorder="1" applyAlignment="1">
      <alignment horizontal="center" vertical="center" textRotation="90" wrapText="1"/>
    </xf>
    <xf numFmtId="49" fontId="21" fillId="0" borderId="17" xfId="0" applyNumberFormat="1" applyFont="1" applyFill="1" applyBorder="1" applyAlignment="1">
      <alignment horizontal="center" vertical="center" wrapText="1"/>
    </xf>
    <xf numFmtId="49" fontId="21" fillId="0" borderId="11" xfId="0" applyNumberFormat="1" applyFont="1" applyFill="1" applyBorder="1" applyAlignment="1">
      <alignment horizontal="center" vertical="center" wrapText="1"/>
    </xf>
    <xf numFmtId="49" fontId="24" fillId="0" borderId="22" xfId="0" applyNumberFormat="1" applyFont="1" applyFill="1" applyBorder="1" applyAlignment="1">
      <alignment horizontal="center" vertical="center" wrapText="1"/>
    </xf>
    <xf numFmtId="49" fontId="24" fillId="0" borderId="27" xfId="0" applyNumberFormat="1" applyFont="1" applyFill="1" applyBorder="1" applyAlignment="1">
      <alignment horizontal="center" vertical="center" wrapText="1"/>
    </xf>
    <xf numFmtId="49" fontId="22" fillId="0" borderId="30" xfId="0" applyNumberFormat="1" applyFont="1" applyFill="1" applyBorder="1" applyAlignment="1">
      <alignment horizontal="center" vertical="center" wrapText="1" shrinkToFit="1"/>
    </xf>
    <xf numFmtId="49" fontId="24" fillId="0" borderId="10" xfId="0" applyNumberFormat="1" applyFont="1" applyFill="1" applyBorder="1" applyAlignment="1">
      <alignment horizontal="center" vertical="center" wrapText="1"/>
    </xf>
    <xf numFmtId="49" fontId="24" fillId="0" borderId="23" xfId="0" applyNumberFormat="1" applyFont="1" applyFill="1" applyBorder="1" applyAlignment="1">
      <alignment horizontal="center" vertical="center" wrapText="1"/>
    </xf>
    <xf numFmtId="49" fontId="24" fillId="0" borderId="30" xfId="0" applyNumberFormat="1" applyFont="1" applyFill="1" applyBorder="1" applyAlignment="1">
      <alignment horizontal="center" vertical="center" wrapText="1"/>
    </xf>
    <xf numFmtId="49" fontId="22" fillId="0" borderId="23" xfId="0" applyNumberFormat="1" applyFont="1" applyFill="1" applyBorder="1" applyAlignment="1">
      <alignment horizontal="center" vertical="center" wrapText="1" shrinkToFit="1"/>
    </xf>
    <xf numFmtId="49" fontId="24" fillId="0" borderId="17" xfId="0" applyNumberFormat="1" applyFont="1" applyFill="1" applyBorder="1" applyAlignment="1">
      <alignment horizontal="center" vertical="center" wrapText="1"/>
    </xf>
    <xf numFmtId="49" fontId="24" fillId="0" borderId="0" xfId="0" applyNumberFormat="1" applyFont="1" applyBorder="1" applyAlignment="1">
      <alignment horizontal="center" vertical="center" wrapText="1"/>
    </xf>
    <xf numFmtId="49" fontId="24" fillId="0" borderId="14" xfId="0" applyNumberFormat="1" applyFont="1" applyFill="1" applyBorder="1" applyAlignment="1">
      <alignment horizontal="center" vertical="center" wrapText="1"/>
    </xf>
    <xf numFmtId="49" fontId="24" fillId="0" borderId="12" xfId="0" applyNumberFormat="1" applyFont="1" applyFill="1" applyBorder="1" applyAlignment="1">
      <alignment horizontal="center" vertical="center" wrapText="1"/>
    </xf>
    <xf numFmtId="49" fontId="24" fillId="0" borderId="11" xfId="0" applyNumberFormat="1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49" fontId="24" fillId="0" borderId="20" xfId="0" quotePrefix="1" applyNumberFormat="1" applyFont="1" applyFill="1" applyBorder="1" applyAlignment="1">
      <alignment horizontal="center" vertical="center" wrapText="1"/>
    </xf>
    <xf numFmtId="49" fontId="24" fillId="0" borderId="15" xfId="0" quotePrefix="1" applyNumberFormat="1" applyFont="1" applyFill="1" applyBorder="1" applyAlignment="1">
      <alignment horizontal="center" vertical="center" wrapText="1"/>
    </xf>
    <xf numFmtId="49" fontId="24" fillId="0" borderId="24" xfId="0" quotePrefix="1" applyNumberFormat="1" applyFont="1" applyFill="1" applyBorder="1" applyAlignment="1">
      <alignment horizontal="center" vertical="center" wrapText="1"/>
    </xf>
    <xf numFmtId="49" fontId="24" fillId="0" borderId="18" xfId="0" quotePrefix="1" applyNumberFormat="1" applyFont="1" applyFill="1" applyBorder="1" applyAlignment="1">
      <alignment horizontal="center" vertical="center" wrapText="1"/>
    </xf>
    <xf numFmtId="49" fontId="22" fillId="0" borderId="11" xfId="0" applyNumberFormat="1" applyFont="1" applyFill="1" applyBorder="1" applyAlignment="1">
      <alignment horizontal="center" vertical="center" wrapText="1" shrinkToFit="1"/>
    </xf>
    <xf numFmtId="0" fontId="0" fillId="0" borderId="0" xfId="0" applyNumberFormat="1" applyBorder="1"/>
    <xf numFmtId="0" fontId="21" fillId="36" borderId="11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404"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7;&#1077;&#1094;%20&#1042;&#1086;&#1079;&#1076;&#1091;&#1093;&#1086;&#1076;&#1091;&#1074;&#1082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Содержание|"/>
      <sheetName val="|Лог|"/>
      <sheetName val="!System"/>
      <sheetName val="Анкер_спец"/>
      <sheetName val="Из архикада плиты"/>
      <sheetName val="Анкер_об"/>
      <sheetName val="Анкер_кж"/>
      <sheetName val="КЖ_об"/>
      <sheetName val="Весь металл_км"/>
      <sheetName val="КЖ_кж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11"/>
  <sheetViews>
    <sheetView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26</v>
      </c>
      <c r="B1" s="6" t="s">
        <v>27</v>
      </c>
      <c r="C1" s="6" t="s">
        <v>21</v>
      </c>
      <c r="D1" s="6" t="s">
        <v>22</v>
      </c>
      <c r="E1" s="6" t="s">
        <v>23</v>
      </c>
      <c r="F1" s="6"/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34</v>
      </c>
      <c r="N1" s="6" t="s">
        <v>35</v>
      </c>
      <c r="O1" s="6" t="s">
        <v>36</v>
      </c>
      <c r="P1" s="6" t="s">
        <v>37</v>
      </c>
      <c r="Q1" s="6" t="s">
        <v>38</v>
      </c>
      <c r="R1" s="6" t="s">
        <v>39</v>
      </c>
      <c r="S1" s="6" t="s">
        <v>40</v>
      </c>
      <c r="T1" s="6" t="s">
        <v>41</v>
      </c>
      <c r="U1" s="6" t="s">
        <v>42</v>
      </c>
      <c r="V1" s="6" t="s">
        <v>43</v>
      </c>
    </row>
    <row r="2" spans="1:22" x14ac:dyDescent="0.25">
      <c r="E2" s="8" t="s">
        <v>2652</v>
      </c>
      <c r="G2" s="7">
        <v>1</v>
      </c>
      <c r="H2" s="7" t="s">
        <v>2390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x14ac:dyDescent="0.25">
      <c r="D3" s="8" t="s">
        <v>2870</v>
      </c>
      <c r="G3" s="7">
        <v>1</v>
      </c>
      <c r="H3" s="7" t="s">
        <v>2390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0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x14ac:dyDescent="0.25">
      <c r="C4" s="8" t="s">
        <v>2394</v>
      </c>
      <c r="G4" s="7">
        <v>1</v>
      </c>
      <c r="H4" s="7" t="s">
        <v>2390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0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0</v>
      </c>
    </row>
    <row r="5" spans="1:22" x14ac:dyDescent="0.25">
      <c r="E5" s="8" t="s">
        <v>2799</v>
      </c>
      <c r="G5" s="7">
        <v>1</v>
      </c>
      <c r="H5" s="7" t="s">
        <v>2390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0</v>
      </c>
      <c r="U5" s="7" t="b">
        <v>0</v>
      </c>
      <c r="V5" s="7" t="b">
        <v>0</v>
      </c>
    </row>
    <row r="6" spans="1:22" x14ac:dyDescent="0.25">
      <c r="C6" s="8" t="s">
        <v>2650</v>
      </c>
      <c r="G6" s="7">
        <v>1</v>
      </c>
      <c r="H6" s="7" t="s">
        <v>2651</v>
      </c>
      <c r="I6" s="7" t="b">
        <v>0</v>
      </c>
      <c r="J6" s="7" t="b">
        <v>0</v>
      </c>
      <c r="K6" s="7" t="b">
        <v>0</v>
      </c>
      <c r="L6" s="7" t="b">
        <v>0</v>
      </c>
      <c r="M6" s="7" t="b">
        <v>1</v>
      </c>
      <c r="N6" s="7" t="b">
        <v>0</v>
      </c>
      <c r="O6" s="7" t="b">
        <v>1</v>
      </c>
      <c r="P6" s="7" t="b">
        <v>1</v>
      </c>
      <c r="Q6" s="7" t="b">
        <v>0</v>
      </c>
      <c r="R6" s="7" t="b">
        <v>0</v>
      </c>
      <c r="S6" s="7" t="b">
        <v>1</v>
      </c>
      <c r="T6" s="7" t="b">
        <v>0</v>
      </c>
      <c r="U6" s="7" t="b">
        <v>0</v>
      </c>
      <c r="V6" s="7" t="b">
        <v>0</v>
      </c>
    </row>
    <row r="7" spans="1:22" x14ac:dyDescent="0.25">
      <c r="C7" s="8" t="s">
        <v>2804</v>
      </c>
      <c r="G7" s="7">
        <v>1</v>
      </c>
      <c r="H7" s="7" t="s">
        <v>2805</v>
      </c>
      <c r="I7" s="7" t="b">
        <v>0</v>
      </c>
      <c r="J7" s="7" t="b">
        <v>0</v>
      </c>
      <c r="K7" s="7" t="b">
        <v>0</v>
      </c>
      <c r="L7" s="7" t="b">
        <v>0</v>
      </c>
      <c r="M7" s="7" t="b">
        <v>1</v>
      </c>
      <c r="N7" s="7" t="b">
        <v>0</v>
      </c>
      <c r="O7" s="7" t="b">
        <v>1</v>
      </c>
      <c r="P7" s="7" t="b">
        <v>1</v>
      </c>
      <c r="Q7" s="7" t="b">
        <v>0</v>
      </c>
      <c r="R7" s="7" t="b">
        <v>0</v>
      </c>
      <c r="S7" s="7" t="b">
        <v>1</v>
      </c>
      <c r="T7" s="7" t="b">
        <v>0</v>
      </c>
      <c r="U7" s="7" t="b">
        <v>0</v>
      </c>
      <c r="V7" s="7" t="b">
        <v>0</v>
      </c>
    </row>
    <row r="8" spans="1:22" x14ac:dyDescent="0.25">
      <c r="C8" s="8" t="s">
        <v>2854</v>
      </c>
      <c r="G8" s="7">
        <v>1</v>
      </c>
      <c r="H8" s="7" t="s">
        <v>2855</v>
      </c>
      <c r="I8" s="7" t="b">
        <v>0</v>
      </c>
      <c r="J8" s="7" t="b">
        <v>0</v>
      </c>
      <c r="K8" s="7" t="b">
        <v>0</v>
      </c>
      <c r="L8" s="7" t="b">
        <v>0</v>
      </c>
      <c r="M8" s="7" t="b">
        <v>1</v>
      </c>
      <c r="N8" s="7" t="b">
        <v>0</v>
      </c>
      <c r="O8" s="7" t="b">
        <v>1</v>
      </c>
      <c r="P8" s="7" t="b">
        <v>1</v>
      </c>
      <c r="Q8" s="7" t="b">
        <v>0</v>
      </c>
      <c r="R8" s="7" t="b">
        <v>0</v>
      </c>
      <c r="S8" s="7" t="b">
        <v>1</v>
      </c>
      <c r="T8" s="7" t="b">
        <v>0</v>
      </c>
      <c r="U8" s="7" t="b">
        <v>0</v>
      </c>
      <c r="V8" s="7" t="b">
        <v>0</v>
      </c>
    </row>
    <row r="9" spans="1:22" x14ac:dyDescent="0.25">
      <c r="B9" s="8" t="s">
        <v>2376</v>
      </c>
    </row>
    <row r="10" spans="1:22" x14ac:dyDescent="0.25">
      <c r="A10" s="8" t="s">
        <v>25</v>
      </c>
    </row>
    <row r="11" spans="1:22" x14ac:dyDescent="0.25">
      <c r="A11" s="8" t="s">
        <v>24</v>
      </c>
    </row>
  </sheetData>
  <sortState ref="A2:V11">
    <sortCondition ref="H2:H600"/>
  </sortState>
  <conditionalFormatting sqref="A1:V1048576">
    <cfRule type="containsText" dxfId="340" priority="1" operator="containsText" text="_поз">
      <formula>NOT(ISERROR(SEARCH("_поз",A1)))</formula>
    </cfRule>
    <cfRule type="containsText" dxfId="339" priority="2" operator="containsText" text="_км">
      <formula>NOT(ISERROR(SEARCH("_км",A1)))</formula>
    </cfRule>
    <cfRule type="containsText" dxfId="338" priority="3" operator="containsText" text="_кж">
      <formula>NOT(ISERROR(SEARCH("_кж",A1)))</formula>
    </cfRule>
    <cfRule type="containsText" dxfId="337" priority="4" operator="containsText" text="|">
      <formula>NOT(ISERROR(SEARCH("|",A1)))</formula>
    </cfRule>
    <cfRule type="expression" dxfId="336" priority="5">
      <formula>LEN(TRIM(A1))=0</formula>
    </cfRule>
    <cfRule type="containsText" dxfId="335" priority="6" operator="containsText" text="!">
      <formula>NOT(ISERROR(SEARCH("!",A1)))</formula>
    </cfRule>
    <cfRule type="containsText" dxfId="334" priority="7" operator="containsText" text="_спец">
      <formula>NOT(ISERROR(SEARCH("_спец",A1)))</formula>
    </cfRule>
  </conditionalFormatting>
  <hyperlinks>
    <hyperlink ref="B9" location="'!System'!B2" display="'!System'!B2"/>
    <hyperlink ref="A10" location="'|Лог|'!A1" display="'|Лог|'!A1"/>
    <hyperlink ref="A11" location="'|Содержание|'!A1" display="'|Содержание|'!A1"/>
    <hyperlink ref="C6" location="'Ведомость отделки_вед'!C3" display="'Ведомость отделки_вед'!C3"/>
    <hyperlink ref="E2" location="'Ведомость отделки_правила'!E3" display="'Ведомость отделки_правила'!E3"/>
    <hyperlink ref="C8" location="'Ведомость отделки-Тип_вед'!C3" display="'Ведомость отделки-Тип_вед'!C3"/>
    <hyperlink ref="D3" location="'едомость отделки-Тип_вед_log'!D4" display="'едомость отделки-Тип_вед_log'!D4"/>
    <hyperlink ref="C4" location="'Изделия_спец.И'!C3" display="'Изделия_спец.И'!C3"/>
    <hyperlink ref="C7" location="'КЖ_норм'!C3" display="'КЖ_норм'!C3"/>
    <hyperlink ref="E5" location="'КЖ_спец'!E3" display="'КЖ_спец'!E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 tint="1"/>
  </sheetPr>
  <dimension ref="A1:O1000"/>
  <sheetViews>
    <sheetView workbookViewId="0"/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 t="s">
        <v>2856</v>
      </c>
      <c r="B1" s="2" t="s">
        <v>2857</v>
      </c>
      <c r="C1" s="2" t="s">
        <v>2858</v>
      </c>
      <c r="D1" s="2" t="s">
        <v>2668</v>
      </c>
      <c r="E1" s="3" t="s">
        <v>2859</v>
      </c>
      <c r="F1" s="3" t="s">
        <v>2860</v>
      </c>
      <c r="G1" s="3" t="s">
        <v>2861</v>
      </c>
      <c r="H1" s="3" t="s">
        <v>2862</v>
      </c>
      <c r="I1" s="3" t="s">
        <v>2863</v>
      </c>
      <c r="J1" s="3" t="s">
        <v>2864</v>
      </c>
      <c r="K1" s="3" t="s">
        <v>2865</v>
      </c>
      <c r="L1" s="3" t="s">
        <v>2866</v>
      </c>
      <c r="M1" s="3" t="s">
        <v>2867</v>
      </c>
      <c r="N1" s="3" t="s">
        <v>2868</v>
      </c>
      <c r="O1" s="3" t="s">
        <v>2869</v>
      </c>
    </row>
    <row r="2" spans="1:15" ht="15.95" customHeight="1" x14ac:dyDescent="0.25">
      <c r="A2" s="4">
        <v>43731.653067129628</v>
      </c>
      <c r="B2" s="1" t="s">
        <v>2391</v>
      </c>
      <c r="C2" s="1" t="s">
        <v>2845</v>
      </c>
      <c r="D2" s="1"/>
      <c r="E2" s="1" t="s">
        <v>2379</v>
      </c>
      <c r="F2" s="1">
        <v>3.66</v>
      </c>
      <c r="G2" s="1">
        <v>3.94</v>
      </c>
      <c r="H2" s="1">
        <v>3.15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43731.655358796299</v>
      </c>
      <c r="B3" s="1" t="s">
        <v>2391</v>
      </c>
      <c r="C3" s="1" t="s">
        <v>2382</v>
      </c>
      <c r="D3" s="1" t="s">
        <v>2383</v>
      </c>
      <c r="E3" s="10" t="s">
        <v>2384</v>
      </c>
      <c r="F3" s="1">
        <v>3.66</v>
      </c>
      <c r="G3" s="1">
        <v>3.94</v>
      </c>
      <c r="H3" s="1">
        <v>3.15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43731.655358796299</v>
      </c>
      <c r="B4" s="1" t="s">
        <v>2391</v>
      </c>
      <c r="C4" s="1" t="s">
        <v>2382</v>
      </c>
      <c r="D4" s="1" t="s">
        <v>2385</v>
      </c>
      <c r="E4" s="1" t="s">
        <v>2841</v>
      </c>
      <c r="F4" s="1">
        <v>3.66</v>
      </c>
      <c r="G4" s="1">
        <v>3.94</v>
      </c>
      <c r="H4" s="1">
        <v>3.15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43731.655358796299</v>
      </c>
      <c r="B5" s="1" t="s">
        <v>2391</v>
      </c>
      <c r="C5" s="1" t="s">
        <v>2382</v>
      </c>
      <c r="D5" s="1" t="s">
        <v>2386</v>
      </c>
      <c r="E5" s="1" t="s">
        <v>2842</v>
      </c>
      <c r="F5" s="1">
        <v>3.66</v>
      </c>
      <c r="G5" s="1">
        <v>3.94</v>
      </c>
      <c r="H5" s="1">
        <v>3.15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43731.655358796299</v>
      </c>
      <c r="B6" s="1" t="s">
        <v>2391</v>
      </c>
      <c r="C6" s="1" t="s">
        <v>2382</v>
      </c>
      <c r="D6" s="1" t="s">
        <v>2380</v>
      </c>
      <c r="E6" s="1" t="s">
        <v>2843</v>
      </c>
      <c r="F6" s="1">
        <v>3.66</v>
      </c>
      <c r="G6" s="1">
        <v>3.94</v>
      </c>
      <c r="H6" s="1">
        <v>3.15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43731.655358796299</v>
      </c>
      <c r="B7" s="1" t="s">
        <v>2391</v>
      </c>
      <c r="C7" s="1" t="s">
        <v>2382</v>
      </c>
      <c r="D7" s="1" t="s">
        <v>2387</v>
      </c>
      <c r="E7" s="1">
        <v>0</v>
      </c>
      <c r="F7" s="1">
        <v>3.66</v>
      </c>
      <c r="G7" s="1">
        <v>3.94</v>
      </c>
      <c r="H7" s="1">
        <v>3.15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43731.655358796299</v>
      </c>
      <c r="B8" s="1" t="s">
        <v>2391</v>
      </c>
      <c r="C8" s="1" t="s">
        <v>2382</v>
      </c>
      <c r="D8" s="1" t="s">
        <v>2388</v>
      </c>
      <c r="E8" s="10" t="s">
        <v>2384</v>
      </c>
      <c r="F8" s="1">
        <v>3.66</v>
      </c>
      <c r="G8" s="1">
        <v>3.94</v>
      </c>
      <c r="H8" s="1">
        <v>3.15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43731.655590277776</v>
      </c>
      <c r="B9" s="1" t="s">
        <v>2391</v>
      </c>
      <c r="C9" s="1" t="s">
        <v>2854</v>
      </c>
      <c r="D9" s="1" t="s">
        <v>2381</v>
      </c>
      <c r="E9" s="1" t="s">
        <v>2378</v>
      </c>
      <c r="F9" s="1">
        <v>3.66</v>
      </c>
      <c r="G9" s="1">
        <v>3.94</v>
      </c>
      <c r="H9" s="1">
        <v>3.15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43731.656319444446</v>
      </c>
      <c r="B10" s="1" t="s">
        <v>2391</v>
      </c>
      <c r="C10" s="1" t="s">
        <v>2382</v>
      </c>
      <c r="D10" s="1" t="s">
        <v>2383</v>
      </c>
      <c r="E10" s="10" t="s">
        <v>2384</v>
      </c>
      <c r="F10" s="1">
        <v>3.66</v>
      </c>
      <c r="G10" s="1">
        <v>3.94</v>
      </c>
      <c r="H10" s="1">
        <v>3.15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43731.656319444446</v>
      </c>
      <c r="B11" s="1" t="s">
        <v>2391</v>
      </c>
      <c r="C11" s="1" t="s">
        <v>2382</v>
      </c>
      <c r="D11" s="1" t="s">
        <v>2385</v>
      </c>
      <c r="E11" s="1" t="s">
        <v>2871</v>
      </c>
      <c r="F11" s="1">
        <v>3.66</v>
      </c>
      <c r="G11" s="1">
        <v>3.94</v>
      </c>
      <c r="H11" s="1">
        <v>3.15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43731.656319444446</v>
      </c>
      <c r="B12" s="1" t="s">
        <v>2391</v>
      </c>
      <c r="C12" s="1" t="s">
        <v>2382</v>
      </c>
      <c r="D12" s="1" t="s">
        <v>2386</v>
      </c>
      <c r="E12" s="1" t="s">
        <v>2872</v>
      </c>
      <c r="F12" s="1">
        <v>3.66</v>
      </c>
      <c r="G12" s="1">
        <v>3.94</v>
      </c>
      <c r="H12" s="1">
        <v>3.15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43731.656319444446</v>
      </c>
      <c r="B13" s="1" t="s">
        <v>2391</v>
      </c>
      <c r="C13" s="1" t="s">
        <v>2382</v>
      </c>
      <c r="D13" s="1" t="s">
        <v>2380</v>
      </c>
      <c r="E13" s="1" t="s">
        <v>2717</v>
      </c>
      <c r="F13" s="1">
        <v>3.66</v>
      </c>
      <c r="G13" s="1">
        <v>3.94</v>
      </c>
      <c r="H13" s="1">
        <v>3.15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43731.656319444446</v>
      </c>
      <c r="B14" s="1" t="s">
        <v>2391</v>
      </c>
      <c r="C14" s="1" t="s">
        <v>2382</v>
      </c>
      <c r="D14" s="1" t="s">
        <v>2387</v>
      </c>
      <c r="E14" s="1" t="s">
        <v>2718</v>
      </c>
      <c r="F14" s="1">
        <v>3.66</v>
      </c>
      <c r="G14" s="1">
        <v>3.94</v>
      </c>
      <c r="H14" s="1">
        <v>3.15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0</v>
      </c>
    </row>
    <row r="15" spans="1:15" ht="15.95" customHeight="1" x14ac:dyDescent="0.25">
      <c r="A15" s="4">
        <v>43731.656319444446</v>
      </c>
      <c r="B15" s="1" t="s">
        <v>2391</v>
      </c>
      <c r="C15" s="1" t="s">
        <v>2382</v>
      </c>
      <c r="D15" s="1" t="s">
        <v>2388</v>
      </c>
      <c r="E15" s="10" t="s">
        <v>2384</v>
      </c>
      <c r="F15" s="1">
        <v>3.66</v>
      </c>
      <c r="G15" s="1">
        <v>3.94</v>
      </c>
      <c r="H15" s="1">
        <v>3.15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0</v>
      </c>
    </row>
    <row r="16" spans="1:15" ht="15.95" customHeight="1" x14ac:dyDescent="0.25">
      <c r="A16" s="4">
        <v>43731.656388888892</v>
      </c>
      <c r="B16" s="1" t="s">
        <v>2391</v>
      </c>
      <c r="C16" s="1" t="s">
        <v>2854</v>
      </c>
      <c r="D16" s="1" t="s">
        <v>2381</v>
      </c>
      <c r="E16" s="1" t="s">
        <v>2378</v>
      </c>
      <c r="F16" s="1">
        <v>3.66</v>
      </c>
      <c r="G16" s="1">
        <v>3.94</v>
      </c>
      <c r="H16" s="1">
        <v>3.15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0</v>
      </c>
    </row>
    <row r="17" spans="1:15" ht="15.95" customHeight="1" x14ac:dyDescent="0.25">
      <c r="A17" s="4">
        <v>43731.656840277778</v>
      </c>
      <c r="B17" s="1" t="s">
        <v>2391</v>
      </c>
      <c r="C17" s="1" t="s">
        <v>2799</v>
      </c>
      <c r="D17" s="1" t="s">
        <v>2393</v>
      </c>
      <c r="E17" s="1">
        <v>0</v>
      </c>
      <c r="F17" s="1">
        <v>3.66</v>
      </c>
      <c r="G17" s="1">
        <v>3.94</v>
      </c>
      <c r="H17" s="1">
        <v>3.15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0</v>
      </c>
    </row>
    <row r="18" spans="1:15" ht="15.95" customHeight="1" x14ac:dyDescent="0.25">
      <c r="A18" s="4">
        <v>43731.658900462964</v>
      </c>
      <c r="B18" s="1" t="s">
        <v>2391</v>
      </c>
      <c r="C18" s="1" t="s">
        <v>2799</v>
      </c>
      <c r="D18" s="1" t="s">
        <v>2393</v>
      </c>
      <c r="E18" s="1">
        <v>0</v>
      </c>
      <c r="F18" s="1">
        <v>3.66</v>
      </c>
      <c r="G18" s="1">
        <v>3.94</v>
      </c>
      <c r="H18" s="1">
        <v>3.15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43731.658900462964</v>
      </c>
      <c r="B19" s="1" t="s">
        <v>2391</v>
      </c>
      <c r="C19" s="1" t="s">
        <v>2804</v>
      </c>
      <c r="D19" s="1"/>
      <c r="E19" s="1" t="s">
        <v>2378</v>
      </c>
      <c r="F19" s="1">
        <v>3.66</v>
      </c>
      <c r="G19" s="1">
        <v>3.94</v>
      </c>
      <c r="H19" s="1">
        <v>3.15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43731.659479166665</v>
      </c>
      <c r="B20" s="1" t="s">
        <v>2391</v>
      </c>
      <c r="C20" s="1" t="s">
        <v>2799</v>
      </c>
      <c r="D20" s="1" t="s">
        <v>2393</v>
      </c>
      <c r="E20" s="1">
        <v>0</v>
      </c>
      <c r="F20" s="1">
        <v>3.66</v>
      </c>
      <c r="G20" s="1">
        <v>3.94</v>
      </c>
      <c r="H20" s="1">
        <v>3.15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1</v>
      </c>
      <c r="N20" s="1" t="b">
        <v>1</v>
      </c>
      <c r="O20" s="1" t="b">
        <v>0</v>
      </c>
    </row>
    <row r="21" spans="1:15" ht="15.95" customHeight="1" x14ac:dyDescent="0.25">
      <c r="A21" s="4">
        <v>43731.659479166665</v>
      </c>
      <c r="B21" s="1" t="s">
        <v>2391</v>
      </c>
      <c r="C21" s="1" t="s">
        <v>2804</v>
      </c>
      <c r="D21" s="1"/>
      <c r="E21" s="1" t="s">
        <v>2378</v>
      </c>
      <c r="F21" s="1">
        <v>3.66</v>
      </c>
      <c r="G21" s="1">
        <v>3.94</v>
      </c>
      <c r="H21" s="1">
        <v>3.15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43731.665127314816</v>
      </c>
      <c r="B22" s="1" t="s">
        <v>2391</v>
      </c>
      <c r="C22" s="1" t="s">
        <v>2799</v>
      </c>
      <c r="D22" s="1" t="s">
        <v>2393</v>
      </c>
      <c r="E22" s="1">
        <v>0</v>
      </c>
      <c r="F22" s="1">
        <v>3.66</v>
      </c>
      <c r="G22" s="1">
        <v>3.94</v>
      </c>
      <c r="H22" s="1">
        <v>3.15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43731.665266203701</v>
      </c>
      <c r="B23" s="1" t="s">
        <v>2391</v>
      </c>
      <c r="C23" s="1" t="s">
        <v>2799</v>
      </c>
      <c r="D23" s="1" t="s">
        <v>2393</v>
      </c>
      <c r="E23" s="1">
        <v>0</v>
      </c>
      <c r="F23" s="1">
        <v>3.66</v>
      </c>
      <c r="G23" s="1">
        <v>3.94</v>
      </c>
      <c r="H23" s="1">
        <v>3.15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43731.665567129632</v>
      </c>
      <c r="B24" s="1" t="s">
        <v>2391</v>
      </c>
      <c r="C24" s="1" t="s">
        <v>2799</v>
      </c>
      <c r="D24" s="1" t="s">
        <v>2393</v>
      </c>
      <c r="E24" s="1">
        <v>0</v>
      </c>
      <c r="F24" s="1">
        <v>3.66</v>
      </c>
      <c r="G24" s="1">
        <v>3.94</v>
      </c>
      <c r="H24" s="1">
        <v>3.15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43731.665601851855</v>
      </c>
      <c r="B25" s="1" t="s">
        <v>2391</v>
      </c>
      <c r="C25" s="1" t="s">
        <v>2799</v>
      </c>
      <c r="D25" s="1" t="s">
        <v>2393</v>
      </c>
      <c r="E25" s="1">
        <v>0</v>
      </c>
      <c r="F25" s="1">
        <v>3.66</v>
      </c>
      <c r="G25" s="1">
        <v>3.94</v>
      </c>
      <c r="H25" s="1">
        <v>3.15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43731.708182870374</v>
      </c>
      <c r="B26" s="1" t="s">
        <v>2391</v>
      </c>
      <c r="C26" s="1" t="s">
        <v>2799</v>
      </c>
      <c r="D26" s="1" t="s">
        <v>2393</v>
      </c>
      <c r="E26" s="1">
        <v>0</v>
      </c>
      <c r="F26" s="1">
        <v>3.66</v>
      </c>
      <c r="G26" s="1">
        <v>3.94</v>
      </c>
      <c r="H26" s="1">
        <v>3.16</v>
      </c>
      <c r="I26" s="1">
        <v>0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43731.719108796293</v>
      </c>
      <c r="B27" s="1" t="s">
        <v>2391</v>
      </c>
      <c r="C27" s="1" t="s">
        <v>2706</v>
      </c>
      <c r="D27" s="1"/>
      <c r="E27" s="1" t="s">
        <v>2876</v>
      </c>
      <c r="F27" s="1">
        <v>3.66</v>
      </c>
      <c r="G27" s="1">
        <v>3.94</v>
      </c>
      <c r="H27" s="1">
        <v>3.16</v>
      </c>
      <c r="I27" s="1">
        <v>0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43731.719398148147</v>
      </c>
      <c r="B28" s="1" t="s">
        <v>2391</v>
      </c>
      <c r="C28" s="1" t="s">
        <v>2799</v>
      </c>
      <c r="D28" s="1" t="s">
        <v>2393</v>
      </c>
      <c r="E28" s="1">
        <v>0</v>
      </c>
      <c r="F28" s="1">
        <v>3.66</v>
      </c>
      <c r="G28" s="1">
        <v>3.94</v>
      </c>
      <c r="H28" s="1">
        <v>3.16</v>
      </c>
      <c r="I28" s="1">
        <v>0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43731.719525462962</v>
      </c>
      <c r="B29" s="1" t="s">
        <v>2391</v>
      </c>
      <c r="C29" s="1" t="s">
        <v>2799</v>
      </c>
      <c r="D29" s="1" t="s">
        <v>2393</v>
      </c>
      <c r="E29" s="1">
        <v>0</v>
      </c>
      <c r="F29" s="1">
        <v>3.66</v>
      </c>
      <c r="G29" s="1">
        <v>3.94</v>
      </c>
      <c r="H29" s="1">
        <v>3.16</v>
      </c>
      <c r="I29" s="1">
        <v>0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43731.719722222224</v>
      </c>
      <c r="B30" s="1" t="s">
        <v>2391</v>
      </c>
      <c r="C30" s="1" t="s">
        <v>2799</v>
      </c>
      <c r="D30" s="1" t="s">
        <v>2393</v>
      </c>
      <c r="E30" s="1">
        <v>0</v>
      </c>
      <c r="F30" s="1">
        <v>3.66</v>
      </c>
      <c r="G30" s="1">
        <v>3.94</v>
      </c>
      <c r="H30" s="1">
        <v>3.16</v>
      </c>
      <c r="I30" s="1">
        <v>0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43731.720312500001</v>
      </c>
      <c r="B31" s="1" t="s">
        <v>2391</v>
      </c>
      <c r="C31" s="1" t="s">
        <v>2799</v>
      </c>
      <c r="D31" s="1" t="s">
        <v>2393</v>
      </c>
      <c r="E31" s="1">
        <v>0</v>
      </c>
      <c r="F31" s="1">
        <v>3.66</v>
      </c>
      <c r="G31" s="1">
        <v>3.94</v>
      </c>
      <c r="H31" s="1">
        <v>3.16</v>
      </c>
      <c r="I31" s="1">
        <v>0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43731.720393518517</v>
      </c>
      <c r="B32" s="1" t="s">
        <v>2391</v>
      </c>
      <c r="C32" s="1" t="s">
        <v>2799</v>
      </c>
      <c r="D32" s="1" t="s">
        <v>2393</v>
      </c>
      <c r="E32" s="1">
        <v>0</v>
      </c>
      <c r="F32" s="1">
        <v>3.66</v>
      </c>
      <c r="G32" s="1">
        <v>3.94</v>
      </c>
      <c r="H32" s="1">
        <v>3.16</v>
      </c>
      <c r="I32" s="1">
        <v>0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1:15" ht="15.9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ht="15.9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1:15" ht="15.9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1:15" ht="15.9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1:15" ht="15.9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1:15" ht="15.9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1:15" ht="15.9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1:15" ht="15.9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1:15" ht="15.9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1:15" ht="15.9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1:15" ht="15.9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</row>
    <row r="45" spans="1:15" ht="15.9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</row>
    <row r="46" spans="1:15" ht="15.9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1:15" ht="15.9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1:15" ht="15.9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</row>
    <row r="49" spans="1:15" ht="15.9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spans="1:15" ht="15.9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spans="1:15" ht="15.9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spans="1:15" ht="15.9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spans="1:15" ht="15.9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spans="1:15" ht="15.9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spans="1:15" ht="15.9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spans="1:15" ht="15.9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spans="1:15" ht="15.9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spans="1:15" ht="15.9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spans="1:15" ht="15.9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spans="1:15" ht="15.9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spans="1:15" ht="15.9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spans="1:15" ht="15.9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spans="1:15" ht="15.9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spans="1:15" ht="15.9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spans="1:15" ht="15.9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spans="1:15" ht="15.9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1:15" ht="15.9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spans="1:15" ht="15.9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spans="1:15" ht="15.9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spans="1:15" ht="15.9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spans="1:15" ht="15.9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spans="1:15" ht="15.9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spans="1:15" ht="15.9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spans="1:15" ht="15.9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spans="1:15" ht="15.9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spans="1:15" ht="15.9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spans="1:15" ht="15.9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spans="1:15" ht="15.9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spans="1:15" ht="15.9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spans="1:15" ht="15.9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spans="1:15" ht="15.9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spans="1:15" ht="15.9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spans="1:15" ht="15.9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spans="1:15" ht="15.9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spans="1:15" ht="15.9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spans="1:15" ht="15.9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spans="1:15" ht="15.9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spans="1:15" ht="15.9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spans="1:15" ht="15.9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spans="1:15" ht="15.9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spans="1:15" ht="15.9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spans="1:15" ht="15.9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spans="1:15" ht="15.9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spans="1:15" ht="15.9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spans="1:15" ht="15.9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spans="1:15" ht="15.9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spans="1:15" ht="15.9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spans="1:15" ht="15.9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spans="1:15" ht="15.9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spans="1:15" ht="15.9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spans="1:15" ht="15.9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spans="1:15" ht="15.9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spans="1:15" ht="15.9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spans="1:15" ht="15.9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spans="1:15" ht="15.9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spans="1:15" ht="15.9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spans="1:15" ht="15.9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spans="1:15" ht="15.9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spans="1:15" ht="15.9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spans="1:15" ht="15.9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spans="1:15" ht="15.9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spans="1:15" ht="15.9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  <row r="113" spans="1:15" ht="15.9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</row>
    <row r="114" spans="1:15" ht="15.9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</row>
    <row r="115" spans="1:15" ht="15.9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</row>
    <row r="116" spans="1:15" ht="15.9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</row>
    <row r="117" spans="1:15" ht="15.9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</row>
    <row r="118" spans="1:15" ht="15.9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</row>
    <row r="119" spans="1:15" ht="15.9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</row>
    <row r="120" spans="1:15" ht="15.9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</row>
    <row r="121" spans="1:15" ht="15.9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</row>
    <row r="122" spans="1:15" ht="15.9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</row>
    <row r="123" spans="1:15" ht="15.9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</row>
    <row r="124" spans="1:15" ht="15.9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</row>
    <row r="125" spans="1:15" ht="15.9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</row>
    <row r="126" spans="1:15" ht="15.9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</row>
    <row r="127" spans="1:15" ht="15.9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</row>
    <row r="128" spans="1:15" ht="15.9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</row>
    <row r="129" spans="1:15" ht="15.9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</row>
    <row r="130" spans="1:15" ht="15.9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</row>
    <row r="131" spans="1:15" ht="15.9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</row>
    <row r="132" spans="1:15" ht="15.9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</row>
    <row r="133" spans="1:15" ht="15.9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</row>
    <row r="134" spans="1:15" ht="15.9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</row>
    <row r="135" spans="1:15" ht="15.9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</row>
    <row r="136" spans="1:15" ht="15.9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</row>
    <row r="137" spans="1:15" ht="15.9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</row>
    <row r="138" spans="1:15" ht="15.9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</row>
    <row r="139" spans="1:15" ht="15.9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</row>
    <row r="140" spans="1:15" ht="15.9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</row>
    <row r="141" spans="1:15" ht="15.9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</row>
    <row r="142" spans="1:15" ht="15.9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</row>
    <row r="143" spans="1:15" ht="15.9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</row>
    <row r="144" spans="1:15" ht="15.9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</row>
    <row r="145" spans="1:15" ht="15.9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</row>
    <row r="146" spans="1:15" ht="15.9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</row>
    <row r="147" spans="1:15" ht="15.9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</row>
    <row r="148" spans="1:15" ht="15.9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</row>
    <row r="149" spans="1:15" ht="15.9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</row>
    <row r="150" spans="1:15" ht="15.9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</row>
    <row r="151" spans="1:15" ht="15.9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</row>
    <row r="152" spans="1:15" ht="15.9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</row>
    <row r="153" spans="1:15" ht="15.9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</row>
    <row r="154" spans="1:15" ht="15.9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</row>
    <row r="155" spans="1:15" ht="15.9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</row>
    <row r="156" spans="1:15" ht="15.9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</row>
    <row r="157" spans="1:15" ht="15.9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</row>
    <row r="158" spans="1:15" ht="15.9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</row>
    <row r="159" spans="1:15" ht="15.9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</row>
    <row r="160" spans="1:15" ht="15.9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</row>
    <row r="161" spans="1:15" ht="15.9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</row>
    <row r="162" spans="1:15" ht="15.9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</row>
    <row r="163" spans="1:15" ht="15.9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</row>
    <row r="164" spans="1:15" ht="15.9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</row>
    <row r="165" spans="1:15" ht="15.9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</row>
    <row r="166" spans="1:15" ht="15.9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</row>
    <row r="167" spans="1:15" ht="15.9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</row>
    <row r="168" spans="1:15" ht="15.9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</row>
    <row r="169" spans="1:15" ht="15.9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</row>
    <row r="170" spans="1:15" ht="15.9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</row>
    <row r="171" spans="1:15" ht="15.9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</row>
    <row r="172" spans="1:15" ht="15.9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</row>
    <row r="173" spans="1:15" ht="15.9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</row>
    <row r="174" spans="1:15" ht="15.9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</row>
    <row r="175" spans="1:15" ht="15.9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</row>
    <row r="176" spans="1:15" ht="15.9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</row>
    <row r="177" spans="1:15" ht="15.9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</row>
    <row r="178" spans="1:15" ht="15.9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</row>
    <row r="179" spans="1:15" ht="15.9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</row>
    <row r="180" spans="1:15" ht="15.9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</row>
    <row r="181" spans="1:15" ht="15.9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</row>
    <row r="182" spans="1:15" ht="15.9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</row>
    <row r="183" spans="1:15" ht="15.9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</row>
    <row r="184" spans="1:15" ht="15.9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</row>
    <row r="185" spans="1:15" ht="15.9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</row>
    <row r="186" spans="1:15" ht="15.9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</row>
    <row r="187" spans="1:15" ht="15.9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</row>
    <row r="188" spans="1:15" ht="15.9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</row>
    <row r="189" spans="1:15" ht="15.9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</row>
    <row r="190" spans="1:15" ht="15.9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</row>
    <row r="191" spans="1:15" ht="15.9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</row>
    <row r="192" spans="1:15" ht="15.9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</row>
    <row r="193" spans="1:15" ht="15.9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</row>
    <row r="194" spans="1:15" ht="15.9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</row>
    <row r="195" spans="1:15" ht="15.9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</row>
    <row r="196" spans="1:15" ht="15.9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</row>
    <row r="197" spans="1:15" ht="15.9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</row>
    <row r="198" spans="1:15" ht="15.9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</row>
    <row r="199" spans="1:15" ht="15.9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</row>
    <row r="200" spans="1:15" ht="15.9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</row>
    <row r="201" spans="1:15" ht="15.9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</row>
    <row r="202" spans="1:15" ht="15.9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</row>
    <row r="203" spans="1:15" ht="15.9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</row>
    <row r="204" spans="1:15" ht="15.9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</row>
    <row r="205" spans="1:15" ht="15.9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</row>
    <row r="206" spans="1:15" ht="15.9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</row>
    <row r="207" spans="1:15" ht="15.9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</row>
    <row r="208" spans="1:15" ht="15.9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</row>
    <row r="209" spans="1:15" ht="15.9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</row>
    <row r="210" spans="1:15" ht="15.9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</row>
    <row r="211" spans="1:15" ht="15.9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</row>
    <row r="212" spans="1:15" ht="15.9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</row>
    <row r="213" spans="1:15" ht="15.9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</row>
    <row r="214" spans="1:15" ht="15.9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</row>
    <row r="215" spans="1:15" ht="15.9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</row>
    <row r="216" spans="1:15" ht="15.9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</row>
    <row r="217" spans="1:15" ht="15.9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</row>
    <row r="218" spans="1:15" ht="15.9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</row>
    <row r="219" spans="1:15" ht="15.9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</row>
    <row r="220" spans="1:15" ht="15.9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</row>
    <row r="221" spans="1:15" ht="15.9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</row>
    <row r="222" spans="1:15" ht="15.9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</row>
    <row r="223" spans="1:15" ht="15.9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</row>
    <row r="224" spans="1:15" ht="15.9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</row>
    <row r="225" spans="1:15" ht="15.9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</row>
    <row r="226" spans="1:15" ht="15.9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</row>
    <row r="227" spans="1:15" ht="15.9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</row>
    <row r="228" spans="1:15" ht="15.9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</row>
    <row r="229" spans="1:15" ht="15.9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</row>
    <row r="230" spans="1:15" ht="15.9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</row>
    <row r="231" spans="1:15" ht="15.9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</row>
    <row r="232" spans="1:15" ht="15.9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</row>
    <row r="233" spans="1:15" ht="15.9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</row>
    <row r="234" spans="1:15" ht="15.9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</row>
    <row r="235" spans="1:15" ht="15.9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</row>
    <row r="236" spans="1:15" ht="15.9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</row>
    <row r="237" spans="1:15" ht="15.9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</row>
    <row r="238" spans="1:15" ht="15.9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</row>
    <row r="239" spans="1:15" ht="15.9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</row>
    <row r="240" spans="1:15" ht="15.9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</row>
    <row r="241" spans="1:15" ht="15.9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</row>
    <row r="242" spans="1:15" ht="15.9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</row>
    <row r="243" spans="1:15" ht="15.9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</row>
    <row r="244" spans="1:15" ht="15.9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</row>
    <row r="245" spans="1:15" ht="15.9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</row>
    <row r="246" spans="1:15" ht="15.9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</row>
    <row r="247" spans="1:15" ht="15.9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</row>
    <row r="248" spans="1:15" ht="15.9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</row>
    <row r="249" spans="1:15" ht="15.9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15.9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</row>
    <row r="251" spans="1:15" ht="15.9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</row>
    <row r="252" spans="1:15" ht="15.9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</row>
    <row r="253" spans="1:15" ht="15.9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</row>
    <row r="254" spans="1:15" ht="15.9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</row>
    <row r="255" spans="1:15" ht="15.9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</row>
    <row r="256" spans="1:15" ht="15.9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</row>
    <row r="257" spans="1:15" ht="15.9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</row>
    <row r="258" spans="1:15" ht="15.9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</row>
    <row r="259" spans="1:15" ht="15.9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</row>
    <row r="260" spans="1:15" ht="15.9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</row>
    <row r="261" spans="1:15" ht="15.9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</row>
    <row r="262" spans="1:15" ht="15.9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</row>
    <row r="263" spans="1:15" ht="15.9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</row>
    <row r="264" spans="1:15" ht="15.9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5.9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5.9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5.9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5.9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5.9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5.9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5.9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5.9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5.9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5.9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5.9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5.9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5.9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5.9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5.9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5.9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5.9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5.9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5.9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5.9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5.9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5.9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5.9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5.9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5.9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5.9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5.9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5.9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5.9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5.9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5.9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5.9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5.9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5.9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5.9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5.9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5.9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5.9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5.9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5.9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5.9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5.9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5.9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5.9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5.9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5.9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5.9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5.9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5.9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5.9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5.9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5.9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5.9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5.9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5.9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5.9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5.9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5.9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5.9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5.9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5.9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5.9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5.9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5.9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5.9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5.9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5.9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5.9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5.9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5.9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5.9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5.9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5.9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5.9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5.9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5.9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5.9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5.9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5.9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5.9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5.9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5.9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5.9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5.9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5.9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5.9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5.9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5.9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5.9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5.9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5.9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5.9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5.9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5.9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5.9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5.9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5.9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5.9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5.9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5.9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5.9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5.9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5.9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5.9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5.9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5.9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5.9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5.9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5.9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5.9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5.9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5.9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5.9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5.9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5.9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5.9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5.9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5.9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5.9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5.9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5.9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5.9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5.9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5.9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5.9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5.9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5.9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5.9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5.9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5.9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5.9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5.9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5.9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5.9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5.9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5.9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5.9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5.9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5.9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5.9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5.9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5.9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5.9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5.9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5.9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5.9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5.9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5.9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5.9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5.9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5.9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5.9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5.9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5.9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5.9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5.9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5.9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5.9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5.9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5.9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5.9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5.9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5.9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5.9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5.9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5.9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5.9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5.9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5.9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5.9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5.9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5.9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5.9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5.9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5.9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5.9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5.9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5.9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5.9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5.9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5.9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5.9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5.9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5.9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5.9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5.9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5.9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5.9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5.9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5.9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5.9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5.9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5.9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5.9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5.9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5.9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5.9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5.9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.9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.9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.9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.9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.9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.9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.9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.9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.9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.9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.9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.9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.9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.9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.9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.9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.9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.9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.9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.9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.9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.9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.9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.9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.9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.9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ht="15.9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ht="15.9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ht="15.9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ht="15.9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15.9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15.9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15.9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15.9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ht="15.9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ht="15.9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ht="15.9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ht="15.9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ht="15.9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ht="15.9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ht="15.9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ht="15.9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ht="15.9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15.9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ht="15.9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ht="15.9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15.9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15.9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5.9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5.9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5.9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5.9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5.9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5.9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5.9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5.9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5.9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5.9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5.9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5.9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5.9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5.9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5.9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5.9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5.9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5.9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5.9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5.9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5.9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5.9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5.9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5.9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5.9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5.9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5.9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5.9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5.9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5.9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5.9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5.9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5.9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5.9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5.9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5.9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5.9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5.9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5.9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5.9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5.9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5.9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5.9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5.9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5.9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5.9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5.9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5.9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5.9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5.9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5.9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5.9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5.9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5.9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5.9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5.9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5.9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5.9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5.9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5.9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5.9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5.9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5.9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5.9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5.9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5.9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5.9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5.9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5.9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5.9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5.9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5.9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5.9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5.9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5.9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5.9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5.9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5.9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5.9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5.9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5.9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5.9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5.9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5.9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5.9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5.9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5.9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5.9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5.9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5.9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5.9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5.9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5.9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5.9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5.9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5.9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5.9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5.9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5.9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5.9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5.9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5.9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5.9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5.9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5.9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5.9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5.9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5.9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5.9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5.9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5.9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5.9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5.9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5.9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5.9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5.9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5.9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5.9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5.9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5.9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5.9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5.9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5.9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5.9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5.9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5.9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5.9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5.9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5.9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5.9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5.9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5.9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5.9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5.9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5.9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5.9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5.9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5.9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5.9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5.9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5.9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5.9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5.9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5.9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5.9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5.9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5.9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5.9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5.9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5.9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5.9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5.9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5.9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5.9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5.9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5.9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5.9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5.9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5.9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5.9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5.9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5.9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5.9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5.9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5.9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5.9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5.9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5.9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5.9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5.9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5.9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5.9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5.9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5.9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5.9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5.9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5.9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5.9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5.9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5.9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5.9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5.9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5.9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5.9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5.9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5.9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5.9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5.9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5.9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5.9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5.9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5.9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5.9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5.9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5.9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5.9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5.9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5.9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5.9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5.9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5.9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5.9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5.9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5.9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5.9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5.9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5.9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5.9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5.9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5.9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5.9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5.9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5.9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5.9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5.9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5.9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5.9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5.9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5.9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5.9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5.9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5.9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5.9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.9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.9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.9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.9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.9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.9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.9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.9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.9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.9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.9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.9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.9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.9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.9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.9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.9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.9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.9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.9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.9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.9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.9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.9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.9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.9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.9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.9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.9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.9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.9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.9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.9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.9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.9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.9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.9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.9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.9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.9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.9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.9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.9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.9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.9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.9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.9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.9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.9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.9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.9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.9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.9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.9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.9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.9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.9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.9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.9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.9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.9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.9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.9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.9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.9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.9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.9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.9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.9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.9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.9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.9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.9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.9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.9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.9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.9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.9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.9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.9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.9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.9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.9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.9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.9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.9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.9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.9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>
    <tabColor theme="7" tint="0.39997558519241921"/>
  </sheetPr>
  <dimension ref="A1:U124"/>
  <sheetViews>
    <sheetView tabSelected="1" topLeftCell="A88" zoomScale="85" zoomScaleNormal="85" workbookViewId="0">
      <selection activeCell="L113" sqref="L113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5.75" x14ac:dyDescent="0.25">
      <c r="A1" s="66" t="s">
        <v>2682</v>
      </c>
      <c r="B1" s="60" t="s">
        <v>2683</v>
      </c>
      <c r="C1" s="60" t="s">
        <v>2684</v>
      </c>
      <c r="D1" s="60" t="s">
        <v>2685</v>
      </c>
      <c r="E1" s="60" t="s">
        <v>2686</v>
      </c>
      <c r="F1" s="60" t="s">
        <v>2687</v>
      </c>
      <c r="G1" s="60" t="s">
        <v>2688</v>
      </c>
      <c r="H1" s="62" t="s">
        <v>2690</v>
      </c>
      <c r="I1" s="63"/>
      <c r="J1" s="64"/>
      <c r="K1" s="62" t="s">
        <v>2694</v>
      </c>
      <c r="L1" s="63"/>
      <c r="M1" s="63"/>
      <c r="N1" s="63"/>
      <c r="O1" s="63"/>
      <c r="P1" s="63"/>
      <c r="Q1" s="64"/>
      <c r="R1" s="60" t="s">
        <v>2689</v>
      </c>
      <c r="S1" s="62" t="s">
        <v>2702</v>
      </c>
      <c r="T1" s="63"/>
      <c r="U1" s="65"/>
    </row>
    <row r="2" spans="1:21" ht="63" x14ac:dyDescent="0.25">
      <c r="A2" s="67"/>
      <c r="B2" s="61"/>
      <c r="C2" s="61"/>
      <c r="D2" s="61"/>
      <c r="E2" s="61"/>
      <c r="F2" s="61"/>
      <c r="G2" s="61"/>
      <c r="H2" s="52" t="s">
        <v>2691</v>
      </c>
      <c r="I2" s="52" t="s">
        <v>2692</v>
      </c>
      <c r="J2" s="52" t="s">
        <v>2693</v>
      </c>
      <c r="K2" s="52" t="s">
        <v>2695</v>
      </c>
      <c r="L2" s="52" t="s">
        <v>2696</v>
      </c>
      <c r="M2" s="52" t="s">
        <v>2697</v>
      </c>
      <c r="N2" s="52" t="s">
        <v>2698</v>
      </c>
      <c r="O2" s="52" t="s">
        <v>2699</v>
      </c>
      <c r="P2" s="52" t="s">
        <v>2700</v>
      </c>
      <c r="Q2" s="52" t="s">
        <v>2701</v>
      </c>
      <c r="R2" s="61"/>
      <c r="S2" s="52" t="s">
        <v>2703</v>
      </c>
      <c r="T2" s="52" t="s">
        <v>2704</v>
      </c>
      <c r="U2" s="53" t="s">
        <v>2705</v>
      </c>
    </row>
    <row r="3" spans="1:21" ht="15.75" x14ac:dyDescent="0.25">
      <c r="A3" s="34" t="s">
        <v>2742</v>
      </c>
      <c r="B3" s="25" t="s">
        <v>2742</v>
      </c>
      <c r="C3" s="25" t="s">
        <v>2778</v>
      </c>
      <c r="D3" s="25" t="s">
        <v>2777</v>
      </c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33"/>
    </row>
    <row r="4" spans="1:21" ht="15.75" x14ac:dyDescent="0.25">
      <c r="A4" s="34" t="str">
        <f t="shared" ref="A4:A12" si="0">A5</f>
        <v>Фм1</v>
      </c>
      <c r="B4" s="25" t="s">
        <v>2742</v>
      </c>
      <c r="C4" s="25" t="s">
        <v>2747</v>
      </c>
      <c r="D4" s="25" t="s">
        <v>2746</v>
      </c>
      <c r="E4" s="25">
        <f>E6*E10+E7*E11+E8*E11+E9*E12</f>
        <v>5.0625</v>
      </c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33"/>
    </row>
    <row r="5" spans="1:21" ht="15.75" x14ac:dyDescent="0.25">
      <c r="A5" s="34" t="str">
        <f t="shared" si="0"/>
        <v>Фм1</v>
      </c>
      <c r="B5" s="25" t="s">
        <v>2742</v>
      </c>
      <c r="C5" s="25"/>
      <c r="D5" s="25" t="s">
        <v>2764</v>
      </c>
      <c r="E5" s="25">
        <f>(3000+2100)*2</f>
        <v>10200</v>
      </c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33"/>
    </row>
    <row r="6" spans="1:21" ht="15.75" x14ac:dyDescent="0.25">
      <c r="A6" s="34" t="str">
        <f t="shared" si="0"/>
        <v>Фм1</v>
      </c>
      <c r="B6" s="25" t="s">
        <v>2742</v>
      </c>
      <c r="C6" s="25" t="str">
        <f>C9</f>
        <v>Фм1</v>
      </c>
      <c r="D6" s="25" t="s">
        <v>2763</v>
      </c>
      <c r="E6" s="25">
        <f>2.1*3</f>
        <v>6.3000000000000007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33"/>
    </row>
    <row r="7" spans="1:21" ht="15.75" x14ac:dyDescent="0.25">
      <c r="A7" s="34" t="str">
        <f t="shared" si="0"/>
        <v>Фм1</v>
      </c>
      <c r="B7" s="25" t="s">
        <v>2742</v>
      </c>
      <c r="C7" s="25" t="str">
        <f>C11</f>
        <v>Фм1</v>
      </c>
      <c r="D7" s="25" t="s">
        <v>2776</v>
      </c>
      <c r="E7" s="25">
        <f>1.5*2.1</f>
        <v>3.1500000000000004</v>
      </c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33"/>
    </row>
    <row r="8" spans="1:21" ht="15.75" x14ac:dyDescent="0.25">
      <c r="A8" s="34" t="str">
        <f t="shared" si="0"/>
        <v>Фм1</v>
      </c>
      <c r="B8" s="25" t="s">
        <v>2742</v>
      </c>
      <c r="C8" s="25" t="str">
        <f>A8</f>
        <v>Фм1</v>
      </c>
      <c r="D8" s="25" t="s">
        <v>2775</v>
      </c>
      <c r="E8" s="25">
        <f>1.5*1.5</f>
        <v>2.25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33"/>
    </row>
    <row r="9" spans="1:21" ht="31.5" x14ac:dyDescent="0.25">
      <c r="A9" s="34" t="str">
        <f t="shared" si="0"/>
        <v>Фм1</v>
      </c>
      <c r="B9" s="25" t="s">
        <v>2742</v>
      </c>
      <c r="C9" s="25" t="str">
        <f>A9</f>
        <v>Фм1</v>
      </c>
      <c r="D9" s="25" t="s">
        <v>2770</v>
      </c>
      <c r="E9" s="25">
        <f>0.9*0.9</f>
        <v>0.81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33"/>
    </row>
    <row r="10" spans="1:21" ht="15.75" x14ac:dyDescent="0.25">
      <c r="A10" s="34" t="str">
        <f t="shared" si="0"/>
        <v>Фм1</v>
      </c>
      <c r="B10" s="25" t="s">
        <v>2742</v>
      </c>
      <c r="C10" s="25" t="str">
        <f>A10</f>
        <v>Фм1</v>
      </c>
      <c r="D10" s="25" t="s">
        <v>2762</v>
      </c>
      <c r="E10" s="25">
        <v>0.45</v>
      </c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33"/>
    </row>
    <row r="11" spans="1:21" ht="15.75" x14ac:dyDescent="0.25">
      <c r="A11" s="34" t="str">
        <f t="shared" si="0"/>
        <v>Фм1</v>
      </c>
      <c r="B11" s="25" t="s">
        <v>2742</v>
      </c>
      <c r="C11" s="25" t="str">
        <f>A11</f>
        <v>Фм1</v>
      </c>
      <c r="D11" s="25" t="s">
        <v>2774</v>
      </c>
      <c r="E11" s="25">
        <v>0.3</v>
      </c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33"/>
    </row>
    <row r="12" spans="1:21" ht="15.75" x14ac:dyDescent="0.25">
      <c r="A12" s="34" t="str">
        <f t="shared" si="0"/>
        <v>Фм1</v>
      </c>
      <c r="B12" s="25" t="s">
        <v>2742</v>
      </c>
      <c r="C12" s="25" t="str">
        <f>A12</f>
        <v>Фм1</v>
      </c>
      <c r="D12" s="25" t="s">
        <v>2769</v>
      </c>
      <c r="E12" s="25">
        <v>0.75</v>
      </c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33"/>
    </row>
    <row r="13" spans="1:21" ht="15.75" x14ac:dyDescent="0.25">
      <c r="A13" s="32" t="str">
        <f>B13</f>
        <v>Фм1</v>
      </c>
      <c r="B13" s="31" t="s">
        <v>2773</v>
      </c>
      <c r="C13" s="31"/>
      <c r="D13" s="31" t="str">
        <f>CONCATENATE("Фундамент ",B13)</f>
        <v>Фундамент Фм1</v>
      </c>
      <c r="E13" s="31">
        <v>14</v>
      </c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0"/>
    </row>
    <row r="14" spans="1:21" ht="15.75" x14ac:dyDescent="0.25">
      <c r="A14" s="51" t="str">
        <f t="shared" ref="A14:A23" si="1">A13</f>
        <v>Фм1</v>
      </c>
      <c r="B14" s="52">
        <v>1</v>
      </c>
      <c r="C14" s="52" t="s">
        <v>2708</v>
      </c>
      <c r="D14" s="52" t="s">
        <v>2772</v>
      </c>
      <c r="E14" s="29">
        <v>4</v>
      </c>
      <c r="F14" s="25">
        <v>1.5780000000000001</v>
      </c>
      <c r="G14" s="52" t="s">
        <v>20</v>
      </c>
      <c r="H14" s="29">
        <f>Арм_ПоПлощади(E6*1000*1000,200,T14)</f>
        <v>36400</v>
      </c>
      <c r="I14" s="52">
        <v>16</v>
      </c>
      <c r="J14" s="52" t="s">
        <v>2</v>
      </c>
      <c r="K14" s="52"/>
      <c r="L14" s="52"/>
      <c r="M14" s="52"/>
      <c r="N14" s="52"/>
      <c r="O14" s="52"/>
      <c r="P14" s="52"/>
      <c r="Q14" s="52"/>
      <c r="R14" s="52"/>
      <c r="S14" s="52">
        <v>665</v>
      </c>
      <c r="T14" s="52">
        <v>795</v>
      </c>
      <c r="U14" s="53">
        <v>40</v>
      </c>
    </row>
    <row r="15" spans="1:21" ht="15.75" x14ac:dyDescent="0.25">
      <c r="A15" s="51" t="str">
        <f t="shared" si="1"/>
        <v>Фм1</v>
      </c>
      <c r="B15" s="52">
        <v>2</v>
      </c>
      <c r="C15" s="52" t="s">
        <v>2708</v>
      </c>
      <c r="D15" s="52" t="s">
        <v>2767</v>
      </c>
      <c r="E15" s="52">
        <v>8</v>
      </c>
      <c r="F15" s="25">
        <v>2.4660000000000002</v>
      </c>
      <c r="G15" s="52"/>
      <c r="H15" s="52">
        <v>1780</v>
      </c>
      <c r="I15" s="52">
        <v>20</v>
      </c>
      <c r="J15" s="52" t="s">
        <v>2</v>
      </c>
      <c r="K15" s="52"/>
      <c r="L15" s="52"/>
      <c r="M15" s="52"/>
      <c r="N15" s="52"/>
      <c r="O15" s="52"/>
      <c r="P15" s="52"/>
      <c r="Q15" s="52"/>
      <c r="R15" s="52"/>
      <c r="S15" s="52">
        <v>830</v>
      </c>
      <c r="T15" s="52">
        <v>995</v>
      </c>
      <c r="U15" s="53">
        <v>80</v>
      </c>
    </row>
    <row r="16" spans="1:21" ht="15.75" x14ac:dyDescent="0.25">
      <c r="A16" s="51" t="str">
        <f t="shared" si="1"/>
        <v>Фм1</v>
      </c>
      <c r="B16" s="52">
        <v>3</v>
      </c>
      <c r="C16" s="52" t="s">
        <v>2708</v>
      </c>
      <c r="D16" s="52" t="s">
        <v>2766</v>
      </c>
      <c r="E16" s="52">
        <v>14</v>
      </c>
      <c r="F16" s="25">
        <v>0.39500000000000002</v>
      </c>
      <c r="G16" s="52" t="s">
        <v>0</v>
      </c>
      <c r="H16" s="52">
        <f>(820+420+80)*2</f>
        <v>2640</v>
      </c>
      <c r="I16" s="52">
        <v>8</v>
      </c>
      <c r="J16" s="52" t="s">
        <v>1</v>
      </c>
      <c r="K16" s="52"/>
      <c r="L16" s="52"/>
      <c r="M16" s="52"/>
      <c r="N16" s="52"/>
      <c r="O16" s="52"/>
      <c r="P16" s="52"/>
      <c r="Q16" s="52"/>
      <c r="R16" s="52"/>
      <c r="S16" s="52">
        <v>200</v>
      </c>
      <c r="T16" s="52">
        <v>250</v>
      </c>
      <c r="U16" s="53">
        <v>10</v>
      </c>
    </row>
    <row r="17" spans="1:21" ht="15.75" x14ac:dyDescent="0.25">
      <c r="A17" s="51" t="str">
        <f t="shared" si="1"/>
        <v>Фм1</v>
      </c>
      <c r="B17" s="52">
        <v>4</v>
      </c>
      <c r="C17" s="52" t="s">
        <v>2708</v>
      </c>
      <c r="D17" s="52" t="s">
        <v>2771</v>
      </c>
      <c r="E17" s="52">
        <v>22</v>
      </c>
      <c r="F17" s="25">
        <v>1.5780000000000001</v>
      </c>
      <c r="G17" s="52" t="s">
        <v>0</v>
      </c>
      <c r="H17" s="52">
        <f>800*2+370</f>
        <v>1970</v>
      </c>
      <c r="I17" s="52">
        <v>16</v>
      </c>
      <c r="J17" s="52" t="s">
        <v>2</v>
      </c>
      <c r="K17" s="52"/>
      <c r="L17" s="52"/>
      <c r="M17" s="52"/>
      <c r="N17" s="52"/>
      <c r="O17" s="52"/>
      <c r="P17" s="52"/>
      <c r="Q17" s="52"/>
      <c r="R17" s="52"/>
      <c r="S17" s="52">
        <v>665</v>
      </c>
      <c r="T17" s="52">
        <v>795</v>
      </c>
      <c r="U17" s="53">
        <v>40</v>
      </c>
    </row>
    <row r="18" spans="1:21" ht="15.75" x14ac:dyDescent="0.25">
      <c r="A18" s="51" t="str">
        <f t="shared" si="1"/>
        <v>Фм1</v>
      </c>
      <c r="B18" s="52">
        <v>5</v>
      </c>
      <c r="C18" s="52" t="s">
        <v>2708</v>
      </c>
      <c r="D18" s="52" t="s">
        <v>2771</v>
      </c>
      <c r="E18" s="52">
        <v>30</v>
      </c>
      <c r="F18" s="25">
        <v>1.5780000000000001</v>
      </c>
      <c r="G18" s="52" t="s">
        <v>0</v>
      </c>
      <c r="H18" s="52">
        <f>800*2+335</f>
        <v>1935</v>
      </c>
      <c r="I18" s="52">
        <v>16</v>
      </c>
      <c r="J18" s="52" t="s">
        <v>2</v>
      </c>
      <c r="K18" s="52"/>
      <c r="L18" s="52"/>
      <c r="M18" s="52"/>
      <c r="N18" s="52"/>
      <c r="O18" s="52"/>
      <c r="P18" s="52"/>
      <c r="Q18" s="52"/>
      <c r="R18" s="52"/>
      <c r="S18" s="52">
        <v>665</v>
      </c>
      <c r="T18" s="52">
        <v>795</v>
      </c>
      <c r="U18" s="53">
        <v>40</v>
      </c>
    </row>
    <row r="19" spans="1:21" ht="15.75" x14ac:dyDescent="0.25">
      <c r="A19" s="51" t="str">
        <f t="shared" si="1"/>
        <v>Фм1</v>
      </c>
      <c r="B19" s="27" t="str">
        <f>Изделия_спец.И!B21</f>
        <v>С1</v>
      </c>
      <c r="C19" s="27" t="str">
        <f>Изделия_спец.И!C21</f>
        <v>данный лист</v>
      </c>
      <c r="D19" s="27" t="str">
        <f>Изделия_спец.И!D21</f>
        <v>Сетка С1</v>
      </c>
      <c r="E19" s="27">
        <v>1</v>
      </c>
      <c r="F19" s="25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3"/>
    </row>
    <row r="20" spans="1:21" ht="15.75" x14ac:dyDescent="0.25">
      <c r="A20" s="51" t="str">
        <f t="shared" si="1"/>
        <v>Фм1</v>
      </c>
      <c r="B20" s="27" t="str">
        <f>Изделия_спец.И!B5</f>
        <v>Кр1</v>
      </c>
      <c r="C20" s="27" t="str">
        <f>Изделия_спец.И!C5</f>
        <v>данный лист</v>
      </c>
      <c r="D20" s="27" t="str">
        <f>Изделия_спец.И!D5</f>
        <v>Каркас Кр1</v>
      </c>
      <c r="E20" s="27">
        <f>ROUNDUP((SQRT(E6)+E6),0)</f>
        <v>9</v>
      </c>
      <c r="F20" s="25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3"/>
    </row>
    <row r="21" spans="1:21" ht="15.75" x14ac:dyDescent="0.25">
      <c r="A21" s="51" t="str">
        <f t="shared" si="1"/>
        <v>Фм1</v>
      </c>
      <c r="B21" s="52"/>
      <c r="C21" s="52" t="s">
        <v>2753</v>
      </c>
      <c r="D21" s="52" t="s">
        <v>2765</v>
      </c>
      <c r="E21" s="52">
        <f>0.61*0.67*0.1</f>
        <v>4.0870000000000004E-2</v>
      </c>
      <c r="F21" s="52"/>
      <c r="G21" s="52" t="s">
        <v>3</v>
      </c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3"/>
    </row>
    <row r="22" spans="1:21" ht="15.75" x14ac:dyDescent="0.25">
      <c r="A22" s="51" t="str">
        <f t="shared" si="1"/>
        <v>Фм1</v>
      </c>
      <c r="B22" s="52"/>
      <c r="C22" s="26" t="s">
        <v>2732</v>
      </c>
      <c r="D22" s="26" t="s">
        <v>2733</v>
      </c>
      <c r="E22" s="26">
        <f>E6*1.2*0.1</f>
        <v>0.75600000000000012</v>
      </c>
      <c r="F22" s="25" t="s">
        <v>4</v>
      </c>
      <c r="G22" s="52" t="s">
        <v>3</v>
      </c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3"/>
    </row>
    <row r="23" spans="1:21" ht="15.75" x14ac:dyDescent="0.25">
      <c r="A23" s="51" t="str">
        <f t="shared" si="1"/>
        <v>Фм1</v>
      </c>
      <c r="B23" s="52"/>
      <c r="C23" s="26" t="s">
        <v>2732</v>
      </c>
      <c r="D23" s="26" t="str">
        <f>D4</f>
        <v>Бетон В25</v>
      </c>
      <c r="E23" s="26">
        <f>E4</f>
        <v>5.0625</v>
      </c>
      <c r="F23" s="25" t="s">
        <v>4</v>
      </c>
      <c r="G23" s="52" t="s">
        <v>3</v>
      </c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3"/>
    </row>
    <row r="24" spans="1:21" ht="15.75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</row>
    <row r="25" spans="1:21" ht="15.75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</row>
    <row r="26" spans="1:21" ht="15.75" x14ac:dyDescent="0.25">
      <c r="A26" s="34" t="str">
        <f t="shared" ref="A26:A31" si="2">A27</f>
        <v>Фм2</v>
      </c>
      <c r="B26" s="25" t="s">
        <v>2742</v>
      </c>
      <c r="C26" s="25" t="s">
        <v>2747</v>
      </c>
      <c r="D26" s="25" t="s">
        <v>2746</v>
      </c>
      <c r="E26" s="25">
        <f>E28*E30+E29*E31</f>
        <v>1.107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33"/>
    </row>
    <row r="27" spans="1:21" ht="15.75" x14ac:dyDescent="0.25">
      <c r="A27" s="34" t="str">
        <f t="shared" si="2"/>
        <v>Фм2</v>
      </c>
      <c r="B27" s="25" t="s">
        <v>2742</v>
      </c>
      <c r="C27" s="25" t="str">
        <f>C28</f>
        <v>Фм2</v>
      </c>
      <c r="D27" s="25" t="s">
        <v>2764</v>
      </c>
      <c r="E27" s="25">
        <f>1500*4</f>
        <v>6000</v>
      </c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33"/>
    </row>
    <row r="28" spans="1:21" ht="15.75" x14ac:dyDescent="0.25">
      <c r="A28" s="34" t="str">
        <f t="shared" si="2"/>
        <v>Фм2</v>
      </c>
      <c r="B28" s="25" t="s">
        <v>2742</v>
      </c>
      <c r="C28" s="25" t="str">
        <f>C29</f>
        <v>Фм2</v>
      </c>
      <c r="D28" s="25" t="s">
        <v>2763</v>
      </c>
      <c r="E28" s="25">
        <f>1.5*1.5</f>
        <v>2.25</v>
      </c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33"/>
    </row>
    <row r="29" spans="1:21" ht="31.5" x14ac:dyDescent="0.25">
      <c r="A29" s="34" t="str">
        <f t="shared" si="2"/>
        <v>Фм2</v>
      </c>
      <c r="B29" s="25" t="s">
        <v>2742</v>
      </c>
      <c r="C29" s="25" t="str">
        <f>A29</f>
        <v>Фм2</v>
      </c>
      <c r="D29" s="25" t="s">
        <v>2770</v>
      </c>
      <c r="E29" s="25">
        <f>0.6*0.6</f>
        <v>0.36</v>
      </c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33"/>
    </row>
    <row r="30" spans="1:21" ht="15.75" x14ac:dyDescent="0.25">
      <c r="A30" s="34" t="str">
        <f t="shared" si="2"/>
        <v>Фм2</v>
      </c>
      <c r="B30" s="25" t="s">
        <v>2742</v>
      </c>
      <c r="C30" s="25" t="str">
        <f>A30</f>
        <v>Фм2</v>
      </c>
      <c r="D30" s="25" t="s">
        <v>2762</v>
      </c>
      <c r="E30" s="25">
        <v>0.3</v>
      </c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33"/>
    </row>
    <row r="31" spans="1:21" ht="15.75" x14ac:dyDescent="0.25">
      <c r="A31" s="34" t="str">
        <f t="shared" si="2"/>
        <v>Фм2</v>
      </c>
      <c r="B31" s="25" t="s">
        <v>2742</v>
      </c>
      <c r="C31" s="25" t="str">
        <f>A31</f>
        <v>Фм2</v>
      </c>
      <c r="D31" s="25" t="s">
        <v>2769</v>
      </c>
      <c r="E31" s="25">
        <v>1.2</v>
      </c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33"/>
    </row>
    <row r="32" spans="1:21" ht="15.75" x14ac:dyDescent="0.25">
      <c r="A32" s="32" t="str">
        <f>B32</f>
        <v>Фм2</v>
      </c>
      <c r="B32" s="31" t="s">
        <v>2768</v>
      </c>
      <c r="C32" s="31"/>
      <c r="D32" s="31" t="str">
        <f>CONCATENATE("Фундамент ",B32)</f>
        <v>Фундамент Фм2</v>
      </c>
      <c r="E32" s="31">
        <v>2</v>
      </c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0"/>
    </row>
    <row r="33" spans="1:21" ht="15.75" x14ac:dyDescent="0.25">
      <c r="A33" s="51" t="str">
        <f t="shared" ref="A33:A39" si="3">A32</f>
        <v>Фм2</v>
      </c>
      <c r="B33" s="52">
        <v>6</v>
      </c>
      <c r="C33" s="52" t="s">
        <v>2708</v>
      </c>
      <c r="D33" s="52" t="s">
        <v>2767</v>
      </c>
      <c r="E33" s="52">
        <v>8</v>
      </c>
      <c r="F33" s="25">
        <v>1.5780000000000001</v>
      </c>
      <c r="G33" s="52" t="s">
        <v>0</v>
      </c>
      <c r="H33" s="52">
        <f>1410+450</f>
        <v>1860</v>
      </c>
      <c r="I33" s="52">
        <v>16</v>
      </c>
      <c r="J33" s="52" t="s">
        <v>2</v>
      </c>
      <c r="K33" s="52"/>
      <c r="L33" s="52"/>
      <c r="M33" s="52"/>
      <c r="N33" s="52"/>
      <c r="O33" s="52"/>
      <c r="P33" s="52"/>
      <c r="Q33" s="52"/>
      <c r="R33" s="52"/>
      <c r="S33" s="52">
        <v>665</v>
      </c>
      <c r="T33" s="52">
        <v>795</v>
      </c>
      <c r="U33" s="53">
        <v>40</v>
      </c>
    </row>
    <row r="34" spans="1:21" ht="15.75" x14ac:dyDescent="0.25">
      <c r="A34" s="51" t="str">
        <f t="shared" si="3"/>
        <v>Фм2</v>
      </c>
      <c r="B34" s="52">
        <v>7</v>
      </c>
      <c r="C34" s="52" t="s">
        <v>2708</v>
      </c>
      <c r="D34" s="52" t="s">
        <v>2766</v>
      </c>
      <c r="E34" s="52">
        <v>14</v>
      </c>
      <c r="F34" s="25">
        <v>0.39500000000000002</v>
      </c>
      <c r="G34" s="52" t="s">
        <v>0</v>
      </c>
      <c r="H34" s="52">
        <f>(515+265+80)*2</f>
        <v>1720</v>
      </c>
      <c r="I34" s="52">
        <v>8</v>
      </c>
      <c r="J34" s="52" t="s">
        <v>1</v>
      </c>
      <c r="K34" s="52"/>
      <c r="L34" s="52"/>
      <c r="M34" s="52"/>
      <c r="N34" s="52"/>
      <c r="O34" s="52"/>
      <c r="P34" s="52"/>
      <c r="Q34" s="52"/>
      <c r="R34" s="52"/>
      <c r="S34" s="52">
        <v>200</v>
      </c>
      <c r="T34" s="52">
        <v>250</v>
      </c>
      <c r="U34" s="53">
        <v>10</v>
      </c>
    </row>
    <row r="35" spans="1:21" ht="15.75" x14ac:dyDescent="0.25">
      <c r="A35" s="51" t="str">
        <f t="shared" si="3"/>
        <v>Фм2</v>
      </c>
      <c r="B35" s="52">
        <v>8</v>
      </c>
      <c r="C35" s="52" t="s">
        <v>2708</v>
      </c>
      <c r="D35" s="52" t="s">
        <v>2766</v>
      </c>
      <c r="E35" s="52">
        <v>16</v>
      </c>
      <c r="F35" s="25">
        <v>0.88800000000000001</v>
      </c>
      <c r="G35" s="52" t="s">
        <v>0</v>
      </c>
      <c r="H35" s="52">
        <v>1900</v>
      </c>
      <c r="I35" s="52">
        <v>12</v>
      </c>
      <c r="J35" s="52" t="s">
        <v>2</v>
      </c>
      <c r="K35" s="52"/>
      <c r="L35" s="52"/>
      <c r="M35" s="52"/>
      <c r="N35" s="52"/>
      <c r="O35" s="52"/>
      <c r="P35" s="52"/>
      <c r="Q35" s="52"/>
      <c r="R35" s="52"/>
      <c r="S35" s="52">
        <v>500</v>
      </c>
      <c r="T35" s="52">
        <v>600</v>
      </c>
      <c r="U35" s="53">
        <v>30</v>
      </c>
    </row>
    <row r="36" spans="1:21" ht="15.75" x14ac:dyDescent="0.25">
      <c r="A36" s="51" t="str">
        <f t="shared" si="3"/>
        <v>Фм2</v>
      </c>
      <c r="B36" s="27" t="str">
        <f>Изделия_спец.И!B26</f>
        <v>С2</v>
      </c>
      <c r="C36" s="27" t="str">
        <f>Изделия_спец.И!C26</f>
        <v>данный лист111</v>
      </c>
      <c r="D36" s="27" t="str">
        <f>Изделия_спец.И!D26</f>
        <v>Сетка С2</v>
      </c>
      <c r="E36" s="27">
        <v>1</v>
      </c>
      <c r="F36" s="25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3"/>
    </row>
    <row r="37" spans="1:21" ht="15.75" x14ac:dyDescent="0.25">
      <c r="A37" s="51" t="str">
        <f t="shared" si="3"/>
        <v>Фм2</v>
      </c>
      <c r="B37" s="52"/>
      <c r="C37" s="52" t="s">
        <v>2753</v>
      </c>
      <c r="D37" s="52" t="s">
        <v>2765</v>
      </c>
      <c r="E37" s="52">
        <f>0.485*0.4*0.1</f>
        <v>1.9400000000000001E-2</v>
      </c>
      <c r="F37" s="52"/>
      <c r="G37" s="52" t="s">
        <v>3</v>
      </c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3"/>
    </row>
    <row r="38" spans="1:21" ht="15.75" x14ac:dyDescent="0.25">
      <c r="A38" s="51" t="str">
        <f t="shared" si="3"/>
        <v>Фм2</v>
      </c>
      <c r="B38" s="52"/>
      <c r="C38" s="26" t="s">
        <v>2732</v>
      </c>
      <c r="D38" s="26" t="s">
        <v>2733</v>
      </c>
      <c r="E38" s="26">
        <f>E28*1.2*0.1</f>
        <v>0.26999999999999996</v>
      </c>
      <c r="F38" s="25" t="s">
        <v>4</v>
      </c>
      <c r="G38" s="52" t="s">
        <v>3</v>
      </c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3"/>
    </row>
    <row r="39" spans="1:21" ht="15.75" x14ac:dyDescent="0.25">
      <c r="A39" s="51" t="str">
        <f t="shared" si="3"/>
        <v>Фм2</v>
      </c>
      <c r="B39" s="52"/>
      <c r="C39" s="26" t="s">
        <v>2732</v>
      </c>
      <c r="D39" s="26" t="str">
        <f>D26</f>
        <v>Бетон В25</v>
      </c>
      <c r="E39" s="26">
        <f>E26</f>
        <v>1.107</v>
      </c>
      <c r="F39" s="25" t="s">
        <v>4</v>
      </c>
      <c r="G39" s="52" t="s">
        <v>3</v>
      </c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3"/>
    </row>
    <row r="40" spans="1:21" ht="15.75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</row>
    <row r="41" spans="1:21" ht="15.75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</row>
    <row r="42" spans="1:21" ht="15.75" x14ac:dyDescent="0.25">
      <c r="A42" s="34" t="str">
        <f>A43</f>
        <v>Фм3</v>
      </c>
      <c r="B42" s="25" t="s">
        <v>2742</v>
      </c>
      <c r="C42" s="25" t="s">
        <v>2747</v>
      </c>
      <c r="D42" s="25" t="s">
        <v>2746</v>
      </c>
      <c r="E42" s="25">
        <f>E44*E45</f>
        <v>3.9559999999999995</v>
      </c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33"/>
    </row>
    <row r="43" spans="1:21" ht="15.75" x14ac:dyDescent="0.25">
      <c r="A43" s="34" t="str">
        <f>A44</f>
        <v>Фм3</v>
      </c>
      <c r="B43" s="25" t="s">
        <v>2742</v>
      </c>
      <c r="C43" s="25" t="str">
        <f>A43</f>
        <v>Фм3</v>
      </c>
      <c r="D43" s="25" t="s">
        <v>2764</v>
      </c>
      <c r="E43" s="25">
        <f>(4300+2300)*2</f>
        <v>13200</v>
      </c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33"/>
    </row>
    <row r="44" spans="1:21" ht="15.75" x14ac:dyDescent="0.25">
      <c r="A44" s="34" t="str">
        <f>A45</f>
        <v>Фм3</v>
      </c>
      <c r="B44" s="25" t="s">
        <v>2742</v>
      </c>
      <c r="C44" s="25" t="str">
        <f>A44</f>
        <v>Фм3</v>
      </c>
      <c r="D44" s="25" t="s">
        <v>2763</v>
      </c>
      <c r="E44" s="25">
        <f>4.3*2.3</f>
        <v>9.8899999999999988</v>
      </c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33"/>
    </row>
    <row r="45" spans="1:21" ht="15.75" x14ac:dyDescent="0.25">
      <c r="A45" s="34" t="str">
        <f>A46</f>
        <v>Фм3</v>
      </c>
      <c r="B45" s="25" t="s">
        <v>2742</v>
      </c>
      <c r="C45" s="25" t="str">
        <f>A45</f>
        <v>Фм3</v>
      </c>
      <c r="D45" s="25" t="s">
        <v>2762</v>
      </c>
      <c r="E45" s="25">
        <v>0.4</v>
      </c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33"/>
    </row>
    <row r="46" spans="1:21" ht="15.75" x14ac:dyDescent="0.25">
      <c r="A46" s="32" t="str">
        <f>B46</f>
        <v>Фм3</v>
      </c>
      <c r="B46" s="31" t="s">
        <v>2761</v>
      </c>
      <c r="C46" s="31"/>
      <c r="D46" s="31" t="str">
        <f>CONCATENATE("Фундамент ",B46)</f>
        <v>Фундамент Фм3</v>
      </c>
      <c r="E46" s="31">
        <v>4</v>
      </c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0"/>
    </row>
    <row r="47" spans="1:21" ht="15.75" x14ac:dyDescent="0.25">
      <c r="A47" s="51" t="str">
        <f t="shared" ref="A47:A52" si="4">A46</f>
        <v>Фм3</v>
      </c>
      <c r="B47" s="52">
        <v>9</v>
      </c>
      <c r="C47" s="52" t="s">
        <v>2708</v>
      </c>
      <c r="D47" s="52" t="s">
        <v>2739</v>
      </c>
      <c r="E47" s="29">
        <v>4</v>
      </c>
      <c r="F47" s="25">
        <v>0.88800000000000001</v>
      </c>
      <c r="G47" s="52" t="s">
        <v>20</v>
      </c>
      <c r="H47" s="29">
        <f>Арм_ПоПлощади(E44*1000*1000,200,T47)</f>
        <v>55600</v>
      </c>
      <c r="I47" s="52">
        <v>12</v>
      </c>
      <c r="J47" s="52" t="s">
        <v>2</v>
      </c>
      <c r="K47" s="52"/>
      <c r="L47" s="52"/>
      <c r="M47" s="52"/>
      <c r="N47" s="52"/>
      <c r="O47" s="52"/>
      <c r="P47" s="52"/>
      <c r="Q47" s="52"/>
      <c r="R47" s="52"/>
      <c r="S47" s="52">
        <v>500</v>
      </c>
      <c r="T47" s="52">
        <v>600</v>
      </c>
      <c r="U47" s="53">
        <v>30</v>
      </c>
    </row>
    <row r="48" spans="1:21" ht="15.75" x14ac:dyDescent="0.25">
      <c r="A48" s="51" t="str">
        <f t="shared" si="4"/>
        <v>Фм3</v>
      </c>
      <c r="B48" s="52">
        <v>10</v>
      </c>
      <c r="C48" s="52" t="s">
        <v>2708</v>
      </c>
      <c r="D48" s="52" t="s">
        <v>2756</v>
      </c>
      <c r="E48" s="52">
        <v>24</v>
      </c>
      <c r="F48" s="25">
        <v>0.88800000000000001</v>
      </c>
      <c r="G48" s="52" t="s">
        <v>0</v>
      </c>
      <c r="H48" s="52">
        <v>1520</v>
      </c>
      <c r="I48" s="52">
        <v>12</v>
      </c>
      <c r="J48" s="52" t="s">
        <v>2</v>
      </c>
      <c r="K48" s="52"/>
      <c r="L48" s="52"/>
      <c r="M48" s="52"/>
      <c r="N48" s="52"/>
      <c r="O48" s="52"/>
      <c r="P48" s="52"/>
      <c r="Q48" s="52"/>
      <c r="R48" s="52"/>
      <c r="S48" s="52">
        <v>500</v>
      </c>
      <c r="T48" s="52">
        <v>600</v>
      </c>
      <c r="U48" s="53">
        <v>30</v>
      </c>
    </row>
    <row r="49" spans="1:21" ht="15.75" x14ac:dyDescent="0.25">
      <c r="A49" s="51" t="str">
        <f t="shared" si="4"/>
        <v>Фм3</v>
      </c>
      <c r="B49" s="52">
        <v>11</v>
      </c>
      <c r="C49" s="52" t="s">
        <v>2708</v>
      </c>
      <c r="D49" s="52" t="s">
        <v>2755</v>
      </c>
      <c r="E49" s="52">
        <v>44</v>
      </c>
      <c r="F49" s="25">
        <v>0.88800000000000001</v>
      </c>
      <c r="G49" s="52" t="s">
        <v>0</v>
      </c>
      <c r="H49" s="52">
        <v>1495</v>
      </c>
      <c r="I49" s="52">
        <v>12</v>
      </c>
      <c r="J49" s="52" t="s">
        <v>2</v>
      </c>
      <c r="K49" s="52"/>
      <c r="L49" s="52"/>
      <c r="M49" s="52"/>
      <c r="N49" s="52"/>
      <c r="O49" s="52"/>
      <c r="P49" s="52"/>
      <c r="Q49" s="52"/>
      <c r="R49" s="52"/>
      <c r="S49" s="52">
        <v>500</v>
      </c>
      <c r="T49" s="52">
        <v>600</v>
      </c>
      <c r="U49" s="53">
        <v>30</v>
      </c>
    </row>
    <row r="50" spans="1:21" ht="15.75" x14ac:dyDescent="0.25">
      <c r="A50" s="51" t="str">
        <f t="shared" si="4"/>
        <v>Фм3</v>
      </c>
      <c r="B50" s="27" t="str">
        <f>Изделия_спец.И!B15</f>
        <v>Кр3</v>
      </c>
      <c r="C50" s="27" t="str">
        <f>Изделия_спец.И!C15</f>
        <v>данный лист</v>
      </c>
      <c r="D50" s="27" t="str">
        <f>Изделия_спец.И!D15</f>
        <v>Каркас Кр3</v>
      </c>
      <c r="E50" s="27">
        <f>ROUNDUP((SQRT(E44)+E44),0)</f>
        <v>14</v>
      </c>
      <c r="F50" s="25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ht="15.75" x14ac:dyDescent="0.25">
      <c r="A51" s="51" t="str">
        <f t="shared" si="4"/>
        <v>Фм3</v>
      </c>
      <c r="B51" s="52"/>
      <c r="C51" s="26" t="s">
        <v>2732</v>
      </c>
      <c r="D51" s="26" t="s">
        <v>2733</v>
      </c>
      <c r="E51" s="26">
        <f>E44*1.2*0.1</f>
        <v>1.1867999999999999</v>
      </c>
      <c r="F51" s="25" t="s">
        <v>4</v>
      </c>
      <c r="G51" s="52" t="s">
        <v>3</v>
      </c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ht="15.75" x14ac:dyDescent="0.25">
      <c r="A52" s="51" t="str">
        <f t="shared" si="4"/>
        <v>Фм3</v>
      </c>
      <c r="B52" s="52"/>
      <c r="C52" s="26" t="s">
        <v>2732</v>
      </c>
      <c r="D52" s="26" t="str">
        <f>D42</f>
        <v>Бетон В25</v>
      </c>
      <c r="E52" s="26">
        <f>E42</f>
        <v>3.9559999999999995</v>
      </c>
      <c r="F52" s="25" t="s">
        <v>4</v>
      </c>
      <c r="G52" s="52" t="s">
        <v>3</v>
      </c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x14ac:dyDescent="0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</row>
    <row r="54" spans="1:21" ht="15.75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</row>
    <row r="55" spans="1:21" ht="15.75" x14ac:dyDescent="0.25">
      <c r="A55" s="34" t="str">
        <f>A56</f>
        <v>Цм</v>
      </c>
      <c r="B55" s="25" t="s">
        <v>2742</v>
      </c>
      <c r="C55" s="25" t="s">
        <v>2747</v>
      </c>
      <c r="D55" s="25" t="s">
        <v>2746</v>
      </c>
      <c r="E55" s="25">
        <f>E56*E57*E58/1000000000</f>
        <v>18.576000000000001</v>
      </c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33"/>
    </row>
    <row r="56" spans="1:21" ht="15.75" x14ac:dyDescent="0.25">
      <c r="A56" s="34" t="str">
        <f>A57</f>
        <v>Цм</v>
      </c>
      <c r="B56" s="25" t="s">
        <v>2742</v>
      </c>
      <c r="C56" s="25" t="str">
        <f>A56</f>
        <v>Цм</v>
      </c>
      <c r="D56" s="25" t="s">
        <v>2691</v>
      </c>
      <c r="E56" s="25">
        <v>103200</v>
      </c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33"/>
    </row>
    <row r="57" spans="1:21" ht="15.75" x14ac:dyDescent="0.25">
      <c r="A57" s="34" t="str">
        <f>A58</f>
        <v>Цм</v>
      </c>
      <c r="B57" s="25" t="s">
        <v>2742</v>
      </c>
      <c r="C57" s="25" t="str">
        <f>A57</f>
        <v>Цм</v>
      </c>
      <c r="D57" s="25" t="s">
        <v>2745</v>
      </c>
      <c r="E57" s="25">
        <v>150</v>
      </c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33"/>
    </row>
    <row r="58" spans="1:21" ht="15.75" x14ac:dyDescent="0.25">
      <c r="A58" s="34" t="str">
        <f>A59</f>
        <v>Цм</v>
      </c>
      <c r="B58" s="25" t="s">
        <v>2742</v>
      </c>
      <c r="C58" s="25" t="str">
        <f>A58</f>
        <v>Цм</v>
      </c>
      <c r="D58" s="25" t="s">
        <v>2758</v>
      </c>
      <c r="E58" s="25">
        <v>1200</v>
      </c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33"/>
    </row>
    <row r="59" spans="1:21" ht="15.75" x14ac:dyDescent="0.25">
      <c r="A59" s="32" t="str">
        <f>B59</f>
        <v>Цм</v>
      </c>
      <c r="B59" s="31" t="s">
        <v>2760</v>
      </c>
      <c r="C59" s="31"/>
      <c r="D59" s="31" t="str">
        <f>CONCATENATE("Цоколь ",B59)</f>
        <v>Цоколь Цм</v>
      </c>
      <c r="E59" s="31">
        <v>1</v>
      </c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0"/>
    </row>
    <row r="60" spans="1:21" ht="15.75" x14ac:dyDescent="0.25">
      <c r="A60" s="51" t="str">
        <f>A59</f>
        <v>Цм</v>
      </c>
      <c r="B60" s="27" t="str">
        <f>Изделия_спец.И!B31</f>
        <v>С3</v>
      </c>
      <c r="C60" s="27" t="str">
        <f>Изделия_спец.И!C31</f>
        <v>данный лист</v>
      </c>
      <c r="D60" s="27" t="str">
        <f>Изделия_спец.И!D31</f>
        <v>Сетка С3</v>
      </c>
      <c r="E60" s="27">
        <f>ROUNDUP(E56/1000,0)</f>
        <v>104</v>
      </c>
      <c r="F60" s="25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3"/>
    </row>
    <row r="61" spans="1:21" ht="15.75" x14ac:dyDescent="0.25">
      <c r="A61" s="51" t="str">
        <f>A60</f>
        <v>Цм</v>
      </c>
      <c r="B61" s="52"/>
      <c r="C61" s="26" t="s">
        <v>2732</v>
      </c>
      <c r="D61" s="26" t="s">
        <v>2733</v>
      </c>
      <c r="E61" s="26">
        <f>(E57+200)*E56*0.1/1000000</f>
        <v>3.6120000000000001</v>
      </c>
      <c r="F61" s="25" t="s">
        <v>4</v>
      </c>
      <c r="G61" s="52" t="s">
        <v>3</v>
      </c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3"/>
    </row>
    <row r="62" spans="1:21" ht="15.75" x14ac:dyDescent="0.25">
      <c r="A62" s="51" t="str">
        <f>A61</f>
        <v>Цм</v>
      </c>
      <c r="B62" s="52"/>
      <c r="C62" s="26" t="s">
        <v>2732</v>
      </c>
      <c r="D62" s="26" t="str">
        <f>D55</f>
        <v>Бетон В25</v>
      </c>
      <c r="E62" s="26">
        <f>E55</f>
        <v>18.576000000000001</v>
      </c>
      <c r="F62" s="25" t="s">
        <v>4</v>
      </c>
      <c r="G62" s="52" t="s">
        <v>3</v>
      </c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3"/>
    </row>
    <row r="63" spans="1:21" ht="15.75" x14ac:dyDescent="0.25">
      <c r="A63" s="51" t="str">
        <f>A62</f>
        <v>Цм</v>
      </c>
      <c r="B63" s="52"/>
      <c r="C63" s="26" t="s">
        <v>2732</v>
      </c>
      <c r="D63" s="26" t="s">
        <v>2759</v>
      </c>
      <c r="E63" s="26">
        <f>0.3*0.4*1.35*32</f>
        <v>5.1840000000000002</v>
      </c>
      <c r="F63" s="25" t="s">
        <v>4</v>
      </c>
      <c r="G63" s="52" t="s">
        <v>3</v>
      </c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3"/>
    </row>
    <row r="64" spans="1:21" ht="15.75" x14ac:dyDescent="0.2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</row>
    <row r="65" spans="1:21" ht="15.75" x14ac:dyDescent="0.2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</row>
    <row r="66" spans="1:21" ht="15.75" x14ac:dyDescent="0.25">
      <c r="A66" s="34" t="str">
        <f>A67</f>
        <v>Опм1</v>
      </c>
      <c r="B66" s="25" t="s">
        <v>2742</v>
      </c>
      <c r="C66" s="25" t="s">
        <v>2747</v>
      </c>
      <c r="D66" s="25" t="s">
        <v>2746</v>
      </c>
      <c r="E66" s="25">
        <f>E67*E68*E69/1000000000</f>
        <v>0.22439999999999999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33"/>
    </row>
    <row r="67" spans="1:21" ht="15.75" x14ac:dyDescent="0.25">
      <c r="A67" s="34" t="str">
        <f>A68</f>
        <v>Опм1</v>
      </c>
      <c r="B67" s="25" t="s">
        <v>2742</v>
      </c>
      <c r="C67" s="25" t="str">
        <f>A67</f>
        <v>Опм1</v>
      </c>
      <c r="D67" s="25" t="s">
        <v>2691</v>
      </c>
      <c r="E67" s="25">
        <v>1100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33"/>
    </row>
    <row r="68" spans="1:21" ht="15.75" x14ac:dyDescent="0.25">
      <c r="A68" s="34" t="str">
        <f>A69</f>
        <v>Опм1</v>
      </c>
      <c r="B68" s="25" t="s">
        <v>2742</v>
      </c>
      <c r="C68" s="25" t="str">
        <f>A68</f>
        <v>Опм1</v>
      </c>
      <c r="D68" s="25" t="s">
        <v>2745</v>
      </c>
      <c r="E68" s="25">
        <v>600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33"/>
    </row>
    <row r="69" spans="1:21" ht="15.75" x14ac:dyDescent="0.25">
      <c r="A69" s="34" t="str">
        <f>A70</f>
        <v>Опм1</v>
      </c>
      <c r="B69" s="25" t="s">
        <v>2742</v>
      </c>
      <c r="C69" s="25" t="str">
        <f>A69</f>
        <v>Опм1</v>
      </c>
      <c r="D69" s="25" t="s">
        <v>2758</v>
      </c>
      <c r="E69" s="25">
        <v>340</v>
      </c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33"/>
    </row>
    <row r="70" spans="1:21" ht="15.75" x14ac:dyDescent="0.25">
      <c r="A70" s="32" t="str">
        <f>B70</f>
        <v>Опм1</v>
      </c>
      <c r="B70" s="31" t="s">
        <v>2757</v>
      </c>
      <c r="C70" s="31"/>
      <c r="D70" s="31" t="str">
        <f>CONCATENATE("Фундамент ",B70)</f>
        <v>Фундамент Опм1</v>
      </c>
      <c r="E70" s="31">
        <v>11</v>
      </c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0"/>
    </row>
    <row r="71" spans="1:21" ht="15.75" x14ac:dyDescent="0.25">
      <c r="A71" s="51" t="str">
        <f>A70</f>
        <v>Опм1</v>
      </c>
      <c r="B71" s="52"/>
      <c r="C71" s="26" t="s">
        <v>2732</v>
      </c>
      <c r="D71" s="26" t="str">
        <f>D66</f>
        <v>Бетон В25</v>
      </c>
      <c r="E71" s="26">
        <f>E66</f>
        <v>0.22439999999999999</v>
      </c>
      <c r="F71" s="25" t="s">
        <v>4</v>
      </c>
      <c r="G71" s="52" t="s">
        <v>3</v>
      </c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3"/>
    </row>
    <row r="72" spans="1:21" ht="15.75" x14ac:dyDescent="0.2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</row>
    <row r="73" spans="1:21" ht="15.75" x14ac:dyDescent="0.2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</row>
    <row r="74" spans="1:21" ht="15.75" x14ac:dyDescent="0.25">
      <c r="A74" s="34" t="str">
        <f>A75</f>
        <v>ПФм1</v>
      </c>
      <c r="B74" s="25" t="s">
        <v>2742</v>
      </c>
      <c r="C74" s="25" t="s">
        <v>2747</v>
      </c>
      <c r="D74" s="25" t="s">
        <v>2746</v>
      </c>
      <c r="E74" s="25">
        <f>E77*E78</f>
        <v>162</v>
      </c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33"/>
    </row>
    <row r="75" spans="1:21" ht="15.75" x14ac:dyDescent="0.25">
      <c r="A75" s="34" t="str">
        <f>A76</f>
        <v>ПФм1</v>
      </c>
      <c r="B75" s="25" t="s">
        <v>2742</v>
      </c>
      <c r="C75" s="25" t="str">
        <f>A75</f>
        <v>ПФм1</v>
      </c>
      <c r="D75" s="25" t="s">
        <v>2691</v>
      </c>
      <c r="E75" s="25">
        <v>36000</v>
      </c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33"/>
    </row>
    <row r="76" spans="1:21" ht="15.75" x14ac:dyDescent="0.25">
      <c r="A76" s="34" t="str">
        <f>A77</f>
        <v>ПФм1</v>
      </c>
      <c r="B76" s="25" t="s">
        <v>2742</v>
      </c>
      <c r="C76" s="25" t="str">
        <f>A76</f>
        <v>ПФм1</v>
      </c>
      <c r="D76" s="25" t="s">
        <v>2745</v>
      </c>
      <c r="E76" s="25">
        <v>15000</v>
      </c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33"/>
    </row>
    <row r="77" spans="1:21" ht="15.75" x14ac:dyDescent="0.25">
      <c r="A77" s="34" t="str">
        <f>A78</f>
        <v>ПФм1</v>
      </c>
      <c r="B77" s="25" t="s">
        <v>2742</v>
      </c>
      <c r="C77" s="25" t="str">
        <f>A77</f>
        <v>ПФм1</v>
      </c>
      <c r="D77" s="25" t="s">
        <v>2744</v>
      </c>
      <c r="E77" s="25">
        <f>E75*E76/1000000</f>
        <v>540</v>
      </c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33"/>
    </row>
    <row r="78" spans="1:21" ht="15.75" x14ac:dyDescent="0.25">
      <c r="A78" s="34" t="str">
        <f>A79</f>
        <v>ПФм1</v>
      </c>
      <c r="B78" s="25" t="s">
        <v>2742</v>
      </c>
      <c r="C78" s="25" t="str">
        <f>A78</f>
        <v>ПФм1</v>
      </c>
      <c r="D78" s="25" t="s">
        <v>2743</v>
      </c>
      <c r="E78" s="25">
        <v>0.3</v>
      </c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33"/>
    </row>
    <row r="79" spans="1:21" ht="15.75" x14ac:dyDescent="0.25">
      <c r="A79" s="32" t="str">
        <f>B79</f>
        <v>ПФм1</v>
      </c>
      <c r="B79" s="31" t="s">
        <v>2392</v>
      </c>
      <c r="C79" s="31"/>
      <c r="D79" s="31" t="str">
        <f>CONCATENATE("Плита ",B79)</f>
        <v>Плита ПФм1</v>
      </c>
      <c r="E79" s="31">
        <v>1</v>
      </c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0"/>
    </row>
    <row r="80" spans="1:21" ht="15.75" x14ac:dyDescent="0.25">
      <c r="A80" s="51" t="str">
        <f t="shared" ref="A80:A89" si="5">A79</f>
        <v>ПФм1</v>
      </c>
      <c r="B80" s="52">
        <v>9</v>
      </c>
      <c r="C80" s="52" t="s">
        <v>2708</v>
      </c>
      <c r="D80" s="52" t="s">
        <v>2739</v>
      </c>
      <c r="E80" s="29">
        <v>4</v>
      </c>
      <c r="F80" s="25">
        <v>0.88800000000000001</v>
      </c>
      <c r="G80" s="52" t="s">
        <v>20</v>
      </c>
      <c r="H80" s="29">
        <f>Арм_ПоПлощади(E77*1000*1000,200,T80)</f>
        <v>2863040</v>
      </c>
      <c r="I80" s="52">
        <v>12</v>
      </c>
      <c r="J80" s="52" t="s">
        <v>2</v>
      </c>
      <c r="K80" s="52"/>
      <c r="L80" s="52"/>
      <c r="M80" s="52"/>
      <c r="N80" s="52"/>
      <c r="O80" s="52"/>
      <c r="P80" s="52"/>
      <c r="Q80" s="52"/>
      <c r="R80" s="52"/>
      <c r="S80" s="52">
        <v>500</v>
      </c>
      <c r="T80" s="52">
        <v>600</v>
      </c>
      <c r="U80" s="53">
        <v>30</v>
      </c>
    </row>
    <row r="81" spans="1:21" ht="15.75" x14ac:dyDescent="0.25">
      <c r="A81" s="51" t="str">
        <f t="shared" si="5"/>
        <v>ПФм1</v>
      </c>
      <c r="B81" s="52">
        <v>12</v>
      </c>
      <c r="C81" s="52" t="s">
        <v>2708</v>
      </c>
      <c r="D81" s="52" t="s">
        <v>2756</v>
      </c>
      <c r="E81" s="52">
        <f>ROUNDUP(E76/200+1,0)*2</f>
        <v>152</v>
      </c>
      <c r="F81" s="25">
        <v>0.88800000000000001</v>
      </c>
      <c r="G81" s="52" t="s">
        <v>0</v>
      </c>
      <c r="H81" s="52">
        <v>1340</v>
      </c>
      <c r="I81" s="52">
        <v>12</v>
      </c>
      <c r="J81" s="52" t="s">
        <v>2</v>
      </c>
      <c r="K81" s="52"/>
      <c r="L81" s="52"/>
      <c r="M81" s="52"/>
      <c r="N81" s="52"/>
      <c r="O81" s="52"/>
      <c r="P81" s="52"/>
      <c r="Q81" s="52"/>
      <c r="R81" s="52"/>
      <c r="S81" s="52">
        <v>500</v>
      </c>
      <c r="T81" s="52">
        <v>600</v>
      </c>
      <c r="U81" s="53">
        <v>30</v>
      </c>
    </row>
    <row r="82" spans="1:21" ht="15.75" x14ac:dyDescent="0.25">
      <c r="A82" s="51" t="str">
        <f t="shared" si="5"/>
        <v>ПФм1</v>
      </c>
      <c r="B82" s="52">
        <v>13</v>
      </c>
      <c r="C82" s="52" t="s">
        <v>2708</v>
      </c>
      <c r="D82" s="52" t="s">
        <v>2755</v>
      </c>
      <c r="E82" s="52">
        <f>ROUNDUP(E75/200+1,0)*2</f>
        <v>362</v>
      </c>
      <c r="F82" s="25">
        <v>0.88800000000000001</v>
      </c>
      <c r="G82" s="52" t="s">
        <v>0</v>
      </c>
      <c r="H82" s="52">
        <v>1315</v>
      </c>
      <c r="I82" s="52">
        <v>12</v>
      </c>
      <c r="J82" s="52" t="s">
        <v>2</v>
      </c>
      <c r="K82" s="52"/>
      <c r="L82" s="52"/>
      <c r="M82" s="52"/>
      <c r="N82" s="52"/>
      <c r="O82" s="52"/>
      <c r="P82" s="52"/>
      <c r="Q82" s="52"/>
      <c r="R82" s="52"/>
      <c r="S82" s="52">
        <v>500</v>
      </c>
      <c r="T82" s="52">
        <v>600</v>
      </c>
      <c r="U82" s="53">
        <v>30</v>
      </c>
    </row>
    <row r="83" spans="1:21" ht="15.75" x14ac:dyDescent="0.25">
      <c r="A83" s="51" t="str">
        <f t="shared" si="5"/>
        <v>ПФм1</v>
      </c>
      <c r="B83" s="27" t="str">
        <f>Изделия_спец.И!B10</f>
        <v>Кр2</v>
      </c>
      <c r="C83" s="27" t="str">
        <f>Изделия_спец.И!C10</f>
        <v>данный лист</v>
      </c>
      <c r="D83" s="27" t="str">
        <f>Изделия_спец.И!D10</f>
        <v>Каркас Кр2</v>
      </c>
      <c r="E83" s="27">
        <f>ROUNDUP((SQRT(E77)+E77),0)</f>
        <v>564</v>
      </c>
      <c r="F83" s="25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3"/>
    </row>
    <row r="84" spans="1:21" ht="15.75" x14ac:dyDescent="0.25">
      <c r="A84" s="51" t="str">
        <f t="shared" si="5"/>
        <v>ПФм1</v>
      </c>
      <c r="B84" s="27" t="str">
        <f>Изделия_спец.И!B37</f>
        <v>Зд1</v>
      </c>
      <c r="C84" s="27" t="str">
        <f>Изделия_спец.И!C37</f>
        <v>Серия 1.400-15 В.1</v>
      </c>
      <c r="D84" s="27" t="str">
        <f>Изделия_спец.И!D37</f>
        <v>Закладная МН553</v>
      </c>
      <c r="E84" s="27">
        <f>ROUNDUP((28650*2+9400)*2/1000,0)</f>
        <v>134</v>
      </c>
      <c r="F84" s="25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3"/>
    </row>
    <row r="85" spans="1:21" ht="15.75" x14ac:dyDescent="0.25">
      <c r="A85" s="51" t="str">
        <f t="shared" si="5"/>
        <v>ПФм1</v>
      </c>
      <c r="B85" s="52"/>
      <c r="C85" s="52"/>
      <c r="D85" s="52" t="s">
        <v>2754</v>
      </c>
      <c r="E85" s="52">
        <f>0.25*(1535*2+2190*7*2)/1000</f>
        <v>8.4324999999999992</v>
      </c>
      <c r="F85" s="52"/>
      <c r="G85" s="52" t="s">
        <v>2372</v>
      </c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3"/>
    </row>
    <row r="86" spans="1:21" ht="15.75" x14ac:dyDescent="0.25">
      <c r="A86" s="51" t="str">
        <f t="shared" si="5"/>
        <v>ПФм1</v>
      </c>
      <c r="B86" s="52"/>
      <c r="C86" s="52" t="s">
        <v>2753</v>
      </c>
      <c r="D86" s="52" t="s">
        <v>2752</v>
      </c>
      <c r="E86" s="52">
        <f>E87*0.012+20*50*(1535*2+2190*7*2)/1000000000</f>
        <v>0.67788999999999999</v>
      </c>
      <c r="F86" s="52"/>
      <c r="G86" s="52" t="s">
        <v>3</v>
      </c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3"/>
    </row>
    <row r="87" spans="1:21" ht="31.5" x14ac:dyDescent="0.25">
      <c r="A87" s="51" t="str">
        <f t="shared" si="5"/>
        <v>ПФм1</v>
      </c>
      <c r="B87" s="52"/>
      <c r="C87" s="52"/>
      <c r="D87" s="52" t="s">
        <v>2751</v>
      </c>
      <c r="E87" s="52">
        <f>(4400*2+2250*4+2700*4+2270*4+5165+5300+5535)/1000</f>
        <v>53.68</v>
      </c>
      <c r="F87" s="52"/>
      <c r="G87" s="52" t="s">
        <v>20</v>
      </c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3"/>
    </row>
    <row r="88" spans="1:21" ht="15.75" x14ac:dyDescent="0.25">
      <c r="A88" s="51" t="str">
        <f t="shared" si="5"/>
        <v>ПФм1</v>
      </c>
      <c r="B88" s="52"/>
      <c r="C88" s="26" t="s">
        <v>2732</v>
      </c>
      <c r="D88" s="26" t="s">
        <v>2733</v>
      </c>
      <c r="E88" s="26">
        <f>E77*1.2*0.1</f>
        <v>64.8</v>
      </c>
      <c r="F88" s="25" t="s">
        <v>4</v>
      </c>
      <c r="G88" s="52" t="s">
        <v>3</v>
      </c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3"/>
    </row>
    <row r="89" spans="1:21" ht="15.75" x14ac:dyDescent="0.25">
      <c r="A89" s="51" t="str">
        <f t="shared" si="5"/>
        <v>ПФм1</v>
      </c>
      <c r="B89" s="52"/>
      <c r="C89" s="26" t="s">
        <v>2732</v>
      </c>
      <c r="D89" s="26" t="str">
        <f>D74</f>
        <v>Бетон В25</v>
      </c>
      <c r="E89" s="26">
        <f>E74</f>
        <v>162</v>
      </c>
      <c r="F89" s="25" t="s">
        <v>4</v>
      </c>
      <c r="G89" s="52" t="s">
        <v>3</v>
      </c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3"/>
    </row>
    <row r="90" spans="1:21" ht="15.75" x14ac:dyDescent="0.2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</row>
    <row r="91" spans="1:21" ht="15.75" x14ac:dyDescent="0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</row>
    <row r="92" spans="1:21" ht="15.75" x14ac:dyDescent="0.25">
      <c r="A92" s="34" t="str">
        <f t="shared" ref="A92:A97" si="6">A93</f>
        <v>Кнм1</v>
      </c>
      <c r="B92" s="25" t="s">
        <v>2742</v>
      </c>
      <c r="C92" s="25" t="s">
        <v>2747</v>
      </c>
      <c r="D92" s="25" t="s">
        <v>2746</v>
      </c>
      <c r="E92" s="25">
        <f>E95*E97/1000+E93*E97*E96*2/1000000000</f>
        <v>9.16</v>
      </c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33"/>
    </row>
    <row r="93" spans="1:21" ht="15.75" x14ac:dyDescent="0.25">
      <c r="A93" s="34" t="str">
        <f t="shared" si="6"/>
        <v>Кнм1</v>
      </c>
      <c r="B93" s="25" t="s">
        <v>2742</v>
      </c>
      <c r="C93" s="25" t="str">
        <f>A93</f>
        <v>Кнм1</v>
      </c>
      <c r="D93" s="25" t="s">
        <v>2691</v>
      </c>
      <c r="E93" s="25">
        <f>21200+24600</f>
        <v>45800</v>
      </c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33"/>
    </row>
    <row r="94" spans="1:21" ht="15.75" x14ac:dyDescent="0.25">
      <c r="A94" s="34" t="str">
        <f t="shared" si="6"/>
        <v>Кнм1</v>
      </c>
      <c r="B94" s="25" t="s">
        <v>2742</v>
      </c>
      <c r="C94" s="25" t="str">
        <f>A94</f>
        <v>Кнм1</v>
      </c>
      <c r="D94" s="25" t="s">
        <v>2745</v>
      </c>
      <c r="E94" s="25">
        <v>600</v>
      </c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33"/>
    </row>
    <row r="95" spans="1:21" ht="15.75" x14ac:dyDescent="0.25">
      <c r="A95" s="34" t="str">
        <f t="shared" si="6"/>
        <v>Кнм1</v>
      </c>
      <c r="B95" s="25" t="s">
        <v>2742</v>
      </c>
      <c r="C95" s="25" t="str">
        <f>A95</f>
        <v>Кнм1</v>
      </c>
      <c r="D95" s="25" t="s">
        <v>2744</v>
      </c>
      <c r="E95" s="25">
        <f>E93*(E94+E97*2)/1000000</f>
        <v>36.64</v>
      </c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33"/>
    </row>
    <row r="96" spans="1:21" ht="15.75" x14ac:dyDescent="0.25">
      <c r="A96" s="34" t="str">
        <f t="shared" si="6"/>
        <v>Кнм1</v>
      </c>
      <c r="B96" s="25" t="s">
        <v>2742</v>
      </c>
      <c r="C96" s="25" t="str">
        <f>A96</f>
        <v>Кнм1</v>
      </c>
      <c r="D96" s="25" t="s">
        <v>2743</v>
      </c>
      <c r="E96" s="25">
        <v>600</v>
      </c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33"/>
    </row>
    <row r="97" spans="1:21" ht="15.75" x14ac:dyDescent="0.25">
      <c r="A97" s="34" t="str">
        <f t="shared" si="6"/>
        <v>Кнм1</v>
      </c>
      <c r="B97" s="25" t="s">
        <v>2742</v>
      </c>
      <c r="C97" s="25" t="str">
        <f>A97</f>
        <v>Кнм1</v>
      </c>
      <c r="D97" s="25" t="s">
        <v>2741</v>
      </c>
      <c r="E97" s="25">
        <v>100</v>
      </c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33"/>
    </row>
    <row r="98" spans="1:21" ht="15.75" x14ac:dyDescent="0.25">
      <c r="A98" s="32" t="str">
        <f>B98</f>
        <v>Кнм1</v>
      </c>
      <c r="B98" s="31" t="s">
        <v>2750</v>
      </c>
      <c r="C98" s="31"/>
      <c r="D98" s="31" t="str">
        <f>CONCATENATE("Канал ",B98)</f>
        <v>Канал Кнм1</v>
      </c>
      <c r="E98" s="31">
        <v>1</v>
      </c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0"/>
    </row>
    <row r="99" spans="1:21" ht="15.75" x14ac:dyDescent="0.25">
      <c r="A99" s="51" t="str">
        <f t="shared" ref="A99:A105" si="7">A98</f>
        <v>Кнм1</v>
      </c>
      <c r="B99" s="52">
        <v>14</v>
      </c>
      <c r="C99" s="52" t="s">
        <v>2708</v>
      </c>
      <c r="D99" s="52" t="s">
        <v>2739</v>
      </c>
      <c r="E99" s="29">
        <v>2</v>
      </c>
      <c r="F99" s="25">
        <v>0.61599999999999999</v>
      </c>
      <c r="G99" s="52" t="s">
        <v>20</v>
      </c>
      <c r="H99" s="29">
        <f>Арм_ПоПлощади((E95*1000*1000+E93*(E96+E97)*2),150,T99)</f>
        <v>711280</v>
      </c>
      <c r="I99" s="52">
        <v>10</v>
      </c>
      <c r="J99" s="52" t="s">
        <v>2</v>
      </c>
      <c r="K99" s="52"/>
      <c r="L99" s="52"/>
      <c r="M99" s="52"/>
      <c r="N99" s="52"/>
      <c r="O99" s="52"/>
      <c r="P99" s="52"/>
      <c r="Q99" s="52"/>
      <c r="R99" s="52"/>
      <c r="S99" s="52">
        <v>415</v>
      </c>
      <c r="T99" s="52">
        <v>500</v>
      </c>
      <c r="U99" s="53">
        <v>25</v>
      </c>
    </row>
    <row r="100" spans="1:21" ht="15.75" x14ac:dyDescent="0.25">
      <c r="A100" s="51" t="str">
        <f t="shared" si="7"/>
        <v>Кнм1</v>
      </c>
      <c r="B100" s="27" t="str">
        <f>Изделия_спец.И!B37</f>
        <v>Зд1</v>
      </c>
      <c r="C100" s="27" t="str">
        <f>Изделия_спец.И!C37</f>
        <v>Серия 1.400-15 В.1</v>
      </c>
      <c r="D100" s="27" t="str">
        <f>Изделия_спец.И!D37</f>
        <v>Закладная МН553</v>
      </c>
      <c r="E100" s="27">
        <f>ROUNDUP(E93*2/1000,0)</f>
        <v>92</v>
      </c>
      <c r="F100" s="25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3"/>
    </row>
    <row r="101" spans="1:21" ht="15.75" x14ac:dyDescent="0.25">
      <c r="A101" s="51" t="str">
        <f t="shared" si="7"/>
        <v>Кнм1</v>
      </c>
      <c r="B101" s="27" t="str">
        <f>Изделия_спец.И!B42</f>
        <v>Зд2</v>
      </c>
      <c r="C101" s="27" t="str">
        <f>Изделия_спец.И!C42</f>
        <v>Серия 1.400-15 В.1</v>
      </c>
      <c r="D101" s="27" t="str">
        <f>Изделия_спец.И!D42</f>
        <v>Закладная МН401-2</v>
      </c>
      <c r="E101" s="27">
        <f>(ROUNDUP(E93/1000,0)+1)*2</f>
        <v>94</v>
      </c>
      <c r="F101" s="25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3"/>
    </row>
    <row r="102" spans="1:21" ht="15.75" x14ac:dyDescent="0.25">
      <c r="A102" s="51" t="str">
        <f t="shared" si="7"/>
        <v>Кнм1</v>
      </c>
      <c r="B102" s="52" t="s">
        <v>2677</v>
      </c>
      <c r="C102" s="52" t="s">
        <v>2735</v>
      </c>
      <c r="D102" s="52" t="s">
        <v>2749</v>
      </c>
      <c r="E102" s="52">
        <v>15</v>
      </c>
      <c r="F102" s="52">
        <v>410</v>
      </c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3"/>
    </row>
    <row r="103" spans="1:21" ht="15.75" x14ac:dyDescent="0.25">
      <c r="A103" s="51" t="str">
        <f t="shared" si="7"/>
        <v>Кнм1</v>
      </c>
      <c r="B103" s="52" t="s">
        <v>2679</v>
      </c>
      <c r="C103" s="52" t="s">
        <v>2735</v>
      </c>
      <c r="D103" s="52" t="s">
        <v>2748</v>
      </c>
      <c r="E103" s="52">
        <v>2</v>
      </c>
      <c r="F103" s="52">
        <v>100</v>
      </c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3"/>
    </row>
    <row r="104" spans="1:21" ht="15.75" x14ac:dyDescent="0.25">
      <c r="A104" s="51" t="str">
        <f t="shared" si="7"/>
        <v>Кнм1</v>
      </c>
      <c r="B104" s="52"/>
      <c r="C104" s="26" t="s">
        <v>2732</v>
      </c>
      <c r="D104" s="26" t="s">
        <v>2733</v>
      </c>
      <c r="E104" s="26">
        <f>E95*1.2*0.1</f>
        <v>4.3967999999999998</v>
      </c>
      <c r="F104" s="25" t="s">
        <v>4</v>
      </c>
      <c r="G104" s="52" t="s">
        <v>3</v>
      </c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3"/>
    </row>
    <row r="105" spans="1:21" ht="15.75" x14ac:dyDescent="0.25">
      <c r="A105" s="51" t="str">
        <f t="shared" si="7"/>
        <v>Кнм1</v>
      </c>
      <c r="B105" s="52"/>
      <c r="C105" s="26" t="s">
        <v>2732</v>
      </c>
      <c r="D105" s="26" t="str">
        <f>D92</f>
        <v>Бетон В25</v>
      </c>
      <c r="E105" s="26">
        <f>E92</f>
        <v>9.16</v>
      </c>
      <c r="F105" s="25" t="s">
        <v>4</v>
      </c>
      <c r="G105" s="52" t="s">
        <v>3</v>
      </c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3"/>
    </row>
    <row r="106" spans="1:21" ht="15.75" x14ac:dyDescent="0.25">
      <c r="A106" s="51" t="s">
        <v>2750</v>
      </c>
      <c r="B106" s="27" t="str">
        <f>Изделия_спец.И!$B$42</f>
        <v>Зд2</v>
      </c>
      <c r="C106" s="27" t="str">
        <f>Изделия_спец.И!$C$42</f>
        <v>Серия 1.400-15 В.1</v>
      </c>
      <c r="D106" s="27" t="str">
        <f>Изделия_спец.И!$D$42</f>
        <v>Закладная МН401-2</v>
      </c>
      <c r="E106" s="27"/>
      <c r="F106" s="25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3"/>
    </row>
    <row r="107" spans="1:21" ht="15.75" x14ac:dyDescent="0.25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</row>
    <row r="108" spans="1:21" ht="15.75" x14ac:dyDescent="0.25">
      <c r="A108" s="34" t="str">
        <f t="shared" ref="A108:A113" si="8">A109</f>
        <v>Кнм2</v>
      </c>
      <c r="B108" s="25" t="s">
        <v>2742</v>
      </c>
      <c r="C108" s="25" t="s">
        <v>2747</v>
      </c>
      <c r="D108" s="25" t="s">
        <v>2746</v>
      </c>
      <c r="E108" s="25">
        <f>E111*E113/1000+E109*E113*E112*2/1000000000</f>
        <v>2.1482000000000001</v>
      </c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33"/>
    </row>
    <row r="109" spans="1:21" ht="15.75" x14ac:dyDescent="0.25">
      <c r="A109" s="34" t="str">
        <f t="shared" si="8"/>
        <v>Кнм2</v>
      </c>
      <c r="B109" s="25" t="s">
        <v>2742</v>
      </c>
      <c r="C109" s="25" t="str">
        <f>A109</f>
        <v>Кнм2</v>
      </c>
      <c r="D109" s="25" t="s">
        <v>2691</v>
      </c>
      <c r="E109" s="25">
        <v>9340</v>
      </c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33"/>
    </row>
    <row r="110" spans="1:21" ht="15.75" x14ac:dyDescent="0.25">
      <c r="A110" s="34" t="str">
        <f t="shared" si="8"/>
        <v>Кнм2</v>
      </c>
      <c r="B110" s="25" t="s">
        <v>2742</v>
      </c>
      <c r="C110" s="25" t="str">
        <f>A110</f>
        <v>Кнм2</v>
      </c>
      <c r="D110" s="25" t="s">
        <v>2745</v>
      </c>
      <c r="E110" s="25">
        <v>900</v>
      </c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33"/>
    </row>
    <row r="111" spans="1:21" ht="15.75" x14ac:dyDescent="0.25">
      <c r="A111" s="34" t="str">
        <f t="shared" si="8"/>
        <v>Кнм2</v>
      </c>
      <c r="B111" s="25" t="s">
        <v>2742</v>
      </c>
      <c r="C111" s="25" t="str">
        <f>A111</f>
        <v>Кнм2</v>
      </c>
      <c r="D111" s="25" t="s">
        <v>2744</v>
      </c>
      <c r="E111" s="25">
        <f>E109*(E110+E113*2)/1000000</f>
        <v>10.273999999999999</v>
      </c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33"/>
    </row>
    <row r="112" spans="1:21" ht="15.75" x14ac:dyDescent="0.25">
      <c r="A112" s="34" t="str">
        <f t="shared" si="8"/>
        <v>Кнм2</v>
      </c>
      <c r="B112" s="25" t="s">
        <v>2742</v>
      </c>
      <c r="C112" s="25" t="str">
        <f>A112</f>
        <v>Кнм2</v>
      </c>
      <c r="D112" s="25" t="s">
        <v>2743</v>
      </c>
      <c r="E112" s="25">
        <v>600</v>
      </c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33"/>
    </row>
    <row r="113" spans="1:21" ht="15.75" x14ac:dyDescent="0.25">
      <c r="A113" s="34" t="str">
        <f t="shared" si="8"/>
        <v>Кнм2</v>
      </c>
      <c r="B113" s="25" t="s">
        <v>2742</v>
      </c>
      <c r="C113" s="25" t="str">
        <f>A113</f>
        <v>Кнм2</v>
      </c>
      <c r="D113" s="25" t="s">
        <v>2741</v>
      </c>
      <c r="E113" s="25">
        <v>100</v>
      </c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33"/>
    </row>
    <row r="114" spans="1:21" ht="15.75" x14ac:dyDescent="0.25">
      <c r="A114" s="32" t="str">
        <f>B114</f>
        <v>Кнм2</v>
      </c>
      <c r="B114" s="31" t="s">
        <v>2740</v>
      </c>
      <c r="C114" s="31"/>
      <c r="D114" s="31" t="str">
        <f>CONCATENATE("Канал ",B114)</f>
        <v>Канал Кнм2</v>
      </c>
      <c r="E114" s="31">
        <v>1</v>
      </c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0"/>
    </row>
    <row r="115" spans="1:21" ht="15.75" x14ac:dyDescent="0.25">
      <c r="A115" s="51" t="str">
        <f t="shared" ref="A115:A122" si="9">A114</f>
        <v>Кнм2</v>
      </c>
      <c r="B115" s="52">
        <v>14</v>
      </c>
      <c r="C115" s="52" t="s">
        <v>2708</v>
      </c>
      <c r="D115" s="52" t="s">
        <v>2739</v>
      </c>
      <c r="E115" s="29">
        <v>2</v>
      </c>
      <c r="F115" s="25">
        <v>0.61599999999999999</v>
      </c>
      <c r="G115" s="52" t="s">
        <v>20</v>
      </c>
      <c r="H115" s="29">
        <f>Арм_ПоПлощади((E111*1000*1000+E109*(E112+E113)*2),150,T115)</f>
        <v>167500</v>
      </c>
      <c r="I115" s="52">
        <v>10</v>
      </c>
      <c r="J115" s="52" t="s">
        <v>2</v>
      </c>
      <c r="K115" s="52"/>
      <c r="L115" s="52"/>
      <c r="M115" s="52"/>
      <c r="N115" s="52"/>
      <c r="O115" s="52"/>
      <c r="P115" s="52"/>
      <c r="Q115" s="52"/>
      <c r="R115" s="52"/>
      <c r="S115" s="52">
        <v>415</v>
      </c>
      <c r="T115" s="52">
        <v>500</v>
      </c>
      <c r="U115" s="53">
        <v>25</v>
      </c>
    </row>
    <row r="116" spans="1:21" ht="15.75" x14ac:dyDescent="0.25">
      <c r="A116" s="51" t="str">
        <f t="shared" si="9"/>
        <v>Кнм2</v>
      </c>
      <c r="B116" s="28"/>
      <c r="C116" s="28" t="s">
        <v>2738</v>
      </c>
      <c r="D116" s="28"/>
      <c r="E116" s="28">
        <v>8</v>
      </c>
      <c r="F116" s="25">
        <v>4.93</v>
      </c>
      <c r="G116" s="52"/>
      <c r="H116" s="52"/>
      <c r="I116" s="52"/>
      <c r="J116" s="52"/>
      <c r="K116" s="52">
        <v>150</v>
      </c>
      <c r="L116" s="52" t="s">
        <v>44</v>
      </c>
      <c r="M116" s="52" t="s">
        <v>444</v>
      </c>
      <c r="N116" s="52"/>
      <c r="O116" s="52" t="s">
        <v>17</v>
      </c>
      <c r="P116" s="52"/>
      <c r="Q116" s="52"/>
      <c r="R116" s="52"/>
      <c r="S116" s="52"/>
      <c r="T116" s="52"/>
      <c r="U116" s="53"/>
    </row>
    <row r="117" spans="1:21" ht="15.75" x14ac:dyDescent="0.25">
      <c r="A117" s="51" t="str">
        <f t="shared" si="9"/>
        <v>Кнм2</v>
      </c>
      <c r="B117" s="27" t="str">
        <f>Изделия_спец.И!B37</f>
        <v>Зд1</v>
      </c>
      <c r="C117" s="27" t="str">
        <f>Изделия_спец.И!C37</f>
        <v>Серия 1.400-15 В.1</v>
      </c>
      <c r="D117" s="27" t="str">
        <f>Изделия_спец.И!D37</f>
        <v>Закладная МН553</v>
      </c>
      <c r="E117" s="27">
        <f>ROUNDUP(E109*2/1000,0)</f>
        <v>19</v>
      </c>
      <c r="F117" s="25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3"/>
    </row>
    <row r="118" spans="1:21" ht="15.75" x14ac:dyDescent="0.25">
      <c r="A118" s="51" t="str">
        <f t="shared" si="9"/>
        <v>Кнм2</v>
      </c>
      <c r="B118" s="27" t="str">
        <f>Изделия_спец.И!B42</f>
        <v>Зд2</v>
      </c>
      <c r="C118" s="27" t="str">
        <f>Изделия_спец.И!C42</f>
        <v>Серия 1.400-15 В.1</v>
      </c>
      <c r="D118" s="27" t="str">
        <f>Изделия_спец.И!D42</f>
        <v>Закладная МН401-2</v>
      </c>
      <c r="E118" s="27">
        <f>(ROUNDUP(E109/1000,0)+1)*2</f>
        <v>22</v>
      </c>
      <c r="F118" s="25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3"/>
    </row>
    <row r="119" spans="1:21" ht="15.75" x14ac:dyDescent="0.25">
      <c r="A119" s="51" t="str">
        <f t="shared" si="9"/>
        <v>Кнм2</v>
      </c>
      <c r="B119" s="52" t="s">
        <v>2678</v>
      </c>
      <c r="C119" s="52" t="s">
        <v>2735</v>
      </c>
      <c r="D119" s="52" t="s">
        <v>2737</v>
      </c>
      <c r="E119" s="52">
        <v>2</v>
      </c>
      <c r="F119" s="52">
        <v>870</v>
      </c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3"/>
    </row>
    <row r="120" spans="1:21" ht="15.75" x14ac:dyDescent="0.25">
      <c r="A120" s="51" t="str">
        <f t="shared" si="9"/>
        <v>Кнм2</v>
      </c>
      <c r="B120" s="52" t="s">
        <v>2736</v>
      </c>
      <c r="C120" s="52" t="s">
        <v>2735</v>
      </c>
      <c r="D120" s="52" t="s">
        <v>2734</v>
      </c>
      <c r="E120" s="52">
        <v>1</v>
      </c>
      <c r="F120" s="52">
        <v>210</v>
      </c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3"/>
    </row>
    <row r="121" spans="1:21" ht="15.75" x14ac:dyDescent="0.25">
      <c r="A121" s="51" t="str">
        <f t="shared" si="9"/>
        <v>Кнм2</v>
      </c>
      <c r="B121" s="52"/>
      <c r="C121" s="26" t="s">
        <v>2732</v>
      </c>
      <c r="D121" s="26" t="s">
        <v>2733</v>
      </c>
      <c r="E121" s="26">
        <f>E111*1.2*0.1</f>
        <v>1.23288</v>
      </c>
      <c r="F121" s="25" t="s">
        <v>4</v>
      </c>
      <c r="G121" s="52" t="s">
        <v>3</v>
      </c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3"/>
    </row>
    <row r="122" spans="1:21" ht="15.75" x14ac:dyDescent="0.25">
      <c r="A122" s="51" t="str">
        <f t="shared" si="9"/>
        <v>Кнм2</v>
      </c>
      <c r="B122" s="52"/>
      <c r="C122" s="26" t="s">
        <v>2732</v>
      </c>
      <c r="D122" s="26" t="str">
        <f>D108</f>
        <v>Бетон В25</v>
      </c>
      <c r="E122" s="26">
        <f>E108</f>
        <v>2.1482000000000001</v>
      </c>
      <c r="F122" s="25" t="s">
        <v>4</v>
      </c>
      <c r="G122" s="52" t="s">
        <v>3</v>
      </c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3"/>
    </row>
    <row r="123" spans="1:21" ht="15.75" x14ac:dyDescent="0.25">
      <c r="A123" s="51" t="s">
        <v>2740</v>
      </c>
      <c r="B123" s="27" t="str">
        <f>Изделия_спец.И!$B$26</f>
        <v>С2</v>
      </c>
      <c r="C123" s="27" t="str">
        <f>Изделия_спец.И!$C$26</f>
        <v>данный лист111</v>
      </c>
      <c r="D123" s="27" t="str">
        <f>Изделия_спец.И!$D$26</f>
        <v>Сетка С2</v>
      </c>
      <c r="E123" s="27"/>
      <c r="F123" s="25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3"/>
    </row>
    <row r="124" spans="1:21" ht="16.5" thickBot="1" x14ac:dyDescent="0.3">
      <c r="A124" s="21" t="s">
        <v>2740</v>
      </c>
      <c r="B124" s="104" t="str">
        <f>Изделия_спец.И!$B$42</f>
        <v>Зд2</v>
      </c>
      <c r="C124" s="104" t="str">
        <f>Изделия_спец.И!$C$42</f>
        <v>Серия 1.400-15 В.1</v>
      </c>
      <c r="D124" s="104" t="str">
        <f>Изделия_спец.И!$D$42</f>
        <v>Закладная МН401-2</v>
      </c>
      <c r="E124" s="104"/>
      <c r="F124" s="17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23"/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124 H2:Q2 K1 R1:S1 S2:U2">
    <cfRule type="containsText" dxfId="10" priority="11" stopIfTrue="1" operator="containsText" text="шт.)">
      <formula>NOT(ISERROR(SEARCH("шт.)",A1)))</formula>
    </cfRule>
    <cfRule type="containsText" dxfId="9" priority="10" stopIfTrue="1" operator="containsText" text=", на ">
      <formula>NOT(ISERROR(SEARCH(", на ",A1)))</formula>
    </cfRule>
    <cfRule type="containsText" dxfId="8" priority="9" stopIfTrue="1" operator="containsText" text="Элементы на отм.">
      <formula>NOT(ISERROR(SEARCH("Элементы на отм.",A1)))</formula>
    </cfRule>
    <cfRule type="containsText" dxfId="7" priority="8" stopIfTrue="1" operator="containsText" text=" Материалы ">
      <formula>NOT(ISERROR(SEARCH(" Материалы ",A1)))</formula>
    </cfRule>
    <cfRule type="containsText" dxfId="6" priority="7" stopIfTrue="1" operator="containsText" text=" Сборочные единицы ">
      <formula>NOT(ISERROR(SEARCH(" Сборочные единицы ",A1)))</formula>
    </cfRule>
    <cfRule type="containsText" dxfId="5" priority="6" stopIfTrue="1" operator="containsText" text=" Прокат ">
      <formula>NOT(ISERROR(SEARCH(" Прокат ",A1)))</formula>
    </cfRule>
    <cfRule type="containsText" dxfId="4" priority="5" stopIfTrue="1" operator="containsText" text=" Изделия ">
      <formula>NOT(ISERROR(SEARCH(" Изделия ",A1)))</formula>
    </cfRule>
    <cfRule type="containsText" dxfId="3" priority="4" stopIfTrue="1" operator="containsText" text="!!!">
      <formula>NOT(ISERROR(SEARCH("!!!",A1)))</formula>
    </cfRule>
    <cfRule type="containsText" dxfId="2" priority="3" stopIfTrue="1" operator="containsText" text="ИЗ ФАЙЛА">
      <formula>NOT(ISERROR(SEARCH("ИЗ ФАЙЛА",A1)))</formula>
    </cfRule>
    <cfRule type="containsText" dxfId="1" priority="2" stopIfTrue="1" operator="containsText" text="С ЛИСТА">
      <formula>NOT(ISERROR(SEARCH("С ЛИСТА",A1)))</formula>
    </cfRule>
  </conditionalFormatting>
  <conditionalFormatting sqref="A1:U1048576">
    <cfRule type="expression" dxfId="0" priority="1">
      <formula>ISERROR(A1)</formula>
    </cfRule>
  </conditionalFormatting>
  <hyperlinks>
    <hyperlink ref="D3" location="'Стм(пескопульп)_спец'!D3" display="'Стм(пескопульп)_спец'!D3"/>
  </hyperlink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2">
        <x14:dataValidation type="list" errorStyle="warning" allowBlank="1" showInputMessage="1" showErrorMessage="1">
          <x14:formula1>
            <xm:f>'!System'!$AU$1:$AU$6</xm:f>
          </x14:formula1>
          <xm:sqref>G3:G124</xm:sqref>
        </x14:dataValidation>
        <x14:dataValidation type="list" allowBlank="1" showInputMessage="1" showErrorMessage="1">
          <x14:formula1>
            <xm:f>'!System'!$AA$1:$AI$1</xm:f>
          </x14:formula1>
          <xm:sqref>J3:J124</xm:sqref>
        </x14:dataValidation>
        <x14:dataValidation type="list" allowBlank="1" showInputMessage="1" showErrorMessage="1">
          <x14:formula1>
            <xm:f>'!System'!$A$1:$Y$1</xm:f>
          </x14:formula1>
          <xm:sqref>L3:L124</xm:sqref>
        </x14:dataValidation>
        <x14:dataValidation type="list" allowBlank="1" showInputMessage="1" showErrorMessage="1">
          <x14:formula1>
            <xm:f>'!System'!$AJ$1:$AT$1</xm:f>
          </x14:formula1>
          <xm:sqref>O3:O124</xm:sqref>
        </x14:dataValidation>
        <x14:dataValidation type="list" allowBlank="1" showInputMessage="1" showErrorMessage="1">
          <x14:formula1>
            <xm:f>'!System'!$AV$1:$AV$5</xm:f>
          </x14:formula1>
          <xm:sqref>P3:P124</xm:sqref>
        </x14:dataValidation>
        <x14:dataValidation type="list" allowBlank="1" showInputMessage="1" showErrorMessage="1">
          <x14:formula1>
            <xm:f>'!System'!$AA$2:$AA$17</xm:f>
          </x14:formula1>
          <xm:sqref>I14</xm:sqref>
        </x14:dataValidation>
        <x14:dataValidation type="list" allowBlank="1" showInputMessage="1" showErrorMessage="1">
          <x14:formula1>
            <xm:f>'!System'!$AA$2:$AA$17</xm:f>
          </x14:formula1>
          <xm:sqref>I15</xm:sqref>
        </x14:dataValidation>
        <x14:dataValidation type="list" allowBlank="1" showInputMessage="1" showErrorMessage="1">
          <x14:formula1>
            <xm:f>'!System'!$AB$2:$AB$16</xm:f>
          </x14:formula1>
          <xm:sqref>I16</xm:sqref>
        </x14:dataValidation>
        <x14:dataValidation type="list" allowBlank="1" showInputMessage="1" showErrorMessage="1">
          <x14:formula1>
            <xm:f>'!System'!$AA$2:$AA$17</xm:f>
          </x14:formula1>
          <xm:sqref>I17</xm:sqref>
        </x14:dataValidation>
        <x14:dataValidation type="list" allowBlank="1" showInputMessage="1" showErrorMessage="1">
          <x14:formula1>
            <xm:f>'!System'!$AA$2:$AA$17</xm:f>
          </x14:formula1>
          <xm:sqref>I18</xm:sqref>
        </x14:dataValidation>
        <x14:dataValidation type="list" allowBlank="1" showInputMessage="1" showErrorMessage="1">
          <x14:formula1>
            <xm:f>'!System'!$AA$2:$AA$17</xm:f>
          </x14:formula1>
          <xm:sqref>I33</xm:sqref>
        </x14:dataValidation>
        <x14:dataValidation type="list" allowBlank="1" showInputMessage="1" showErrorMessage="1">
          <x14:formula1>
            <xm:f>'!System'!$AB$2:$AB$16</xm:f>
          </x14:formula1>
          <xm:sqref>I34</xm:sqref>
        </x14:dataValidation>
        <x14:dataValidation type="list" allowBlank="1" showInputMessage="1" showErrorMessage="1">
          <x14:formula1>
            <xm:f>'!System'!$AA$2:$AA$17</xm:f>
          </x14:formula1>
          <xm:sqref>I35</xm:sqref>
        </x14:dataValidation>
        <x14:dataValidation type="list" allowBlank="1" showInputMessage="1" showErrorMessage="1">
          <x14:formula1>
            <xm:f>'!System'!$AA$2:$AA$17</xm:f>
          </x14:formula1>
          <xm:sqref>I47</xm:sqref>
        </x14:dataValidation>
        <x14:dataValidation type="list" allowBlank="1" showInputMessage="1" showErrorMessage="1">
          <x14:formula1>
            <xm:f>'!System'!$AA$2:$AA$17</xm:f>
          </x14:formula1>
          <xm:sqref>I48</xm:sqref>
        </x14:dataValidation>
        <x14:dataValidation type="list" allowBlank="1" showInputMessage="1" showErrorMessage="1">
          <x14:formula1>
            <xm:f>'!System'!$AA$2:$AA$17</xm:f>
          </x14:formula1>
          <xm:sqref>I49</xm:sqref>
        </x14:dataValidation>
        <x14:dataValidation type="list" allowBlank="1" showInputMessage="1" showErrorMessage="1">
          <x14:formula1>
            <xm:f>'!System'!$AA$2:$AA$17</xm:f>
          </x14:formula1>
          <xm:sqref>I80</xm:sqref>
        </x14:dataValidation>
        <x14:dataValidation type="list" allowBlank="1" showInputMessage="1" showErrorMessage="1">
          <x14:formula1>
            <xm:f>'!System'!$AA$2:$AA$17</xm:f>
          </x14:formula1>
          <xm:sqref>I81</xm:sqref>
        </x14:dataValidation>
        <x14:dataValidation type="list" allowBlank="1" showInputMessage="1" showErrorMessage="1">
          <x14:formula1>
            <xm:f>'!System'!$AA$2:$AA$17</xm:f>
          </x14:formula1>
          <xm:sqref>I82</xm:sqref>
        </x14:dataValidation>
        <x14:dataValidation type="list" allowBlank="1" showInputMessage="1" showErrorMessage="1">
          <x14:formula1>
            <xm:f>'!System'!$AA$2:$AA$17</xm:f>
          </x14:formula1>
          <xm:sqref>I99</xm:sqref>
        </x14:dataValidation>
        <x14:dataValidation type="list" allowBlank="1" showInputMessage="1" showErrorMessage="1">
          <x14:formula1>
            <xm:f>'!System'!$AA$2:$AA$17</xm:f>
          </x14:formula1>
          <xm:sqref>I115</xm:sqref>
        </x14:dataValidation>
        <x14:dataValidation type="list" allowBlank="1" showInputMessage="1" showErrorMessage="1">
          <x14:formula1>
            <xm:f>'!System'!$A$3:$A$806</xm:f>
          </x14:formula1>
          <xm:sqref>M116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7" tint="0.39997558519241921"/>
  </sheetPr>
  <dimension ref="A1:R10"/>
  <sheetViews>
    <sheetView workbookViewId="0">
      <selection activeCell="G16" sqref="G16"/>
    </sheetView>
  </sheetViews>
  <sheetFormatPr defaultRowHeight="15" outlineLevelCol="1" x14ac:dyDescent="0.25"/>
  <cols>
    <col min="1" max="1" width="15.7109375" style="9" customWidth="1"/>
    <col min="2" max="2" width="25.7109375" style="9" customWidth="1"/>
    <col min="3" max="5" width="15.7109375" style="9" customWidth="1"/>
    <col min="6" max="10" width="9.140625" style="9"/>
    <col min="11" max="17" width="9.140625" style="9" hidden="1" customWidth="1" outlineLevel="1"/>
    <col min="18" max="18" width="9.140625" style="9" collapsed="1"/>
    <col min="19" max="16384" width="9.140625" style="9"/>
  </cols>
  <sheetData>
    <row r="1" spans="1:5" ht="47.25" x14ac:dyDescent="0.25">
      <c r="A1" s="55" t="s">
        <v>2683</v>
      </c>
      <c r="B1" s="56" t="s">
        <v>2800</v>
      </c>
      <c r="C1" s="56" t="s">
        <v>2801</v>
      </c>
      <c r="D1" s="56" t="s">
        <v>2802</v>
      </c>
      <c r="E1" s="57" t="s">
        <v>2803</v>
      </c>
    </row>
    <row r="2" spans="1:5" ht="15.75" x14ac:dyDescent="0.25">
      <c r="A2" s="58" t="s">
        <v>2750</v>
      </c>
      <c r="B2" s="38" t="s">
        <v>2874</v>
      </c>
      <c r="C2" s="38">
        <v>9</v>
      </c>
      <c r="D2" s="38">
        <v>1361</v>
      </c>
      <c r="E2" s="40">
        <v>151</v>
      </c>
    </row>
    <row r="3" spans="1:5" ht="15.75" x14ac:dyDescent="0.25">
      <c r="A3" s="58" t="s">
        <v>2740</v>
      </c>
      <c r="B3" s="38" t="s">
        <v>2874</v>
      </c>
      <c r="C3" s="38">
        <v>2</v>
      </c>
      <c r="D3" s="38">
        <v>315</v>
      </c>
      <c r="E3" s="40">
        <v>158</v>
      </c>
    </row>
    <row r="4" spans="1:5" ht="15.75" x14ac:dyDescent="0.25">
      <c r="A4" s="58" t="s">
        <v>2757</v>
      </c>
      <c r="B4" s="38" t="s">
        <v>2874</v>
      </c>
      <c r="C4" s="38">
        <v>2</v>
      </c>
      <c r="D4" s="38" t="s">
        <v>2389</v>
      </c>
      <c r="E4" s="40" t="s">
        <v>2875</v>
      </c>
    </row>
    <row r="5" spans="1:5" ht="15.75" x14ac:dyDescent="0.25">
      <c r="A5" s="58" t="s">
        <v>2392</v>
      </c>
      <c r="B5" s="38" t="s">
        <v>2874</v>
      </c>
      <c r="C5" s="38">
        <v>162</v>
      </c>
      <c r="D5" s="38">
        <v>12405</v>
      </c>
      <c r="E5" s="40">
        <v>77</v>
      </c>
    </row>
    <row r="6" spans="1:5" ht="15.75" x14ac:dyDescent="0.25">
      <c r="A6" s="58" t="s">
        <v>2773</v>
      </c>
      <c r="B6" s="38" t="s">
        <v>2874</v>
      </c>
      <c r="C6" s="38">
        <v>71</v>
      </c>
      <c r="D6" s="38">
        <v>6546</v>
      </c>
      <c r="E6" s="40">
        <v>92</v>
      </c>
    </row>
    <row r="7" spans="1:5" ht="15.75" x14ac:dyDescent="0.25">
      <c r="A7" s="58" t="s">
        <v>2768</v>
      </c>
      <c r="B7" s="38" t="s">
        <v>2874</v>
      </c>
      <c r="C7" s="38">
        <v>2</v>
      </c>
      <c r="D7" s="38">
        <v>126</v>
      </c>
      <c r="E7" s="40">
        <v>63</v>
      </c>
    </row>
    <row r="8" spans="1:5" ht="15.75" x14ac:dyDescent="0.25">
      <c r="A8" s="58" t="s">
        <v>2761</v>
      </c>
      <c r="B8" s="38" t="s">
        <v>2874</v>
      </c>
      <c r="C8" s="38">
        <v>16</v>
      </c>
      <c r="D8" s="38">
        <v>1276</v>
      </c>
      <c r="E8" s="40">
        <v>80</v>
      </c>
    </row>
    <row r="9" spans="1:5" ht="15.75" x14ac:dyDescent="0.25">
      <c r="A9" s="58" t="s">
        <v>2760</v>
      </c>
      <c r="B9" s="38" t="s">
        <v>2874</v>
      </c>
      <c r="C9" s="38">
        <v>19</v>
      </c>
      <c r="D9" s="38">
        <v>1523</v>
      </c>
      <c r="E9" s="40">
        <v>80</v>
      </c>
    </row>
    <row r="10" spans="1:5" ht="16.5" thickBot="1" x14ac:dyDescent="0.3">
      <c r="A10" s="59" t="s">
        <v>2709</v>
      </c>
      <c r="B10" s="39" t="s">
        <v>2389</v>
      </c>
      <c r="C10" s="39">
        <v>283</v>
      </c>
      <c r="D10" s="39">
        <v>23552</v>
      </c>
      <c r="E10" s="41">
        <v>83</v>
      </c>
    </row>
  </sheetData>
  <conditionalFormatting sqref="E2:E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:E10">
    <cfRule type="containsText" dxfId="206" priority="2" stopIfTrue="1" operator="containsText" text="С ЛИСТА">
      <formula>NOT(ISERROR(SEARCH("С ЛИСТА",A1)))</formula>
    </cfRule>
    <cfRule type="containsText" dxfId="205" priority="3" stopIfTrue="1" operator="containsText" text="ИЗ ФАЙЛА">
      <formula>NOT(ISERROR(SEARCH("ИЗ ФАЙЛА",A1)))</formula>
    </cfRule>
    <cfRule type="containsText" dxfId="204" priority="4" stopIfTrue="1" operator="containsText" text="!!!">
      <formula>NOT(ISERROR(SEARCH("!!!",A1)))</formula>
    </cfRule>
    <cfRule type="containsText" dxfId="203" priority="5" stopIfTrue="1" operator="containsText" text=" Изделия ">
      <formula>NOT(ISERROR(SEARCH(" Изделия ",A1)))</formula>
    </cfRule>
    <cfRule type="containsText" dxfId="202" priority="6" stopIfTrue="1" operator="containsText" text=" Прокат ">
      <formula>NOT(ISERROR(SEARCH(" Прокат ",A1)))</formula>
    </cfRule>
    <cfRule type="containsText" dxfId="201" priority="7" stopIfTrue="1" operator="containsText" text=" Сборочные единицы ">
      <formula>NOT(ISERROR(SEARCH(" Сборочные единицы ",A1)))</formula>
    </cfRule>
    <cfRule type="containsText" dxfId="200" priority="8" stopIfTrue="1" operator="containsText" text=" Материалы ">
      <formula>NOT(ISERROR(SEARCH(" Материалы ",A1)))</formula>
    </cfRule>
    <cfRule type="containsText" dxfId="199" priority="9" stopIfTrue="1" operator="containsText" text="Элементы на отм.">
      <formula>NOT(ISERROR(SEARCH("Элементы на отм.",A1)))</formula>
    </cfRule>
    <cfRule type="containsText" dxfId="198" priority="10" stopIfTrue="1" operator="containsText" text=", на ">
      <formula>NOT(ISERROR(SEARCH(", на ",A1)))</formula>
    </cfRule>
    <cfRule type="containsText" dxfId="197" priority="11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>
    <tabColor theme="8" tint="0.499984740745262"/>
  </sheetPr>
  <dimension ref="A1:U44"/>
  <sheetViews>
    <sheetView topLeftCell="A4" workbookViewId="0">
      <selection activeCell="D24" sqref="D24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5.75" x14ac:dyDescent="0.25">
      <c r="A1" s="66" t="s">
        <v>2682</v>
      </c>
      <c r="B1" s="60" t="s">
        <v>2683</v>
      </c>
      <c r="C1" s="60" t="s">
        <v>2684</v>
      </c>
      <c r="D1" s="60" t="s">
        <v>2685</v>
      </c>
      <c r="E1" s="60" t="s">
        <v>2686</v>
      </c>
      <c r="F1" s="60" t="s">
        <v>2687</v>
      </c>
      <c r="G1" s="60" t="s">
        <v>2688</v>
      </c>
      <c r="H1" s="62" t="s">
        <v>2690</v>
      </c>
      <c r="I1" s="63"/>
      <c r="J1" s="64"/>
      <c r="K1" s="62" t="s">
        <v>2694</v>
      </c>
      <c r="L1" s="63"/>
      <c r="M1" s="63"/>
      <c r="N1" s="63"/>
      <c r="O1" s="63"/>
      <c r="P1" s="63"/>
      <c r="Q1" s="64"/>
      <c r="R1" s="60" t="s">
        <v>2689</v>
      </c>
      <c r="S1" s="62" t="s">
        <v>2702</v>
      </c>
      <c r="T1" s="63"/>
      <c r="U1" s="65"/>
    </row>
    <row r="2" spans="1:21" ht="63" x14ac:dyDescent="0.25">
      <c r="A2" s="67"/>
      <c r="B2" s="61"/>
      <c r="C2" s="61"/>
      <c r="D2" s="61"/>
      <c r="E2" s="61"/>
      <c r="F2" s="61"/>
      <c r="G2" s="61"/>
      <c r="H2" s="20" t="s">
        <v>2691</v>
      </c>
      <c r="I2" s="20" t="s">
        <v>2692</v>
      </c>
      <c r="J2" s="20" t="s">
        <v>2693</v>
      </c>
      <c r="K2" s="20" t="s">
        <v>2695</v>
      </c>
      <c r="L2" s="20" t="s">
        <v>2696</v>
      </c>
      <c r="M2" s="20" t="s">
        <v>2697</v>
      </c>
      <c r="N2" s="20" t="s">
        <v>2698</v>
      </c>
      <c r="O2" s="20" t="s">
        <v>2699</v>
      </c>
      <c r="P2" s="20" t="s">
        <v>2700</v>
      </c>
      <c r="Q2" s="20" t="s">
        <v>2701</v>
      </c>
      <c r="R2" s="61"/>
      <c r="S2" s="20" t="s">
        <v>2703</v>
      </c>
      <c r="T2" s="20" t="s">
        <v>2704</v>
      </c>
      <c r="U2" s="19" t="s">
        <v>2705</v>
      </c>
    </row>
    <row r="3" spans="1:21" ht="15.75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</row>
    <row r="4" spans="1:21" ht="15.75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</row>
    <row r="5" spans="1:21" ht="15.75" x14ac:dyDescent="0.25">
      <c r="A5" s="37" t="s">
        <v>2798</v>
      </c>
      <c r="B5" s="36" t="str">
        <f>A5</f>
        <v>Кр1</v>
      </c>
      <c r="C5" s="36" t="s">
        <v>2791</v>
      </c>
      <c r="D5" s="36" t="str">
        <f>CONCATENATE("Каркас ",B5)</f>
        <v>Каркас Кр1</v>
      </c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5"/>
    </row>
    <row r="6" spans="1:21" ht="31.5" x14ac:dyDescent="0.25">
      <c r="A6" s="18" t="str">
        <f>A5</f>
        <v>Кр1</v>
      </c>
      <c r="B6" s="20">
        <v>2</v>
      </c>
      <c r="C6" s="20" t="s">
        <v>2793</v>
      </c>
      <c r="D6" s="20" t="s">
        <v>2790</v>
      </c>
      <c r="E6" s="20">
        <v>9</v>
      </c>
      <c r="F6" s="25">
        <v>0.39500000000000002</v>
      </c>
      <c r="G6" s="20"/>
      <c r="H6" s="20">
        <v>360</v>
      </c>
      <c r="I6" s="20">
        <v>8</v>
      </c>
      <c r="J6" s="20" t="s">
        <v>1</v>
      </c>
      <c r="K6" s="20"/>
      <c r="L6" s="20"/>
      <c r="M6" s="20"/>
      <c r="N6" s="20"/>
      <c r="O6" s="20"/>
      <c r="P6" s="20"/>
      <c r="Q6" s="20"/>
      <c r="R6" s="20"/>
      <c r="S6" s="20" t="s">
        <v>2707</v>
      </c>
      <c r="T6" s="20" t="s">
        <v>2707</v>
      </c>
      <c r="U6" s="19">
        <v>10</v>
      </c>
    </row>
    <row r="7" spans="1:21" ht="31.5" x14ac:dyDescent="0.25">
      <c r="A7" s="18" t="str">
        <f>A5</f>
        <v>Кр1</v>
      </c>
      <c r="B7" s="20">
        <v>1</v>
      </c>
      <c r="C7" s="20" t="s">
        <v>2793</v>
      </c>
      <c r="D7" s="20" t="s">
        <v>2789</v>
      </c>
      <c r="E7" s="20">
        <v>2</v>
      </c>
      <c r="F7" s="25">
        <v>0.39500000000000002</v>
      </c>
      <c r="G7" s="20"/>
      <c r="H7" s="20">
        <v>1280</v>
      </c>
      <c r="I7" s="20">
        <v>8</v>
      </c>
      <c r="J7" s="20" t="s">
        <v>1</v>
      </c>
      <c r="K7" s="20"/>
      <c r="L7" s="20"/>
      <c r="M7" s="20"/>
      <c r="N7" s="20"/>
      <c r="O7" s="20"/>
      <c r="P7" s="20"/>
      <c r="Q7" s="20"/>
      <c r="R7" s="20"/>
      <c r="S7" s="20" t="s">
        <v>2707</v>
      </c>
      <c r="T7" s="20" t="s">
        <v>2707</v>
      </c>
      <c r="U7" s="19">
        <v>10</v>
      </c>
    </row>
    <row r="8" spans="1:21" ht="15.75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</row>
    <row r="9" spans="1:21" ht="15.75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</row>
    <row r="10" spans="1:21" ht="15.75" x14ac:dyDescent="0.25">
      <c r="A10" s="37" t="s">
        <v>2797</v>
      </c>
      <c r="B10" s="36" t="str">
        <f>A10</f>
        <v>Кр2</v>
      </c>
      <c r="C10" s="36" t="s">
        <v>2791</v>
      </c>
      <c r="D10" s="36" t="str">
        <f>CONCATENATE("Каркас ",B10)</f>
        <v>Каркас Кр2</v>
      </c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5"/>
    </row>
    <row r="11" spans="1:21" ht="31.5" x14ac:dyDescent="0.25">
      <c r="A11" s="18" t="str">
        <f>A10</f>
        <v>Кр2</v>
      </c>
      <c r="B11" s="20">
        <v>2</v>
      </c>
      <c r="C11" s="20" t="s">
        <v>2793</v>
      </c>
      <c r="D11" s="20" t="s">
        <v>2790</v>
      </c>
      <c r="E11" s="20">
        <v>9</v>
      </c>
      <c r="F11" s="25">
        <v>0.39500000000000002</v>
      </c>
      <c r="G11" s="20"/>
      <c r="H11" s="20">
        <v>245</v>
      </c>
      <c r="I11" s="20">
        <v>8</v>
      </c>
      <c r="J11" s="20" t="s">
        <v>1</v>
      </c>
      <c r="K11" s="20"/>
      <c r="L11" s="20"/>
      <c r="M11" s="20"/>
      <c r="N11" s="20"/>
      <c r="O11" s="20"/>
      <c r="P11" s="20"/>
      <c r="Q11" s="20"/>
      <c r="R11" s="20"/>
      <c r="S11" s="20" t="s">
        <v>2707</v>
      </c>
      <c r="T11" s="20" t="s">
        <v>2707</v>
      </c>
      <c r="U11" s="19">
        <v>10</v>
      </c>
    </row>
    <row r="12" spans="1:21" ht="31.5" x14ac:dyDescent="0.25">
      <c r="A12" s="18" t="str">
        <f>A10</f>
        <v>Кр2</v>
      </c>
      <c r="B12" s="20">
        <v>1</v>
      </c>
      <c r="C12" s="20" t="s">
        <v>2793</v>
      </c>
      <c r="D12" s="20" t="s">
        <v>2789</v>
      </c>
      <c r="E12" s="20">
        <v>2</v>
      </c>
      <c r="F12" s="25">
        <v>0.39500000000000002</v>
      </c>
      <c r="G12" s="20"/>
      <c r="H12" s="20">
        <v>1280</v>
      </c>
      <c r="I12" s="20">
        <v>8</v>
      </c>
      <c r="J12" s="20" t="s">
        <v>1</v>
      </c>
      <c r="K12" s="20"/>
      <c r="L12" s="20"/>
      <c r="M12" s="20"/>
      <c r="N12" s="20"/>
      <c r="O12" s="20"/>
      <c r="P12" s="20"/>
      <c r="Q12" s="20"/>
      <c r="R12" s="20"/>
      <c r="S12" s="20" t="s">
        <v>2707</v>
      </c>
      <c r="T12" s="20" t="s">
        <v>2707</v>
      </c>
      <c r="U12" s="19">
        <v>10</v>
      </c>
    </row>
    <row r="13" spans="1:21" ht="15.75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</row>
    <row r="14" spans="1:21" ht="15.75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</row>
    <row r="15" spans="1:21" ht="15.75" x14ac:dyDescent="0.25">
      <c r="A15" s="37" t="s">
        <v>2796</v>
      </c>
      <c r="B15" s="36" t="str">
        <f>A15</f>
        <v>Кр3</v>
      </c>
      <c r="C15" s="36" t="s">
        <v>2791</v>
      </c>
      <c r="D15" s="36" t="str">
        <f>CONCATENATE("Каркас ",B15)</f>
        <v>Каркас Кр3</v>
      </c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5"/>
    </row>
    <row r="16" spans="1:21" ht="31.5" x14ac:dyDescent="0.25">
      <c r="A16" s="18" t="str">
        <f>A15</f>
        <v>Кр3</v>
      </c>
      <c r="B16" s="20">
        <v>2</v>
      </c>
      <c r="C16" s="20" t="s">
        <v>2793</v>
      </c>
      <c r="D16" s="20" t="s">
        <v>2790</v>
      </c>
      <c r="E16" s="20">
        <v>9</v>
      </c>
      <c r="F16" s="25">
        <v>0.39500000000000002</v>
      </c>
      <c r="G16" s="20"/>
      <c r="H16" s="20">
        <v>325</v>
      </c>
      <c r="I16" s="20">
        <v>8</v>
      </c>
      <c r="J16" s="20" t="s">
        <v>1</v>
      </c>
      <c r="K16" s="20"/>
      <c r="L16" s="20"/>
      <c r="M16" s="20"/>
      <c r="N16" s="20"/>
      <c r="O16" s="20"/>
      <c r="P16" s="20"/>
      <c r="Q16" s="20"/>
      <c r="R16" s="20"/>
      <c r="S16" s="20" t="s">
        <v>2707</v>
      </c>
      <c r="T16" s="20" t="s">
        <v>2707</v>
      </c>
      <c r="U16" s="19">
        <v>10</v>
      </c>
    </row>
    <row r="17" spans="1:21" ht="31.5" x14ac:dyDescent="0.25">
      <c r="A17" s="18" t="str">
        <f>A15</f>
        <v>Кр3</v>
      </c>
      <c r="B17" s="20">
        <v>1</v>
      </c>
      <c r="C17" s="20" t="s">
        <v>2793</v>
      </c>
      <c r="D17" s="20" t="s">
        <v>2789</v>
      </c>
      <c r="E17" s="20">
        <v>2</v>
      </c>
      <c r="F17" s="25">
        <v>0.39500000000000002</v>
      </c>
      <c r="G17" s="20"/>
      <c r="H17" s="20">
        <v>1280</v>
      </c>
      <c r="I17" s="20">
        <v>8</v>
      </c>
      <c r="J17" s="20" t="s">
        <v>1</v>
      </c>
      <c r="K17" s="20"/>
      <c r="L17" s="20"/>
      <c r="M17" s="20"/>
      <c r="N17" s="20"/>
      <c r="O17" s="20"/>
      <c r="P17" s="20"/>
      <c r="Q17" s="20"/>
      <c r="R17" s="20"/>
      <c r="S17" s="20" t="s">
        <v>2707</v>
      </c>
      <c r="T17" s="20" t="s">
        <v>2707</v>
      </c>
      <c r="U17" s="19">
        <v>10</v>
      </c>
    </row>
    <row r="18" spans="1:21" ht="15.75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</row>
    <row r="19" spans="1:21" ht="15.75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</row>
    <row r="20" spans="1:21" ht="15.75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</row>
    <row r="21" spans="1:21" ht="15.75" x14ac:dyDescent="0.25">
      <c r="A21" s="37" t="s">
        <v>2795</v>
      </c>
      <c r="B21" s="36" t="str">
        <f>A21</f>
        <v>С1</v>
      </c>
      <c r="C21" s="36" t="s">
        <v>2791</v>
      </c>
      <c r="D21" s="36" t="str">
        <f>CONCATENATE("Сетка ",B21)</f>
        <v>Сетка С1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5"/>
    </row>
    <row r="22" spans="1:21" ht="31.5" x14ac:dyDescent="0.25">
      <c r="A22" s="18" t="str">
        <f>A21</f>
        <v>С1</v>
      </c>
      <c r="B22" s="20">
        <v>2</v>
      </c>
      <c r="C22" s="20" t="s">
        <v>2793</v>
      </c>
      <c r="D22" s="20" t="s">
        <v>2790</v>
      </c>
      <c r="E22" s="20">
        <v>17</v>
      </c>
      <c r="F22" s="25">
        <v>0.222</v>
      </c>
      <c r="G22" s="20"/>
      <c r="H22" s="20">
        <v>850</v>
      </c>
      <c r="I22" s="20">
        <v>6</v>
      </c>
      <c r="J22" s="20" t="s">
        <v>1</v>
      </c>
      <c r="K22" s="20"/>
      <c r="L22" s="20"/>
      <c r="M22" s="20"/>
      <c r="N22" s="20"/>
      <c r="O22" s="20"/>
      <c r="P22" s="20"/>
      <c r="Q22" s="20"/>
      <c r="R22" s="20"/>
      <c r="S22" s="20" t="s">
        <v>2707</v>
      </c>
      <c r="T22" s="20" t="s">
        <v>2707</v>
      </c>
      <c r="U22" s="19">
        <v>7.5</v>
      </c>
    </row>
    <row r="23" spans="1:21" ht="31.5" x14ac:dyDescent="0.25">
      <c r="A23" s="18" t="str">
        <f>A21</f>
        <v>С1</v>
      </c>
      <c r="B23" s="20">
        <v>1</v>
      </c>
      <c r="C23" s="20" t="s">
        <v>2793</v>
      </c>
      <c r="D23" s="20" t="s">
        <v>2789</v>
      </c>
      <c r="E23" s="20">
        <v>17</v>
      </c>
      <c r="F23" s="25">
        <v>0.222</v>
      </c>
      <c r="G23" s="20"/>
      <c r="H23" s="20">
        <v>850</v>
      </c>
      <c r="I23" s="20">
        <v>6</v>
      </c>
      <c r="J23" s="20" t="s">
        <v>1</v>
      </c>
      <c r="K23" s="20"/>
      <c r="L23" s="20"/>
      <c r="M23" s="20"/>
      <c r="N23" s="20"/>
      <c r="O23" s="20"/>
      <c r="P23" s="20"/>
      <c r="Q23" s="20"/>
      <c r="R23" s="20"/>
      <c r="S23" s="20" t="s">
        <v>2707</v>
      </c>
      <c r="T23" s="20" t="s">
        <v>2707</v>
      </c>
      <c r="U23" s="19">
        <v>7.5</v>
      </c>
    </row>
    <row r="24" spans="1:21" ht="15.75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</row>
    <row r="25" spans="1:21" ht="15.75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</row>
    <row r="26" spans="1:21" ht="15.75" x14ac:dyDescent="0.25">
      <c r="A26" s="37" t="s">
        <v>2794</v>
      </c>
      <c r="B26" s="36" t="str">
        <f>A26</f>
        <v>С2</v>
      </c>
      <c r="C26" s="36" t="s">
        <v>2877</v>
      </c>
      <c r="D26" s="36" t="str">
        <f>CONCATENATE("Сетка ",B26)</f>
        <v>Сетка С2</v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5"/>
    </row>
    <row r="27" spans="1:21" ht="31.5" x14ac:dyDescent="0.25">
      <c r="A27" s="18" t="str">
        <f>A26</f>
        <v>С2</v>
      </c>
      <c r="B27" s="20">
        <v>2</v>
      </c>
      <c r="C27" s="20" t="s">
        <v>2793</v>
      </c>
      <c r="D27" s="20" t="s">
        <v>2790</v>
      </c>
      <c r="E27" s="20">
        <v>11</v>
      </c>
      <c r="F27" s="25">
        <v>0.222</v>
      </c>
      <c r="G27" s="20"/>
      <c r="H27" s="20">
        <v>550</v>
      </c>
      <c r="I27" s="20">
        <v>6</v>
      </c>
      <c r="J27" s="20" t="s">
        <v>1</v>
      </c>
      <c r="K27" s="20"/>
      <c r="L27" s="20"/>
      <c r="M27" s="20"/>
      <c r="N27" s="20"/>
      <c r="O27" s="20"/>
      <c r="P27" s="20"/>
      <c r="Q27" s="20"/>
      <c r="R27" s="20"/>
      <c r="S27" s="20" t="s">
        <v>2707</v>
      </c>
      <c r="T27" s="20" t="s">
        <v>2707</v>
      </c>
      <c r="U27" s="19">
        <v>7.5</v>
      </c>
    </row>
    <row r="28" spans="1:21" ht="31.5" x14ac:dyDescent="0.25">
      <c r="A28" s="18" t="str">
        <f>A26</f>
        <v>С2</v>
      </c>
      <c r="B28" s="20">
        <v>1</v>
      </c>
      <c r="C28" s="20" t="s">
        <v>2793</v>
      </c>
      <c r="D28" s="20" t="s">
        <v>2789</v>
      </c>
      <c r="E28" s="20">
        <v>11</v>
      </c>
      <c r="F28" s="25">
        <v>0.222</v>
      </c>
      <c r="G28" s="20"/>
      <c r="H28" s="20">
        <v>550</v>
      </c>
      <c r="I28" s="20">
        <v>6</v>
      </c>
      <c r="J28" s="20" t="s">
        <v>1</v>
      </c>
      <c r="K28" s="20"/>
      <c r="L28" s="20"/>
      <c r="M28" s="20"/>
      <c r="N28" s="20"/>
      <c r="O28" s="20"/>
      <c r="P28" s="20"/>
      <c r="Q28" s="20"/>
      <c r="R28" s="20"/>
      <c r="S28" s="20" t="s">
        <v>2707</v>
      </c>
      <c r="T28" s="20" t="s">
        <v>2707</v>
      </c>
      <c r="U28" s="19">
        <v>7.5</v>
      </c>
    </row>
    <row r="29" spans="1:21" ht="15.75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</row>
    <row r="30" spans="1:21" ht="15.75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</row>
    <row r="31" spans="1:21" ht="15.75" x14ac:dyDescent="0.25">
      <c r="A31" s="37" t="s">
        <v>2792</v>
      </c>
      <c r="B31" s="36" t="str">
        <f>A31</f>
        <v>С3</v>
      </c>
      <c r="C31" s="36" t="s">
        <v>2791</v>
      </c>
      <c r="D31" s="36" t="str">
        <f>CONCATENATE("Сетка ",B31)</f>
        <v>Сетка С3</v>
      </c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5"/>
    </row>
    <row r="32" spans="1:21" ht="31.5" x14ac:dyDescent="0.25">
      <c r="A32" s="18" t="str">
        <f>A31</f>
        <v>С3</v>
      </c>
      <c r="B32" s="20">
        <v>2</v>
      </c>
      <c r="C32" s="20" t="s">
        <v>2780</v>
      </c>
      <c r="D32" s="20" t="s">
        <v>2790</v>
      </c>
      <c r="E32" s="20">
        <v>10</v>
      </c>
      <c r="F32" s="25">
        <v>0.61599999999999999</v>
      </c>
      <c r="G32" s="20"/>
      <c r="H32" s="20">
        <v>1160</v>
      </c>
      <c r="I32" s="20">
        <v>10</v>
      </c>
      <c r="J32" s="20" t="s">
        <v>2</v>
      </c>
      <c r="K32" s="20"/>
      <c r="L32" s="20"/>
      <c r="M32" s="20"/>
      <c r="N32" s="20"/>
      <c r="O32" s="20"/>
      <c r="P32" s="20"/>
      <c r="Q32" s="20"/>
      <c r="R32" s="20"/>
      <c r="S32" s="20" t="s">
        <v>2707</v>
      </c>
      <c r="T32" s="20" t="s">
        <v>2707</v>
      </c>
      <c r="U32" s="19">
        <v>25</v>
      </c>
    </row>
    <row r="33" spans="1:21" ht="31.5" x14ac:dyDescent="0.25">
      <c r="A33" s="18" t="str">
        <f>A31</f>
        <v>С3</v>
      </c>
      <c r="B33" s="20">
        <v>1</v>
      </c>
      <c r="C33" s="20" t="s">
        <v>2780</v>
      </c>
      <c r="D33" s="20" t="s">
        <v>2789</v>
      </c>
      <c r="E33" s="20">
        <v>12</v>
      </c>
      <c r="F33" s="25">
        <v>0.61599999999999999</v>
      </c>
      <c r="G33" s="20"/>
      <c r="H33" s="20">
        <v>1000</v>
      </c>
      <c r="I33" s="20">
        <v>10</v>
      </c>
      <c r="J33" s="20" t="s">
        <v>2</v>
      </c>
      <c r="K33" s="20"/>
      <c r="L33" s="20"/>
      <c r="M33" s="20"/>
      <c r="N33" s="20"/>
      <c r="O33" s="20"/>
      <c r="P33" s="20"/>
      <c r="Q33" s="20"/>
      <c r="R33" s="20"/>
      <c r="S33" s="20" t="s">
        <v>2707</v>
      </c>
      <c r="T33" s="20" t="s">
        <v>2707</v>
      </c>
      <c r="U33" s="19">
        <v>25</v>
      </c>
    </row>
    <row r="34" spans="1:21" ht="15.75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</row>
    <row r="35" spans="1:21" ht="15.75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</row>
    <row r="36" spans="1:21" ht="15.75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</row>
    <row r="37" spans="1:21" ht="15.75" x14ac:dyDescent="0.25">
      <c r="A37" s="37" t="s">
        <v>2788</v>
      </c>
      <c r="B37" s="36" t="str">
        <f>A37</f>
        <v>Зд1</v>
      </c>
      <c r="C37" s="36" t="s">
        <v>2784</v>
      </c>
      <c r="D37" s="36" t="s">
        <v>2787</v>
      </c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5"/>
    </row>
    <row r="38" spans="1:21" ht="15.75" x14ac:dyDescent="0.25">
      <c r="A38" s="18" t="str">
        <f>A37</f>
        <v>Зд1</v>
      </c>
      <c r="B38" s="28">
        <v>1</v>
      </c>
      <c r="C38" s="28" t="s">
        <v>2710</v>
      </c>
      <c r="D38" s="28" t="s">
        <v>2786</v>
      </c>
      <c r="E38" s="28">
        <v>1</v>
      </c>
      <c r="F38" s="25">
        <v>3.77</v>
      </c>
      <c r="G38" s="20"/>
      <c r="H38" s="20"/>
      <c r="I38" s="20"/>
      <c r="J38" s="20"/>
      <c r="K38" s="20">
        <v>1000</v>
      </c>
      <c r="L38" s="20" t="s">
        <v>2046</v>
      </c>
      <c r="M38" s="20" t="s">
        <v>2071</v>
      </c>
      <c r="N38" s="20"/>
      <c r="O38" s="20" t="s">
        <v>5</v>
      </c>
      <c r="P38" s="20"/>
      <c r="Q38" s="20"/>
      <c r="R38" s="20"/>
      <c r="S38" s="20"/>
      <c r="T38" s="20"/>
      <c r="U38" s="19"/>
    </row>
    <row r="39" spans="1:21" ht="31.5" x14ac:dyDescent="0.25">
      <c r="A39" s="18" t="str">
        <f>A38</f>
        <v>Зд1</v>
      </c>
      <c r="B39" s="20">
        <v>2</v>
      </c>
      <c r="C39" s="20" t="s">
        <v>2780</v>
      </c>
      <c r="D39" s="20" t="s">
        <v>2779</v>
      </c>
      <c r="E39" s="20">
        <v>4</v>
      </c>
      <c r="F39" s="25">
        <v>0.39500000000000002</v>
      </c>
      <c r="G39" s="20"/>
      <c r="H39" s="20">
        <v>200</v>
      </c>
      <c r="I39" s="20">
        <v>8</v>
      </c>
      <c r="J39" s="20" t="s">
        <v>2</v>
      </c>
      <c r="K39" s="20"/>
      <c r="L39" s="20"/>
      <c r="M39" s="20"/>
      <c r="N39" s="20"/>
      <c r="O39" s="20"/>
      <c r="P39" s="20"/>
      <c r="Q39" s="20"/>
      <c r="R39" s="20"/>
      <c r="S39" s="20" t="s">
        <v>2707</v>
      </c>
      <c r="T39" s="20" t="s">
        <v>2707</v>
      </c>
      <c r="U39" s="19">
        <v>20</v>
      </c>
    </row>
    <row r="40" spans="1:21" ht="15.75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</row>
    <row r="41" spans="1:21" ht="15.75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</row>
    <row r="42" spans="1:21" ht="15.75" x14ac:dyDescent="0.25">
      <c r="A42" s="37" t="s">
        <v>2785</v>
      </c>
      <c r="B42" s="36" t="str">
        <f>A42</f>
        <v>Зд2</v>
      </c>
      <c r="C42" s="36" t="s">
        <v>2784</v>
      </c>
      <c r="D42" s="36" t="s">
        <v>2783</v>
      </c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5"/>
    </row>
    <row r="43" spans="1:21" ht="15.75" x14ac:dyDescent="0.25">
      <c r="A43" s="18" t="str">
        <f>A42</f>
        <v>Зд2</v>
      </c>
      <c r="B43" s="28">
        <v>1</v>
      </c>
      <c r="C43" s="28" t="s">
        <v>2782</v>
      </c>
      <c r="D43" s="28" t="s">
        <v>2781</v>
      </c>
      <c r="E43" s="28">
        <v>1</v>
      </c>
      <c r="F43" s="25">
        <v>47.1</v>
      </c>
      <c r="G43" s="20"/>
      <c r="H43" s="20"/>
      <c r="I43" s="20"/>
      <c r="J43" s="20"/>
      <c r="K43" s="25">
        <f>100*200</f>
        <v>20000</v>
      </c>
      <c r="L43" s="20" t="s">
        <v>2356</v>
      </c>
      <c r="M43" s="20" t="s">
        <v>2602</v>
      </c>
      <c r="N43" s="20"/>
      <c r="O43" s="20" t="s">
        <v>5</v>
      </c>
      <c r="P43" s="20"/>
      <c r="Q43" s="20"/>
      <c r="R43" s="20"/>
      <c r="S43" s="20"/>
      <c r="T43" s="20"/>
      <c r="U43" s="19"/>
    </row>
    <row r="44" spans="1:21" ht="32.25" thickBot="1" x14ac:dyDescent="0.3">
      <c r="A44" s="21" t="str">
        <f>A43</f>
        <v>Зд2</v>
      </c>
      <c r="B44" s="22">
        <v>2</v>
      </c>
      <c r="C44" s="22" t="s">
        <v>2780</v>
      </c>
      <c r="D44" s="22" t="s">
        <v>2779</v>
      </c>
      <c r="E44" s="22">
        <v>2</v>
      </c>
      <c r="F44" s="17">
        <v>0.39500000000000002</v>
      </c>
      <c r="G44" s="22"/>
      <c r="H44" s="22">
        <v>250</v>
      </c>
      <c r="I44" s="22">
        <v>8</v>
      </c>
      <c r="J44" s="22" t="s">
        <v>2</v>
      </c>
      <c r="K44" s="22"/>
      <c r="L44" s="22"/>
      <c r="M44" s="22"/>
      <c r="N44" s="22"/>
      <c r="O44" s="22"/>
      <c r="P44" s="22"/>
      <c r="Q44" s="22"/>
      <c r="R44" s="22"/>
      <c r="S44" s="22" t="s">
        <v>2707</v>
      </c>
      <c r="T44" s="22" t="s">
        <v>2707</v>
      </c>
      <c r="U44" s="23">
        <v>20</v>
      </c>
    </row>
  </sheetData>
  <mergeCells count="11">
    <mergeCell ref="S1:U1"/>
    <mergeCell ref="A1:A2"/>
    <mergeCell ref="B1:B2"/>
    <mergeCell ref="C1:C2"/>
    <mergeCell ref="D1:D2"/>
    <mergeCell ref="E1:E2"/>
    <mergeCell ref="F1:F2"/>
    <mergeCell ref="G1:G2"/>
    <mergeCell ref="H1:J1"/>
    <mergeCell ref="K1:Q1"/>
    <mergeCell ref="R1:R2"/>
  </mergeCells>
  <conditionalFormatting sqref="A1:H1 A3:U44 H2:Q2 K1 R1:S1 S2:U2">
    <cfRule type="containsText" dxfId="153" priority="2" stopIfTrue="1" operator="containsText" text="С ЛИСТА">
      <formula>NOT(ISERROR(SEARCH("С ЛИСТА",A1)))</formula>
    </cfRule>
    <cfRule type="containsText" dxfId="152" priority="3" stopIfTrue="1" operator="containsText" text="ИЗ ФАЙЛА">
      <formula>NOT(ISERROR(SEARCH("ИЗ ФАЙЛА",A1)))</formula>
    </cfRule>
    <cfRule type="containsText" dxfId="151" priority="4" stopIfTrue="1" operator="containsText" text="!!!">
      <formula>NOT(ISERROR(SEARCH("!!!",A1)))</formula>
    </cfRule>
    <cfRule type="containsText" dxfId="150" priority="5" stopIfTrue="1" operator="containsText" text=" Изделия ">
      <formula>NOT(ISERROR(SEARCH(" Изделия ",A1)))</formula>
    </cfRule>
    <cfRule type="containsText" dxfId="149" priority="6" stopIfTrue="1" operator="containsText" text=" Прокат ">
      <formula>NOT(ISERROR(SEARCH(" Прокат ",A1)))</formula>
    </cfRule>
    <cfRule type="containsText" dxfId="148" priority="7" stopIfTrue="1" operator="containsText" text=" Сборочные единицы ">
      <formula>NOT(ISERROR(SEARCH(" Сборочные единицы ",A1)))</formula>
    </cfRule>
    <cfRule type="containsText" dxfId="147" priority="8" stopIfTrue="1" operator="containsText" text=" Материалы ">
      <formula>NOT(ISERROR(SEARCH(" Материалы ",A1)))</formula>
    </cfRule>
    <cfRule type="containsText" dxfId="146" priority="9" stopIfTrue="1" operator="containsText" text="Элементы на отм.">
      <formula>NOT(ISERROR(SEARCH("Элементы на отм.",A1)))</formula>
    </cfRule>
    <cfRule type="containsText" dxfId="145" priority="10" stopIfTrue="1" operator="containsText" text=", на ">
      <formula>NOT(ISERROR(SEARCH(", на ",A1)))</formula>
    </cfRule>
    <cfRule type="containsText" dxfId="144" priority="11" stopIfTrue="1" operator="containsText" text="шт.)">
      <formula>NOT(ISERROR(SEARCH("шт.)",A1)))</formula>
    </cfRule>
  </conditionalFormatting>
  <conditionalFormatting sqref="A1:U1048576">
    <cfRule type="expression" dxfId="143" priority="1">
      <formula>ISERROR(A1)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I44 I39 I32:I33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M43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M38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I27:I28 I22:I23 I16:I17 I11:I12 I6:I7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P3:P44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O3:O44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L3:L44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J3:J44</xm:sqref>
        </x14:dataValidation>
        <x14:dataValidation type="list" errorStyle="warning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G3:G44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theme="7" tint="0.39997558519241921"/>
  </sheetPr>
  <dimension ref="A1:L24"/>
  <sheetViews>
    <sheetView workbookViewId="0">
      <selection activeCell="G25" sqref="G25"/>
    </sheetView>
  </sheetViews>
  <sheetFormatPr defaultRowHeight="15" x14ac:dyDescent="0.25"/>
  <cols>
    <col min="1" max="1" width="5.42578125" style="11" customWidth="1"/>
    <col min="2" max="2" width="27" style="11" customWidth="1"/>
    <col min="3" max="3" width="21.7109375" style="11" customWidth="1"/>
    <col min="4" max="4" width="8.140625" style="11" customWidth="1"/>
    <col min="5" max="5" width="21.7109375" style="11" customWidth="1"/>
    <col min="6" max="6" width="8.140625" style="11" customWidth="1"/>
    <col min="7" max="7" width="21.7109375" style="11" customWidth="1"/>
    <col min="8" max="8" width="8.140625" style="11" customWidth="1"/>
    <col min="9" max="9" width="21.7109375" style="11" customWidth="1"/>
    <col min="10" max="11" width="8.140625" style="11" customWidth="1"/>
    <col min="12" max="12" width="16.28515625" style="11" customWidth="1"/>
    <col min="13" max="16384" width="9.140625" style="11"/>
  </cols>
  <sheetData>
    <row r="1" spans="1:12" ht="15.75" x14ac:dyDescent="0.25">
      <c r="A1" s="80" t="s">
        <v>2668</v>
      </c>
      <c r="B1" s="82" t="s">
        <v>2669</v>
      </c>
      <c r="C1" s="82" t="s">
        <v>2670</v>
      </c>
      <c r="D1" s="82"/>
      <c r="E1" s="82"/>
      <c r="F1" s="82"/>
      <c r="G1" s="82"/>
      <c r="H1" s="82"/>
      <c r="I1" s="82"/>
      <c r="J1" s="82"/>
      <c r="K1" s="82"/>
      <c r="L1" s="68" t="s">
        <v>2671</v>
      </c>
    </row>
    <row r="2" spans="1:12" ht="41.25" thickBot="1" x14ac:dyDescent="0.3">
      <c r="A2" s="81"/>
      <c r="B2" s="83"/>
      <c r="C2" s="50" t="s">
        <v>2672</v>
      </c>
      <c r="D2" s="13" t="s">
        <v>2673</v>
      </c>
      <c r="E2" s="50" t="s">
        <v>2674</v>
      </c>
      <c r="F2" s="13" t="s">
        <v>2673</v>
      </c>
      <c r="G2" s="50" t="s">
        <v>2719</v>
      </c>
      <c r="H2" s="13" t="s">
        <v>2673</v>
      </c>
      <c r="I2" s="50" t="s">
        <v>2675</v>
      </c>
      <c r="J2" s="13" t="s">
        <v>2673</v>
      </c>
      <c r="K2" s="13" t="s">
        <v>2676</v>
      </c>
      <c r="L2" s="69"/>
    </row>
    <row r="3" spans="1:12" ht="25.5" x14ac:dyDescent="0.25">
      <c r="A3" s="70" t="s">
        <v>2720</v>
      </c>
      <c r="B3" s="12" t="s">
        <v>2844</v>
      </c>
      <c r="C3" s="12" t="s">
        <v>2721</v>
      </c>
      <c r="D3" s="14">
        <v>19.2</v>
      </c>
      <c r="E3" s="12" t="s">
        <v>2722</v>
      </c>
      <c r="F3" s="14">
        <v>91.2</v>
      </c>
      <c r="G3" s="12" t="s">
        <v>2722</v>
      </c>
      <c r="H3" s="14">
        <v>8.1</v>
      </c>
      <c r="I3" s="84" t="s">
        <v>4</v>
      </c>
      <c r="J3" s="78" t="s">
        <v>4</v>
      </c>
      <c r="K3" s="78" t="s">
        <v>4</v>
      </c>
      <c r="L3" s="73" t="s">
        <v>2723</v>
      </c>
    </row>
    <row r="4" spans="1:12" ht="25.5" x14ac:dyDescent="0.25">
      <c r="A4" s="71"/>
      <c r="B4" s="88" t="s">
        <v>2844</v>
      </c>
      <c r="C4" s="88" t="s">
        <v>2679</v>
      </c>
      <c r="D4" s="90">
        <v>19.2</v>
      </c>
      <c r="E4" s="42" t="s">
        <v>2724</v>
      </c>
      <c r="F4" s="15">
        <v>79.399999999999991</v>
      </c>
      <c r="G4" s="42" t="s">
        <v>2724</v>
      </c>
      <c r="H4" s="15">
        <v>6.2</v>
      </c>
      <c r="I4" s="84"/>
      <c r="J4" s="78"/>
      <c r="K4" s="78"/>
      <c r="L4" s="74"/>
    </row>
    <row r="5" spans="1:12" ht="25.5" x14ac:dyDescent="0.25">
      <c r="A5" s="71"/>
      <c r="B5" s="84"/>
      <c r="C5" s="84"/>
      <c r="D5" s="78"/>
      <c r="E5" s="42" t="s">
        <v>2711</v>
      </c>
      <c r="F5" s="15">
        <v>77.599999999999994</v>
      </c>
      <c r="G5" s="88" t="s">
        <v>2664</v>
      </c>
      <c r="H5" s="90">
        <v>14.3</v>
      </c>
      <c r="I5" s="84"/>
      <c r="J5" s="78"/>
      <c r="K5" s="78"/>
      <c r="L5" s="74"/>
    </row>
    <row r="6" spans="1:12" ht="26.25" thickBot="1" x14ac:dyDescent="0.3">
      <c r="A6" s="72"/>
      <c r="B6" s="85"/>
      <c r="C6" s="85"/>
      <c r="D6" s="79"/>
      <c r="E6" s="48" t="s">
        <v>2714</v>
      </c>
      <c r="F6" s="49">
        <v>93</v>
      </c>
      <c r="G6" s="85"/>
      <c r="H6" s="79"/>
      <c r="I6" s="85"/>
      <c r="J6" s="79"/>
      <c r="K6" s="79"/>
      <c r="L6" s="75"/>
    </row>
    <row r="7" spans="1:12" ht="25.5" x14ac:dyDescent="0.25">
      <c r="A7" s="76" t="s">
        <v>2725</v>
      </c>
      <c r="B7" s="45" t="s">
        <v>2873</v>
      </c>
      <c r="C7" s="45" t="s">
        <v>2726</v>
      </c>
      <c r="D7" s="24">
        <v>66.400000000000006</v>
      </c>
      <c r="E7" s="45" t="s">
        <v>2727</v>
      </c>
      <c r="F7" s="24">
        <v>98.8</v>
      </c>
      <c r="G7" s="45" t="s">
        <v>2727</v>
      </c>
      <c r="H7" s="24">
        <v>16.200000000000003</v>
      </c>
      <c r="I7" s="45" t="s">
        <v>2657</v>
      </c>
      <c r="J7" s="24">
        <v>108.1</v>
      </c>
      <c r="K7" s="86" t="s">
        <v>2728</v>
      </c>
      <c r="L7" s="77" t="s">
        <v>2729</v>
      </c>
    </row>
    <row r="8" spans="1:12" ht="25.5" x14ac:dyDescent="0.25">
      <c r="A8" s="71"/>
      <c r="B8" s="88" t="s">
        <v>2873</v>
      </c>
      <c r="C8" s="88" t="s">
        <v>2677</v>
      </c>
      <c r="D8" s="90">
        <v>66.400000000000006</v>
      </c>
      <c r="E8" s="42" t="s">
        <v>2713</v>
      </c>
      <c r="F8" s="15">
        <v>38.9</v>
      </c>
      <c r="G8" s="88" t="s">
        <v>2664</v>
      </c>
      <c r="H8" s="90">
        <v>32.299999999999997</v>
      </c>
      <c r="I8" s="42" t="s">
        <v>2664</v>
      </c>
      <c r="J8" s="15">
        <v>12.1</v>
      </c>
      <c r="K8" s="78"/>
      <c r="L8" s="74"/>
    </row>
    <row r="9" spans="1:12" ht="25.5" x14ac:dyDescent="0.25">
      <c r="A9" s="71"/>
      <c r="B9" s="84"/>
      <c r="C9" s="84"/>
      <c r="D9" s="78"/>
      <c r="E9" s="42" t="s">
        <v>2711</v>
      </c>
      <c r="F9" s="15">
        <v>93.5</v>
      </c>
      <c r="G9" s="84"/>
      <c r="H9" s="78"/>
      <c r="I9" s="42" t="s">
        <v>2713</v>
      </c>
      <c r="J9" s="15">
        <v>21.6</v>
      </c>
      <c r="K9" s="78"/>
      <c r="L9" s="74"/>
    </row>
    <row r="10" spans="1:12" ht="25.5" x14ac:dyDescent="0.25">
      <c r="A10" s="71"/>
      <c r="B10" s="84"/>
      <c r="C10" s="84"/>
      <c r="D10" s="78"/>
      <c r="E10" s="42" t="s">
        <v>2715</v>
      </c>
      <c r="F10" s="15">
        <v>34.5</v>
      </c>
      <c r="G10" s="84"/>
      <c r="H10" s="78"/>
      <c r="I10" s="42" t="s">
        <v>2711</v>
      </c>
      <c r="J10" s="15">
        <v>31.2</v>
      </c>
      <c r="K10" s="78"/>
      <c r="L10" s="74"/>
    </row>
    <row r="11" spans="1:12" ht="25.5" x14ac:dyDescent="0.25">
      <c r="A11" s="71"/>
      <c r="B11" s="84"/>
      <c r="C11" s="84"/>
      <c r="D11" s="78"/>
      <c r="E11" s="88" t="s">
        <v>2714</v>
      </c>
      <c r="F11" s="90">
        <v>74.400000000000006</v>
      </c>
      <c r="G11" s="84"/>
      <c r="H11" s="78"/>
      <c r="I11" s="42" t="s">
        <v>2715</v>
      </c>
      <c r="J11" s="15">
        <v>18</v>
      </c>
      <c r="K11" s="78"/>
      <c r="L11" s="74"/>
    </row>
    <row r="12" spans="1:12" ht="22.7" customHeight="1" x14ac:dyDescent="0.25">
      <c r="A12" s="71"/>
      <c r="B12" s="84"/>
      <c r="C12" s="84"/>
      <c r="D12" s="78"/>
      <c r="E12" s="84"/>
      <c r="F12" s="78"/>
      <c r="G12" s="84"/>
      <c r="H12" s="78"/>
      <c r="I12" s="88" t="s">
        <v>2714</v>
      </c>
      <c r="J12" s="90">
        <v>25.2</v>
      </c>
      <c r="K12" s="78"/>
      <c r="L12" s="74"/>
    </row>
    <row r="13" spans="1:12" ht="22.7" customHeight="1" thickBot="1" x14ac:dyDescent="0.3">
      <c r="A13" s="72"/>
      <c r="B13" s="84"/>
      <c r="C13" s="84"/>
      <c r="D13" s="78"/>
      <c r="E13" s="85"/>
      <c r="F13" s="79"/>
      <c r="G13" s="85"/>
      <c r="H13" s="79"/>
      <c r="I13" s="85"/>
      <c r="J13" s="79"/>
      <c r="K13" s="79"/>
      <c r="L13" s="87"/>
    </row>
    <row r="14" spans="1:12" ht="15" customHeight="1" x14ac:dyDescent="0.25">
      <c r="A14" s="76" t="s">
        <v>2680</v>
      </c>
      <c r="B14" s="91"/>
      <c r="C14" s="91"/>
      <c r="D14" s="77"/>
      <c r="E14" s="92" t="s">
        <v>2389</v>
      </c>
      <c r="F14" s="92"/>
      <c r="G14" s="92"/>
      <c r="H14" s="92"/>
      <c r="I14" s="43" t="s">
        <v>2389</v>
      </c>
      <c r="J14" s="43" t="s">
        <v>2389</v>
      </c>
      <c r="K14" s="43" t="s">
        <v>2389</v>
      </c>
      <c r="L14" s="43" t="s">
        <v>2389</v>
      </c>
    </row>
    <row r="15" spans="1:12" ht="15" customHeight="1" x14ac:dyDescent="0.25">
      <c r="A15" s="71" t="s">
        <v>2730</v>
      </c>
      <c r="B15" s="93"/>
      <c r="C15" s="93"/>
      <c r="D15" s="46">
        <v>19.2</v>
      </c>
      <c r="E15" s="92" t="s">
        <v>2389</v>
      </c>
      <c r="F15" s="92"/>
      <c r="G15" s="92"/>
      <c r="H15" s="43" t="s">
        <v>2389</v>
      </c>
      <c r="I15" s="43" t="s">
        <v>2389</v>
      </c>
      <c r="J15" s="43" t="s">
        <v>2389</v>
      </c>
      <c r="K15" s="43" t="s">
        <v>2389</v>
      </c>
      <c r="L15" s="43" t="s">
        <v>2389</v>
      </c>
    </row>
    <row r="16" spans="1:12" ht="15" customHeight="1" x14ac:dyDescent="0.25">
      <c r="A16" s="71" t="s">
        <v>2731</v>
      </c>
      <c r="B16" s="93"/>
      <c r="C16" s="93"/>
      <c r="D16" s="46">
        <v>66.400000000000006</v>
      </c>
      <c r="E16" s="92" t="s">
        <v>2389</v>
      </c>
      <c r="F16" s="92"/>
      <c r="G16" s="92"/>
      <c r="H16" s="43" t="s">
        <v>2389</v>
      </c>
      <c r="I16" s="43" t="s">
        <v>2389</v>
      </c>
      <c r="J16" s="43" t="s">
        <v>2389</v>
      </c>
      <c r="K16" s="43" t="s">
        <v>2389</v>
      </c>
      <c r="L16" s="43" t="s">
        <v>2389</v>
      </c>
    </row>
    <row r="17" spans="1:12" ht="15" customHeight="1" x14ac:dyDescent="0.25">
      <c r="A17" s="71" t="s">
        <v>2835</v>
      </c>
      <c r="B17" s="93"/>
      <c r="C17" s="93"/>
      <c r="D17" s="46">
        <v>19.2</v>
      </c>
      <c r="E17" s="92" t="s">
        <v>2389</v>
      </c>
      <c r="F17" s="92"/>
      <c r="G17" s="92"/>
      <c r="H17" s="43" t="s">
        <v>2389</v>
      </c>
      <c r="I17" s="43" t="s">
        <v>2389</v>
      </c>
      <c r="J17" s="43" t="s">
        <v>2389</v>
      </c>
      <c r="K17" s="43" t="s">
        <v>2389</v>
      </c>
      <c r="L17" s="43" t="s">
        <v>2389</v>
      </c>
    </row>
    <row r="18" spans="1:12" ht="15" customHeight="1" x14ac:dyDescent="0.25">
      <c r="A18" s="71" t="s">
        <v>2836</v>
      </c>
      <c r="B18" s="93"/>
      <c r="C18" s="93"/>
      <c r="D18" s="46">
        <v>66.400000000000006</v>
      </c>
      <c r="E18" s="92" t="s">
        <v>2389</v>
      </c>
      <c r="F18" s="92"/>
      <c r="G18" s="92"/>
      <c r="H18" s="43" t="s">
        <v>2389</v>
      </c>
      <c r="I18" s="43" t="s">
        <v>2389</v>
      </c>
      <c r="J18" s="43" t="s">
        <v>2389</v>
      </c>
      <c r="K18" s="43" t="s">
        <v>2389</v>
      </c>
      <c r="L18" s="43" t="s">
        <v>2389</v>
      </c>
    </row>
    <row r="19" spans="1:12" ht="15" customHeight="1" x14ac:dyDescent="0.25">
      <c r="A19" s="71" t="s">
        <v>2657</v>
      </c>
      <c r="B19" s="93"/>
      <c r="C19" s="93"/>
      <c r="D19" s="46">
        <v>207.39999999999998</v>
      </c>
      <c r="E19" s="92" t="s">
        <v>2389</v>
      </c>
      <c r="F19" s="92"/>
      <c r="G19" s="92"/>
      <c r="H19" s="43" t="s">
        <v>2389</v>
      </c>
      <c r="I19" s="43" t="s">
        <v>2389</v>
      </c>
      <c r="J19" s="43" t="s">
        <v>2389</v>
      </c>
      <c r="K19" s="43" t="s">
        <v>2389</v>
      </c>
      <c r="L19" s="43" t="s">
        <v>2389</v>
      </c>
    </row>
    <row r="20" spans="1:12" ht="15" customHeight="1" x14ac:dyDescent="0.25">
      <c r="A20" s="71" t="s">
        <v>2726</v>
      </c>
      <c r="B20" s="93"/>
      <c r="C20" s="93"/>
      <c r="D20" s="46">
        <v>200.59999999999997</v>
      </c>
      <c r="E20" s="92" t="s">
        <v>2389</v>
      </c>
      <c r="F20" s="92"/>
      <c r="G20" s="92"/>
      <c r="H20" s="43" t="s">
        <v>2389</v>
      </c>
      <c r="I20" s="43" t="s">
        <v>2389</v>
      </c>
      <c r="J20" s="43" t="s">
        <v>2389</v>
      </c>
      <c r="K20" s="43" t="s">
        <v>2389</v>
      </c>
      <c r="L20" s="43" t="s">
        <v>2389</v>
      </c>
    </row>
    <row r="21" spans="1:12" ht="15" customHeight="1" x14ac:dyDescent="0.25">
      <c r="A21" s="71" t="s">
        <v>2711</v>
      </c>
      <c r="B21" s="93"/>
      <c r="C21" s="93"/>
      <c r="D21" s="46">
        <v>202.29999999999998</v>
      </c>
      <c r="E21" s="92" t="s">
        <v>2389</v>
      </c>
      <c r="F21" s="92"/>
      <c r="G21" s="92"/>
      <c r="H21" s="43" t="s">
        <v>2389</v>
      </c>
      <c r="I21" s="43" t="s">
        <v>2389</v>
      </c>
      <c r="J21" s="43" t="s">
        <v>2389</v>
      </c>
      <c r="K21" s="43" t="s">
        <v>2389</v>
      </c>
      <c r="L21" s="43" t="s">
        <v>2389</v>
      </c>
    </row>
    <row r="22" spans="1:12" ht="15" customHeight="1" x14ac:dyDescent="0.25">
      <c r="A22" s="71" t="s">
        <v>2714</v>
      </c>
      <c r="B22" s="93"/>
      <c r="C22" s="93"/>
      <c r="D22" s="46">
        <v>192.6</v>
      </c>
      <c r="E22" s="92" t="s">
        <v>2389</v>
      </c>
      <c r="F22" s="92"/>
      <c r="G22" s="92"/>
      <c r="H22" s="43" t="s">
        <v>2389</v>
      </c>
      <c r="I22" s="43" t="s">
        <v>2389</v>
      </c>
      <c r="J22" s="43" t="s">
        <v>2389</v>
      </c>
      <c r="K22" s="43" t="s">
        <v>2389</v>
      </c>
      <c r="L22" s="43" t="s">
        <v>2389</v>
      </c>
    </row>
    <row r="23" spans="1:12" ht="15" customHeight="1" x14ac:dyDescent="0.25">
      <c r="A23" s="71" t="s">
        <v>2713</v>
      </c>
      <c r="B23" s="93"/>
      <c r="C23" s="93"/>
      <c r="D23" s="46">
        <v>60.5</v>
      </c>
      <c r="E23" s="92" t="s">
        <v>2389</v>
      </c>
      <c r="F23" s="92"/>
      <c r="G23" s="92"/>
      <c r="H23" s="43" t="s">
        <v>2389</v>
      </c>
      <c r="I23" s="43" t="s">
        <v>2389</v>
      </c>
      <c r="J23" s="43" t="s">
        <v>2389</v>
      </c>
      <c r="K23" s="43" t="s">
        <v>2389</v>
      </c>
      <c r="L23" s="43" t="s">
        <v>2389</v>
      </c>
    </row>
    <row r="24" spans="1:12" ht="15" customHeight="1" thickBot="1" x14ac:dyDescent="0.3">
      <c r="A24" s="94" t="s">
        <v>2715</v>
      </c>
      <c r="B24" s="95"/>
      <c r="C24" s="95"/>
      <c r="D24" s="47">
        <v>52.5</v>
      </c>
      <c r="E24" s="92" t="s">
        <v>2389</v>
      </c>
      <c r="F24" s="92"/>
      <c r="G24" s="92"/>
      <c r="H24" s="43" t="s">
        <v>2389</v>
      </c>
      <c r="I24" s="43" t="s">
        <v>2389</v>
      </c>
      <c r="J24" s="43" t="s">
        <v>2389</v>
      </c>
      <c r="K24" s="43" t="s">
        <v>2389</v>
      </c>
      <c r="L24" s="43" t="s">
        <v>2389</v>
      </c>
    </row>
  </sheetData>
  <mergeCells count="48">
    <mergeCell ref="A24:C24"/>
    <mergeCell ref="E24:G24"/>
    <mergeCell ref="A21:C21"/>
    <mergeCell ref="E21:G21"/>
    <mergeCell ref="A22:C22"/>
    <mergeCell ref="E22:G22"/>
    <mergeCell ref="A23:C23"/>
    <mergeCell ref="E23:G23"/>
    <mergeCell ref="A18:C18"/>
    <mergeCell ref="E18:G18"/>
    <mergeCell ref="A19:C19"/>
    <mergeCell ref="E19:G19"/>
    <mergeCell ref="A20:C20"/>
    <mergeCell ref="E20:G20"/>
    <mergeCell ref="A15:C15"/>
    <mergeCell ref="E15:G15"/>
    <mergeCell ref="A16:C16"/>
    <mergeCell ref="E16:G16"/>
    <mergeCell ref="A17:C17"/>
    <mergeCell ref="E17:G17"/>
    <mergeCell ref="J3:J6"/>
    <mergeCell ref="J12:J13"/>
    <mergeCell ref="K3:K6"/>
    <mergeCell ref="K7:K13"/>
    <mergeCell ref="A14:D14"/>
    <mergeCell ref="E14:H14"/>
    <mergeCell ref="F11:F13"/>
    <mergeCell ref="G5:G6"/>
    <mergeCell ref="G8:G13"/>
    <mergeCell ref="H5:H6"/>
    <mergeCell ref="H8:H13"/>
    <mergeCell ref="I3:I6"/>
    <mergeCell ref="I12:I13"/>
    <mergeCell ref="C1:K1"/>
    <mergeCell ref="L1:L2"/>
    <mergeCell ref="A3:A6"/>
    <mergeCell ref="L3:L6"/>
    <mergeCell ref="A7:A13"/>
    <mergeCell ref="L7:L13"/>
    <mergeCell ref="B8:B13"/>
    <mergeCell ref="C8:C13"/>
    <mergeCell ref="D8:D13"/>
    <mergeCell ref="E11:E13"/>
    <mergeCell ref="B4:B6"/>
    <mergeCell ref="C4:C6"/>
    <mergeCell ref="D4:D6"/>
    <mergeCell ref="A1:A2"/>
    <mergeCell ref="B1:B2"/>
  </mergeCells>
  <conditionalFormatting sqref="A1:L24">
    <cfRule type="containsText" dxfId="142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7" tint="0.39997558519241921"/>
  </sheetPr>
  <dimension ref="A1:C28"/>
  <sheetViews>
    <sheetView workbookViewId="0">
      <selection sqref="A1:C1"/>
    </sheetView>
  </sheetViews>
  <sheetFormatPr defaultRowHeight="15" x14ac:dyDescent="0.25"/>
  <cols>
    <col min="1" max="1" width="60.7109375" style="9" customWidth="1"/>
    <col min="2" max="2" width="40.7109375" style="9" customWidth="1"/>
    <col min="3" max="3" width="60.7109375" style="9" customWidth="1"/>
    <col min="4" max="16384" width="9.140625" style="9"/>
  </cols>
  <sheetData>
    <row r="1" spans="1:3" ht="45" customHeight="1" x14ac:dyDescent="0.25">
      <c r="A1" s="96" t="s">
        <v>2653</v>
      </c>
      <c r="B1" s="96" t="s">
        <v>2654</v>
      </c>
      <c r="C1" s="96" t="s">
        <v>2655</v>
      </c>
    </row>
    <row r="2" spans="1:3" x14ac:dyDescent="0.25">
      <c r="A2" s="97" t="s">
        <v>2656</v>
      </c>
      <c r="B2" s="97" t="s">
        <v>2657</v>
      </c>
      <c r="C2" s="97" t="s">
        <v>2658</v>
      </c>
    </row>
    <row r="3" spans="1:3" x14ac:dyDescent="0.25">
      <c r="A3" s="97" t="s">
        <v>2659</v>
      </c>
      <c r="B3" s="97" t="s">
        <v>2657</v>
      </c>
      <c r="C3" s="97" t="s">
        <v>2660</v>
      </c>
    </row>
    <row r="4" spans="1:3" x14ac:dyDescent="0.25">
      <c r="A4" s="97" t="s">
        <v>2661</v>
      </c>
      <c r="B4" s="97" t="s">
        <v>2662</v>
      </c>
      <c r="C4" s="97" t="s">
        <v>2663</v>
      </c>
    </row>
    <row r="5" spans="1:3" x14ac:dyDescent="0.25">
      <c r="A5" s="97" t="s">
        <v>2664</v>
      </c>
      <c r="B5" s="97" t="s">
        <v>2380</v>
      </c>
      <c r="C5" s="97" t="str">
        <f>A5</f>
        <v>ЖБ</v>
      </c>
    </row>
    <row r="6" spans="1:3" x14ac:dyDescent="0.25">
      <c r="A6" s="97" t="s">
        <v>2711</v>
      </c>
      <c r="B6" s="97" t="s">
        <v>2712</v>
      </c>
      <c r="C6" s="97" t="str">
        <f>A6</f>
        <v>Тип 2: Стена из газоблоков</v>
      </c>
    </row>
    <row r="7" spans="1:3" x14ac:dyDescent="0.25">
      <c r="A7" s="97" t="s">
        <v>2713</v>
      </c>
      <c r="B7" s="97" t="s">
        <v>2667</v>
      </c>
      <c r="C7" s="97" t="str">
        <f t="shared" ref="C7:C11" si="0">A7</f>
        <v>Тип 1: Наружная кирпичная стена</v>
      </c>
    </row>
    <row r="8" spans="1:3" x14ac:dyDescent="0.25">
      <c r="A8" s="97" t="s">
        <v>2714</v>
      </c>
      <c r="B8" s="97" t="s">
        <v>2666</v>
      </c>
      <c r="C8" s="97" t="str">
        <f t="shared" si="0"/>
        <v>Тип 4: ГКЛ перегородка тип С112</v>
      </c>
    </row>
    <row r="9" spans="1:3" x14ac:dyDescent="0.25">
      <c r="A9" s="97" t="s">
        <v>2715</v>
      </c>
      <c r="B9" s="97" t="s">
        <v>2716</v>
      </c>
      <c r="C9" s="97" t="str">
        <f t="shared" si="0"/>
        <v>Тип 3: Стена наружная железобетонная</v>
      </c>
    </row>
    <row r="10" spans="1:3" x14ac:dyDescent="0.25">
      <c r="A10" s="97" t="s">
        <v>2677</v>
      </c>
      <c r="B10" s="97" t="s">
        <v>2665</v>
      </c>
      <c r="C10" s="97" t="str">
        <f t="shared" si="0"/>
        <v>П1</v>
      </c>
    </row>
    <row r="11" spans="1:3" x14ac:dyDescent="0.25">
      <c r="A11" s="97" t="s">
        <v>2679</v>
      </c>
      <c r="B11" s="97" t="s">
        <v>2665</v>
      </c>
      <c r="C11" s="97" t="str">
        <f t="shared" si="0"/>
        <v>П2</v>
      </c>
    </row>
    <row r="12" spans="1:3" x14ac:dyDescent="0.25">
      <c r="A12" s="97" t="s">
        <v>2681</v>
      </c>
      <c r="B12" s="97" t="s">
        <v>2665</v>
      </c>
      <c r="C12" s="97" t="str">
        <f>A12</f>
        <v>Низ ж/б лестниц</v>
      </c>
    </row>
    <row r="13" spans="1:3" x14ac:dyDescent="0.25">
      <c r="A13" s="97"/>
      <c r="B13" s="97"/>
      <c r="C13" s="97"/>
    </row>
    <row r="14" spans="1:3" x14ac:dyDescent="0.25">
      <c r="A14" s="97"/>
      <c r="B14" s="97"/>
      <c r="C14" s="97"/>
    </row>
    <row r="15" spans="1:3" x14ac:dyDescent="0.25">
      <c r="A15" s="97"/>
      <c r="B15" s="97"/>
      <c r="C15" s="97"/>
    </row>
    <row r="16" spans="1:3" x14ac:dyDescent="0.25">
      <c r="A16" s="97"/>
      <c r="B16" s="97"/>
      <c r="C16" s="97"/>
    </row>
    <row r="17" spans="1:3" x14ac:dyDescent="0.25">
      <c r="A17" s="97"/>
      <c r="B17" s="97"/>
      <c r="C17" s="97"/>
    </row>
    <row r="18" spans="1:3" x14ac:dyDescent="0.25">
      <c r="A18" s="97"/>
      <c r="B18" s="97"/>
      <c r="C18" s="97"/>
    </row>
    <row r="19" spans="1:3" x14ac:dyDescent="0.25">
      <c r="A19" s="97"/>
      <c r="B19" s="97"/>
      <c r="C19" s="97"/>
    </row>
    <row r="20" spans="1:3" x14ac:dyDescent="0.25">
      <c r="A20" s="97"/>
      <c r="B20" s="97"/>
      <c r="C20" s="97"/>
    </row>
    <row r="21" spans="1:3" x14ac:dyDescent="0.25">
      <c r="A21" s="97"/>
      <c r="B21" s="97"/>
      <c r="C21" s="97"/>
    </row>
    <row r="22" spans="1:3" x14ac:dyDescent="0.25">
      <c r="A22" s="97"/>
      <c r="B22" s="97"/>
      <c r="C22" s="97"/>
    </row>
    <row r="23" spans="1:3" x14ac:dyDescent="0.25">
      <c r="A23" s="97"/>
      <c r="B23" s="97"/>
      <c r="C23" s="97"/>
    </row>
    <row r="24" spans="1:3" x14ac:dyDescent="0.25">
      <c r="A24" s="97"/>
      <c r="B24" s="97"/>
      <c r="C24" s="97"/>
    </row>
    <row r="25" spans="1:3" x14ac:dyDescent="0.25">
      <c r="A25" s="97"/>
      <c r="B25" s="97"/>
      <c r="C25" s="97"/>
    </row>
    <row r="26" spans="1:3" x14ac:dyDescent="0.25">
      <c r="A26" s="97"/>
      <c r="B26" s="97"/>
      <c r="C26" s="97"/>
    </row>
    <row r="27" spans="1:3" x14ac:dyDescent="0.25">
      <c r="A27" s="97"/>
      <c r="B27" s="97"/>
      <c r="C27" s="97"/>
    </row>
    <row r="28" spans="1:3" x14ac:dyDescent="0.25">
      <c r="A28" s="97"/>
      <c r="B28" s="97"/>
      <c r="C28" s="97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7" tint="0.39997558519241921"/>
  </sheetPr>
  <dimension ref="A1:M501"/>
  <sheetViews>
    <sheetView topLeftCell="A16" workbookViewId="0">
      <selection activeCell="K36" sqref="K36:K43"/>
    </sheetView>
  </sheetViews>
  <sheetFormatPr defaultRowHeight="15" x14ac:dyDescent="0.25"/>
  <cols>
    <col min="1" max="1" width="5.42578125" style="11" customWidth="1"/>
    <col min="2" max="2" width="27" style="11" customWidth="1"/>
    <col min="3" max="3" width="21.7109375" style="11" customWidth="1"/>
    <col min="4" max="4" width="8.140625" style="11" customWidth="1"/>
    <col min="5" max="5" width="21.7109375" style="11" customWidth="1"/>
    <col min="6" max="6" width="8.140625" style="11" customWidth="1"/>
    <col min="7" max="7" width="21.7109375" style="11" customWidth="1"/>
    <col min="8" max="8" width="8.140625" style="11" customWidth="1"/>
    <col min="9" max="9" width="21.7109375" style="11" customWidth="1"/>
    <col min="10" max="11" width="8.140625" style="11" customWidth="1"/>
    <col min="12" max="12" width="16.28515625" style="11" customWidth="1"/>
    <col min="13" max="16384" width="9.140625" style="11"/>
  </cols>
  <sheetData>
    <row r="1" spans="1:12" ht="15.75" x14ac:dyDescent="0.25">
      <c r="A1" s="80" t="s">
        <v>2806</v>
      </c>
      <c r="B1" s="82" t="s">
        <v>2807</v>
      </c>
      <c r="C1" s="82" t="s">
        <v>2670</v>
      </c>
      <c r="D1" s="82"/>
      <c r="E1" s="82"/>
      <c r="F1" s="82"/>
      <c r="G1" s="82"/>
      <c r="H1" s="82"/>
      <c r="I1" s="82"/>
      <c r="J1" s="82"/>
      <c r="K1" s="82"/>
      <c r="L1" s="68" t="s">
        <v>2671</v>
      </c>
    </row>
    <row r="2" spans="1:12" ht="41.25" thickBot="1" x14ac:dyDescent="0.3">
      <c r="A2" s="81"/>
      <c r="B2" s="83"/>
      <c r="C2" s="50" t="s">
        <v>2672</v>
      </c>
      <c r="D2" s="13" t="s">
        <v>2673</v>
      </c>
      <c r="E2" s="50" t="s">
        <v>2674</v>
      </c>
      <c r="F2" s="13" t="s">
        <v>2673</v>
      </c>
      <c r="G2" s="50" t="s">
        <v>2719</v>
      </c>
      <c r="H2" s="13" t="s">
        <v>2673</v>
      </c>
      <c r="I2" s="50" t="s">
        <v>2675</v>
      </c>
      <c r="J2" s="13" t="s">
        <v>2673</v>
      </c>
      <c r="K2" s="13" t="s">
        <v>2676</v>
      </c>
      <c r="L2" s="69"/>
    </row>
    <row r="3" spans="1:12" ht="22.7" customHeight="1" x14ac:dyDescent="0.25">
      <c r="A3" s="98" t="s">
        <v>2808</v>
      </c>
      <c r="B3" s="84" t="s">
        <v>2809</v>
      </c>
      <c r="C3" s="84" t="s">
        <v>4</v>
      </c>
      <c r="D3" s="78" t="s">
        <v>4</v>
      </c>
      <c r="E3" s="12" t="s">
        <v>2726</v>
      </c>
      <c r="F3" s="14">
        <v>163.4</v>
      </c>
      <c r="G3" s="12" t="s">
        <v>2726</v>
      </c>
      <c r="H3" s="14">
        <v>6.6</v>
      </c>
      <c r="I3" s="84" t="s">
        <v>4</v>
      </c>
      <c r="J3" s="78" t="s">
        <v>4</v>
      </c>
      <c r="K3" s="78" t="s">
        <v>4</v>
      </c>
      <c r="L3" s="73" t="s">
        <v>2810</v>
      </c>
    </row>
    <row r="4" spans="1:12" ht="25.5" x14ac:dyDescent="0.25">
      <c r="A4" s="99"/>
      <c r="B4" s="84"/>
      <c r="C4" s="84"/>
      <c r="D4" s="78"/>
      <c r="E4" s="42" t="s">
        <v>2713</v>
      </c>
      <c r="F4" s="15">
        <v>73</v>
      </c>
      <c r="G4" s="88" t="s">
        <v>2664</v>
      </c>
      <c r="H4" s="90">
        <v>6.6</v>
      </c>
      <c r="I4" s="84"/>
      <c r="J4" s="78"/>
      <c r="K4" s="78"/>
      <c r="L4" s="74"/>
    </row>
    <row r="5" spans="1:12" ht="26.25" thickBot="1" x14ac:dyDescent="0.3">
      <c r="A5" s="100"/>
      <c r="B5" s="85"/>
      <c r="C5" s="85"/>
      <c r="D5" s="79"/>
      <c r="E5" s="48" t="s">
        <v>2711</v>
      </c>
      <c r="F5" s="49">
        <v>90.4</v>
      </c>
      <c r="G5" s="85"/>
      <c r="H5" s="79"/>
      <c r="I5" s="85"/>
      <c r="J5" s="79"/>
      <c r="K5" s="79"/>
      <c r="L5" s="75"/>
    </row>
    <row r="6" spans="1:12" ht="25.5" x14ac:dyDescent="0.25">
      <c r="A6" s="101" t="s">
        <v>2811</v>
      </c>
      <c r="B6" s="89" t="s">
        <v>2812</v>
      </c>
      <c r="C6" s="45" t="s">
        <v>2726</v>
      </c>
      <c r="D6" s="24">
        <v>11</v>
      </c>
      <c r="E6" s="45" t="s">
        <v>2727</v>
      </c>
      <c r="F6" s="24">
        <v>17.5</v>
      </c>
      <c r="G6" s="45" t="s">
        <v>2727</v>
      </c>
      <c r="H6" s="24">
        <v>3.9</v>
      </c>
      <c r="I6" s="45" t="s">
        <v>2657</v>
      </c>
      <c r="J6" s="24">
        <v>17.700000000000003</v>
      </c>
      <c r="K6" s="86">
        <v>1.2</v>
      </c>
      <c r="L6" s="77" t="s">
        <v>2813</v>
      </c>
    </row>
    <row r="7" spans="1:12" ht="25.5" x14ac:dyDescent="0.25">
      <c r="A7" s="99"/>
      <c r="B7" s="84"/>
      <c r="C7" s="88" t="s">
        <v>2677</v>
      </c>
      <c r="D7" s="90">
        <v>11</v>
      </c>
      <c r="E7" s="42" t="s">
        <v>2713</v>
      </c>
      <c r="F7" s="15">
        <v>6.5</v>
      </c>
      <c r="G7" s="88" t="s">
        <v>2664</v>
      </c>
      <c r="H7" s="90">
        <v>6.8</v>
      </c>
      <c r="I7" s="42" t="s">
        <v>2664</v>
      </c>
      <c r="J7" s="15">
        <v>3</v>
      </c>
      <c r="K7" s="78"/>
      <c r="L7" s="74"/>
    </row>
    <row r="8" spans="1:12" ht="25.5" x14ac:dyDescent="0.25">
      <c r="A8" s="99"/>
      <c r="B8" s="84"/>
      <c r="C8" s="84"/>
      <c r="D8" s="78"/>
      <c r="E8" s="42" t="s">
        <v>2711</v>
      </c>
      <c r="F8" s="15">
        <v>21.8</v>
      </c>
      <c r="G8" s="84"/>
      <c r="H8" s="78"/>
      <c r="I8" s="42" t="s">
        <v>2713</v>
      </c>
      <c r="J8" s="15">
        <v>3.6</v>
      </c>
      <c r="K8" s="78"/>
      <c r="L8" s="74"/>
    </row>
    <row r="9" spans="1:12" ht="25.5" x14ac:dyDescent="0.25">
      <c r="A9" s="99"/>
      <c r="B9" s="84"/>
      <c r="C9" s="84"/>
      <c r="D9" s="78"/>
      <c r="E9" s="88" t="s">
        <v>2714</v>
      </c>
      <c r="F9" s="90">
        <v>12</v>
      </c>
      <c r="G9" s="84"/>
      <c r="H9" s="78"/>
      <c r="I9" s="42" t="s">
        <v>2711</v>
      </c>
      <c r="J9" s="15">
        <v>7.6</v>
      </c>
      <c r="K9" s="78"/>
      <c r="L9" s="74"/>
    </row>
    <row r="10" spans="1:12" ht="26.25" thickBot="1" x14ac:dyDescent="0.3">
      <c r="A10" s="100"/>
      <c r="B10" s="85"/>
      <c r="C10" s="85"/>
      <c r="D10" s="79"/>
      <c r="E10" s="85"/>
      <c r="F10" s="79"/>
      <c r="G10" s="85"/>
      <c r="H10" s="79"/>
      <c r="I10" s="48" t="s">
        <v>2714</v>
      </c>
      <c r="J10" s="49">
        <v>3.6</v>
      </c>
      <c r="K10" s="79"/>
      <c r="L10" s="75"/>
    </row>
    <row r="11" spans="1:12" ht="25.5" x14ac:dyDescent="0.25">
      <c r="A11" s="101" t="s">
        <v>2814</v>
      </c>
      <c r="B11" s="89" t="s">
        <v>2815</v>
      </c>
      <c r="C11" s="45" t="s">
        <v>2721</v>
      </c>
      <c r="D11" s="24">
        <v>3.2</v>
      </c>
      <c r="E11" s="45" t="s">
        <v>2722</v>
      </c>
      <c r="F11" s="24">
        <v>15.4</v>
      </c>
      <c r="G11" s="45" t="s">
        <v>2722</v>
      </c>
      <c r="H11" s="24">
        <v>1.4</v>
      </c>
      <c r="I11" s="89" t="s">
        <v>4</v>
      </c>
      <c r="J11" s="86" t="s">
        <v>4</v>
      </c>
      <c r="K11" s="86" t="s">
        <v>4</v>
      </c>
      <c r="L11" s="77" t="s">
        <v>2816</v>
      </c>
    </row>
    <row r="12" spans="1:12" ht="25.5" x14ac:dyDescent="0.25">
      <c r="A12" s="99"/>
      <c r="B12" s="84"/>
      <c r="C12" s="88" t="s">
        <v>2679</v>
      </c>
      <c r="D12" s="90">
        <v>3.2</v>
      </c>
      <c r="E12" s="42" t="s">
        <v>2724</v>
      </c>
      <c r="F12" s="15">
        <v>13.299999999999999</v>
      </c>
      <c r="G12" s="88" t="s">
        <v>2664</v>
      </c>
      <c r="H12" s="90">
        <v>1.4</v>
      </c>
      <c r="I12" s="84"/>
      <c r="J12" s="78"/>
      <c r="K12" s="78"/>
      <c r="L12" s="74"/>
    </row>
    <row r="13" spans="1:12" ht="25.5" x14ac:dyDescent="0.25">
      <c r="A13" s="99"/>
      <c r="B13" s="84"/>
      <c r="C13" s="84"/>
      <c r="D13" s="78"/>
      <c r="E13" s="42" t="s">
        <v>2711</v>
      </c>
      <c r="F13" s="15">
        <v>14.2</v>
      </c>
      <c r="G13" s="84"/>
      <c r="H13" s="78"/>
      <c r="I13" s="84"/>
      <c r="J13" s="78"/>
      <c r="K13" s="78"/>
      <c r="L13" s="74"/>
    </row>
    <row r="14" spans="1:12" ht="26.25" thickBot="1" x14ac:dyDescent="0.3">
      <c r="A14" s="100"/>
      <c r="B14" s="85"/>
      <c r="C14" s="85"/>
      <c r="D14" s="79"/>
      <c r="E14" s="48" t="s">
        <v>2714</v>
      </c>
      <c r="F14" s="49">
        <v>14.5</v>
      </c>
      <c r="G14" s="85"/>
      <c r="H14" s="79"/>
      <c r="I14" s="84"/>
      <c r="J14" s="79"/>
      <c r="K14" s="78"/>
      <c r="L14" s="75"/>
    </row>
    <row r="15" spans="1:12" ht="25.5" x14ac:dyDescent="0.25">
      <c r="A15" s="101" t="s">
        <v>2817</v>
      </c>
      <c r="B15" s="89" t="s">
        <v>2815</v>
      </c>
      <c r="C15" s="45" t="s">
        <v>2721</v>
      </c>
      <c r="D15" s="24">
        <v>3.2</v>
      </c>
      <c r="E15" s="45" t="s">
        <v>2722</v>
      </c>
      <c r="F15" s="24">
        <v>15</v>
      </c>
      <c r="G15" s="45" t="s">
        <v>2722</v>
      </c>
      <c r="H15" s="24">
        <v>1.4</v>
      </c>
      <c r="I15" s="84"/>
      <c r="J15" s="86" t="s">
        <v>4</v>
      </c>
      <c r="K15" s="78"/>
      <c r="L15" s="77" t="s">
        <v>2816</v>
      </c>
    </row>
    <row r="16" spans="1:12" ht="25.5" x14ac:dyDescent="0.25">
      <c r="A16" s="99"/>
      <c r="B16" s="84"/>
      <c r="C16" s="88" t="s">
        <v>2679</v>
      </c>
      <c r="D16" s="90">
        <v>3.2</v>
      </c>
      <c r="E16" s="42" t="s">
        <v>2724</v>
      </c>
      <c r="F16" s="15">
        <v>13.299999999999999</v>
      </c>
      <c r="G16" s="88" t="s">
        <v>2664</v>
      </c>
      <c r="H16" s="90">
        <v>1.4</v>
      </c>
      <c r="I16" s="84"/>
      <c r="J16" s="78"/>
      <c r="K16" s="78"/>
      <c r="L16" s="74"/>
    </row>
    <row r="17" spans="1:13" ht="25.5" x14ac:dyDescent="0.25">
      <c r="A17" s="99"/>
      <c r="B17" s="84"/>
      <c r="C17" s="84"/>
      <c r="D17" s="78"/>
      <c r="E17" s="42" t="s">
        <v>2711</v>
      </c>
      <c r="F17" s="15">
        <v>11.799999999999999</v>
      </c>
      <c r="G17" s="84"/>
      <c r="H17" s="78"/>
      <c r="I17" s="84"/>
      <c r="J17" s="78"/>
      <c r="K17" s="78"/>
      <c r="L17" s="74"/>
    </row>
    <row r="18" spans="1:13" ht="26.25" thickBot="1" x14ac:dyDescent="0.3">
      <c r="A18" s="100"/>
      <c r="B18" s="85"/>
      <c r="C18" s="85"/>
      <c r="D18" s="79"/>
      <c r="E18" s="48" t="s">
        <v>2714</v>
      </c>
      <c r="F18" s="49">
        <v>16.5</v>
      </c>
      <c r="G18" s="85"/>
      <c r="H18" s="79"/>
      <c r="I18" s="85"/>
      <c r="J18" s="79"/>
      <c r="K18" s="79"/>
      <c r="L18" s="75"/>
    </row>
    <row r="19" spans="1:13" ht="25.5" x14ac:dyDescent="0.25">
      <c r="A19" s="101" t="s">
        <v>2818</v>
      </c>
      <c r="B19" s="89" t="s">
        <v>2812</v>
      </c>
      <c r="C19" s="45" t="s">
        <v>2726</v>
      </c>
      <c r="D19" s="24">
        <v>11.2</v>
      </c>
      <c r="E19" s="45" t="s">
        <v>2727</v>
      </c>
      <c r="F19" s="24">
        <v>15.6</v>
      </c>
      <c r="G19" s="45" t="s">
        <v>2727</v>
      </c>
      <c r="H19" s="24">
        <v>1.6</v>
      </c>
      <c r="I19" s="45" t="s">
        <v>2657</v>
      </c>
      <c r="J19" s="24">
        <v>18.5</v>
      </c>
      <c r="K19" s="86">
        <v>1.2</v>
      </c>
      <c r="L19" s="77" t="s">
        <v>2819</v>
      </c>
      <c r="M19" s="103"/>
    </row>
    <row r="20" spans="1:13" ht="25.5" x14ac:dyDescent="0.25">
      <c r="A20" s="99"/>
      <c r="B20" s="84"/>
      <c r="C20" s="88" t="s">
        <v>2677</v>
      </c>
      <c r="D20" s="90">
        <v>11.2</v>
      </c>
      <c r="E20" s="42" t="s">
        <v>2713</v>
      </c>
      <c r="F20" s="15" t="s">
        <v>2839</v>
      </c>
      <c r="G20" s="88" t="s">
        <v>2664</v>
      </c>
      <c r="H20" s="90">
        <v>2.7</v>
      </c>
      <c r="I20" s="42" t="s">
        <v>2664</v>
      </c>
      <c r="J20" s="15">
        <v>1.2000000000000002</v>
      </c>
      <c r="K20" s="78"/>
      <c r="L20" s="74"/>
      <c r="M20" s="103"/>
    </row>
    <row r="21" spans="1:13" ht="25.5" x14ac:dyDescent="0.25">
      <c r="A21" s="99"/>
      <c r="B21" s="84"/>
      <c r="C21" s="84"/>
      <c r="D21" s="78"/>
      <c r="E21" s="42" t="s">
        <v>2711</v>
      </c>
      <c r="F21" s="15">
        <v>9.4</v>
      </c>
      <c r="G21" s="84"/>
      <c r="H21" s="78"/>
      <c r="I21" s="42" t="s">
        <v>2713</v>
      </c>
      <c r="J21" s="15" t="s">
        <v>2840</v>
      </c>
      <c r="K21" s="78"/>
      <c r="L21" s="74"/>
    </row>
    <row r="22" spans="1:13" ht="25.5" x14ac:dyDescent="0.25">
      <c r="A22" s="99"/>
      <c r="B22" s="84"/>
      <c r="C22" s="84"/>
      <c r="D22" s="78"/>
      <c r="E22" s="42" t="s">
        <v>2715</v>
      </c>
      <c r="F22" s="15" t="s">
        <v>2837</v>
      </c>
      <c r="G22" s="84"/>
      <c r="H22" s="78"/>
      <c r="I22" s="42" t="s">
        <v>2711</v>
      </c>
      <c r="J22" s="15">
        <v>2.9</v>
      </c>
      <c r="K22" s="78"/>
      <c r="L22" s="74"/>
    </row>
    <row r="23" spans="1:13" ht="25.5" x14ac:dyDescent="0.25">
      <c r="A23" s="99"/>
      <c r="B23" s="84"/>
      <c r="C23" s="84"/>
      <c r="D23" s="78"/>
      <c r="E23" s="88" t="s">
        <v>2714</v>
      </c>
      <c r="F23" s="90">
        <v>12.8</v>
      </c>
      <c r="G23" s="84"/>
      <c r="H23" s="78"/>
      <c r="I23" s="42" t="s">
        <v>2715</v>
      </c>
      <c r="J23" s="15" t="s">
        <v>2838</v>
      </c>
      <c r="K23" s="78"/>
      <c r="L23" s="74"/>
    </row>
    <row r="24" spans="1:13" ht="26.25" thickBot="1" x14ac:dyDescent="0.3">
      <c r="A24" s="100"/>
      <c r="B24" s="85"/>
      <c r="C24" s="85"/>
      <c r="D24" s="79"/>
      <c r="E24" s="85"/>
      <c r="F24" s="79"/>
      <c r="G24" s="85"/>
      <c r="H24" s="79"/>
      <c r="I24" s="48" t="s">
        <v>2714</v>
      </c>
      <c r="J24" s="49">
        <v>4.8</v>
      </c>
      <c r="K24" s="79"/>
      <c r="L24" s="75"/>
    </row>
    <row r="25" spans="1:13" ht="22.7" customHeight="1" x14ac:dyDescent="0.25">
      <c r="A25" s="101" t="s">
        <v>2820</v>
      </c>
      <c r="B25" s="89" t="s">
        <v>2821</v>
      </c>
      <c r="C25" s="89" t="s">
        <v>4</v>
      </c>
      <c r="D25" s="86" t="s">
        <v>4</v>
      </c>
      <c r="E25" s="45" t="s">
        <v>2726</v>
      </c>
      <c r="F25" s="24">
        <v>92.9</v>
      </c>
      <c r="G25" s="89" t="s">
        <v>4</v>
      </c>
      <c r="H25" s="86" t="s">
        <v>4</v>
      </c>
      <c r="I25" s="89" t="s">
        <v>4</v>
      </c>
      <c r="J25" s="86" t="s">
        <v>4</v>
      </c>
      <c r="K25" s="86" t="s">
        <v>4</v>
      </c>
      <c r="L25" s="77" t="s">
        <v>2822</v>
      </c>
    </row>
    <row r="26" spans="1:13" ht="25.5" x14ac:dyDescent="0.25">
      <c r="A26" s="99"/>
      <c r="B26" s="84"/>
      <c r="C26" s="84"/>
      <c r="D26" s="78"/>
      <c r="E26" s="42" t="s">
        <v>2711</v>
      </c>
      <c r="F26" s="15">
        <v>79.2</v>
      </c>
      <c r="G26" s="84"/>
      <c r="H26" s="78"/>
      <c r="I26" s="84"/>
      <c r="J26" s="78"/>
      <c r="K26" s="78"/>
      <c r="L26" s="74"/>
    </row>
    <row r="27" spans="1:13" ht="26.25" thickBot="1" x14ac:dyDescent="0.3">
      <c r="A27" s="100"/>
      <c r="B27" s="85"/>
      <c r="C27" s="84"/>
      <c r="D27" s="79"/>
      <c r="E27" s="48" t="s">
        <v>2715</v>
      </c>
      <c r="F27" s="49">
        <v>13.7</v>
      </c>
      <c r="G27" s="85"/>
      <c r="H27" s="79"/>
      <c r="I27" s="84"/>
      <c r="J27" s="79"/>
      <c r="K27" s="78"/>
      <c r="L27" s="75"/>
    </row>
    <row r="28" spans="1:13" ht="22.7" customHeight="1" x14ac:dyDescent="0.25">
      <c r="A28" s="101" t="s">
        <v>2823</v>
      </c>
      <c r="B28" s="89" t="s">
        <v>2809</v>
      </c>
      <c r="C28" s="84"/>
      <c r="D28" s="86" t="s">
        <v>4</v>
      </c>
      <c r="E28" s="45" t="s">
        <v>2726</v>
      </c>
      <c r="F28" s="24">
        <v>163.4</v>
      </c>
      <c r="G28" s="45" t="s">
        <v>2726</v>
      </c>
      <c r="H28" s="24">
        <v>6.6</v>
      </c>
      <c r="I28" s="84"/>
      <c r="J28" s="86" t="s">
        <v>4</v>
      </c>
      <c r="K28" s="78"/>
      <c r="L28" s="77" t="s">
        <v>2810</v>
      </c>
    </row>
    <row r="29" spans="1:13" ht="25.5" x14ac:dyDescent="0.25">
      <c r="A29" s="99"/>
      <c r="B29" s="84"/>
      <c r="C29" s="84"/>
      <c r="D29" s="78"/>
      <c r="E29" s="42" t="s">
        <v>2713</v>
      </c>
      <c r="F29" s="15">
        <v>73</v>
      </c>
      <c r="G29" s="88" t="s">
        <v>2664</v>
      </c>
      <c r="H29" s="90">
        <v>6.6</v>
      </c>
      <c r="I29" s="84"/>
      <c r="J29" s="78"/>
      <c r="K29" s="78"/>
      <c r="L29" s="74"/>
    </row>
    <row r="30" spans="1:13" ht="26.25" thickBot="1" x14ac:dyDescent="0.3">
      <c r="A30" s="100"/>
      <c r="B30" s="85"/>
      <c r="C30" s="85"/>
      <c r="D30" s="79"/>
      <c r="E30" s="48" t="s">
        <v>2711</v>
      </c>
      <c r="F30" s="49">
        <v>90.4</v>
      </c>
      <c r="G30" s="85"/>
      <c r="H30" s="79"/>
      <c r="I30" s="85"/>
      <c r="J30" s="79"/>
      <c r="K30" s="79"/>
      <c r="L30" s="75"/>
    </row>
    <row r="31" spans="1:13" ht="25.5" x14ac:dyDescent="0.25">
      <c r="A31" s="101" t="s">
        <v>2824</v>
      </c>
      <c r="B31" s="89" t="s">
        <v>2812</v>
      </c>
      <c r="C31" s="45" t="s">
        <v>2726</v>
      </c>
      <c r="D31" s="24">
        <v>11</v>
      </c>
      <c r="E31" s="45" t="s">
        <v>2727</v>
      </c>
      <c r="F31" s="24">
        <v>17.5</v>
      </c>
      <c r="G31" s="45" t="s">
        <v>2727</v>
      </c>
      <c r="H31" s="24">
        <v>3.9</v>
      </c>
      <c r="I31" s="45" t="s">
        <v>2657</v>
      </c>
      <c r="J31" s="24">
        <v>17.700000000000003</v>
      </c>
      <c r="K31" s="86">
        <v>1.2</v>
      </c>
      <c r="L31" s="77" t="s">
        <v>2813</v>
      </c>
    </row>
    <row r="32" spans="1:13" ht="25.5" x14ac:dyDescent="0.25">
      <c r="A32" s="99"/>
      <c r="B32" s="84"/>
      <c r="C32" s="88" t="s">
        <v>2677</v>
      </c>
      <c r="D32" s="90">
        <v>11</v>
      </c>
      <c r="E32" s="42" t="s">
        <v>2713</v>
      </c>
      <c r="F32" s="15">
        <v>6.5</v>
      </c>
      <c r="G32" s="88" t="s">
        <v>2664</v>
      </c>
      <c r="H32" s="90">
        <v>6.8</v>
      </c>
      <c r="I32" s="42" t="s">
        <v>2664</v>
      </c>
      <c r="J32" s="15">
        <v>3</v>
      </c>
      <c r="K32" s="78"/>
      <c r="L32" s="74"/>
    </row>
    <row r="33" spans="1:12" ht="25.5" x14ac:dyDescent="0.25">
      <c r="A33" s="99"/>
      <c r="B33" s="84"/>
      <c r="C33" s="84"/>
      <c r="D33" s="78"/>
      <c r="E33" s="42" t="s">
        <v>2711</v>
      </c>
      <c r="F33" s="15">
        <v>21.8</v>
      </c>
      <c r="G33" s="84"/>
      <c r="H33" s="78"/>
      <c r="I33" s="42" t="s">
        <v>2713</v>
      </c>
      <c r="J33" s="15">
        <v>3.6</v>
      </c>
      <c r="K33" s="78"/>
      <c r="L33" s="74"/>
    </row>
    <row r="34" spans="1:12" ht="25.5" x14ac:dyDescent="0.25">
      <c r="A34" s="99"/>
      <c r="B34" s="84"/>
      <c r="C34" s="84"/>
      <c r="D34" s="78"/>
      <c r="E34" s="88" t="s">
        <v>2714</v>
      </c>
      <c r="F34" s="90">
        <v>12</v>
      </c>
      <c r="G34" s="84"/>
      <c r="H34" s="78"/>
      <c r="I34" s="42" t="s">
        <v>2711</v>
      </c>
      <c r="J34" s="15">
        <v>7.6</v>
      </c>
      <c r="K34" s="78"/>
      <c r="L34" s="74"/>
    </row>
    <row r="35" spans="1:12" ht="26.25" thickBot="1" x14ac:dyDescent="0.3">
      <c r="A35" s="100"/>
      <c r="B35" s="85"/>
      <c r="C35" s="85"/>
      <c r="D35" s="79"/>
      <c r="E35" s="85"/>
      <c r="F35" s="79"/>
      <c r="G35" s="85"/>
      <c r="H35" s="79"/>
      <c r="I35" s="48" t="s">
        <v>2714</v>
      </c>
      <c r="J35" s="49">
        <v>3.6</v>
      </c>
      <c r="K35" s="79"/>
      <c r="L35" s="75"/>
    </row>
    <row r="36" spans="1:12" ht="25.5" x14ac:dyDescent="0.25">
      <c r="A36" s="101" t="s">
        <v>2825</v>
      </c>
      <c r="B36" s="89" t="s">
        <v>2815</v>
      </c>
      <c r="C36" s="45" t="s">
        <v>2721</v>
      </c>
      <c r="D36" s="24">
        <v>3.2</v>
      </c>
      <c r="E36" s="45" t="s">
        <v>2722</v>
      </c>
      <c r="F36" s="24">
        <v>15.4</v>
      </c>
      <c r="G36" s="45" t="s">
        <v>2722</v>
      </c>
      <c r="H36" s="24">
        <v>1.4</v>
      </c>
      <c r="I36" s="89" t="s">
        <v>4</v>
      </c>
      <c r="J36" s="86" t="s">
        <v>4</v>
      </c>
      <c r="K36" s="86" t="s">
        <v>4</v>
      </c>
      <c r="L36" s="77" t="s">
        <v>2816</v>
      </c>
    </row>
    <row r="37" spans="1:12" ht="25.5" x14ac:dyDescent="0.25">
      <c r="A37" s="99"/>
      <c r="B37" s="84"/>
      <c r="C37" s="88" t="s">
        <v>2679</v>
      </c>
      <c r="D37" s="90">
        <v>3.2</v>
      </c>
      <c r="E37" s="42" t="s">
        <v>2724</v>
      </c>
      <c r="F37" s="15">
        <v>13.299999999999999</v>
      </c>
      <c r="G37" s="88" t="s">
        <v>2664</v>
      </c>
      <c r="H37" s="90">
        <v>1.4</v>
      </c>
      <c r="I37" s="84"/>
      <c r="J37" s="78"/>
      <c r="K37" s="78"/>
      <c r="L37" s="74"/>
    </row>
    <row r="38" spans="1:12" ht="25.5" x14ac:dyDescent="0.25">
      <c r="A38" s="99"/>
      <c r="B38" s="84"/>
      <c r="C38" s="84"/>
      <c r="D38" s="78"/>
      <c r="E38" s="42" t="s">
        <v>2711</v>
      </c>
      <c r="F38" s="15">
        <v>14.2</v>
      </c>
      <c r="G38" s="84"/>
      <c r="H38" s="78"/>
      <c r="I38" s="84"/>
      <c r="J38" s="78"/>
      <c r="K38" s="78"/>
      <c r="L38" s="74"/>
    </row>
    <row r="39" spans="1:12" ht="26.25" thickBot="1" x14ac:dyDescent="0.3">
      <c r="A39" s="100"/>
      <c r="B39" s="85"/>
      <c r="C39" s="85"/>
      <c r="D39" s="79"/>
      <c r="E39" s="48" t="s">
        <v>2714</v>
      </c>
      <c r="F39" s="49">
        <v>14.5</v>
      </c>
      <c r="G39" s="85"/>
      <c r="H39" s="79"/>
      <c r="I39" s="84"/>
      <c r="J39" s="79"/>
      <c r="K39" s="78"/>
      <c r="L39" s="75"/>
    </row>
    <row r="40" spans="1:12" ht="25.5" x14ac:dyDescent="0.25">
      <c r="A40" s="101" t="s">
        <v>2826</v>
      </c>
      <c r="B40" s="89" t="s">
        <v>2815</v>
      </c>
      <c r="C40" s="45" t="s">
        <v>2721</v>
      </c>
      <c r="D40" s="24">
        <v>3.2</v>
      </c>
      <c r="E40" s="45" t="s">
        <v>2722</v>
      </c>
      <c r="F40" s="24">
        <v>15</v>
      </c>
      <c r="G40" s="45" t="s">
        <v>2722</v>
      </c>
      <c r="H40" s="24">
        <v>1.4</v>
      </c>
      <c r="I40" s="84"/>
      <c r="J40" s="86" t="s">
        <v>4</v>
      </c>
      <c r="K40" s="78"/>
      <c r="L40" s="77" t="s">
        <v>2816</v>
      </c>
    </row>
    <row r="41" spans="1:12" ht="25.5" x14ac:dyDescent="0.25">
      <c r="A41" s="99"/>
      <c r="B41" s="84"/>
      <c r="C41" s="88" t="s">
        <v>2679</v>
      </c>
      <c r="D41" s="90">
        <v>3.2</v>
      </c>
      <c r="E41" s="42" t="s">
        <v>2724</v>
      </c>
      <c r="F41" s="15">
        <v>13.299999999999999</v>
      </c>
      <c r="G41" s="88" t="s">
        <v>2664</v>
      </c>
      <c r="H41" s="90">
        <v>1.4</v>
      </c>
      <c r="I41" s="84"/>
      <c r="J41" s="78"/>
      <c r="K41" s="78"/>
      <c r="L41" s="74"/>
    </row>
    <row r="42" spans="1:12" ht="25.5" x14ac:dyDescent="0.25">
      <c r="A42" s="99"/>
      <c r="B42" s="84"/>
      <c r="C42" s="84"/>
      <c r="D42" s="78"/>
      <c r="E42" s="42" t="s">
        <v>2711</v>
      </c>
      <c r="F42" s="15">
        <v>11.799999999999999</v>
      </c>
      <c r="G42" s="84"/>
      <c r="H42" s="78"/>
      <c r="I42" s="84"/>
      <c r="J42" s="78"/>
      <c r="K42" s="78"/>
      <c r="L42" s="74"/>
    </row>
    <row r="43" spans="1:12" ht="26.25" thickBot="1" x14ac:dyDescent="0.3">
      <c r="A43" s="100"/>
      <c r="B43" s="85"/>
      <c r="C43" s="85"/>
      <c r="D43" s="79"/>
      <c r="E43" s="48" t="s">
        <v>2714</v>
      </c>
      <c r="F43" s="49">
        <v>16.5</v>
      </c>
      <c r="G43" s="85"/>
      <c r="H43" s="79"/>
      <c r="I43" s="85"/>
      <c r="J43" s="79"/>
      <c r="K43" s="79"/>
      <c r="L43" s="75"/>
    </row>
    <row r="44" spans="1:12" ht="25.5" x14ac:dyDescent="0.25">
      <c r="A44" s="101" t="s">
        <v>2827</v>
      </c>
      <c r="B44" s="89" t="s">
        <v>2812</v>
      </c>
      <c r="C44" s="45" t="s">
        <v>2726</v>
      </c>
      <c r="D44" s="24">
        <v>11.2</v>
      </c>
      <c r="E44" s="45" t="s">
        <v>2727</v>
      </c>
      <c r="F44" s="24">
        <v>15.6</v>
      </c>
      <c r="G44" s="45" t="s">
        <v>2727</v>
      </c>
      <c r="H44" s="24">
        <v>1.6</v>
      </c>
      <c r="I44" s="45" t="s">
        <v>2657</v>
      </c>
      <c r="J44" s="24">
        <v>18.5</v>
      </c>
      <c r="K44" s="86">
        <v>1.2</v>
      </c>
      <c r="L44" s="77" t="s">
        <v>2819</v>
      </c>
    </row>
    <row r="45" spans="1:12" ht="25.5" x14ac:dyDescent="0.25">
      <c r="A45" s="99"/>
      <c r="B45" s="84"/>
      <c r="C45" s="88" t="s">
        <v>2677</v>
      </c>
      <c r="D45" s="90">
        <v>11.2</v>
      </c>
      <c r="E45" s="42" t="s">
        <v>2713</v>
      </c>
      <c r="F45" s="15">
        <v>6.5</v>
      </c>
      <c r="G45" s="88" t="s">
        <v>2664</v>
      </c>
      <c r="H45" s="90">
        <v>2.7</v>
      </c>
      <c r="I45" s="42" t="s">
        <v>2664</v>
      </c>
      <c r="J45" s="15">
        <v>1.2000000000000002</v>
      </c>
      <c r="K45" s="78"/>
      <c r="L45" s="74"/>
    </row>
    <row r="46" spans="1:12" ht="25.5" x14ac:dyDescent="0.25">
      <c r="A46" s="99"/>
      <c r="B46" s="84"/>
      <c r="C46" s="84"/>
      <c r="D46" s="78"/>
      <c r="E46" s="42" t="s">
        <v>2711</v>
      </c>
      <c r="F46" s="15">
        <v>9.4</v>
      </c>
      <c r="G46" s="84"/>
      <c r="H46" s="78"/>
      <c r="I46" s="42" t="s">
        <v>2713</v>
      </c>
      <c r="J46" s="15">
        <v>3.6</v>
      </c>
      <c r="K46" s="78"/>
      <c r="L46" s="74"/>
    </row>
    <row r="47" spans="1:12" ht="25.5" x14ac:dyDescent="0.25">
      <c r="A47" s="99"/>
      <c r="B47" s="84"/>
      <c r="C47" s="84"/>
      <c r="D47" s="78"/>
      <c r="E47" s="42" t="s">
        <v>2715</v>
      </c>
      <c r="F47" s="15">
        <v>11.5</v>
      </c>
      <c r="G47" s="84"/>
      <c r="H47" s="78"/>
      <c r="I47" s="42" t="s">
        <v>2711</v>
      </c>
      <c r="J47" s="15">
        <v>2.9</v>
      </c>
      <c r="K47" s="78"/>
      <c r="L47" s="74"/>
    </row>
    <row r="48" spans="1:12" ht="25.5" x14ac:dyDescent="0.25">
      <c r="A48" s="99"/>
      <c r="B48" s="84"/>
      <c r="C48" s="84"/>
      <c r="D48" s="78"/>
      <c r="E48" s="88" t="s">
        <v>2714</v>
      </c>
      <c r="F48" s="90">
        <v>12.8</v>
      </c>
      <c r="G48" s="84"/>
      <c r="H48" s="78"/>
      <c r="I48" s="42" t="s">
        <v>2715</v>
      </c>
      <c r="J48" s="15">
        <v>6</v>
      </c>
      <c r="K48" s="78"/>
      <c r="L48" s="74"/>
    </row>
    <row r="49" spans="1:12" ht="26.25" thickBot="1" x14ac:dyDescent="0.3">
      <c r="A49" s="100"/>
      <c r="B49" s="85"/>
      <c r="C49" s="85"/>
      <c r="D49" s="79"/>
      <c r="E49" s="85"/>
      <c r="F49" s="79"/>
      <c r="G49" s="85"/>
      <c r="H49" s="79"/>
      <c r="I49" s="48" t="s">
        <v>2714</v>
      </c>
      <c r="J49" s="49">
        <v>4.8</v>
      </c>
      <c r="K49" s="79"/>
      <c r="L49" s="75"/>
    </row>
    <row r="50" spans="1:12" ht="22.7" customHeight="1" x14ac:dyDescent="0.25">
      <c r="A50" s="101" t="s">
        <v>2828</v>
      </c>
      <c r="B50" s="89" t="s">
        <v>2821</v>
      </c>
      <c r="C50" s="89" t="s">
        <v>4</v>
      </c>
      <c r="D50" s="86" t="s">
        <v>4</v>
      </c>
      <c r="E50" s="45" t="s">
        <v>2726</v>
      </c>
      <c r="F50" s="24">
        <v>92.9</v>
      </c>
      <c r="G50" s="89" t="s">
        <v>4</v>
      </c>
      <c r="H50" s="86" t="s">
        <v>4</v>
      </c>
      <c r="I50" s="89" t="s">
        <v>4</v>
      </c>
      <c r="J50" s="86" t="s">
        <v>4</v>
      </c>
      <c r="K50" s="86" t="s">
        <v>4</v>
      </c>
      <c r="L50" s="77" t="s">
        <v>2822</v>
      </c>
    </row>
    <row r="51" spans="1:12" ht="25.5" x14ac:dyDescent="0.25">
      <c r="A51" s="99"/>
      <c r="B51" s="84"/>
      <c r="C51" s="84"/>
      <c r="D51" s="78"/>
      <c r="E51" s="42" t="s">
        <v>2711</v>
      </c>
      <c r="F51" s="15">
        <v>79.2</v>
      </c>
      <c r="G51" s="84"/>
      <c r="H51" s="78"/>
      <c r="I51" s="84"/>
      <c r="J51" s="78"/>
      <c r="K51" s="78"/>
      <c r="L51" s="74"/>
    </row>
    <row r="52" spans="1:12" ht="26.25" thickBot="1" x14ac:dyDescent="0.3">
      <c r="A52" s="100"/>
      <c r="B52" s="85"/>
      <c r="C52" s="84"/>
      <c r="D52" s="79"/>
      <c r="E52" s="48" t="s">
        <v>2715</v>
      </c>
      <c r="F52" s="49">
        <v>13.7</v>
      </c>
      <c r="G52" s="85"/>
      <c r="H52" s="79"/>
      <c r="I52" s="84"/>
      <c r="J52" s="79"/>
      <c r="K52" s="78"/>
      <c r="L52" s="75"/>
    </row>
    <row r="53" spans="1:12" ht="22.7" customHeight="1" x14ac:dyDescent="0.25">
      <c r="A53" s="101" t="s">
        <v>2829</v>
      </c>
      <c r="B53" s="89" t="s">
        <v>2809</v>
      </c>
      <c r="C53" s="84"/>
      <c r="D53" s="86" t="s">
        <v>4</v>
      </c>
      <c r="E53" s="45" t="s">
        <v>2726</v>
      </c>
      <c r="F53" s="24">
        <v>163.4</v>
      </c>
      <c r="G53" s="45" t="s">
        <v>2726</v>
      </c>
      <c r="H53" s="24">
        <v>6.6</v>
      </c>
      <c r="I53" s="84"/>
      <c r="J53" s="86" t="s">
        <v>4</v>
      </c>
      <c r="K53" s="78"/>
      <c r="L53" s="77" t="s">
        <v>2810</v>
      </c>
    </row>
    <row r="54" spans="1:12" ht="25.5" x14ac:dyDescent="0.25">
      <c r="A54" s="99"/>
      <c r="B54" s="84"/>
      <c r="C54" s="84"/>
      <c r="D54" s="78"/>
      <c r="E54" s="42" t="s">
        <v>2713</v>
      </c>
      <c r="F54" s="15">
        <v>73</v>
      </c>
      <c r="G54" s="88" t="s">
        <v>2664</v>
      </c>
      <c r="H54" s="90">
        <v>6.6</v>
      </c>
      <c r="I54" s="84"/>
      <c r="J54" s="78"/>
      <c r="K54" s="78"/>
      <c r="L54" s="74"/>
    </row>
    <row r="55" spans="1:12" ht="26.25" thickBot="1" x14ac:dyDescent="0.3">
      <c r="A55" s="100"/>
      <c r="B55" s="85"/>
      <c r="C55" s="85"/>
      <c r="D55" s="79"/>
      <c r="E55" s="48" t="s">
        <v>2711</v>
      </c>
      <c r="F55" s="49">
        <v>90.4</v>
      </c>
      <c r="G55" s="85"/>
      <c r="H55" s="79"/>
      <c r="I55" s="85"/>
      <c r="J55" s="79"/>
      <c r="K55" s="79"/>
      <c r="L55" s="75"/>
    </row>
    <row r="56" spans="1:12" ht="25.5" x14ac:dyDescent="0.25">
      <c r="A56" s="101" t="s">
        <v>2830</v>
      </c>
      <c r="B56" s="89" t="s">
        <v>2812</v>
      </c>
      <c r="C56" s="45" t="s">
        <v>2726</v>
      </c>
      <c r="D56" s="24">
        <v>11</v>
      </c>
      <c r="E56" s="45" t="s">
        <v>2727</v>
      </c>
      <c r="F56" s="24">
        <v>17.5</v>
      </c>
      <c r="G56" s="45" t="s">
        <v>2727</v>
      </c>
      <c r="H56" s="24">
        <v>3.9</v>
      </c>
      <c r="I56" s="45" t="s">
        <v>2657</v>
      </c>
      <c r="J56" s="24">
        <v>17.700000000000003</v>
      </c>
      <c r="K56" s="86">
        <v>1.2</v>
      </c>
      <c r="L56" s="77" t="s">
        <v>2813</v>
      </c>
    </row>
    <row r="57" spans="1:12" ht="25.5" x14ac:dyDescent="0.25">
      <c r="A57" s="99"/>
      <c r="B57" s="84"/>
      <c r="C57" s="88" t="s">
        <v>2677</v>
      </c>
      <c r="D57" s="90">
        <v>11</v>
      </c>
      <c r="E57" s="42" t="s">
        <v>2713</v>
      </c>
      <c r="F57" s="15">
        <v>6.5</v>
      </c>
      <c r="G57" s="88" t="s">
        <v>2664</v>
      </c>
      <c r="H57" s="90">
        <v>6.8</v>
      </c>
      <c r="I57" s="42" t="s">
        <v>2664</v>
      </c>
      <c r="J57" s="15">
        <v>3</v>
      </c>
      <c r="K57" s="78"/>
      <c r="L57" s="74"/>
    </row>
    <row r="58" spans="1:12" ht="25.5" x14ac:dyDescent="0.25">
      <c r="A58" s="99"/>
      <c r="B58" s="84"/>
      <c r="C58" s="84"/>
      <c r="D58" s="78"/>
      <c r="E58" s="42" t="s">
        <v>2711</v>
      </c>
      <c r="F58" s="15">
        <v>21.8</v>
      </c>
      <c r="G58" s="84"/>
      <c r="H58" s="78"/>
      <c r="I58" s="42" t="s">
        <v>2713</v>
      </c>
      <c r="J58" s="15">
        <v>3.6</v>
      </c>
      <c r="K58" s="78"/>
      <c r="L58" s="74"/>
    </row>
    <row r="59" spans="1:12" ht="25.5" x14ac:dyDescent="0.25">
      <c r="A59" s="99"/>
      <c r="B59" s="84"/>
      <c r="C59" s="84"/>
      <c r="D59" s="78"/>
      <c r="E59" s="88" t="s">
        <v>2714</v>
      </c>
      <c r="F59" s="90">
        <v>12</v>
      </c>
      <c r="G59" s="84"/>
      <c r="H59" s="78"/>
      <c r="I59" s="42" t="s">
        <v>2711</v>
      </c>
      <c r="J59" s="15">
        <v>7.6</v>
      </c>
      <c r="K59" s="78"/>
      <c r="L59" s="74"/>
    </row>
    <row r="60" spans="1:12" ht="26.25" thickBot="1" x14ac:dyDescent="0.3">
      <c r="A60" s="100"/>
      <c r="B60" s="85"/>
      <c r="C60" s="85"/>
      <c r="D60" s="79"/>
      <c r="E60" s="85"/>
      <c r="F60" s="79"/>
      <c r="G60" s="85"/>
      <c r="H60" s="79"/>
      <c r="I60" s="48" t="s">
        <v>2714</v>
      </c>
      <c r="J60" s="49">
        <v>3.6</v>
      </c>
      <c r="K60" s="79"/>
      <c r="L60" s="75"/>
    </row>
    <row r="61" spans="1:12" ht="25.5" x14ac:dyDescent="0.25">
      <c r="A61" s="101" t="s">
        <v>2831</v>
      </c>
      <c r="B61" s="89" t="s">
        <v>2815</v>
      </c>
      <c r="C61" s="45" t="s">
        <v>2721</v>
      </c>
      <c r="D61" s="24">
        <v>3.2</v>
      </c>
      <c r="E61" s="45" t="s">
        <v>2722</v>
      </c>
      <c r="F61" s="24">
        <v>15.4</v>
      </c>
      <c r="G61" s="45" t="s">
        <v>2722</v>
      </c>
      <c r="H61" s="24">
        <v>1.4</v>
      </c>
      <c r="I61" s="89" t="s">
        <v>4</v>
      </c>
      <c r="J61" s="86" t="s">
        <v>4</v>
      </c>
      <c r="K61" s="86" t="s">
        <v>4</v>
      </c>
      <c r="L61" s="77" t="s">
        <v>2816</v>
      </c>
    </row>
    <row r="62" spans="1:12" ht="25.5" x14ac:dyDescent="0.25">
      <c r="A62" s="99"/>
      <c r="B62" s="84"/>
      <c r="C62" s="88" t="s">
        <v>2679</v>
      </c>
      <c r="D62" s="90">
        <v>3.2</v>
      </c>
      <c r="E62" s="42" t="s">
        <v>2724</v>
      </c>
      <c r="F62" s="15">
        <v>13.299999999999999</v>
      </c>
      <c r="G62" s="88" t="s">
        <v>2664</v>
      </c>
      <c r="H62" s="90">
        <v>1.4</v>
      </c>
      <c r="I62" s="84"/>
      <c r="J62" s="78"/>
      <c r="K62" s="78"/>
      <c r="L62" s="74"/>
    </row>
    <row r="63" spans="1:12" ht="25.5" x14ac:dyDescent="0.25">
      <c r="A63" s="99"/>
      <c r="B63" s="84"/>
      <c r="C63" s="84"/>
      <c r="D63" s="78"/>
      <c r="E63" s="42" t="s">
        <v>2711</v>
      </c>
      <c r="F63" s="15">
        <v>14.2</v>
      </c>
      <c r="G63" s="84"/>
      <c r="H63" s="78"/>
      <c r="I63" s="84"/>
      <c r="J63" s="78"/>
      <c r="K63" s="78"/>
      <c r="L63" s="74"/>
    </row>
    <row r="64" spans="1:12" ht="26.25" thickBot="1" x14ac:dyDescent="0.3">
      <c r="A64" s="100"/>
      <c r="B64" s="85"/>
      <c r="C64" s="85"/>
      <c r="D64" s="79"/>
      <c r="E64" s="48" t="s">
        <v>2714</v>
      </c>
      <c r="F64" s="49">
        <v>14.5</v>
      </c>
      <c r="G64" s="85"/>
      <c r="H64" s="79"/>
      <c r="I64" s="85"/>
      <c r="J64" s="79"/>
      <c r="K64" s="79"/>
      <c r="L64" s="75"/>
    </row>
    <row r="65" spans="1:12" ht="25.5" x14ac:dyDescent="0.25">
      <c r="A65" s="101" t="s">
        <v>2832</v>
      </c>
      <c r="B65" s="89" t="s">
        <v>2812</v>
      </c>
      <c r="C65" s="45" t="s">
        <v>2726</v>
      </c>
      <c r="D65" s="24">
        <v>11.2</v>
      </c>
      <c r="E65" s="45" t="s">
        <v>2727</v>
      </c>
      <c r="F65" s="24">
        <v>15.6</v>
      </c>
      <c r="G65" s="45" t="s">
        <v>2727</v>
      </c>
      <c r="H65" s="24">
        <v>1.6</v>
      </c>
      <c r="I65" s="45" t="s">
        <v>2657</v>
      </c>
      <c r="J65" s="24">
        <v>18.5</v>
      </c>
      <c r="K65" s="86">
        <v>1.2</v>
      </c>
      <c r="L65" s="77" t="s">
        <v>2819</v>
      </c>
    </row>
    <row r="66" spans="1:12" ht="25.5" x14ac:dyDescent="0.25">
      <c r="A66" s="99"/>
      <c r="B66" s="84"/>
      <c r="C66" s="88" t="s">
        <v>2677</v>
      </c>
      <c r="D66" s="90">
        <v>11.2</v>
      </c>
      <c r="E66" s="42" t="s">
        <v>2713</v>
      </c>
      <c r="F66" s="15">
        <v>6.5</v>
      </c>
      <c r="G66" s="88" t="s">
        <v>2664</v>
      </c>
      <c r="H66" s="90">
        <v>2.7</v>
      </c>
      <c r="I66" s="42" t="s">
        <v>2664</v>
      </c>
      <c r="J66" s="15">
        <v>1.2000000000000002</v>
      </c>
      <c r="K66" s="78"/>
      <c r="L66" s="74"/>
    </row>
    <row r="67" spans="1:12" ht="25.5" x14ac:dyDescent="0.25">
      <c r="A67" s="99"/>
      <c r="B67" s="84"/>
      <c r="C67" s="84"/>
      <c r="D67" s="78"/>
      <c r="E67" s="42" t="s">
        <v>2711</v>
      </c>
      <c r="F67" s="15">
        <v>9.4</v>
      </c>
      <c r="G67" s="84"/>
      <c r="H67" s="78"/>
      <c r="I67" s="42" t="s">
        <v>2713</v>
      </c>
      <c r="J67" s="15">
        <v>3.6</v>
      </c>
      <c r="K67" s="78"/>
      <c r="L67" s="74"/>
    </row>
    <row r="68" spans="1:12" ht="25.5" x14ac:dyDescent="0.25">
      <c r="A68" s="99"/>
      <c r="B68" s="84"/>
      <c r="C68" s="84"/>
      <c r="D68" s="78"/>
      <c r="E68" s="42" t="s">
        <v>2715</v>
      </c>
      <c r="F68" s="15">
        <v>11.5</v>
      </c>
      <c r="G68" s="84"/>
      <c r="H68" s="78"/>
      <c r="I68" s="42" t="s">
        <v>2711</v>
      </c>
      <c r="J68" s="15">
        <v>2.9</v>
      </c>
      <c r="K68" s="78"/>
      <c r="L68" s="74"/>
    </row>
    <row r="69" spans="1:12" ht="25.5" x14ac:dyDescent="0.25">
      <c r="A69" s="99"/>
      <c r="B69" s="84"/>
      <c r="C69" s="84"/>
      <c r="D69" s="78"/>
      <c r="E69" s="88" t="s">
        <v>2714</v>
      </c>
      <c r="F69" s="90">
        <v>12.8</v>
      </c>
      <c r="G69" s="84"/>
      <c r="H69" s="78"/>
      <c r="I69" s="42" t="s">
        <v>2715</v>
      </c>
      <c r="J69" s="15">
        <v>6</v>
      </c>
      <c r="K69" s="78"/>
      <c r="L69" s="74"/>
    </row>
    <row r="70" spans="1:12" ht="26.25" thickBot="1" x14ac:dyDescent="0.3">
      <c r="A70" s="100"/>
      <c r="B70" s="85"/>
      <c r="C70" s="85"/>
      <c r="D70" s="79"/>
      <c r="E70" s="85"/>
      <c r="F70" s="79"/>
      <c r="G70" s="85"/>
      <c r="H70" s="79"/>
      <c r="I70" s="48" t="s">
        <v>2714</v>
      </c>
      <c r="J70" s="49">
        <v>4.8</v>
      </c>
      <c r="K70" s="79"/>
      <c r="L70" s="75"/>
    </row>
    <row r="71" spans="1:12" ht="22.7" customHeight="1" x14ac:dyDescent="0.25">
      <c r="A71" s="101" t="s">
        <v>2833</v>
      </c>
      <c r="B71" s="89" t="s">
        <v>2821</v>
      </c>
      <c r="C71" s="89" t="s">
        <v>2726</v>
      </c>
      <c r="D71" s="86">
        <v>24.1</v>
      </c>
      <c r="E71" s="45" t="s">
        <v>2726</v>
      </c>
      <c r="F71" s="24">
        <v>92.9</v>
      </c>
      <c r="G71" s="89" t="s">
        <v>4</v>
      </c>
      <c r="H71" s="86" t="s">
        <v>4</v>
      </c>
      <c r="I71" s="89" t="s">
        <v>4</v>
      </c>
      <c r="J71" s="86" t="s">
        <v>4</v>
      </c>
      <c r="K71" s="86" t="s">
        <v>4</v>
      </c>
      <c r="L71" s="77" t="s">
        <v>2822</v>
      </c>
    </row>
    <row r="72" spans="1:12" ht="25.5" x14ac:dyDescent="0.25">
      <c r="A72" s="99"/>
      <c r="B72" s="84"/>
      <c r="C72" s="84"/>
      <c r="D72" s="78"/>
      <c r="E72" s="42" t="s">
        <v>2711</v>
      </c>
      <c r="F72" s="15">
        <v>79.2</v>
      </c>
      <c r="G72" s="84"/>
      <c r="H72" s="78"/>
      <c r="I72" s="84"/>
      <c r="J72" s="78"/>
      <c r="K72" s="78"/>
      <c r="L72" s="74"/>
    </row>
    <row r="73" spans="1:12" ht="26.25" thickBot="1" x14ac:dyDescent="0.3">
      <c r="A73" s="100"/>
      <c r="B73" s="85"/>
      <c r="C73" s="85"/>
      <c r="D73" s="79"/>
      <c r="E73" s="48" t="s">
        <v>2715</v>
      </c>
      <c r="F73" s="49">
        <v>13.7</v>
      </c>
      <c r="G73" s="85"/>
      <c r="H73" s="79"/>
      <c r="I73" s="84"/>
      <c r="J73" s="79"/>
      <c r="K73" s="78"/>
      <c r="L73" s="75"/>
    </row>
    <row r="74" spans="1:12" ht="25.5" x14ac:dyDescent="0.25">
      <c r="A74" s="101" t="s">
        <v>2834</v>
      </c>
      <c r="B74" s="89" t="s">
        <v>2815</v>
      </c>
      <c r="C74" s="45" t="s">
        <v>2721</v>
      </c>
      <c r="D74" s="24">
        <v>3.2</v>
      </c>
      <c r="E74" s="45" t="s">
        <v>2722</v>
      </c>
      <c r="F74" s="24">
        <v>15</v>
      </c>
      <c r="G74" s="45" t="s">
        <v>2722</v>
      </c>
      <c r="H74" s="24">
        <v>1.4</v>
      </c>
      <c r="I74" s="84"/>
      <c r="J74" s="86" t="s">
        <v>4</v>
      </c>
      <c r="K74" s="78"/>
      <c r="L74" s="77" t="s">
        <v>2816</v>
      </c>
    </row>
    <row r="75" spans="1:12" ht="25.5" x14ac:dyDescent="0.25">
      <c r="A75" s="99"/>
      <c r="B75" s="84"/>
      <c r="C75" s="88" t="s">
        <v>2679</v>
      </c>
      <c r="D75" s="90">
        <v>3.2</v>
      </c>
      <c r="E75" s="42" t="s">
        <v>2724</v>
      </c>
      <c r="F75" s="15">
        <v>13.299999999999999</v>
      </c>
      <c r="G75" s="88" t="s">
        <v>2664</v>
      </c>
      <c r="H75" s="90">
        <v>1.4</v>
      </c>
      <c r="I75" s="84"/>
      <c r="J75" s="78"/>
      <c r="K75" s="78"/>
      <c r="L75" s="74"/>
    </row>
    <row r="76" spans="1:12" ht="25.5" x14ac:dyDescent="0.25">
      <c r="A76" s="99"/>
      <c r="B76" s="84"/>
      <c r="C76" s="84"/>
      <c r="D76" s="78"/>
      <c r="E76" s="42" t="s">
        <v>2711</v>
      </c>
      <c r="F76" s="15">
        <v>11.799999999999999</v>
      </c>
      <c r="G76" s="84"/>
      <c r="H76" s="78"/>
      <c r="I76" s="84"/>
      <c r="J76" s="78"/>
      <c r="K76" s="78"/>
      <c r="L76" s="74"/>
    </row>
    <row r="77" spans="1:12" ht="26.25" thickBot="1" x14ac:dyDescent="0.3">
      <c r="A77" s="100"/>
      <c r="B77" s="84"/>
      <c r="C77" s="84"/>
      <c r="D77" s="78"/>
      <c r="E77" s="44" t="s">
        <v>2714</v>
      </c>
      <c r="F77" s="102">
        <v>16.5</v>
      </c>
      <c r="G77" s="85"/>
      <c r="H77" s="79"/>
      <c r="I77" s="85"/>
      <c r="J77" s="79"/>
      <c r="K77" s="79"/>
      <c r="L77" s="87"/>
    </row>
    <row r="78" spans="1:12" ht="15" customHeight="1" x14ac:dyDescent="0.25">
      <c r="A78" s="76" t="s">
        <v>2680</v>
      </c>
      <c r="B78" s="91"/>
      <c r="C78" s="91"/>
      <c r="D78" s="77"/>
      <c r="E78" s="92" t="s">
        <v>2389</v>
      </c>
      <c r="F78" s="92"/>
      <c r="G78" s="92"/>
      <c r="H78" s="92"/>
      <c r="I78" s="43" t="s">
        <v>2389</v>
      </c>
      <c r="J78" s="43" t="s">
        <v>2389</v>
      </c>
      <c r="K78" s="43" t="s">
        <v>2389</v>
      </c>
      <c r="L78" s="43" t="s">
        <v>2389</v>
      </c>
    </row>
    <row r="79" spans="1:12" ht="15" customHeight="1" x14ac:dyDescent="0.25">
      <c r="A79" s="71" t="s">
        <v>2657</v>
      </c>
      <c r="B79" s="93"/>
      <c r="C79" s="93"/>
      <c r="D79" s="46">
        <v>207.4</v>
      </c>
      <c r="E79" s="92" t="s">
        <v>2389</v>
      </c>
      <c r="F79" s="92"/>
      <c r="G79" s="92"/>
      <c r="H79" s="43" t="s">
        <v>2389</v>
      </c>
      <c r="I79" s="43" t="s">
        <v>2389</v>
      </c>
      <c r="J79" s="43" t="s">
        <v>2389</v>
      </c>
      <c r="K79" s="43" t="s">
        <v>2389</v>
      </c>
      <c r="L79" s="43" t="s">
        <v>2389</v>
      </c>
    </row>
    <row r="80" spans="1:12" ht="15" customHeight="1" x14ac:dyDescent="0.25">
      <c r="A80" s="71" t="s">
        <v>2726</v>
      </c>
      <c r="B80" s="93"/>
      <c r="C80" s="93"/>
      <c r="D80" s="46">
        <v>982.5</v>
      </c>
      <c r="E80" s="92" t="s">
        <v>2389</v>
      </c>
      <c r="F80" s="92"/>
      <c r="G80" s="92"/>
      <c r="H80" s="43" t="s">
        <v>2389</v>
      </c>
      <c r="I80" s="43" t="s">
        <v>2389</v>
      </c>
      <c r="J80" s="43" t="s">
        <v>2389</v>
      </c>
      <c r="K80" s="43" t="s">
        <v>2389</v>
      </c>
      <c r="L80" s="43" t="s">
        <v>2389</v>
      </c>
    </row>
    <row r="81" spans="1:12" ht="15" customHeight="1" x14ac:dyDescent="0.25">
      <c r="A81" s="71" t="s">
        <v>2731</v>
      </c>
      <c r="B81" s="93"/>
      <c r="C81" s="93"/>
      <c r="D81" s="46">
        <v>90.5</v>
      </c>
      <c r="E81" s="92" t="s">
        <v>2389</v>
      </c>
      <c r="F81" s="92"/>
      <c r="G81" s="92"/>
      <c r="H81" s="43" t="s">
        <v>2389</v>
      </c>
      <c r="I81" s="43" t="s">
        <v>2389</v>
      </c>
      <c r="J81" s="43" t="s">
        <v>2389</v>
      </c>
      <c r="K81" s="43" t="s">
        <v>2389</v>
      </c>
      <c r="L81" s="43" t="s">
        <v>2389</v>
      </c>
    </row>
    <row r="82" spans="1:12" ht="15" customHeight="1" x14ac:dyDescent="0.25">
      <c r="A82" s="71" t="s">
        <v>2730</v>
      </c>
      <c r="B82" s="93"/>
      <c r="C82" s="93"/>
      <c r="D82" s="46">
        <v>19.2</v>
      </c>
      <c r="E82" s="92" t="s">
        <v>2389</v>
      </c>
      <c r="F82" s="92"/>
      <c r="G82" s="92"/>
      <c r="H82" s="43" t="s">
        <v>2389</v>
      </c>
      <c r="I82" s="43" t="s">
        <v>2389</v>
      </c>
      <c r="J82" s="43" t="s">
        <v>2389</v>
      </c>
      <c r="K82" s="43" t="s">
        <v>2389</v>
      </c>
      <c r="L82" s="43" t="s">
        <v>2389</v>
      </c>
    </row>
    <row r="83" spans="1:12" x14ac:dyDescent="0.25">
      <c r="A83" s="71" t="s">
        <v>2664</v>
      </c>
      <c r="B83" s="93"/>
      <c r="C83" s="93"/>
      <c r="D83" s="46">
        <v>68</v>
      </c>
      <c r="E83" s="92" t="s">
        <v>2389</v>
      </c>
      <c r="F83" s="92"/>
      <c r="G83" s="92"/>
      <c r="H83" s="43" t="s">
        <v>2389</v>
      </c>
      <c r="I83" s="43" t="s">
        <v>2389</v>
      </c>
      <c r="J83" s="43" t="s">
        <v>2389</v>
      </c>
      <c r="K83" s="43" t="s">
        <v>2389</v>
      </c>
      <c r="L83" s="43" t="s">
        <v>2389</v>
      </c>
    </row>
    <row r="84" spans="1:12" ht="15" customHeight="1" x14ac:dyDescent="0.25">
      <c r="A84" s="71" t="s">
        <v>2836</v>
      </c>
      <c r="B84" s="93"/>
      <c r="C84" s="93"/>
      <c r="D84" s="46">
        <v>66.400000000000006</v>
      </c>
      <c r="E84" s="92" t="s">
        <v>2389</v>
      </c>
      <c r="F84" s="92"/>
      <c r="G84" s="92"/>
      <c r="H84" s="43" t="s">
        <v>2389</v>
      </c>
      <c r="I84" s="43" t="s">
        <v>2389</v>
      </c>
      <c r="J84" s="43" t="s">
        <v>2389</v>
      </c>
      <c r="K84" s="43" t="s">
        <v>2389</v>
      </c>
      <c r="L84" s="43" t="s">
        <v>2389</v>
      </c>
    </row>
    <row r="85" spans="1:12" ht="15" customHeight="1" x14ac:dyDescent="0.25">
      <c r="A85" s="71" t="s">
        <v>2835</v>
      </c>
      <c r="B85" s="93"/>
      <c r="C85" s="93"/>
      <c r="D85" s="46">
        <v>19.2</v>
      </c>
      <c r="E85" s="92" t="s">
        <v>2389</v>
      </c>
      <c r="F85" s="92"/>
      <c r="G85" s="92"/>
      <c r="H85" s="43" t="s">
        <v>2389</v>
      </c>
      <c r="I85" s="43" t="s">
        <v>2389</v>
      </c>
      <c r="J85" s="43" t="s">
        <v>2389</v>
      </c>
      <c r="K85" s="43" t="s">
        <v>2389</v>
      </c>
      <c r="L85" s="43" t="s">
        <v>2389</v>
      </c>
    </row>
    <row r="86" spans="1:12" ht="15" customHeight="1" x14ac:dyDescent="0.25">
      <c r="A86" s="71" t="s">
        <v>2713</v>
      </c>
      <c r="B86" s="93"/>
      <c r="C86" s="93"/>
      <c r="D86" s="46">
        <v>279.40000000000003</v>
      </c>
      <c r="E86" s="92" t="s">
        <v>2389</v>
      </c>
      <c r="F86" s="92"/>
      <c r="G86" s="92"/>
      <c r="H86" s="43" t="s">
        <v>2389</v>
      </c>
      <c r="I86" s="43" t="s">
        <v>2389</v>
      </c>
      <c r="J86" s="43" t="s">
        <v>2389</v>
      </c>
      <c r="K86" s="43" t="s">
        <v>2389</v>
      </c>
      <c r="L86" s="43" t="s">
        <v>2389</v>
      </c>
    </row>
    <row r="87" spans="1:12" ht="15" customHeight="1" x14ac:dyDescent="0.25">
      <c r="A87" s="71" t="s">
        <v>2711</v>
      </c>
      <c r="B87" s="93"/>
      <c r="C87" s="93"/>
      <c r="D87" s="46">
        <v>711</v>
      </c>
      <c r="E87" s="92" t="s">
        <v>2389</v>
      </c>
      <c r="F87" s="92"/>
      <c r="G87" s="92"/>
      <c r="H87" s="43" t="s">
        <v>2389</v>
      </c>
      <c r="I87" s="43" t="s">
        <v>2389</v>
      </c>
      <c r="J87" s="43" t="s">
        <v>2389</v>
      </c>
      <c r="K87" s="43" t="s">
        <v>2389</v>
      </c>
      <c r="L87" s="43" t="s">
        <v>2389</v>
      </c>
    </row>
    <row r="88" spans="1:12" ht="15" customHeight="1" x14ac:dyDescent="0.25">
      <c r="A88" s="71" t="s">
        <v>2715</v>
      </c>
      <c r="B88" s="93"/>
      <c r="C88" s="93"/>
      <c r="D88" s="46">
        <v>93.6</v>
      </c>
      <c r="E88" s="92" t="s">
        <v>2389</v>
      </c>
      <c r="F88" s="92"/>
      <c r="G88" s="92"/>
      <c r="H88" s="43" t="s">
        <v>2389</v>
      </c>
      <c r="I88" s="43" t="s">
        <v>2389</v>
      </c>
      <c r="J88" s="43" t="s">
        <v>2389</v>
      </c>
      <c r="K88" s="43" t="s">
        <v>2389</v>
      </c>
      <c r="L88" s="43" t="s">
        <v>2389</v>
      </c>
    </row>
    <row r="89" spans="1:12" ht="15" customHeight="1" thickBot="1" x14ac:dyDescent="0.3">
      <c r="A89" s="94" t="s">
        <v>2714</v>
      </c>
      <c r="B89" s="95"/>
      <c r="C89" s="95"/>
      <c r="D89" s="47">
        <v>192.6</v>
      </c>
      <c r="E89" s="92" t="s">
        <v>2389</v>
      </c>
      <c r="F89" s="92"/>
      <c r="G89" s="92"/>
      <c r="H89" s="43" t="s">
        <v>2389</v>
      </c>
      <c r="I89" s="43" t="s">
        <v>2389</v>
      </c>
      <c r="J89" s="43" t="s">
        <v>2389</v>
      </c>
      <c r="K89" s="43" t="s">
        <v>2389</v>
      </c>
      <c r="L89" s="43" t="s">
        <v>2389</v>
      </c>
    </row>
    <row r="97" ht="22.7" customHeight="1" x14ac:dyDescent="0.25"/>
    <row r="114" ht="22.7" customHeight="1" x14ac:dyDescent="0.25"/>
    <row r="119" ht="22.7" customHeight="1" x14ac:dyDescent="0.25"/>
    <row r="140" ht="22.7" customHeight="1" x14ac:dyDescent="0.25"/>
    <row r="141" ht="22.7" customHeight="1" x14ac:dyDescent="0.25"/>
    <row r="146" ht="22.7" customHeight="1" x14ac:dyDescent="0.25"/>
    <row r="168" ht="22.7" customHeight="1" x14ac:dyDescent="0.25"/>
    <row r="186" ht="22.7" customHeight="1" x14ac:dyDescent="0.25"/>
    <row r="228" ht="22.7" customHeight="1" x14ac:dyDescent="0.25"/>
    <row r="230" ht="22.7" customHeight="1" x14ac:dyDescent="0.25"/>
    <row r="244" ht="22.7" customHeight="1" x14ac:dyDescent="0.25"/>
    <row r="247" ht="22.7" customHeight="1" x14ac:dyDescent="0.25"/>
    <row r="253" ht="22.7" customHeight="1" x14ac:dyDescent="0.25"/>
    <row r="273" ht="22.7" customHeight="1" x14ac:dyDescent="0.25"/>
    <row r="279" ht="22.7" customHeight="1" x14ac:dyDescent="0.25"/>
    <row r="281" ht="22.7" customHeight="1" x14ac:dyDescent="0.25"/>
    <row r="284" ht="22.7" customHeight="1" x14ac:dyDescent="0.25"/>
    <row r="289" ht="22.7" customHeight="1" x14ac:dyDescent="0.25"/>
    <row r="292" ht="22.7" customHeight="1" x14ac:dyDescent="0.25"/>
    <row r="295" ht="22.7" customHeight="1" x14ac:dyDescent="0.25"/>
    <row r="300" ht="22.7" customHeight="1" x14ac:dyDescent="0.25"/>
    <row r="305" ht="22.7" customHeight="1" x14ac:dyDescent="0.25"/>
    <row r="335" ht="22.7" customHeight="1" x14ac:dyDescent="0.25"/>
    <row r="343" ht="22.7" customHeight="1" x14ac:dyDescent="0.25"/>
    <row r="345" ht="22.7" customHeight="1" x14ac:dyDescent="0.25"/>
    <row r="348" ht="22.7" customHeight="1" x14ac:dyDescent="0.25"/>
    <row r="386" ht="22.7" customHeight="1" x14ac:dyDescent="0.25"/>
    <row r="392" ht="22.7" customHeight="1" x14ac:dyDescent="0.25"/>
    <row r="404" ht="22.7" customHeight="1" x14ac:dyDescent="0.25"/>
    <row r="417" ht="22.7" customHeight="1" x14ac:dyDescent="0.25"/>
    <row r="420" ht="22.7" customHeight="1" x14ac:dyDescent="0.25"/>
    <row r="423" ht="22.7" customHeight="1" x14ac:dyDescent="0.25"/>
    <row r="426" ht="22.7" customHeight="1" x14ac:dyDescent="0.25"/>
    <row r="428" ht="22.7" customHeight="1" x14ac:dyDescent="0.25"/>
    <row r="447" ht="22.7" customHeight="1" x14ac:dyDescent="0.25"/>
    <row r="450" ht="22.7" customHeight="1" x14ac:dyDescent="0.25"/>
    <row r="457" ht="22.7" customHeight="1" x14ac:dyDescent="0.25"/>
    <row r="460" ht="22.7" customHeight="1" x14ac:dyDescent="0.25"/>
    <row r="467" ht="22.7" customHeight="1" x14ac:dyDescent="0.25"/>
    <row r="470" ht="22.7" customHeight="1" x14ac:dyDescent="0.25"/>
    <row r="477" ht="22.7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</sheetData>
  <mergeCells count="196">
    <mergeCell ref="A88:C88"/>
    <mergeCell ref="E88:G88"/>
    <mergeCell ref="A89:C89"/>
    <mergeCell ref="E89:G89"/>
    <mergeCell ref="A85:C85"/>
    <mergeCell ref="E85:G85"/>
    <mergeCell ref="A86:C86"/>
    <mergeCell ref="E86:G86"/>
    <mergeCell ref="A87:C87"/>
    <mergeCell ref="E87:G87"/>
    <mergeCell ref="A82:C82"/>
    <mergeCell ref="E82:G82"/>
    <mergeCell ref="A83:C83"/>
    <mergeCell ref="E83:G83"/>
    <mergeCell ref="A84:C84"/>
    <mergeCell ref="E84:G84"/>
    <mergeCell ref="A79:C79"/>
    <mergeCell ref="E79:G79"/>
    <mergeCell ref="A80:C80"/>
    <mergeCell ref="E80:G80"/>
    <mergeCell ref="A81:C81"/>
    <mergeCell ref="E81:G81"/>
    <mergeCell ref="K50:K55"/>
    <mergeCell ref="K56:K60"/>
    <mergeCell ref="K65:K70"/>
    <mergeCell ref="K71:K77"/>
    <mergeCell ref="A78:D78"/>
    <mergeCell ref="E78:H78"/>
    <mergeCell ref="C50:C55"/>
    <mergeCell ref="I11:I18"/>
    <mergeCell ref="I25:I30"/>
    <mergeCell ref="I36:I43"/>
    <mergeCell ref="I50:I55"/>
    <mergeCell ref="J71:J73"/>
    <mergeCell ref="J74:J77"/>
    <mergeCell ref="K61:K64"/>
    <mergeCell ref="K11:K18"/>
    <mergeCell ref="K19:K24"/>
    <mergeCell ref="K25:K30"/>
    <mergeCell ref="K31:K35"/>
    <mergeCell ref="J28:J30"/>
    <mergeCell ref="J36:J39"/>
    <mergeCell ref="J40:J43"/>
    <mergeCell ref="J50:J52"/>
    <mergeCell ref="J53:J55"/>
    <mergeCell ref="H71:H73"/>
    <mergeCell ref="H75:H77"/>
    <mergeCell ref="I61:I64"/>
    <mergeCell ref="I71:I77"/>
    <mergeCell ref="G75:G77"/>
    <mergeCell ref="H4:H5"/>
    <mergeCell ref="H7:H10"/>
    <mergeCell ref="H12:H14"/>
    <mergeCell ref="H16:H18"/>
    <mergeCell ref="H20:H24"/>
    <mergeCell ref="H25:H27"/>
    <mergeCell ref="H29:H30"/>
    <mergeCell ref="H32:H35"/>
    <mergeCell ref="H37:H39"/>
    <mergeCell ref="H41:H43"/>
    <mergeCell ref="H45:H49"/>
    <mergeCell ref="H50:H52"/>
    <mergeCell ref="H54:H55"/>
    <mergeCell ref="H57:H60"/>
    <mergeCell ref="H62:H64"/>
    <mergeCell ref="F48:F49"/>
    <mergeCell ref="F59:F60"/>
    <mergeCell ref="F69:F70"/>
    <mergeCell ref="G4:G5"/>
    <mergeCell ref="G7:G10"/>
    <mergeCell ref="G12:G14"/>
    <mergeCell ref="G16:G18"/>
    <mergeCell ref="G20:G24"/>
    <mergeCell ref="G25:G27"/>
    <mergeCell ref="G29:G30"/>
    <mergeCell ref="G32:G35"/>
    <mergeCell ref="G37:G39"/>
    <mergeCell ref="G41:G43"/>
    <mergeCell ref="G45:G49"/>
    <mergeCell ref="G50:G52"/>
    <mergeCell ref="G54:G55"/>
    <mergeCell ref="D75:D77"/>
    <mergeCell ref="E9:E10"/>
    <mergeCell ref="E23:E24"/>
    <mergeCell ref="E34:E35"/>
    <mergeCell ref="E48:E49"/>
    <mergeCell ref="E59:E60"/>
    <mergeCell ref="E69:E70"/>
    <mergeCell ref="C75:C77"/>
    <mergeCell ref="D7:D10"/>
    <mergeCell ref="D12:D14"/>
    <mergeCell ref="D16:D18"/>
    <mergeCell ref="D20:D24"/>
    <mergeCell ref="D25:D27"/>
    <mergeCell ref="D28:D30"/>
    <mergeCell ref="D32:D35"/>
    <mergeCell ref="D37:D39"/>
    <mergeCell ref="D41:D43"/>
    <mergeCell ref="D45:D49"/>
    <mergeCell ref="D50:D52"/>
    <mergeCell ref="D53:D55"/>
    <mergeCell ref="D57:D60"/>
    <mergeCell ref="D62:D64"/>
    <mergeCell ref="D66:D70"/>
    <mergeCell ref="B74:B77"/>
    <mergeCell ref="C7:C10"/>
    <mergeCell ref="C12:C14"/>
    <mergeCell ref="C16:C18"/>
    <mergeCell ref="C20:C24"/>
    <mergeCell ref="C32:C35"/>
    <mergeCell ref="C37:C39"/>
    <mergeCell ref="C41:C43"/>
    <mergeCell ref="C45:C49"/>
    <mergeCell ref="C57:C60"/>
    <mergeCell ref="C62:C64"/>
    <mergeCell ref="C66:C70"/>
    <mergeCell ref="L71:L73"/>
    <mergeCell ref="A74:A77"/>
    <mergeCell ref="L74:L77"/>
    <mergeCell ref="B6:B10"/>
    <mergeCell ref="B11:B14"/>
    <mergeCell ref="B15:B18"/>
    <mergeCell ref="B19:B24"/>
    <mergeCell ref="B25:B27"/>
    <mergeCell ref="B28:B30"/>
    <mergeCell ref="B31:B35"/>
    <mergeCell ref="B36:B39"/>
    <mergeCell ref="B40:B43"/>
    <mergeCell ref="B44:B49"/>
    <mergeCell ref="B50:B52"/>
    <mergeCell ref="B56:B60"/>
    <mergeCell ref="B61:B64"/>
    <mergeCell ref="A56:A60"/>
    <mergeCell ref="L56:L60"/>
    <mergeCell ref="A61:A64"/>
    <mergeCell ref="L61:L64"/>
    <mergeCell ref="A65:A70"/>
    <mergeCell ref="L65:L70"/>
    <mergeCell ref="B65:B70"/>
    <mergeCell ref="G57:G60"/>
    <mergeCell ref="G62:G64"/>
    <mergeCell ref="G66:G70"/>
    <mergeCell ref="H66:H70"/>
    <mergeCell ref="J61:J64"/>
    <mergeCell ref="A31:A35"/>
    <mergeCell ref="L31:L35"/>
    <mergeCell ref="A36:A39"/>
    <mergeCell ref="L36:L39"/>
    <mergeCell ref="A40:A43"/>
    <mergeCell ref="L40:L43"/>
    <mergeCell ref="F34:F35"/>
    <mergeCell ref="K36:K43"/>
    <mergeCell ref="A6:A10"/>
    <mergeCell ref="L6:L10"/>
    <mergeCell ref="A11:A14"/>
    <mergeCell ref="L11:L14"/>
    <mergeCell ref="A15:A18"/>
    <mergeCell ref="L15:L18"/>
    <mergeCell ref="A19:A24"/>
    <mergeCell ref="L19:L24"/>
    <mergeCell ref="A25:A27"/>
    <mergeCell ref="L25:L27"/>
    <mergeCell ref="A28:A30"/>
    <mergeCell ref="L28:L30"/>
    <mergeCell ref="F9:F10"/>
    <mergeCell ref="F23:F24"/>
    <mergeCell ref="J11:J14"/>
    <mergeCell ref="J15:J18"/>
    <mergeCell ref="J25:J27"/>
    <mergeCell ref="C25:C30"/>
    <mergeCell ref="K6:K10"/>
    <mergeCell ref="A71:A73"/>
    <mergeCell ref="B71:B73"/>
    <mergeCell ref="C71:C73"/>
    <mergeCell ref="D71:D73"/>
    <mergeCell ref="G71:G73"/>
    <mergeCell ref="K3:K5"/>
    <mergeCell ref="I3:I5"/>
    <mergeCell ref="C3:C5"/>
    <mergeCell ref="B3:B5"/>
    <mergeCell ref="A53:A55"/>
    <mergeCell ref="L53:L55"/>
    <mergeCell ref="B53:B55"/>
    <mergeCell ref="A44:A49"/>
    <mergeCell ref="L44:L49"/>
    <mergeCell ref="A50:A52"/>
    <mergeCell ref="L50:L52"/>
    <mergeCell ref="K44:K49"/>
    <mergeCell ref="L3:L5"/>
    <mergeCell ref="D3:D5"/>
    <mergeCell ref="J3:J5"/>
    <mergeCell ref="L1:L2"/>
    <mergeCell ref="A1:A2"/>
    <mergeCell ref="B1:B2"/>
    <mergeCell ref="C1:K1"/>
    <mergeCell ref="A3:A5"/>
  </mergeCells>
  <conditionalFormatting sqref="A1:L89">
    <cfRule type="containsText" dxfId="61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rgb="FF000000"/>
  </sheetPr>
  <dimension ref="B2:K2"/>
  <sheetViews>
    <sheetView workbookViewId="0">
      <selection activeCell="K35" sqref="K35"/>
    </sheetView>
  </sheetViews>
  <sheetFormatPr defaultRowHeight="15" x14ac:dyDescent="0.25"/>
  <sheetData>
    <row r="2" spans="2:11" x14ac:dyDescent="0.25">
      <c r="B2" t="s">
        <v>2846</v>
      </c>
      <c r="C2" t="s">
        <v>2847</v>
      </c>
      <c r="D2" t="s">
        <v>2672</v>
      </c>
      <c r="E2" t="s">
        <v>2848</v>
      </c>
      <c r="F2" t="s">
        <v>2849</v>
      </c>
      <c r="G2" t="s">
        <v>2848</v>
      </c>
      <c r="H2" t="s">
        <v>2850</v>
      </c>
      <c r="I2" t="s">
        <v>2851</v>
      </c>
      <c r="J2" t="s">
        <v>2852</v>
      </c>
      <c r="K2" t="s">
        <v>2853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 tint="1"/>
  </sheetPr>
  <dimension ref="A1:AV806"/>
  <sheetViews>
    <sheetView workbookViewId="0"/>
  </sheetViews>
  <sheetFormatPr defaultRowHeight="15" x14ac:dyDescent="0.25"/>
  <sheetData>
    <row r="1" spans="1:48" x14ac:dyDescent="0.25">
      <c r="A1" t="s">
        <v>44</v>
      </c>
      <c r="B1" t="s">
        <v>6</v>
      </c>
      <c r="C1" t="s">
        <v>1181</v>
      </c>
      <c r="D1" t="s">
        <v>1608</v>
      </c>
      <c r="E1" t="s">
        <v>2377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2046</v>
      </c>
      <c r="M1" t="s">
        <v>2168</v>
      </c>
      <c r="N1" t="s">
        <v>2231</v>
      </c>
      <c r="O1" t="s">
        <v>2346</v>
      </c>
      <c r="P1" t="s">
        <v>2356</v>
      </c>
      <c r="Q1" t="s">
        <v>2395</v>
      </c>
      <c r="R1" t="s">
        <v>2636</v>
      </c>
      <c r="S1" t="s">
        <v>2395</v>
      </c>
      <c r="T1" t="s">
        <v>2404</v>
      </c>
      <c r="U1" t="s">
        <v>2407</v>
      </c>
      <c r="V1" t="s">
        <v>2508</v>
      </c>
      <c r="W1" t="s">
        <v>2559</v>
      </c>
      <c r="X1" t="s">
        <v>2583</v>
      </c>
      <c r="AA1" t="s">
        <v>2</v>
      </c>
      <c r="AB1" t="s">
        <v>1</v>
      </c>
      <c r="AC1" t="s">
        <v>2359</v>
      </c>
      <c r="AD1" t="s">
        <v>2360</v>
      </c>
      <c r="AE1" t="s">
        <v>2361</v>
      </c>
      <c r="AF1" t="s">
        <v>2362</v>
      </c>
      <c r="AG1" t="s">
        <v>2363</v>
      </c>
      <c r="AH1" t="s">
        <v>2364</v>
      </c>
      <c r="AJ1" t="s">
        <v>17</v>
      </c>
      <c r="AK1" t="s">
        <v>5</v>
      </c>
      <c r="AL1" t="s">
        <v>18</v>
      </c>
      <c r="AM1" t="s">
        <v>2366</v>
      </c>
      <c r="AN1" t="s">
        <v>19</v>
      </c>
      <c r="AO1" t="s">
        <v>2367</v>
      </c>
      <c r="AP1" t="s">
        <v>2368</v>
      </c>
      <c r="AQ1" t="s">
        <v>2370</v>
      </c>
      <c r="AU1" t="s">
        <v>0</v>
      </c>
      <c r="AV1" t="s">
        <v>4</v>
      </c>
    </row>
    <row r="2" spans="1:48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S2">
        <v>0</v>
      </c>
      <c r="T2">
        <v>0</v>
      </c>
      <c r="U2" t="s">
        <v>45</v>
      </c>
      <c r="V2" t="s">
        <v>1781</v>
      </c>
      <c r="W2" t="s">
        <v>1781</v>
      </c>
      <c r="AA2">
        <v>4</v>
      </c>
      <c r="AB2">
        <v>6</v>
      </c>
      <c r="AC2">
        <v>32</v>
      </c>
      <c r="AD2">
        <v>6</v>
      </c>
      <c r="AE2">
        <v>10</v>
      </c>
      <c r="AF2">
        <v>10</v>
      </c>
      <c r="AG2">
        <v>3</v>
      </c>
      <c r="AH2">
        <v>3</v>
      </c>
      <c r="AJ2" t="s">
        <v>2365</v>
      </c>
      <c r="AK2" t="s">
        <v>2365</v>
      </c>
      <c r="AL2" t="s">
        <v>2365</v>
      </c>
      <c r="AM2" t="s">
        <v>2365</v>
      </c>
      <c r="AN2" t="s">
        <v>2365</v>
      </c>
      <c r="AO2" t="s">
        <v>2365</v>
      </c>
      <c r="AP2" t="s">
        <v>2369</v>
      </c>
      <c r="AQ2" t="s">
        <v>2371</v>
      </c>
      <c r="AU2" t="s">
        <v>20</v>
      </c>
      <c r="AV2" t="s">
        <v>21</v>
      </c>
    </row>
    <row r="3" spans="1:48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2047</v>
      </c>
      <c r="M3" t="s">
        <v>2169</v>
      </c>
      <c r="N3" t="s">
        <v>2232</v>
      </c>
      <c r="O3" t="s">
        <v>2347</v>
      </c>
      <c r="P3" t="s">
        <v>2597</v>
      </c>
      <c r="Q3" t="s">
        <v>2396</v>
      </c>
      <c r="R3" t="s">
        <v>2637</v>
      </c>
      <c r="S3" t="s">
        <v>2396</v>
      </c>
      <c r="T3" t="s">
        <v>2405</v>
      </c>
      <c r="U3" t="s">
        <v>2408</v>
      </c>
      <c r="V3" t="s">
        <v>2509</v>
      </c>
      <c r="W3" t="s">
        <v>2560</v>
      </c>
      <c r="X3" t="s">
        <v>2584</v>
      </c>
      <c r="AA3">
        <v>5</v>
      </c>
      <c r="AB3">
        <v>7</v>
      </c>
      <c r="AC3">
        <v>36</v>
      </c>
      <c r="AD3">
        <v>7</v>
      </c>
      <c r="AE3">
        <v>12</v>
      </c>
      <c r="AF3">
        <v>12</v>
      </c>
      <c r="AG3">
        <v>4</v>
      </c>
      <c r="AH3">
        <v>4</v>
      </c>
      <c r="AU3" t="s">
        <v>2372</v>
      </c>
      <c r="AV3" t="s">
        <v>22</v>
      </c>
    </row>
    <row r="4" spans="1:48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2048</v>
      </c>
      <c r="M4" t="s">
        <v>2170</v>
      </c>
      <c r="N4" t="s">
        <v>2233</v>
      </c>
      <c r="O4" t="s">
        <v>2061</v>
      </c>
      <c r="P4" t="s">
        <v>2598</v>
      </c>
      <c r="Q4" t="s">
        <v>2397</v>
      </c>
      <c r="R4" t="s">
        <v>2638</v>
      </c>
      <c r="S4" t="s">
        <v>2397</v>
      </c>
      <c r="T4" t="s">
        <v>2406</v>
      </c>
      <c r="U4" t="s">
        <v>2409</v>
      </c>
      <c r="V4" t="s">
        <v>2510</v>
      </c>
      <c r="W4" t="s">
        <v>2561</v>
      </c>
      <c r="X4" t="s">
        <v>2585</v>
      </c>
      <c r="AA4">
        <v>6</v>
      </c>
      <c r="AB4">
        <v>8</v>
      </c>
      <c r="AC4">
        <v>40</v>
      </c>
      <c r="AD4">
        <v>8</v>
      </c>
      <c r="AE4">
        <v>14</v>
      </c>
      <c r="AF4">
        <v>14</v>
      </c>
      <c r="AG4">
        <v>5</v>
      </c>
      <c r="AH4">
        <v>5</v>
      </c>
      <c r="AU4" t="s">
        <v>3</v>
      </c>
      <c r="AV4" t="s">
        <v>23</v>
      </c>
    </row>
    <row r="5" spans="1:48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2049</v>
      </c>
      <c r="M5" t="s">
        <v>2171</v>
      </c>
      <c r="N5" t="s">
        <v>2234</v>
      </c>
      <c r="O5" t="s">
        <v>2061</v>
      </c>
      <c r="P5" t="s">
        <v>2599</v>
      </c>
      <c r="Q5" t="s">
        <v>2398</v>
      </c>
      <c r="R5" t="s">
        <v>2639</v>
      </c>
      <c r="S5" t="s">
        <v>2398</v>
      </c>
      <c r="U5" t="s">
        <v>2410</v>
      </c>
      <c r="V5" t="s">
        <v>2511</v>
      </c>
      <c r="W5" t="s">
        <v>2562</v>
      </c>
      <c r="X5" t="s">
        <v>2586</v>
      </c>
      <c r="AA5">
        <v>8</v>
      </c>
      <c r="AB5">
        <v>10</v>
      </c>
      <c r="AC5">
        <v>45</v>
      </c>
      <c r="AD5">
        <v>10</v>
      </c>
      <c r="AE5">
        <v>16</v>
      </c>
      <c r="AF5">
        <v>16</v>
      </c>
      <c r="AH5">
        <v>6</v>
      </c>
      <c r="AU5" t="s">
        <v>2373</v>
      </c>
      <c r="AV5" t="s">
        <v>2375</v>
      </c>
    </row>
    <row r="6" spans="1:48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2050</v>
      </c>
      <c r="M6" t="s">
        <v>2172</v>
      </c>
      <c r="N6" t="s">
        <v>2235</v>
      </c>
      <c r="O6" t="s">
        <v>2069</v>
      </c>
      <c r="P6" t="s">
        <v>2600</v>
      </c>
      <c r="Q6" t="s">
        <v>2399</v>
      </c>
      <c r="R6" t="s">
        <v>2640</v>
      </c>
      <c r="S6" t="s">
        <v>2399</v>
      </c>
      <c r="U6" t="s">
        <v>2411</v>
      </c>
      <c r="V6" t="s">
        <v>2512</v>
      </c>
      <c r="W6" t="s">
        <v>2563</v>
      </c>
      <c r="X6" t="s">
        <v>2587</v>
      </c>
      <c r="AA6">
        <v>10</v>
      </c>
      <c r="AB6">
        <v>12</v>
      </c>
      <c r="AC6">
        <v>50</v>
      </c>
      <c r="AD6">
        <v>12</v>
      </c>
      <c r="AE6">
        <v>18</v>
      </c>
      <c r="AF6">
        <v>18</v>
      </c>
      <c r="AH6">
        <v>7</v>
      </c>
      <c r="AU6" t="s">
        <v>2374</v>
      </c>
    </row>
    <row r="7" spans="1:48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2051</v>
      </c>
      <c r="M7" t="s">
        <v>2173</v>
      </c>
      <c r="N7" t="s">
        <v>2236</v>
      </c>
      <c r="O7" t="s">
        <v>2070</v>
      </c>
      <c r="P7" t="s">
        <v>2601</v>
      </c>
      <c r="Q7" t="s">
        <v>2400</v>
      </c>
      <c r="R7" t="s">
        <v>2641</v>
      </c>
      <c r="S7" t="s">
        <v>2400</v>
      </c>
      <c r="U7" t="s">
        <v>2412</v>
      </c>
      <c r="V7" t="s">
        <v>2513</v>
      </c>
      <c r="W7" t="s">
        <v>2564</v>
      </c>
      <c r="X7" t="s">
        <v>2588</v>
      </c>
      <c r="AA7">
        <v>12</v>
      </c>
      <c r="AB7">
        <v>14</v>
      </c>
      <c r="AC7">
        <v>55</v>
      </c>
      <c r="AD7">
        <v>14</v>
      </c>
      <c r="AE7">
        <v>20</v>
      </c>
      <c r="AF7">
        <v>20</v>
      </c>
      <c r="AH7">
        <v>8</v>
      </c>
    </row>
    <row r="8" spans="1:48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2052</v>
      </c>
      <c r="M8" t="s">
        <v>2174</v>
      </c>
      <c r="N8" t="s">
        <v>2237</v>
      </c>
      <c r="O8" t="s">
        <v>2348</v>
      </c>
      <c r="P8" t="s">
        <v>2602</v>
      </c>
      <c r="Q8" t="s">
        <v>2401</v>
      </c>
      <c r="R8" t="s">
        <v>2642</v>
      </c>
      <c r="S8" t="s">
        <v>2401</v>
      </c>
      <c r="U8" t="s">
        <v>2413</v>
      </c>
      <c r="V8" t="s">
        <v>2514</v>
      </c>
      <c r="W8" t="s">
        <v>2565</v>
      </c>
      <c r="X8" t="s">
        <v>2589</v>
      </c>
      <c r="AA8">
        <v>14</v>
      </c>
      <c r="AB8">
        <v>16</v>
      </c>
      <c r="AC8">
        <v>60</v>
      </c>
      <c r="AD8">
        <v>16</v>
      </c>
      <c r="AE8">
        <v>22</v>
      </c>
      <c r="AF8">
        <v>22</v>
      </c>
    </row>
    <row r="9" spans="1:48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2053</v>
      </c>
      <c r="M9" t="s">
        <v>2175</v>
      </c>
      <c r="N9" t="s">
        <v>2238</v>
      </c>
      <c r="O9" t="s">
        <v>2077</v>
      </c>
      <c r="P9" t="s">
        <v>2603</v>
      </c>
      <c r="Q9" t="s">
        <v>2402</v>
      </c>
      <c r="R9" t="s">
        <v>2643</v>
      </c>
      <c r="S9" t="s">
        <v>2402</v>
      </c>
      <c r="U9" t="s">
        <v>2414</v>
      </c>
      <c r="V9" t="s">
        <v>2515</v>
      </c>
      <c r="W9" t="s">
        <v>2566</v>
      </c>
      <c r="X9" t="s">
        <v>2590</v>
      </c>
      <c r="AA9">
        <v>16</v>
      </c>
      <c r="AB9">
        <v>18</v>
      </c>
      <c r="AC9">
        <v>70</v>
      </c>
      <c r="AD9">
        <v>18</v>
      </c>
      <c r="AF9">
        <v>25</v>
      </c>
    </row>
    <row r="10" spans="1:48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2054</v>
      </c>
      <c r="M10" t="s">
        <v>2176</v>
      </c>
      <c r="N10" t="s">
        <v>2239</v>
      </c>
      <c r="O10" t="s">
        <v>2087</v>
      </c>
      <c r="P10" t="s">
        <v>2604</v>
      </c>
      <c r="Q10" t="s">
        <v>2403</v>
      </c>
      <c r="R10" t="s">
        <v>2644</v>
      </c>
      <c r="S10" t="s">
        <v>2403</v>
      </c>
      <c r="U10" t="s">
        <v>2415</v>
      </c>
      <c r="V10" t="s">
        <v>2516</v>
      </c>
      <c r="W10" t="s">
        <v>2567</v>
      </c>
      <c r="X10" t="s">
        <v>2591</v>
      </c>
      <c r="AA10">
        <v>18</v>
      </c>
      <c r="AB10">
        <v>20</v>
      </c>
      <c r="AC10">
        <v>80</v>
      </c>
      <c r="AD10">
        <v>20</v>
      </c>
      <c r="AF10">
        <v>28</v>
      </c>
    </row>
    <row r="11" spans="1:48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2055</v>
      </c>
      <c r="M11" t="s">
        <v>2177</v>
      </c>
      <c r="N11" t="s">
        <v>1835</v>
      </c>
      <c r="O11" t="s">
        <v>2349</v>
      </c>
      <c r="P11" t="s">
        <v>2605</v>
      </c>
      <c r="R11" t="s">
        <v>2645</v>
      </c>
      <c r="U11" t="s">
        <v>2416</v>
      </c>
      <c r="V11" t="s">
        <v>2517</v>
      </c>
      <c r="W11" t="s">
        <v>2568</v>
      </c>
      <c r="X11" t="s">
        <v>2592</v>
      </c>
      <c r="AA11">
        <v>20</v>
      </c>
      <c r="AB11">
        <v>22</v>
      </c>
      <c r="AD11">
        <v>22</v>
      </c>
      <c r="AF11">
        <v>32</v>
      </c>
    </row>
    <row r="12" spans="1:48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2056</v>
      </c>
      <c r="M12" t="s">
        <v>2178</v>
      </c>
      <c r="N12" t="s">
        <v>1837</v>
      </c>
      <c r="O12" t="s">
        <v>2350</v>
      </c>
      <c r="P12" t="s">
        <v>2357</v>
      </c>
      <c r="R12" t="s">
        <v>2646</v>
      </c>
      <c r="U12" t="s">
        <v>2417</v>
      </c>
      <c r="V12" t="s">
        <v>2518</v>
      </c>
      <c r="W12" t="s">
        <v>2569</v>
      </c>
      <c r="X12" t="s">
        <v>2593</v>
      </c>
      <c r="AA12">
        <v>22</v>
      </c>
      <c r="AB12">
        <v>25</v>
      </c>
      <c r="AD12">
        <v>25</v>
      </c>
    </row>
    <row r="13" spans="1:48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2057</v>
      </c>
      <c r="M13" t="s">
        <v>2179</v>
      </c>
      <c r="N13" t="s">
        <v>1845</v>
      </c>
      <c r="O13" t="s">
        <v>2098</v>
      </c>
      <c r="P13" t="s">
        <v>2606</v>
      </c>
      <c r="R13" t="s">
        <v>2647</v>
      </c>
      <c r="U13" t="s">
        <v>2418</v>
      </c>
      <c r="V13" t="s">
        <v>2519</v>
      </c>
      <c r="W13" t="s">
        <v>1745</v>
      </c>
      <c r="X13" t="s">
        <v>2594</v>
      </c>
      <c r="AA13">
        <v>25</v>
      </c>
      <c r="AB13">
        <v>28</v>
      </c>
      <c r="AD13">
        <v>28</v>
      </c>
    </row>
    <row r="14" spans="1:48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2058</v>
      </c>
      <c r="M14" t="s">
        <v>2180</v>
      </c>
      <c r="N14" t="s">
        <v>1846</v>
      </c>
      <c r="O14" t="s">
        <v>2099</v>
      </c>
      <c r="P14" t="s">
        <v>2607</v>
      </c>
      <c r="R14" t="s">
        <v>2648</v>
      </c>
      <c r="U14" t="s">
        <v>2419</v>
      </c>
      <c r="V14" t="s">
        <v>2520</v>
      </c>
      <c r="W14" t="s">
        <v>1777</v>
      </c>
      <c r="X14" t="s">
        <v>2595</v>
      </c>
      <c r="AA14">
        <v>28</v>
      </c>
      <c r="AB14">
        <v>32</v>
      </c>
      <c r="AD14">
        <v>32</v>
      </c>
    </row>
    <row r="15" spans="1:48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2059</v>
      </c>
      <c r="M15" t="s">
        <v>2181</v>
      </c>
      <c r="N15" t="s">
        <v>2240</v>
      </c>
      <c r="O15" t="s">
        <v>2100</v>
      </c>
      <c r="P15" t="s">
        <v>2608</v>
      </c>
      <c r="R15" t="s">
        <v>2649</v>
      </c>
      <c r="U15" t="s">
        <v>2420</v>
      </c>
      <c r="V15" t="s">
        <v>2521</v>
      </c>
      <c r="W15" t="s">
        <v>1747</v>
      </c>
      <c r="X15" t="s">
        <v>2596</v>
      </c>
      <c r="AA15">
        <v>32</v>
      </c>
      <c r="AB15">
        <v>36</v>
      </c>
      <c r="AD15">
        <v>36</v>
      </c>
    </row>
    <row r="16" spans="1:48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2060</v>
      </c>
      <c r="M16" t="s">
        <v>2182</v>
      </c>
      <c r="N16" t="s">
        <v>2241</v>
      </c>
      <c r="O16" t="s">
        <v>2351</v>
      </c>
      <c r="P16" t="s">
        <v>2609</v>
      </c>
      <c r="U16" t="s">
        <v>2421</v>
      </c>
      <c r="V16" t="s">
        <v>2522</v>
      </c>
      <c r="W16" t="s">
        <v>1778</v>
      </c>
      <c r="AA16">
        <v>36</v>
      </c>
      <c r="AB16">
        <v>40</v>
      </c>
      <c r="AD16">
        <v>40</v>
      </c>
    </row>
    <row r="17" spans="1:27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2061</v>
      </c>
      <c r="M17" t="s">
        <v>2183</v>
      </c>
      <c r="N17" t="s">
        <v>2242</v>
      </c>
      <c r="O17" t="s">
        <v>2352</v>
      </c>
      <c r="P17" t="s">
        <v>2610</v>
      </c>
      <c r="U17" t="s">
        <v>2422</v>
      </c>
      <c r="V17" t="s">
        <v>2523</v>
      </c>
      <c r="W17" t="s">
        <v>1610</v>
      </c>
      <c r="AA17">
        <v>40</v>
      </c>
    </row>
    <row r="18" spans="1:27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2062</v>
      </c>
      <c r="M18" t="s">
        <v>2184</v>
      </c>
      <c r="N18" t="s">
        <v>2243</v>
      </c>
      <c r="O18" t="s">
        <v>2353</v>
      </c>
      <c r="P18" t="s">
        <v>2358</v>
      </c>
      <c r="U18" t="s">
        <v>2423</v>
      </c>
      <c r="V18" t="s">
        <v>2524</v>
      </c>
      <c r="W18" t="s">
        <v>1756</v>
      </c>
    </row>
    <row r="19" spans="1:27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2063</v>
      </c>
      <c r="M19" t="s">
        <v>2185</v>
      </c>
      <c r="N19" t="s">
        <v>2244</v>
      </c>
      <c r="O19" t="s">
        <v>2111</v>
      </c>
      <c r="P19" t="s">
        <v>2611</v>
      </c>
      <c r="U19" t="s">
        <v>2424</v>
      </c>
      <c r="V19" t="s">
        <v>2525</v>
      </c>
      <c r="W19" t="s">
        <v>1615</v>
      </c>
    </row>
    <row r="20" spans="1:27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2064</v>
      </c>
      <c r="M20" t="s">
        <v>2186</v>
      </c>
      <c r="N20" t="s">
        <v>2245</v>
      </c>
      <c r="O20" t="s">
        <v>2354</v>
      </c>
      <c r="P20" t="s">
        <v>2612</v>
      </c>
      <c r="U20" t="s">
        <v>2425</v>
      </c>
      <c r="V20" t="s">
        <v>2526</v>
      </c>
      <c r="W20" t="s">
        <v>2570</v>
      </c>
    </row>
    <row r="21" spans="1:27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2065</v>
      </c>
      <c r="M21" t="s">
        <v>2187</v>
      </c>
      <c r="N21" t="s">
        <v>2246</v>
      </c>
      <c r="O21" t="s">
        <v>2355</v>
      </c>
      <c r="P21" t="s">
        <v>2613</v>
      </c>
      <c r="U21" t="s">
        <v>2426</v>
      </c>
      <c r="V21" t="s">
        <v>2527</v>
      </c>
      <c r="W21" t="s">
        <v>10</v>
      </c>
    </row>
    <row r="22" spans="1:27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2066</v>
      </c>
      <c r="M22" t="s">
        <v>2188</v>
      </c>
      <c r="N22" t="s">
        <v>2247</v>
      </c>
      <c r="P22" t="s">
        <v>2614</v>
      </c>
      <c r="U22" t="s">
        <v>2427</v>
      </c>
      <c r="V22" t="s">
        <v>2528</v>
      </c>
      <c r="W22" t="s">
        <v>2571</v>
      </c>
    </row>
    <row r="23" spans="1:27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2067</v>
      </c>
      <c r="M23" t="s">
        <v>2189</v>
      </c>
      <c r="N23" t="s">
        <v>1187</v>
      </c>
      <c r="P23" t="s">
        <v>2615</v>
      </c>
      <c r="U23" t="s">
        <v>2428</v>
      </c>
      <c r="V23" t="s">
        <v>2529</v>
      </c>
      <c r="W23" t="s">
        <v>2572</v>
      </c>
    </row>
    <row r="24" spans="1:27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2068</v>
      </c>
      <c r="M24" t="s">
        <v>2190</v>
      </c>
      <c r="N24" t="s">
        <v>1188</v>
      </c>
      <c r="P24" t="s">
        <v>2616</v>
      </c>
      <c r="U24" t="s">
        <v>2429</v>
      </c>
      <c r="V24" t="s">
        <v>2530</v>
      </c>
      <c r="W24" t="s">
        <v>381</v>
      </c>
    </row>
    <row r="25" spans="1:27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2069</v>
      </c>
      <c r="M25" t="s">
        <v>2191</v>
      </c>
      <c r="N25" t="s">
        <v>2248</v>
      </c>
      <c r="P25" t="s">
        <v>2617</v>
      </c>
      <c r="U25" t="s">
        <v>2430</v>
      </c>
      <c r="V25" t="s">
        <v>2531</v>
      </c>
      <c r="W25" t="s">
        <v>2573</v>
      </c>
    </row>
    <row r="26" spans="1:27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2070</v>
      </c>
      <c r="M26" t="s">
        <v>2192</v>
      </c>
      <c r="N26" t="s">
        <v>1193</v>
      </c>
      <c r="P26" t="s">
        <v>2618</v>
      </c>
      <c r="U26" t="s">
        <v>2431</v>
      </c>
      <c r="V26" t="s">
        <v>2532</v>
      </c>
      <c r="W26" t="s">
        <v>1631</v>
      </c>
    </row>
    <row r="27" spans="1:27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2071</v>
      </c>
      <c r="M27" t="s">
        <v>2193</v>
      </c>
      <c r="N27" t="s">
        <v>1194</v>
      </c>
      <c r="P27" t="s">
        <v>2619</v>
      </c>
      <c r="U27" t="s">
        <v>2432</v>
      </c>
      <c r="V27" t="s">
        <v>2533</v>
      </c>
      <c r="W27" t="s">
        <v>2574</v>
      </c>
    </row>
    <row r="28" spans="1:27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2072</v>
      </c>
      <c r="M28" t="s">
        <v>2194</v>
      </c>
      <c r="N28" t="s">
        <v>1195</v>
      </c>
      <c r="P28" t="s">
        <v>2620</v>
      </c>
      <c r="U28" t="s">
        <v>2433</v>
      </c>
      <c r="V28" t="s">
        <v>2534</v>
      </c>
      <c r="W28" t="s">
        <v>1641</v>
      </c>
    </row>
    <row r="29" spans="1:27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2073</v>
      </c>
      <c r="M29" t="s">
        <v>2195</v>
      </c>
      <c r="N29" t="s">
        <v>1197</v>
      </c>
      <c r="P29" t="s">
        <v>2621</v>
      </c>
      <c r="U29" t="s">
        <v>2434</v>
      </c>
      <c r="V29" t="s">
        <v>2535</v>
      </c>
      <c r="W29" t="s">
        <v>2575</v>
      </c>
    </row>
    <row r="30" spans="1:27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2074</v>
      </c>
      <c r="M30" t="s">
        <v>2196</v>
      </c>
      <c r="N30" t="s">
        <v>2249</v>
      </c>
      <c r="P30" t="s">
        <v>2622</v>
      </c>
      <c r="U30" t="s">
        <v>2435</v>
      </c>
      <c r="V30" t="s">
        <v>2536</v>
      </c>
      <c r="W30" t="s">
        <v>1652</v>
      </c>
    </row>
    <row r="31" spans="1:27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2075</v>
      </c>
      <c r="M31" t="s">
        <v>2197</v>
      </c>
      <c r="N31" t="s">
        <v>2250</v>
      </c>
      <c r="P31" t="s">
        <v>2623</v>
      </c>
      <c r="U31" t="s">
        <v>2436</v>
      </c>
      <c r="V31" t="s">
        <v>2537</v>
      </c>
      <c r="W31" t="s">
        <v>2576</v>
      </c>
    </row>
    <row r="32" spans="1:27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2076</v>
      </c>
      <c r="M32" t="s">
        <v>2198</v>
      </c>
      <c r="N32" t="s">
        <v>2251</v>
      </c>
      <c r="P32" t="s">
        <v>2624</v>
      </c>
      <c r="U32" t="s">
        <v>2437</v>
      </c>
      <c r="V32" t="s">
        <v>2538</v>
      </c>
      <c r="W32" t="s">
        <v>2577</v>
      </c>
    </row>
    <row r="33" spans="1:23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2077</v>
      </c>
      <c r="M33" t="s">
        <v>2199</v>
      </c>
      <c r="N33" t="s">
        <v>2252</v>
      </c>
      <c r="P33" t="s">
        <v>2625</v>
      </c>
      <c r="U33" t="s">
        <v>2438</v>
      </c>
      <c r="V33" t="s">
        <v>2539</v>
      </c>
      <c r="W33" t="s">
        <v>1662</v>
      </c>
    </row>
    <row r="34" spans="1:23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2078</v>
      </c>
      <c r="M34" t="s">
        <v>2200</v>
      </c>
      <c r="N34" t="s">
        <v>2253</v>
      </c>
      <c r="P34" t="s">
        <v>2626</v>
      </c>
      <c r="U34" t="s">
        <v>2439</v>
      </c>
      <c r="V34" t="s">
        <v>2540</v>
      </c>
      <c r="W34" t="s">
        <v>2578</v>
      </c>
    </row>
    <row r="35" spans="1:23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2079</v>
      </c>
      <c r="M35" t="s">
        <v>2201</v>
      </c>
      <c r="N35" t="s">
        <v>1201</v>
      </c>
      <c r="P35" t="s">
        <v>2627</v>
      </c>
      <c r="U35" t="s">
        <v>2440</v>
      </c>
      <c r="V35" t="s">
        <v>2541</v>
      </c>
      <c r="W35" t="s">
        <v>2579</v>
      </c>
    </row>
    <row r="36" spans="1:23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2080</v>
      </c>
      <c r="M36" t="s">
        <v>2202</v>
      </c>
      <c r="N36" t="s">
        <v>1202</v>
      </c>
      <c r="P36" t="s">
        <v>2628</v>
      </c>
      <c r="U36" t="s">
        <v>2441</v>
      </c>
      <c r="V36" t="s">
        <v>2542</v>
      </c>
      <c r="W36" t="s">
        <v>517</v>
      </c>
    </row>
    <row r="37" spans="1:23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2081</v>
      </c>
      <c r="M37" t="s">
        <v>2203</v>
      </c>
      <c r="N37" t="s">
        <v>2254</v>
      </c>
      <c r="P37" t="s">
        <v>2629</v>
      </c>
      <c r="U37" t="s">
        <v>2442</v>
      </c>
      <c r="V37" t="s">
        <v>2543</v>
      </c>
      <c r="W37" t="s">
        <v>1675</v>
      </c>
    </row>
    <row r="38" spans="1:23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2082</v>
      </c>
      <c r="M38" t="s">
        <v>2204</v>
      </c>
      <c r="N38" t="s">
        <v>2255</v>
      </c>
      <c r="P38" t="s">
        <v>2630</v>
      </c>
      <c r="U38" t="s">
        <v>2443</v>
      </c>
      <c r="V38" t="s">
        <v>2544</v>
      </c>
      <c r="W38" t="s">
        <v>1684</v>
      </c>
    </row>
    <row r="39" spans="1:23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2083</v>
      </c>
      <c r="M39" t="s">
        <v>2205</v>
      </c>
      <c r="N39" t="s">
        <v>2256</v>
      </c>
      <c r="P39" t="s">
        <v>2631</v>
      </c>
      <c r="U39" t="s">
        <v>2444</v>
      </c>
      <c r="V39" t="s">
        <v>2545</v>
      </c>
      <c r="W39" t="s">
        <v>2580</v>
      </c>
    </row>
    <row r="40" spans="1:23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2084</v>
      </c>
      <c r="M40" t="s">
        <v>2206</v>
      </c>
      <c r="N40" t="s">
        <v>1209</v>
      </c>
      <c r="P40" t="s">
        <v>2632</v>
      </c>
      <c r="U40" t="s">
        <v>2445</v>
      </c>
      <c r="V40" t="s">
        <v>2546</v>
      </c>
      <c r="W40" t="s">
        <v>582</v>
      </c>
    </row>
    <row r="41" spans="1:23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2085</v>
      </c>
      <c r="M41" t="s">
        <v>2207</v>
      </c>
      <c r="N41" t="s">
        <v>1211</v>
      </c>
      <c r="P41" t="s">
        <v>2633</v>
      </c>
      <c r="U41" t="s">
        <v>2446</v>
      </c>
      <c r="V41" t="s">
        <v>2547</v>
      </c>
      <c r="W41" t="s">
        <v>2581</v>
      </c>
    </row>
    <row r="42" spans="1:23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2086</v>
      </c>
      <c r="M42" t="s">
        <v>2208</v>
      </c>
      <c r="N42" t="s">
        <v>2257</v>
      </c>
      <c r="P42" t="s">
        <v>2634</v>
      </c>
      <c r="U42" t="s">
        <v>2447</v>
      </c>
      <c r="V42" t="s">
        <v>2548</v>
      </c>
      <c r="W42" t="s">
        <v>2582</v>
      </c>
    </row>
    <row r="43" spans="1:23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2087</v>
      </c>
      <c r="M43" t="s">
        <v>2209</v>
      </c>
      <c r="N43" t="s">
        <v>2258</v>
      </c>
      <c r="P43" t="s">
        <v>2635</v>
      </c>
      <c r="U43" t="s">
        <v>2448</v>
      </c>
      <c r="V43" t="s">
        <v>2549</v>
      </c>
    </row>
    <row r="44" spans="1:23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2088</v>
      </c>
      <c r="M44" t="s">
        <v>2210</v>
      </c>
      <c r="N44" t="s">
        <v>2259</v>
      </c>
      <c r="U44" t="s">
        <v>2449</v>
      </c>
      <c r="V44" t="s">
        <v>2550</v>
      </c>
    </row>
    <row r="45" spans="1:23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2089</v>
      </c>
      <c r="M45" t="s">
        <v>2211</v>
      </c>
      <c r="N45" t="s">
        <v>2260</v>
      </c>
      <c r="U45" t="s">
        <v>2450</v>
      </c>
      <c r="V45" t="s">
        <v>2551</v>
      </c>
    </row>
    <row r="46" spans="1:23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2090</v>
      </c>
      <c r="M46" t="s">
        <v>2212</v>
      </c>
      <c r="N46" t="s">
        <v>2261</v>
      </c>
      <c r="U46" t="s">
        <v>2451</v>
      </c>
      <c r="V46" t="s">
        <v>2552</v>
      </c>
    </row>
    <row r="47" spans="1:23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2091</v>
      </c>
      <c r="M47" t="s">
        <v>2213</v>
      </c>
      <c r="N47" t="s">
        <v>2262</v>
      </c>
      <c r="U47" t="s">
        <v>2452</v>
      </c>
      <c r="V47" t="s">
        <v>2553</v>
      </c>
    </row>
    <row r="48" spans="1:23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2092</v>
      </c>
      <c r="M48" t="s">
        <v>2214</v>
      </c>
      <c r="N48" t="s">
        <v>2263</v>
      </c>
      <c r="U48" t="s">
        <v>2453</v>
      </c>
      <c r="V48" t="s">
        <v>2554</v>
      </c>
    </row>
    <row r="49" spans="1:22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2093</v>
      </c>
      <c r="M49" t="s">
        <v>2215</v>
      </c>
      <c r="N49" t="s">
        <v>2264</v>
      </c>
      <c r="U49" t="s">
        <v>2454</v>
      </c>
      <c r="V49" t="s">
        <v>2555</v>
      </c>
    </row>
    <row r="50" spans="1:22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2094</v>
      </c>
      <c r="M50" t="s">
        <v>2216</v>
      </c>
      <c r="N50" t="s">
        <v>2265</v>
      </c>
      <c r="U50" t="s">
        <v>2455</v>
      </c>
      <c r="V50" t="s">
        <v>2556</v>
      </c>
    </row>
    <row r="51" spans="1:22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2095</v>
      </c>
      <c r="M51" t="s">
        <v>2217</v>
      </c>
      <c r="N51" t="s">
        <v>1885</v>
      </c>
      <c r="U51" t="s">
        <v>2456</v>
      </c>
      <c r="V51" t="s">
        <v>2557</v>
      </c>
    </row>
    <row r="52" spans="1:22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2096</v>
      </c>
      <c r="M52" t="s">
        <v>2218</v>
      </c>
      <c r="N52" t="s">
        <v>1220</v>
      </c>
      <c r="U52" t="s">
        <v>2457</v>
      </c>
      <c r="V52" t="s">
        <v>2558</v>
      </c>
    </row>
    <row r="53" spans="1:22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L53" t="s">
        <v>2097</v>
      </c>
      <c r="M53" t="s">
        <v>2219</v>
      </c>
      <c r="N53" t="s">
        <v>1222</v>
      </c>
      <c r="U53" t="s">
        <v>2458</v>
      </c>
    </row>
    <row r="54" spans="1:22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L54" t="s">
        <v>2098</v>
      </c>
      <c r="M54" t="s">
        <v>2220</v>
      </c>
      <c r="N54" t="s">
        <v>2266</v>
      </c>
      <c r="U54" t="s">
        <v>2459</v>
      </c>
    </row>
    <row r="55" spans="1:22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L55" t="s">
        <v>2099</v>
      </c>
      <c r="M55" t="s">
        <v>2221</v>
      </c>
      <c r="N55" t="s">
        <v>2267</v>
      </c>
      <c r="U55" t="s">
        <v>2460</v>
      </c>
    </row>
    <row r="56" spans="1:22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L56" t="s">
        <v>2100</v>
      </c>
      <c r="M56" t="s">
        <v>2222</v>
      </c>
      <c r="N56" t="s">
        <v>2268</v>
      </c>
      <c r="U56" t="s">
        <v>2461</v>
      </c>
    </row>
    <row r="57" spans="1:22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L57" t="s">
        <v>2101</v>
      </c>
      <c r="M57" t="s">
        <v>2223</v>
      </c>
      <c r="N57" t="s">
        <v>2269</v>
      </c>
      <c r="U57" t="s">
        <v>2462</v>
      </c>
    </row>
    <row r="58" spans="1:22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L58" t="s">
        <v>2102</v>
      </c>
      <c r="M58" t="s">
        <v>2224</v>
      </c>
      <c r="N58" t="s">
        <v>2270</v>
      </c>
      <c r="U58" t="s">
        <v>2463</v>
      </c>
    </row>
    <row r="59" spans="1:22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L59" t="s">
        <v>2103</v>
      </c>
      <c r="M59" t="s">
        <v>2225</v>
      </c>
      <c r="N59" t="s">
        <v>1228</v>
      </c>
      <c r="U59" t="s">
        <v>2464</v>
      </c>
    </row>
    <row r="60" spans="1:22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L60" t="s">
        <v>2104</v>
      </c>
      <c r="M60" t="s">
        <v>2226</v>
      </c>
      <c r="N60" t="s">
        <v>1229</v>
      </c>
      <c r="U60" t="s">
        <v>2465</v>
      </c>
    </row>
    <row r="61" spans="1:22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L61" t="s">
        <v>2105</v>
      </c>
      <c r="M61" t="s">
        <v>2227</v>
      </c>
      <c r="N61" t="s">
        <v>1893</v>
      </c>
      <c r="U61" t="s">
        <v>2466</v>
      </c>
    </row>
    <row r="62" spans="1:22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L62" t="s">
        <v>2106</v>
      </c>
      <c r="M62" t="s">
        <v>2228</v>
      </c>
      <c r="N62" t="s">
        <v>1238</v>
      </c>
      <c r="U62" t="s">
        <v>2467</v>
      </c>
    </row>
    <row r="63" spans="1:22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L63" t="s">
        <v>2107</v>
      </c>
      <c r="M63" t="s">
        <v>2229</v>
      </c>
      <c r="N63" t="s">
        <v>1240</v>
      </c>
      <c r="U63" t="s">
        <v>2468</v>
      </c>
    </row>
    <row r="64" spans="1:22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L64" t="s">
        <v>2108</v>
      </c>
      <c r="M64" t="s">
        <v>2230</v>
      </c>
      <c r="N64" t="s">
        <v>1244</v>
      </c>
      <c r="U64" t="s">
        <v>2469</v>
      </c>
    </row>
    <row r="65" spans="1:21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L65" t="s">
        <v>2109</v>
      </c>
      <c r="N65" t="s">
        <v>2271</v>
      </c>
      <c r="U65" t="s">
        <v>2470</v>
      </c>
    </row>
    <row r="66" spans="1:21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L66" t="s">
        <v>2110</v>
      </c>
      <c r="N66" t="s">
        <v>2272</v>
      </c>
      <c r="U66" t="s">
        <v>2471</v>
      </c>
    </row>
    <row r="67" spans="1:21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L67" t="s">
        <v>2111</v>
      </c>
      <c r="N67" t="s">
        <v>2273</v>
      </c>
      <c r="U67" t="s">
        <v>2472</v>
      </c>
    </row>
    <row r="68" spans="1:21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L68" t="s">
        <v>2112</v>
      </c>
      <c r="N68" t="s">
        <v>2274</v>
      </c>
      <c r="U68" t="s">
        <v>2473</v>
      </c>
    </row>
    <row r="69" spans="1:21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L69" t="s">
        <v>2113</v>
      </c>
      <c r="N69" t="s">
        <v>2275</v>
      </c>
      <c r="U69" t="s">
        <v>2474</v>
      </c>
    </row>
    <row r="70" spans="1:21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L70" t="s">
        <v>2114</v>
      </c>
      <c r="N70" t="s">
        <v>2276</v>
      </c>
      <c r="U70" t="s">
        <v>2475</v>
      </c>
    </row>
    <row r="71" spans="1:21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L71" t="s">
        <v>2115</v>
      </c>
      <c r="N71" t="s">
        <v>2277</v>
      </c>
      <c r="U71" t="s">
        <v>2476</v>
      </c>
    </row>
    <row r="72" spans="1:21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L72" t="s">
        <v>2116</v>
      </c>
      <c r="N72" t="s">
        <v>2278</v>
      </c>
      <c r="U72" t="s">
        <v>2477</v>
      </c>
    </row>
    <row r="73" spans="1:21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L73" t="s">
        <v>2117</v>
      </c>
      <c r="N73" t="s">
        <v>1273</v>
      </c>
      <c r="U73" t="s">
        <v>2478</v>
      </c>
    </row>
    <row r="74" spans="1:21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L74" t="s">
        <v>2118</v>
      </c>
      <c r="N74" t="s">
        <v>1282</v>
      </c>
      <c r="U74" t="s">
        <v>2479</v>
      </c>
    </row>
    <row r="75" spans="1:21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L75" t="s">
        <v>2119</v>
      </c>
      <c r="N75" t="s">
        <v>1284</v>
      </c>
      <c r="U75" t="s">
        <v>2480</v>
      </c>
    </row>
    <row r="76" spans="1:21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L76" t="s">
        <v>2120</v>
      </c>
      <c r="N76" t="s">
        <v>1286</v>
      </c>
      <c r="U76" t="s">
        <v>2481</v>
      </c>
    </row>
    <row r="77" spans="1:21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L77" t="s">
        <v>2121</v>
      </c>
      <c r="N77" t="s">
        <v>1288</v>
      </c>
      <c r="U77" t="s">
        <v>2482</v>
      </c>
    </row>
    <row r="78" spans="1:21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L78" t="s">
        <v>2122</v>
      </c>
      <c r="N78" t="s">
        <v>1291</v>
      </c>
      <c r="U78" t="s">
        <v>2483</v>
      </c>
    </row>
    <row r="79" spans="1:21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L79" t="s">
        <v>2123</v>
      </c>
      <c r="N79" t="s">
        <v>1293</v>
      </c>
      <c r="U79" t="s">
        <v>2484</v>
      </c>
    </row>
    <row r="80" spans="1:21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L80" t="s">
        <v>2124</v>
      </c>
      <c r="N80" t="s">
        <v>2279</v>
      </c>
      <c r="U80" t="s">
        <v>2485</v>
      </c>
    </row>
    <row r="81" spans="1:21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L81" t="s">
        <v>2125</v>
      </c>
      <c r="N81" t="s">
        <v>2280</v>
      </c>
      <c r="U81" t="s">
        <v>2486</v>
      </c>
    </row>
    <row r="82" spans="1:21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L82" t="s">
        <v>2126</v>
      </c>
      <c r="N82" t="s">
        <v>2281</v>
      </c>
      <c r="U82" t="s">
        <v>2487</v>
      </c>
    </row>
    <row r="83" spans="1:21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L83" t="s">
        <v>2127</v>
      </c>
      <c r="N83" t="s">
        <v>2282</v>
      </c>
      <c r="U83" t="s">
        <v>2488</v>
      </c>
    </row>
    <row r="84" spans="1:21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L84" t="s">
        <v>2128</v>
      </c>
      <c r="N84" t="s">
        <v>2283</v>
      </c>
      <c r="U84" t="s">
        <v>2489</v>
      </c>
    </row>
    <row r="85" spans="1:21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L85" t="s">
        <v>2129</v>
      </c>
      <c r="N85" t="s">
        <v>2284</v>
      </c>
      <c r="U85" t="s">
        <v>2490</v>
      </c>
    </row>
    <row r="86" spans="1:21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L86" t="s">
        <v>2130</v>
      </c>
      <c r="N86" t="s">
        <v>2285</v>
      </c>
      <c r="U86" t="s">
        <v>2491</v>
      </c>
    </row>
    <row r="87" spans="1:21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L87" t="s">
        <v>2131</v>
      </c>
      <c r="N87" t="s">
        <v>2286</v>
      </c>
      <c r="U87" t="s">
        <v>2492</v>
      </c>
    </row>
    <row r="88" spans="1:21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L88" t="s">
        <v>2132</v>
      </c>
      <c r="N88" t="s">
        <v>2287</v>
      </c>
      <c r="U88" t="s">
        <v>2493</v>
      </c>
    </row>
    <row r="89" spans="1:21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L89" t="s">
        <v>2133</v>
      </c>
      <c r="N89" t="s">
        <v>2288</v>
      </c>
      <c r="U89" t="s">
        <v>2494</v>
      </c>
    </row>
    <row r="90" spans="1:21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L90" t="s">
        <v>2134</v>
      </c>
      <c r="N90" t="s">
        <v>1907</v>
      </c>
      <c r="U90" t="s">
        <v>2495</v>
      </c>
    </row>
    <row r="91" spans="1:21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L91" t="s">
        <v>2135</v>
      </c>
      <c r="N91" t="s">
        <v>1908</v>
      </c>
      <c r="U91" t="s">
        <v>2496</v>
      </c>
    </row>
    <row r="92" spans="1:21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L92" t="s">
        <v>2136</v>
      </c>
      <c r="N92" t="s">
        <v>2289</v>
      </c>
      <c r="U92" t="s">
        <v>2497</v>
      </c>
    </row>
    <row r="93" spans="1:21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L93" t="s">
        <v>2137</v>
      </c>
      <c r="N93" t="s">
        <v>2290</v>
      </c>
      <c r="U93" t="s">
        <v>2498</v>
      </c>
    </row>
    <row r="94" spans="1:21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L94" t="s">
        <v>2138</v>
      </c>
      <c r="N94" t="s">
        <v>2291</v>
      </c>
      <c r="U94" t="s">
        <v>2499</v>
      </c>
    </row>
    <row r="95" spans="1:21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L95" t="s">
        <v>2139</v>
      </c>
      <c r="N95" t="s">
        <v>2292</v>
      </c>
      <c r="U95" t="s">
        <v>2500</v>
      </c>
    </row>
    <row r="96" spans="1:21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L96" t="s">
        <v>2140</v>
      </c>
      <c r="N96" t="s">
        <v>2293</v>
      </c>
      <c r="U96" t="s">
        <v>2501</v>
      </c>
    </row>
    <row r="97" spans="1:21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L97" t="s">
        <v>2141</v>
      </c>
      <c r="N97" t="s">
        <v>1313</v>
      </c>
      <c r="U97" t="s">
        <v>2502</v>
      </c>
    </row>
    <row r="98" spans="1:21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L98" t="s">
        <v>2142</v>
      </c>
      <c r="N98" t="s">
        <v>1315</v>
      </c>
      <c r="U98" t="s">
        <v>2503</v>
      </c>
    </row>
    <row r="99" spans="1:21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L99" t="s">
        <v>2143</v>
      </c>
      <c r="N99" t="s">
        <v>2294</v>
      </c>
      <c r="U99" t="s">
        <v>2504</v>
      </c>
    </row>
    <row r="100" spans="1:21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L100" t="s">
        <v>2144</v>
      </c>
      <c r="N100" t="s">
        <v>1320</v>
      </c>
      <c r="U100" t="s">
        <v>2505</v>
      </c>
    </row>
    <row r="101" spans="1:21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L101" t="s">
        <v>2145</v>
      </c>
      <c r="N101" t="s">
        <v>1322</v>
      </c>
      <c r="U101" t="s">
        <v>2506</v>
      </c>
    </row>
    <row r="102" spans="1:21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L102" t="s">
        <v>2146</v>
      </c>
      <c r="N102" t="s">
        <v>2295</v>
      </c>
      <c r="U102" t="s">
        <v>2507</v>
      </c>
    </row>
    <row r="103" spans="1:21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L103" t="s">
        <v>2147</v>
      </c>
      <c r="N103" t="s">
        <v>2296</v>
      </c>
    </row>
    <row r="104" spans="1:21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L104" t="s">
        <v>2148</v>
      </c>
      <c r="N104" t="s">
        <v>1327</v>
      </c>
    </row>
    <row r="105" spans="1:21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L105" t="s">
        <v>2149</v>
      </c>
      <c r="N105" t="s">
        <v>1331</v>
      </c>
    </row>
    <row r="106" spans="1:21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L106" t="s">
        <v>2150</v>
      </c>
      <c r="N106" t="s">
        <v>1333</v>
      </c>
    </row>
    <row r="107" spans="1:21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L107" t="s">
        <v>2151</v>
      </c>
      <c r="N107" t="s">
        <v>2297</v>
      </c>
    </row>
    <row r="108" spans="1:21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L108" t="s">
        <v>2152</v>
      </c>
      <c r="N108" t="s">
        <v>2298</v>
      </c>
    </row>
    <row r="109" spans="1:21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L109" t="s">
        <v>2153</v>
      </c>
      <c r="N109" t="s">
        <v>1919</v>
      </c>
    </row>
    <row r="110" spans="1:21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L110" t="s">
        <v>2154</v>
      </c>
      <c r="N110" t="s">
        <v>2299</v>
      </c>
    </row>
    <row r="111" spans="1:21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L111" t="s">
        <v>2155</v>
      </c>
      <c r="N111" t="s">
        <v>2300</v>
      </c>
    </row>
    <row r="112" spans="1:21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L112" t="s">
        <v>2156</v>
      </c>
      <c r="N112" t="s">
        <v>2301</v>
      </c>
    </row>
    <row r="113" spans="1:14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L113" t="s">
        <v>2157</v>
      </c>
      <c r="N113" t="s">
        <v>1358</v>
      </c>
    </row>
    <row r="114" spans="1:14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L114" t="s">
        <v>2158</v>
      </c>
      <c r="N114" t="s">
        <v>1362</v>
      </c>
    </row>
    <row r="115" spans="1:14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L115" t="s">
        <v>2159</v>
      </c>
      <c r="N115" t="s">
        <v>2302</v>
      </c>
    </row>
    <row r="116" spans="1:14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L116" t="s">
        <v>2160</v>
      </c>
      <c r="N116" t="s">
        <v>2303</v>
      </c>
    </row>
    <row r="117" spans="1:14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L117" t="s">
        <v>2161</v>
      </c>
      <c r="N117" t="s">
        <v>2304</v>
      </c>
    </row>
    <row r="118" spans="1:14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L118" t="s">
        <v>2162</v>
      </c>
      <c r="N118" t="s">
        <v>2305</v>
      </c>
    </row>
    <row r="119" spans="1:14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L119" t="s">
        <v>2163</v>
      </c>
      <c r="N119" t="s">
        <v>2306</v>
      </c>
    </row>
    <row r="120" spans="1:14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L120" t="s">
        <v>2164</v>
      </c>
      <c r="N120" t="s">
        <v>2307</v>
      </c>
    </row>
    <row r="121" spans="1:14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L121" t="s">
        <v>2165</v>
      </c>
      <c r="N121" t="s">
        <v>2308</v>
      </c>
    </row>
    <row r="122" spans="1:14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L122" t="s">
        <v>2166</v>
      </c>
      <c r="N122" t="s">
        <v>2309</v>
      </c>
    </row>
    <row r="123" spans="1:14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L123" t="s">
        <v>2167</v>
      </c>
      <c r="N123" t="s">
        <v>2310</v>
      </c>
    </row>
    <row r="124" spans="1:14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N124" t="s">
        <v>2311</v>
      </c>
    </row>
    <row r="125" spans="1:14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N125" t="s">
        <v>2312</v>
      </c>
    </row>
    <row r="126" spans="1:14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N126" t="s">
        <v>2313</v>
      </c>
    </row>
    <row r="127" spans="1:14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N127" t="s">
        <v>1367</v>
      </c>
    </row>
    <row r="128" spans="1:14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N128" t="s">
        <v>1369</v>
      </c>
    </row>
    <row r="129" spans="1:14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N129" t="s">
        <v>1371</v>
      </c>
    </row>
    <row r="130" spans="1:14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N130" t="s">
        <v>2314</v>
      </c>
    </row>
    <row r="131" spans="1:14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N131" t="s">
        <v>8</v>
      </c>
    </row>
    <row r="132" spans="1:14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N132" t="s">
        <v>1384</v>
      </c>
    </row>
    <row r="133" spans="1:14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N133" t="s">
        <v>1386</v>
      </c>
    </row>
    <row r="134" spans="1:14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N134" t="s">
        <v>2315</v>
      </c>
    </row>
    <row r="135" spans="1:14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N135" t="s">
        <v>2316</v>
      </c>
    </row>
    <row r="136" spans="1:14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N136" t="s">
        <v>2317</v>
      </c>
    </row>
    <row r="137" spans="1:14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N137" t="s">
        <v>2318</v>
      </c>
    </row>
    <row r="138" spans="1:14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N138" t="s">
        <v>2319</v>
      </c>
    </row>
    <row r="139" spans="1:14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N139" t="s">
        <v>2320</v>
      </c>
    </row>
    <row r="140" spans="1:14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N140" t="s">
        <v>2321</v>
      </c>
    </row>
    <row r="141" spans="1:14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N141" t="s">
        <v>2322</v>
      </c>
    </row>
    <row r="142" spans="1:14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N142" t="s">
        <v>1407</v>
      </c>
    </row>
    <row r="143" spans="1:14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N143" t="s">
        <v>1409</v>
      </c>
    </row>
    <row r="144" spans="1:14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N144" t="s">
        <v>1411</v>
      </c>
    </row>
    <row r="145" spans="1:14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N145" t="s">
        <v>1418</v>
      </c>
    </row>
    <row r="146" spans="1:14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N146" t="s">
        <v>9</v>
      </c>
    </row>
    <row r="147" spans="1:14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N147" t="s">
        <v>2323</v>
      </c>
    </row>
    <row r="148" spans="1:14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N148" t="s">
        <v>2324</v>
      </c>
    </row>
    <row r="149" spans="1:14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N149" t="s">
        <v>2325</v>
      </c>
    </row>
    <row r="150" spans="1:14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N150" t="s">
        <v>2326</v>
      </c>
    </row>
    <row r="151" spans="1:14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N151" t="s">
        <v>1440</v>
      </c>
    </row>
    <row r="152" spans="1:14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N152" t="s">
        <v>1442</v>
      </c>
    </row>
    <row r="153" spans="1:14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N153" t="s">
        <v>1444</v>
      </c>
    </row>
    <row r="154" spans="1:14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N154" t="s">
        <v>2327</v>
      </c>
    </row>
    <row r="155" spans="1:14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N155" t="s">
        <v>1453</v>
      </c>
    </row>
    <row r="156" spans="1:14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N156" t="s">
        <v>2328</v>
      </c>
    </row>
    <row r="157" spans="1:14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N157" t="s">
        <v>2329</v>
      </c>
    </row>
    <row r="158" spans="1:14" x14ac:dyDescent="0.25">
      <c r="A158" t="s">
        <v>201</v>
      </c>
      <c r="B158" t="s">
        <v>992</v>
      </c>
      <c r="C158" t="s">
        <v>1337</v>
      </c>
      <c r="F158" t="s">
        <v>1898</v>
      </c>
      <c r="N158" t="s">
        <v>2330</v>
      </c>
    </row>
    <row r="159" spans="1:14" x14ac:dyDescent="0.25">
      <c r="A159" t="s">
        <v>202</v>
      </c>
      <c r="B159" t="s">
        <v>993</v>
      </c>
      <c r="C159" t="s">
        <v>1338</v>
      </c>
      <c r="F159" t="s">
        <v>1267</v>
      </c>
      <c r="N159" t="s">
        <v>2331</v>
      </c>
    </row>
    <row r="160" spans="1:14" x14ac:dyDescent="0.25">
      <c r="A160" t="s">
        <v>203</v>
      </c>
      <c r="B160" t="s">
        <v>994</v>
      </c>
      <c r="C160" t="s">
        <v>1339</v>
      </c>
      <c r="F160" t="s">
        <v>1269</v>
      </c>
      <c r="N160" t="s">
        <v>2332</v>
      </c>
    </row>
    <row r="161" spans="1:14" x14ac:dyDescent="0.25">
      <c r="A161" t="s">
        <v>204</v>
      </c>
      <c r="B161" t="s">
        <v>995</v>
      </c>
      <c r="C161" t="s">
        <v>1340</v>
      </c>
      <c r="F161" t="s">
        <v>1271</v>
      </c>
      <c r="N161" t="s">
        <v>2333</v>
      </c>
    </row>
    <row r="162" spans="1:14" x14ac:dyDescent="0.25">
      <c r="A162" t="s">
        <v>205</v>
      </c>
      <c r="B162" t="s">
        <v>996</v>
      </c>
      <c r="C162" t="s">
        <v>1341</v>
      </c>
      <c r="F162" t="s">
        <v>1272</v>
      </c>
      <c r="N162" t="s">
        <v>2334</v>
      </c>
    </row>
    <row r="163" spans="1:14" x14ac:dyDescent="0.25">
      <c r="A163" t="s">
        <v>206</v>
      </c>
      <c r="B163" t="s">
        <v>997</v>
      </c>
      <c r="C163" t="s">
        <v>1342</v>
      </c>
      <c r="F163" t="s">
        <v>1275</v>
      </c>
      <c r="N163" t="s">
        <v>2335</v>
      </c>
    </row>
    <row r="164" spans="1:14" x14ac:dyDescent="0.25">
      <c r="A164" t="s">
        <v>207</v>
      </c>
      <c r="B164" t="s">
        <v>998</v>
      </c>
      <c r="C164" t="s">
        <v>1343</v>
      </c>
      <c r="F164" t="s">
        <v>1277</v>
      </c>
      <c r="N164" t="s">
        <v>2336</v>
      </c>
    </row>
    <row r="165" spans="1:14" x14ac:dyDescent="0.25">
      <c r="A165" t="s">
        <v>208</v>
      </c>
      <c r="B165" t="s">
        <v>999</v>
      </c>
      <c r="C165" t="s">
        <v>1344</v>
      </c>
      <c r="F165" t="s">
        <v>1279</v>
      </c>
      <c r="N165" t="s">
        <v>2337</v>
      </c>
    </row>
    <row r="166" spans="1:14" x14ac:dyDescent="0.25">
      <c r="A166" t="s">
        <v>209</v>
      </c>
      <c r="B166" t="s">
        <v>1000</v>
      </c>
      <c r="C166" t="s">
        <v>7</v>
      </c>
      <c r="F166" t="s">
        <v>1281</v>
      </c>
      <c r="N166" t="s">
        <v>2338</v>
      </c>
    </row>
    <row r="167" spans="1:14" x14ac:dyDescent="0.25">
      <c r="A167" t="s">
        <v>210</v>
      </c>
      <c r="B167" t="s">
        <v>1001</v>
      </c>
      <c r="C167" t="s">
        <v>1345</v>
      </c>
      <c r="F167" t="s">
        <v>1284</v>
      </c>
      <c r="N167" t="s">
        <v>2339</v>
      </c>
    </row>
    <row r="168" spans="1:14" x14ac:dyDescent="0.25">
      <c r="A168" t="s">
        <v>211</v>
      </c>
      <c r="B168" t="s">
        <v>1002</v>
      </c>
      <c r="C168" t="s">
        <v>1346</v>
      </c>
      <c r="F168" t="s">
        <v>1286</v>
      </c>
      <c r="N168" t="s">
        <v>2340</v>
      </c>
    </row>
    <row r="169" spans="1:14" x14ac:dyDescent="0.25">
      <c r="A169" t="s">
        <v>212</v>
      </c>
      <c r="B169" t="s">
        <v>1003</v>
      </c>
      <c r="C169" t="s">
        <v>1347</v>
      </c>
      <c r="F169" t="s">
        <v>1288</v>
      </c>
      <c r="N169" t="s">
        <v>2341</v>
      </c>
    </row>
    <row r="170" spans="1:14" x14ac:dyDescent="0.25">
      <c r="A170" t="s">
        <v>213</v>
      </c>
      <c r="B170" t="s">
        <v>1004</v>
      </c>
      <c r="C170" t="s">
        <v>1348</v>
      </c>
      <c r="F170" t="s">
        <v>1290</v>
      </c>
      <c r="N170" t="s">
        <v>1536</v>
      </c>
    </row>
    <row r="171" spans="1:14" x14ac:dyDescent="0.25">
      <c r="A171" t="s">
        <v>214</v>
      </c>
      <c r="B171" t="s">
        <v>1005</v>
      </c>
      <c r="C171" t="s">
        <v>1349</v>
      </c>
      <c r="F171" t="s">
        <v>1899</v>
      </c>
      <c r="N171" t="s">
        <v>2342</v>
      </c>
    </row>
    <row r="172" spans="1:14" x14ac:dyDescent="0.25">
      <c r="A172" t="s">
        <v>215</v>
      </c>
      <c r="B172" t="s">
        <v>1006</v>
      </c>
      <c r="C172" t="s">
        <v>1350</v>
      </c>
      <c r="F172" t="s">
        <v>1900</v>
      </c>
      <c r="N172" t="s">
        <v>2343</v>
      </c>
    </row>
    <row r="173" spans="1:14" x14ac:dyDescent="0.25">
      <c r="A173" t="s">
        <v>216</v>
      </c>
      <c r="B173" t="s">
        <v>1007</v>
      </c>
      <c r="C173" t="s">
        <v>1351</v>
      </c>
      <c r="F173" t="s">
        <v>1901</v>
      </c>
      <c r="N173" t="s">
        <v>2344</v>
      </c>
    </row>
    <row r="174" spans="1:14" x14ac:dyDescent="0.25">
      <c r="A174" t="s">
        <v>217</v>
      </c>
      <c r="B174" t="s">
        <v>1008</v>
      </c>
      <c r="C174" t="s">
        <v>1352</v>
      </c>
      <c r="F174" t="s">
        <v>1902</v>
      </c>
      <c r="N174" t="s">
        <v>2345</v>
      </c>
    </row>
    <row r="175" spans="1:14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14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|Содержание|</vt:lpstr>
      <vt:lpstr>|Лог|</vt:lpstr>
      <vt:lpstr>КЖ_спец</vt:lpstr>
      <vt:lpstr>КЖ_норм</vt:lpstr>
      <vt:lpstr>Изделия_спец.И</vt:lpstr>
      <vt:lpstr>Ведомость отделки-Тип_вед</vt:lpstr>
      <vt:lpstr>Ведомость отделки_правила</vt:lpstr>
      <vt:lpstr>Ведомость отделки_вед</vt:lpstr>
      <vt:lpstr>едомость отделки-Тип_вед_log</vt:lpstr>
      <vt:lpstr>!System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2019-07-29T09:51:17Z</cp:lastPrinted>
  <dcterms:created xsi:type="dcterms:W3CDTF">2014-07-19T16:57:30Z</dcterms:created>
  <dcterms:modified xsi:type="dcterms:W3CDTF">2019-09-23T14:17:37Z</dcterms:modified>
</cp:coreProperties>
</file>