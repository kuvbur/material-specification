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9025" yWindow="450" windowWidth="16200" windowHeight="16575" tabRatio="850" firstSheet="10" activeTab="20"/>
  </bookViews>
  <sheets>
    <sheet name="|Содержание|" sheetId="661" r:id="rId1"/>
    <sheet name="Таблица из архикада" sheetId="842" r:id="rId2"/>
    <sheet name="Пс8.7_спец" sheetId="822" r:id="rId3"/>
    <sheet name="Пс8.6_спец" sheetId="821" r:id="rId4"/>
    <sheet name="Пс8.5_спец" sheetId="820" r:id="rId5"/>
    <sheet name="Пс8.4_спец" sheetId="817" r:id="rId6"/>
    <sheet name="Пс8.3_спец" sheetId="814" r:id="rId7"/>
    <sheet name="Пс8.2_спец" sheetId="811" r:id="rId8"/>
    <sheet name="Пм1.1_спец" sheetId="805" r:id="rId9"/>
    <sheet name="Км1234_спец" sheetId="792" r:id="rId10"/>
    <sheet name="Км(2)_спец" sheetId="785" r:id="rId11"/>
    <sheet name="Изделия_спец.И" sheetId="803" r:id="rId12"/>
    <sheet name="Ведомость отделки_правила" sheetId="732" r:id="rId13"/>
    <sheet name=" 1 Изделия_спец.И" sheetId="809" r:id="rId14"/>
    <sheet name="Исх.Таблица из архикада" sheetId="810" r:id="rId15"/>
    <sheet name=" 1 Из архикада плиты" sheetId="802" r:id="rId16"/>
    <sheet name="!System" sheetId="799" state="hidden" r:id="rId17"/>
    <sheet name="|Лог|" sheetId="800" r:id="rId18"/>
    <sheet name="Из архикада плиты" sheetId="784" r:id="rId19"/>
    <sheet name="Ведомость отделки_разб" sheetId="782" r:id="rId20"/>
    <sheet name="Пс8.7_кж" sheetId="843" r:id="rId21"/>
  </sheets>
  <functionGroups builtInGroupCount="18"/>
  <externalReferences>
    <externalReference r:id="rId22"/>
    <externalReference r:id="rId23"/>
  </externalReferences>
  <definedNames>
    <definedName name="КЖ_сист_ЖБ_Плиты" localSheetId="15">' 1 Из архикада плиты'!$A$1:$H$80</definedName>
    <definedName name="КЖ_сист_ЖБ_Плиты" localSheetId="18">'Из архикада плиты'!$A$1:$H$30</definedName>
  </definedNames>
  <calcPr calcId="162913"/>
</workbook>
</file>

<file path=xl/calcChain.xml><?xml version="1.0" encoding="utf-8"?>
<calcChain xmlns="http://schemas.openxmlformats.org/spreadsheetml/2006/main">
  <c r="S478" i="842" l="1"/>
  <c r="S479" i="842" s="1"/>
  <c r="S480" i="842" s="1"/>
  <c r="S481" i="842" s="1"/>
  <c r="AB476" i="842"/>
  <c r="AB477" i="842" s="1"/>
  <c r="I475" i="842"/>
  <c r="R473" i="842"/>
  <c r="R474" i="842" s="1"/>
  <c r="T472" i="842"/>
  <c r="T473" i="842" s="1"/>
  <c r="T474" i="842" s="1"/>
  <c r="T475" i="842" s="1"/>
  <c r="T476" i="842" s="1"/>
  <c r="T477" i="842" s="1"/>
  <c r="T478" i="842" s="1"/>
  <c r="T479" i="842" s="1"/>
  <c r="T480" i="842" s="1"/>
  <c r="T481" i="842" s="1"/>
  <c r="A472" i="842"/>
  <c r="A473" i="842" s="1"/>
  <c r="A474" i="842" s="1"/>
  <c r="A475" i="842" s="1"/>
  <c r="A476" i="842" s="1"/>
  <c r="A477" i="842" s="1"/>
  <c r="A478" i="842" s="1"/>
  <c r="A479" i="842" s="1"/>
  <c r="A480" i="842" s="1"/>
  <c r="AD471" i="842"/>
  <c r="AD472" i="842" s="1"/>
  <c r="AD473" i="842" s="1"/>
  <c r="AD474" i="842" s="1"/>
  <c r="AD475" i="842" s="1"/>
  <c r="AD476" i="842" s="1"/>
  <c r="AD477" i="842" s="1"/>
  <c r="AD478" i="842" s="1"/>
  <c r="AD479" i="842" s="1"/>
  <c r="AD480" i="842" s="1"/>
  <c r="AD481" i="842" s="1"/>
  <c r="AA471" i="842"/>
  <c r="AA472" i="842" s="1"/>
  <c r="AA473" i="842" s="1"/>
  <c r="AA474" i="842" s="1"/>
  <c r="R471" i="842"/>
  <c r="R472" i="842" s="1"/>
  <c r="AG470" i="842"/>
  <c r="AG471" i="842" s="1"/>
  <c r="AG472" i="842" s="1"/>
  <c r="AG473" i="842" s="1"/>
  <c r="AG474" i="842" s="1"/>
  <c r="AG475" i="842" s="1"/>
  <c r="AG476" i="842" s="1"/>
  <c r="AG477" i="842" s="1"/>
  <c r="AG478" i="842" s="1"/>
  <c r="AG479" i="842" s="1"/>
  <c r="AG480" i="842" s="1"/>
  <c r="AG481" i="842" s="1"/>
  <c r="AD470" i="842"/>
  <c r="AB470" i="842"/>
  <c r="AB471" i="842" s="1"/>
  <c r="AB472" i="842" s="1"/>
  <c r="AB473" i="842" s="1"/>
  <c r="AB474" i="842" s="1"/>
  <c r="AB475" i="842" s="1"/>
  <c r="Z470" i="842"/>
  <c r="Z471" i="842" s="1"/>
  <c r="Z472" i="842" s="1"/>
  <c r="Z473" i="842" s="1"/>
  <c r="Z474" i="842" s="1"/>
  <c r="I474" i="842" s="1"/>
  <c r="R470" i="842"/>
  <c r="P470" i="842"/>
  <c r="P471" i="842" s="1"/>
  <c r="N470" i="842"/>
  <c r="N471" i="842" s="1"/>
  <c r="N472" i="842" s="1"/>
  <c r="N473" i="842" s="1"/>
  <c r="N474" i="842" s="1"/>
  <c r="N475" i="842" s="1"/>
  <c r="N476" i="842" s="1"/>
  <c r="N477" i="842" s="1"/>
  <c r="N478" i="842" s="1"/>
  <c r="N479" i="842" s="1"/>
  <c r="N480" i="842" s="1"/>
  <c r="N481" i="842" s="1"/>
  <c r="M470" i="842"/>
  <c r="M471" i="842" s="1"/>
  <c r="M472" i="842" s="1"/>
  <c r="M473" i="842" s="1"/>
  <c r="M474" i="842" s="1"/>
  <c r="M475" i="842" s="1"/>
  <c r="M476" i="842" s="1"/>
  <c r="M477" i="842" s="1"/>
  <c r="M478" i="842" s="1"/>
  <c r="M479" i="842" s="1"/>
  <c r="M480" i="842" s="1"/>
  <c r="D470" i="842"/>
  <c r="AH469" i="842"/>
  <c r="AH470" i="842" s="1"/>
  <c r="AH471" i="842" s="1"/>
  <c r="AH472" i="842" s="1"/>
  <c r="AH473" i="842" s="1"/>
  <c r="AH474" i="842" s="1"/>
  <c r="AH475" i="842" s="1"/>
  <c r="AH476" i="842" s="1"/>
  <c r="AH477" i="842" s="1"/>
  <c r="AH478" i="842" s="1"/>
  <c r="AH479" i="842" s="1"/>
  <c r="AH480" i="842" s="1"/>
  <c r="AH481" i="842" s="1"/>
  <c r="AG469" i="842"/>
  <c r="AD469" i="842"/>
  <c r="AC469" i="842"/>
  <c r="AC470" i="842" s="1"/>
  <c r="AC471" i="842" s="1"/>
  <c r="AC472" i="842" s="1"/>
  <c r="AC473" i="842" s="1"/>
  <c r="AC474" i="842" s="1"/>
  <c r="AC475" i="842" s="1"/>
  <c r="AB469" i="842"/>
  <c r="X469" i="842"/>
  <c r="X470" i="842" s="1"/>
  <c r="U469" i="842"/>
  <c r="U470" i="842" s="1"/>
  <c r="U471" i="842" s="1"/>
  <c r="U472" i="842" s="1"/>
  <c r="U473" i="842" s="1"/>
  <c r="U474" i="842" s="1"/>
  <c r="U475" i="842" s="1"/>
  <c r="U476" i="842" s="1"/>
  <c r="S469" i="842"/>
  <c r="S470" i="842" s="1"/>
  <c r="S471" i="842" s="1"/>
  <c r="S472" i="842" s="1"/>
  <c r="S473" i="842" s="1"/>
  <c r="S474" i="842" s="1"/>
  <c r="S475" i="842" s="1"/>
  <c r="S476" i="842" s="1"/>
  <c r="S477" i="842" s="1"/>
  <c r="P469" i="842"/>
  <c r="E469" i="842"/>
  <c r="A469" i="842"/>
  <c r="A470" i="842" s="1"/>
  <c r="A471" i="842" s="1"/>
  <c r="AC468" i="842"/>
  <c r="AB468" i="842"/>
  <c r="AA468" i="842"/>
  <c r="AA469" i="842" s="1"/>
  <c r="AA470" i="842" s="1"/>
  <c r="Z468" i="842"/>
  <c r="Z469" i="842" s="1"/>
  <c r="Y468" i="842"/>
  <c r="Y469" i="842" s="1"/>
  <c r="Y470" i="842" s="1"/>
  <c r="Y471" i="842" s="1"/>
  <c r="Y472" i="842" s="1"/>
  <c r="X468" i="842"/>
  <c r="W468" i="842"/>
  <c r="W469" i="842" s="1"/>
  <c r="V468" i="842"/>
  <c r="V469" i="842" s="1"/>
  <c r="U468" i="842"/>
  <c r="T468" i="842"/>
  <c r="T469" i="842" s="1"/>
  <c r="T470" i="842" s="1"/>
  <c r="T471" i="842" s="1"/>
  <c r="S468" i="842"/>
  <c r="R468" i="842"/>
  <c r="R469" i="842" s="1"/>
  <c r="L469" i="842" s="1"/>
  <c r="Q468" i="842"/>
  <c r="Q469" i="842" s="1"/>
  <c r="Q470" i="842" s="1"/>
  <c r="P468" i="842"/>
  <c r="O468" i="842"/>
  <c r="O469" i="842" s="1"/>
  <c r="N468" i="842"/>
  <c r="N469" i="842" s="1"/>
  <c r="N462" i="842"/>
  <c r="T460" i="842"/>
  <c r="T461" i="842" s="1"/>
  <c r="T462" i="842" s="1"/>
  <c r="M459" i="842"/>
  <c r="M460" i="842" s="1"/>
  <c r="M461" i="842" s="1"/>
  <c r="AG457" i="842"/>
  <c r="AG458" i="842" s="1"/>
  <c r="AG459" i="842" s="1"/>
  <c r="AG460" i="842" s="1"/>
  <c r="AG461" i="842" s="1"/>
  <c r="AG462" i="842" s="1"/>
  <c r="S455" i="842"/>
  <c r="S456" i="842" s="1"/>
  <c r="S457" i="842" s="1"/>
  <c r="S458" i="842" s="1"/>
  <c r="S459" i="842" s="1"/>
  <c r="S460" i="842" s="1"/>
  <c r="S461" i="842" s="1"/>
  <c r="S462" i="842" s="1"/>
  <c r="I455" i="842"/>
  <c r="AA453" i="842"/>
  <c r="AA454" i="842" s="1"/>
  <c r="AA455" i="842" s="1"/>
  <c r="AG452" i="842"/>
  <c r="AG453" i="842" s="1"/>
  <c r="AG454" i="842" s="1"/>
  <c r="AG455" i="842" s="1"/>
  <c r="AG456" i="842" s="1"/>
  <c r="AD452" i="842"/>
  <c r="AD453" i="842" s="1"/>
  <c r="AD454" i="842" s="1"/>
  <c r="AD455" i="842" s="1"/>
  <c r="AD456" i="842" s="1"/>
  <c r="AD457" i="842" s="1"/>
  <c r="AD458" i="842" s="1"/>
  <c r="AD459" i="842" s="1"/>
  <c r="AD460" i="842" s="1"/>
  <c r="AD461" i="842" s="1"/>
  <c r="AD462" i="842" s="1"/>
  <c r="M452" i="842"/>
  <c r="M453" i="842" s="1"/>
  <c r="M454" i="842" s="1"/>
  <c r="M455" i="842" s="1"/>
  <c r="M456" i="842" s="1"/>
  <c r="M457" i="842" s="1"/>
  <c r="M458" i="842" s="1"/>
  <c r="AH451" i="842"/>
  <c r="AH452" i="842" s="1"/>
  <c r="AH453" i="842" s="1"/>
  <c r="AH454" i="842" s="1"/>
  <c r="AH455" i="842" s="1"/>
  <c r="AH456" i="842" s="1"/>
  <c r="AH457" i="842" s="1"/>
  <c r="AH458" i="842" s="1"/>
  <c r="AH459" i="842" s="1"/>
  <c r="AH460" i="842" s="1"/>
  <c r="AH461" i="842" s="1"/>
  <c r="AH462" i="842" s="1"/>
  <c r="AG451" i="842"/>
  <c r="AC451" i="842"/>
  <c r="AC452" i="842" s="1"/>
  <c r="AC453" i="842" s="1"/>
  <c r="AC454" i="842" s="1"/>
  <c r="AC455" i="842" s="1"/>
  <c r="AC456" i="842" s="1"/>
  <c r="Z451" i="842"/>
  <c r="Z452" i="842" s="1"/>
  <c r="Z453" i="842" s="1"/>
  <c r="Z454" i="842" s="1"/>
  <c r="Z455" i="842" s="1"/>
  <c r="Z456" i="842" s="1"/>
  <c r="Z457" i="842" s="1"/>
  <c r="X451" i="842"/>
  <c r="V451" i="842"/>
  <c r="V452" i="842" s="1"/>
  <c r="N451" i="842"/>
  <c r="N452" i="842" s="1"/>
  <c r="N453" i="842" s="1"/>
  <c r="N454" i="842" s="1"/>
  <c r="N455" i="842" s="1"/>
  <c r="N456" i="842" s="1"/>
  <c r="N457" i="842" s="1"/>
  <c r="N458" i="842" s="1"/>
  <c r="N459" i="842" s="1"/>
  <c r="N460" i="842" s="1"/>
  <c r="N461" i="842" s="1"/>
  <c r="M451" i="842"/>
  <c r="D451" i="842"/>
  <c r="AH450" i="842"/>
  <c r="AG450" i="842"/>
  <c r="AD450" i="842"/>
  <c r="AD451" i="842" s="1"/>
  <c r="AC450" i="842"/>
  <c r="AA450" i="842"/>
  <c r="AA451" i="842" s="1"/>
  <c r="AA452" i="842" s="1"/>
  <c r="X450" i="842"/>
  <c r="T450" i="842"/>
  <c r="T451" i="842" s="1"/>
  <c r="T452" i="842" s="1"/>
  <c r="T453" i="842" s="1"/>
  <c r="T454" i="842" s="1"/>
  <c r="T455" i="842" s="1"/>
  <c r="T456" i="842" s="1"/>
  <c r="T457" i="842" s="1"/>
  <c r="T458" i="842" s="1"/>
  <c r="T459" i="842" s="1"/>
  <c r="Q450" i="842"/>
  <c r="Q451" i="842" s="1"/>
  <c r="O450" i="842"/>
  <c r="L450" i="842"/>
  <c r="A450" i="842"/>
  <c r="A451" i="842" s="1"/>
  <c r="A452" i="842" s="1"/>
  <c r="A453" i="842" s="1"/>
  <c r="A454" i="842" s="1"/>
  <c r="A455" i="842" s="1"/>
  <c r="A456" i="842" s="1"/>
  <c r="A457" i="842" s="1"/>
  <c r="A458" i="842" s="1"/>
  <c r="A459" i="842" s="1"/>
  <c r="A460" i="842" s="1"/>
  <c r="A461" i="842" s="1"/>
  <c r="AC449" i="842"/>
  <c r="AB449" i="842"/>
  <c r="AB450" i="842" s="1"/>
  <c r="AB451" i="842" s="1"/>
  <c r="AB452" i="842" s="1"/>
  <c r="AB453" i="842" s="1"/>
  <c r="AB454" i="842" s="1"/>
  <c r="AB455" i="842" s="1"/>
  <c r="AB456" i="842" s="1"/>
  <c r="AA449" i="842"/>
  <c r="Z449" i="842"/>
  <c r="Z450" i="842" s="1"/>
  <c r="Y449" i="842"/>
  <c r="Y450" i="842" s="1"/>
  <c r="Y451" i="842" s="1"/>
  <c r="Y452" i="842" s="1"/>
  <c r="Y453" i="842" s="1"/>
  <c r="X449" i="842"/>
  <c r="W449" i="842"/>
  <c r="W450" i="842" s="1"/>
  <c r="V449" i="842"/>
  <c r="V450" i="842" s="1"/>
  <c r="I450" i="842" s="1"/>
  <c r="U449" i="842"/>
  <c r="U450" i="842" s="1"/>
  <c r="U451" i="842" s="1"/>
  <c r="U452" i="842" s="1"/>
  <c r="U453" i="842" s="1"/>
  <c r="U454" i="842" s="1"/>
  <c r="U455" i="842" s="1"/>
  <c r="U456" i="842" s="1"/>
  <c r="U457" i="842" s="1"/>
  <c r="T449" i="842"/>
  <c r="S449" i="842"/>
  <c r="S450" i="842" s="1"/>
  <c r="S451" i="842" s="1"/>
  <c r="S452" i="842" s="1"/>
  <c r="S453" i="842" s="1"/>
  <c r="S454" i="842" s="1"/>
  <c r="R449" i="842"/>
  <c r="R450" i="842" s="1"/>
  <c r="Q449" i="842"/>
  <c r="P449" i="842"/>
  <c r="P450" i="842" s="1"/>
  <c r="P451" i="842" s="1"/>
  <c r="P452" i="842" s="1"/>
  <c r="O449" i="842"/>
  <c r="N449" i="842"/>
  <c r="N450" i="842" s="1"/>
  <c r="AD430" i="842"/>
  <c r="AD431" i="842" s="1"/>
  <c r="AD432" i="842" s="1"/>
  <c r="AD433" i="842" s="1"/>
  <c r="AH429" i="842"/>
  <c r="AH430" i="842" s="1"/>
  <c r="AH431" i="842" s="1"/>
  <c r="AH432" i="842" s="1"/>
  <c r="AH433" i="842" s="1"/>
  <c r="AA427" i="842"/>
  <c r="AA428" i="842" s="1"/>
  <c r="AD426" i="842"/>
  <c r="AD427" i="842" s="1"/>
  <c r="AA426" i="842"/>
  <c r="D426" i="842" s="1"/>
  <c r="AD425" i="842"/>
  <c r="Z424" i="842"/>
  <c r="Z425" i="842" s="1"/>
  <c r="Z426" i="842" s="1"/>
  <c r="AG423" i="842"/>
  <c r="AG424" i="842" s="1"/>
  <c r="AG425" i="842" s="1"/>
  <c r="AG426" i="842" s="1"/>
  <c r="AG427" i="842" s="1"/>
  <c r="AG428" i="842" s="1"/>
  <c r="AG429" i="842" s="1"/>
  <c r="AG430" i="842" s="1"/>
  <c r="AG431" i="842" s="1"/>
  <c r="AG432" i="842" s="1"/>
  <c r="AG433" i="842" s="1"/>
  <c r="Z423" i="842"/>
  <c r="T423" i="842"/>
  <c r="T424" i="842" s="1"/>
  <c r="T425" i="842" s="1"/>
  <c r="T426" i="842" s="1"/>
  <c r="T427" i="842" s="1"/>
  <c r="T428" i="842" s="1"/>
  <c r="T429" i="842" s="1"/>
  <c r="T430" i="842" s="1"/>
  <c r="T431" i="842" s="1"/>
  <c r="T432" i="842" s="1"/>
  <c r="T433" i="842" s="1"/>
  <c r="AH422" i="842"/>
  <c r="AH423" i="842" s="1"/>
  <c r="AH424" i="842" s="1"/>
  <c r="AH425" i="842" s="1"/>
  <c r="AH426" i="842" s="1"/>
  <c r="AH427" i="842" s="1"/>
  <c r="AH428" i="842" s="1"/>
  <c r="AG422" i="842"/>
  <c r="AA422" i="842"/>
  <c r="AA423" i="842" s="1"/>
  <c r="AA424" i="842" s="1"/>
  <c r="AA425" i="842" s="1"/>
  <c r="Q422" i="842"/>
  <c r="O422" i="842"/>
  <c r="O423" i="842" s="1"/>
  <c r="O424" i="842" s="1"/>
  <c r="O425" i="842" s="1"/>
  <c r="M422" i="842"/>
  <c r="M423" i="842" s="1"/>
  <c r="M424" i="842" s="1"/>
  <c r="M425" i="842" s="1"/>
  <c r="M426" i="842" s="1"/>
  <c r="M427" i="842" s="1"/>
  <c r="M428" i="842" s="1"/>
  <c r="M429" i="842" s="1"/>
  <c r="M430" i="842" s="1"/>
  <c r="M431" i="842" s="1"/>
  <c r="M432" i="842" s="1"/>
  <c r="A422" i="842"/>
  <c r="A423" i="842" s="1"/>
  <c r="A424" i="842" s="1"/>
  <c r="A425" i="842" s="1"/>
  <c r="A426" i="842" s="1"/>
  <c r="A427" i="842" s="1"/>
  <c r="A428" i="842" s="1"/>
  <c r="A429" i="842" s="1"/>
  <c r="A430" i="842" s="1"/>
  <c r="A431" i="842" s="1"/>
  <c r="A432" i="842" s="1"/>
  <c r="A433" i="842" s="1"/>
  <c r="AH421" i="842"/>
  <c r="AG421" i="842"/>
  <c r="AD421" i="842"/>
  <c r="AD422" i="842" s="1"/>
  <c r="AC421" i="842"/>
  <c r="AC422" i="842" s="1"/>
  <c r="AC423" i="842" s="1"/>
  <c r="AC424" i="842" s="1"/>
  <c r="AC425" i="842" s="1"/>
  <c r="AC426" i="842" s="1"/>
  <c r="AC427" i="842" s="1"/>
  <c r="Z421" i="842"/>
  <c r="Z422" i="842" s="1"/>
  <c r="V421" i="842"/>
  <c r="I421" i="842" s="1"/>
  <c r="T421" i="842"/>
  <c r="T422" i="842" s="1"/>
  <c r="R421" i="842"/>
  <c r="H421" i="842"/>
  <c r="A421" i="842"/>
  <c r="AC420" i="842"/>
  <c r="AB420" i="842"/>
  <c r="AB421" i="842" s="1"/>
  <c r="AB422" i="842" s="1"/>
  <c r="AB423" i="842" s="1"/>
  <c r="AB424" i="842" s="1"/>
  <c r="AB425" i="842" s="1"/>
  <c r="AB426" i="842" s="1"/>
  <c r="AB427" i="842" s="1"/>
  <c r="AA420" i="842"/>
  <c r="AA421" i="842" s="1"/>
  <c r="Z420" i="842"/>
  <c r="Y420" i="842"/>
  <c r="Y421" i="842" s="1"/>
  <c r="X420" i="842"/>
  <c r="X421" i="842" s="1"/>
  <c r="X422" i="842" s="1"/>
  <c r="W420" i="842"/>
  <c r="W421" i="842" s="1"/>
  <c r="D421" i="842" s="1"/>
  <c r="V420" i="842"/>
  <c r="U420" i="842"/>
  <c r="U421" i="842" s="1"/>
  <c r="U422" i="842" s="1"/>
  <c r="U423" i="842" s="1"/>
  <c r="U424" i="842" s="1"/>
  <c r="U425" i="842" s="1"/>
  <c r="U426" i="842" s="1"/>
  <c r="U427" i="842" s="1"/>
  <c r="U428" i="842" s="1"/>
  <c r="T420" i="842"/>
  <c r="S420" i="842"/>
  <c r="S421" i="842" s="1"/>
  <c r="S422" i="842" s="1"/>
  <c r="S423" i="842" s="1"/>
  <c r="S424" i="842" s="1"/>
  <c r="S425" i="842" s="1"/>
  <c r="S426" i="842" s="1"/>
  <c r="S427" i="842" s="1"/>
  <c r="S428" i="842" s="1"/>
  <c r="S429" i="842" s="1"/>
  <c r="S430" i="842" s="1"/>
  <c r="S431" i="842" s="1"/>
  <c r="S432" i="842" s="1"/>
  <c r="S433" i="842" s="1"/>
  <c r="R420" i="842"/>
  <c r="Q420" i="842"/>
  <c r="Q421" i="842" s="1"/>
  <c r="P420" i="842"/>
  <c r="P421" i="842" s="1"/>
  <c r="P422" i="842" s="1"/>
  <c r="P423" i="842" s="1"/>
  <c r="O420" i="842"/>
  <c r="O421" i="842" s="1"/>
  <c r="N420" i="842"/>
  <c r="N421" i="842" s="1"/>
  <c r="N422" i="842" s="1"/>
  <c r="N423" i="842" s="1"/>
  <c r="N424" i="842" s="1"/>
  <c r="N425" i="842" s="1"/>
  <c r="N426" i="842" s="1"/>
  <c r="N427" i="842" s="1"/>
  <c r="N428" i="842" s="1"/>
  <c r="N429" i="842" s="1"/>
  <c r="N430" i="842" s="1"/>
  <c r="N431" i="842" s="1"/>
  <c r="N432" i="842" s="1"/>
  <c r="N433" i="842" s="1"/>
  <c r="AD414" i="842"/>
  <c r="AD411" i="842"/>
  <c r="AD412" i="842" s="1"/>
  <c r="AD413" i="842" s="1"/>
  <c r="AD408" i="842"/>
  <c r="AD406" i="842"/>
  <c r="AD407" i="842" s="1"/>
  <c r="M406" i="842"/>
  <c r="M407" i="842" s="1"/>
  <c r="M408" i="842" s="1"/>
  <c r="M409" i="842" s="1"/>
  <c r="M410" i="842" s="1"/>
  <c r="M411" i="842" s="1"/>
  <c r="M412" i="842" s="1"/>
  <c r="M413" i="842" s="1"/>
  <c r="AA405" i="842"/>
  <c r="AA406" i="842" s="1"/>
  <c r="AA407" i="842" s="1"/>
  <c r="M405" i="842"/>
  <c r="V404" i="842"/>
  <c r="AH403" i="842"/>
  <c r="AH404" i="842" s="1"/>
  <c r="AH405" i="842" s="1"/>
  <c r="AH406" i="842" s="1"/>
  <c r="AH407" i="842" s="1"/>
  <c r="AH408" i="842" s="1"/>
  <c r="AH409" i="842" s="1"/>
  <c r="AH410" i="842" s="1"/>
  <c r="AH411" i="842" s="1"/>
  <c r="AH412" i="842" s="1"/>
  <c r="AH413" i="842" s="1"/>
  <c r="AH414" i="842" s="1"/>
  <c r="AD403" i="842"/>
  <c r="V403" i="842"/>
  <c r="T403" i="842"/>
  <c r="T404" i="842" s="1"/>
  <c r="T405" i="842" s="1"/>
  <c r="T406" i="842" s="1"/>
  <c r="T407" i="842" s="1"/>
  <c r="T408" i="842" s="1"/>
  <c r="T409" i="842" s="1"/>
  <c r="T410" i="842" s="1"/>
  <c r="T411" i="842" s="1"/>
  <c r="T412" i="842" s="1"/>
  <c r="T413" i="842" s="1"/>
  <c r="T414" i="842" s="1"/>
  <c r="M403" i="842"/>
  <c r="M404" i="842" s="1"/>
  <c r="AH402" i="842"/>
  <c r="AG402" i="842"/>
  <c r="AG403" i="842" s="1"/>
  <c r="AG404" i="842" s="1"/>
  <c r="AG405" i="842" s="1"/>
  <c r="AG406" i="842" s="1"/>
  <c r="AG407" i="842" s="1"/>
  <c r="AG408" i="842" s="1"/>
  <c r="AG409" i="842" s="1"/>
  <c r="AG410" i="842" s="1"/>
  <c r="AG411" i="842" s="1"/>
  <c r="AG412" i="842" s="1"/>
  <c r="AG413" i="842" s="1"/>
  <c r="AG414" i="842" s="1"/>
  <c r="AD402" i="842"/>
  <c r="AB402" i="842"/>
  <c r="AB403" i="842" s="1"/>
  <c r="AB404" i="842" s="1"/>
  <c r="AB405" i="842" s="1"/>
  <c r="AB406" i="842" s="1"/>
  <c r="AB407" i="842" s="1"/>
  <c r="AB408" i="842" s="1"/>
  <c r="Y402" i="842"/>
  <c r="W402" i="842"/>
  <c r="T402" i="842"/>
  <c r="P402" i="842"/>
  <c r="P403" i="842" s="1"/>
  <c r="P404" i="842" s="1"/>
  <c r="P405" i="842" s="1"/>
  <c r="I402" i="842"/>
  <c r="AC401" i="842"/>
  <c r="AC402" i="842" s="1"/>
  <c r="AC403" i="842" s="1"/>
  <c r="AC404" i="842" s="1"/>
  <c r="AC405" i="842" s="1"/>
  <c r="AC406" i="842" s="1"/>
  <c r="AC407" i="842" s="1"/>
  <c r="AC408" i="842" s="1"/>
  <c r="AB401" i="842"/>
  <c r="AA401" i="842"/>
  <c r="AA402" i="842" s="1"/>
  <c r="AA403" i="842" s="1"/>
  <c r="AA404" i="842" s="1"/>
  <c r="Z401" i="842"/>
  <c r="Z402" i="842" s="1"/>
  <c r="Z403" i="842" s="1"/>
  <c r="Z404" i="842" s="1"/>
  <c r="Z405" i="842" s="1"/>
  <c r="Z406" i="842" s="1"/>
  <c r="Z407" i="842" s="1"/>
  <c r="Y401" i="842"/>
  <c r="X401" i="842"/>
  <c r="X402" i="842" s="1"/>
  <c r="X403" i="842" s="1"/>
  <c r="W401" i="842"/>
  <c r="V401" i="842"/>
  <c r="V402" i="842" s="1"/>
  <c r="U401" i="842"/>
  <c r="U402" i="842" s="1"/>
  <c r="U403" i="842" s="1"/>
  <c r="U404" i="842" s="1"/>
  <c r="U405" i="842" s="1"/>
  <c r="U406" i="842" s="1"/>
  <c r="U407" i="842" s="1"/>
  <c r="U408" i="842" s="1"/>
  <c r="U409" i="842" s="1"/>
  <c r="T401" i="842"/>
  <c r="S401" i="842"/>
  <c r="S402" i="842" s="1"/>
  <c r="S403" i="842" s="1"/>
  <c r="S404" i="842" s="1"/>
  <c r="S405" i="842" s="1"/>
  <c r="S406" i="842" s="1"/>
  <c r="S407" i="842" s="1"/>
  <c r="S408" i="842" s="1"/>
  <c r="S409" i="842" s="1"/>
  <c r="S410" i="842" s="1"/>
  <c r="S411" i="842" s="1"/>
  <c r="S412" i="842" s="1"/>
  <c r="S413" i="842" s="1"/>
  <c r="S414" i="842" s="1"/>
  <c r="R401" i="842"/>
  <c r="R402" i="842" s="1"/>
  <c r="Q401" i="842"/>
  <c r="Q402" i="842" s="1"/>
  <c r="Q403" i="842" s="1"/>
  <c r="P401" i="842"/>
  <c r="O401" i="842"/>
  <c r="O402" i="842" s="1"/>
  <c r="N401" i="842"/>
  <c r="AD392" i="842"/>
  <c r="AD393" i="842" s="1"/>
  <c r="AD394" i="842" s="1"/>
  <c r="AD395" i="842" s="1"/>
  <c r="M389" i="842"/>
  <c r="M390" i="842" s="1"/>
  <c r="M391" i="842" s="1"/>
  <c r="M392" i="842" s="1"/>
  <c r="M393" i="842" s="1"/>
  <c r="M394" i="842" s="1"/>
  <c r="AD387" i="842"/>
  <c r="AD388" i="842" s="1"/>
  <c r="AD389" i="842" s="1"/>
  <c r="W387" i="842"/>
  <c r="W388" i="842" s="1"/>
  <c r="W389" i="842" s="1"/>
  <c r="W390" i="842" s="1"/>
  <c r="W391" i="842" s="1"/>
  <c r="W392" i="842" s="1"/>
  <c r="W393" i="842" s="1"/>
  <c r="W386" i="842"/>
  <c r="AH385" i="842"/>
  <c r="AH386" i="842" s="1"/>
  <c r="AH387" i="842" s="1"/>
  <c r="AH388" i="842" s="1"/>
  <c r="AH389" i="842" s="1"/>
  <c r="AH390" i="842" s="1"/>
  <c r="AH391" i="842" s="1"/>
  <c r="AH392" i="842" s="1"/>
  <c r="AH393" i="842" s="1"/>
  <c r="AH394" i="842" s="1"/>
  <c r="AH395" i="842" s="1"/>
  <c r="T385" i="842"/>
  <c r="T386" i="842" s="1"/>
  <c r="T387" i="842" s="1"/>
  <c r="T388" i="842" s="1"/>
  <c r="T389" i="842" s="1"/>
  <c r="T390" i="842" s="1"/>
  <c r="T391" i="842" s="1"/>
  <c r="T392" i="842" s="1"/>
  <c r="T393" i="842" s="1"/>
  <c r="T394" i="842" s="1"/>
  <c r="T395" i="842" s="1"/>
  <c r="N385" i="842"/>
  <c r="N386" i="842" s="1"/>
  <c r="N387" i="842" s="1"/>
  <c r="N388" i="842" s="1"/>
  <c r="N389" i="842" s="1"/>
  <c r="N390" i="842" s="1"/>
  <c r="N391" i="842" s="1"/>
  <c r="N392" i="842" s="1"/>
  <c r="N393" i="842" s="1"/>
  <c r="N394" i="842" s="1"/>
  <c r="N395" i="842" s="1"/>
  <c r="M385" i="842"/>
  <c r="M386" i="842" s="1"/>
  <c r="M387" i="842" s="1"/>
  <c r="M388" i="842" s="1"/>
  <c r="AH384" i="842"/>
  <c r="AG384" i="842"/>
  <c r="AG385" i="842" s="1"/>
  <c r="AG386" i="842" s="1"/>
  <c r="AG387" i="842" s="1"/>
  <c r="AG388" i="842" s="1"/>
  <c r="AG389" i="842" s="1"/>
  <c r="AG390" i="842" s="1"/>
  <c r="AG391" i="842" s="1"/>
  <c r="AG392" i="842" s="1"/>
  <c r="AG393" i="842" s="1"/>
  <c r="AG394" i="842" s="1"/>
  <c r="AG395" i="842" s="1"/>
  <c r="AD384" i="842"/>
  <c r="W384" i="842"/>
  <c r="W385" i="842" s="1"/>
  <c r="D385" i="842" s="1"/>
  <c r="P384" i="842"/>
  <c r="P385" i="842" s="1"/>
  <c r="E385" i="842" s="1"/>
  <c r="M384" i="842"/>
  <c r="AH383" i="842"/>
  <c r="AG383" i="842"/>
  <c r="AD383" i="842"/>
  <c r="Z383" i="842"/>
  <c r="Z384" i="842" s="1"/>
  <c r="Z385" i="842" s="1"/>
  <c r="Z386" i="842" s="1"/>
  <c r="Z387" i="842" s="1"/>
  <c r="Z388" i="842" s="1"/>
  <c r="X383" i="842"/>
  <c r="X384" i="842" s="1"/>
  <c r="W383" i="842"/>
  <c r="D383" i="842" s="1"/>
  <c r="T383" i="842"/>
  <c r="T384" i="842" s="1"/>
  <c r="S383" i="842"/>
  <c r="S384" i="842" s="1"/>
  <c r="S385" i="842" s="1"/>
  <c r="S386" i="842" s="1"/>
  <c r="S387" i="842" s="1"/>
  <c r="S388" i="842" s="1"/>
  <c r="S389" i="842" s="1"/>
  <c r="S390" i="842" s="1"/>
  <c r="S391" i="842" s="1"/>
  <c r="S392" i="842" s="1"/>
  <c r="S393" i="842" s="1"/>
  <c r="S394" i="842" s="1"/>
  <c r="S395" i="842" s="1"/>
  <c r="N383" i="842"/>
  <c r="N384" i="842" s="1"/>
  <c r="E383" i="842"/>
  <c r="AC382" i="842"/>
  <c r="AC383" i="842" s="1"/>
  <c r="AC384" i="842" s="1"/>
  <c r="AC385" i="842" s="1"/>
  <c r="AC386" i="842" s="1"/>
  <c r="AC387" i="842" s="1"/>
  <c r="AC388" i="842" s="1"/>
  <c r="AC389" i="842" s="1"/>
  <c r="AB382" i="842"/>
  <c r="AB383" i="842" s="1"/>
  <c r="AB384" i="842" s="1"/>
  <c r="AB385" i="842" s="1"/>
  <c r="AB386" i="842" s="1"/>
  <c r="AB387" i="842" s="1"/>
  <c r="AB388" i="842" s="1"/>
  <c r="AB389" i="842" s="1"/>
  <c r="AA382" i="842"/>
  <c r="AA383" i="842" s="1"/>
  <c r="AA384" i="842" s="1"/>
  <c r="AA385" i="842" s="1"/>
  <c r="AA386" i="842" s="1"/>
  <c r="AA387" i="842" s="1"/>
  <c r="AA388" i="842" s="1"/>
  <c r="Z382" i="842"/>
  <c r="Y382" i="842"/>
  <c r="Y383" i="842" s="1"/>
  <c r="Y384" i="842" s="1"/>
  <c r="Y385" i="842" s="1"/>
  <c r="Y386" i="842" s="1"/>
  <c r="X382" i="842"/>
  <c r="W382" i="842"/>
  <c r="V382" i="842"/>
  <c r="V383" i="842" s="1"/>
  <c r="U382" i="842"/>
  <c r="U383" i="842" s="1"/>
  <c r="U384" i="842" s="1"/>
  <c r="U385" i="842" s="1"/>
  <c r="U386" i="842" s="1"/>
  <c r="U387" i="842" s="1"/>
  <c r="U388" i="842" s="1"/>
  <c r="U389" i="842" s="1"/>
  <c r="U390" i="842" s="1"/>
  <c r="T382" i="842"/>
  <c r="S382" i="842"/>
  <c r="R382" i="842"/>
  <c r="R383" i="842" s="1"/>
  <c r="Q382" i="842"/>
  <c r="Q383" i="842" s="1"/>
  <c r="Q384" i="842" s="1"/>
  <c r="P382" i="842"/>
  <c r="P383" i="842" s="1"/>
  <c r="O382" i="842"/>
  <c r="O383" i="842" s="1"/>
  <c r="N382" i="842"/>
  <c r="A383" i="842" s="1"/>
  <c r="A384" i="842" s="1"/>
  <c r="A385" i="842" s="1"/>
  <c r="A386" i="842" s="1"/>
  <c r="A387" i="842" s="1"/>
  <c r="A388" i="842" s="1"/>
  <c r="A389" i="842" s="1"/>
  <c r="A390" i="842" s="1"/>
  <c r="A391" i="842" s="1"/>
  <c r="A392" i="842" s="1"/>
  <c r="A393" i="842" s="1"/>
  <c r="A394" i="842" s="1"/>
  <c r="A395" i="842" s="1"/>
  <c r="AD376" i="842"/>
  <c r="AD374" i="842"/>
  <c r="AD375" i="842" s="1"/>
  <c r="AD373" i="842"/>
  <c r="AH372" i="842"/>
  <c r="AH373" i="842" s="1"/>
  <c r="AH374" i="842" s="1"/>
  <c r="AH375" i="842" s="1"/>
  <c r="AH376" i="842" s="1"/>
  <c r="P372" i="842"/>
  <c r="P373" i="842" s="1"/>
  <c r="S371" i="842"/>
  <c r="S372" i="842" s="1"/>
  <c r="S373" i="842" s="1"/>
  <c r="S374" i="842" s="1"/>
  <c r="S375" i="842" s="1"/>
  <c r="S376" i="842" s="1"/>
  <c r="AB370" i="842"/>
  <c r="AD369" i="842"/>
  <c r="AD370" i="842" s="1"/>
  <c r="T369" i="842"/>
  <c r="T370" i="842" s="1"/>
  <c r="T371" i="842" s="1"/>
  <c r="T372" i="842" s="1"/>
  <c r="T373" i="842" s="1"/>
  <c r="T374" i="842" s="1"/>
  <c r="T375" i="842" s="1"/>
  <c r="T376" i="842" s="1"/>
  <c r="AG368" i="842"/>
  <c r="AG369" i="842" s="1"/>
  <c r="AG370" i="842" s="1"/>
  <c r="AG371" i="842" s="1"/>
  <c r="AG372" i="842" s="1"/>
  <c r="AG373" i="842" s="1"/>
  <c r="AG374" i="842" s="1"/>
  <c r="AG375" i="842" s="1"/>
  <c r="AG376" i="842" s="1"/>
  <c r="AD368" i="842"/>
  <c r="AC368" i="842"/>
  <c r="AC369" i="842" s="1"/>
  <c r="AC370" i="842" s="1"/>
  <c r="AB368" i="842"/>
  <c r="AB369" i="842" s="1"/>
  <c r="P368" i="842"/>
  <c r="P369" i="842" s="1"/>
  <c r="P370" i="842" s="1"/>
  <c r="P371" i="842" s="1"/>
  <c r="AC367" i="842"/>
  <c r="AB367" i="842"/>
  <c r="P367" i="842"/>
  <c r="S366" i="842"/>
  <c r="S367" i="842" s="1"/>
  <c r="S368" i="842" s="1"/>
  <c r="S369" i="842" s="1"/>
  <c r="S370" i="842" s="1"/>
  <c r="M366" i="842"/>
  <c r="M367" i="842" s="1"/>
  <c r="M368" i="842" s="1"/>
  <c r="M369" i="842" s="1"/>
  <c r="M370" i="842" s="1"/>
  <c r="M371" i="842" s="1"/>
  <c r="M372" i="842" s="1"/>
  <c r="M373" i="842" s="1"/>
  <c r="M374" i="842" s="1"/>
  <c r="M375" i="842" s="1"/>
  <c r="AH365" i="842"/>
  <c r="AH366" i="842" s="1"/>
  <c r="AH367" i="842" s="1"/>
  <c r="AH368" i="842" s="1"/>
  <c r="AH369" i="842" s="1"/>
  <c r="AH370" i="842" s="1"/>
  <c r="AH371" i="842" s="1"/>
  <c r="AG365" i="842"/>
  <c r="AG366" i="842" s="1"/>
  <c r="AG367" i="842" s="1"/>
  <c r="AB365" i="842"/>
  <c r="AB366" i="842" s="1"/>
  <c r="V365" i="842"/>
  <c r="V366" i="842" s="1"/>
  <c r="U365" i="842"/>
  <c r="U366" i="842" s="1"/>
  <c r="U367" i="842" s="1"/>
  <c r="U368" i="842" s="1"/>
  <c r="U369" i="842" s="1"/>
  <c r="U370" i="842" s="1"/>
  <c r="U371" i="842" s="1"/>
  <c r="P365" i="842"/>
  <c r="P366" i="842" s="1"/>
  <c r="M365" i="842"/>
  <c r="AH364" i="842"/>
  <c r="AG364" i="842"/>
  <c r="AD364" i="842"/>
  <c r="AD365" i="842" s="1"/>
  <c r="AC364" i="842"/>
  <c r="AC365" i="842" s="1"/>
  <c r="AC366" i="842" s="1"/>
  <c r="AB364" i="842"/>
  <c r="Y364" i="842"/>
  <c r="Y365" i="842" s="1"/>
  <c r="Y366" i="842" s="1"/>
  <c r="Y367" i="842" s="1"/>
  <c r="X364" i="842"/>
  <c r="X365" i="842" s="1"/>
  <c r="S364" i="842"/>
  <c r="S365" i="842" s="1"/>
  <c r="Q364" i="842"/>
  <c r="Q365" i="842" s="1"/>
  <c r="P364" i="842"/>
  <c r="AC363" i="842"/>
  <c r="AB363" i="842"/>
  <c r="AA363" i="842"/>
  <c r="AA364" i="842" s="1"/>
  <c r="AA365" i="842" s="1"/>
  <c r="AA366" i="842" s="1"/>
  <c r="AA367" i="842" s="1"/>
  <c r="AA368" i="842" s="1"/>
  <c r="AA369" i="842" s="1"/>
  <c r="Z363" i="842"/>
  <c r="Z364" i="842" s="1"/>
  <c r="Z365" i="842" s="1"/>
  <c r="Z366" i="842" s="1"/>
  <c r="Z367" i="842" s="1"/>
  <c r="Z368" i="842" s="1"/>
  <c r="Z369" i="842" s="1"/>
  <c r="Y363" i="842"/>
  <c r="X363" i="842"/>
  <c r="W363" i="842"/>
  <c r="W364" i="842" s="1"/>
  <c r="V363" i="842"/>
  <c r="V364" i="842" s="1"/>
  <c r="I364" i="842" s="1"/>
  <c r="U363" i="842"/>
  <c r="U364" i="842" s="1"/>
  <c r="T363" i="842"/>
  <c r="T364" i="842" s="1"/>
  <c r="T365" i="842" s="1"/>
  <c r="T366" i="842" s="1"/>
  <c r="T367" i="842" s="1"/>
  <c r="T368" i="842" s="1"/>
  <c r="S363" i="842"/>
  <c r="R363" i="842"/>
  <c r="R364" i="842" s="1"/>
  <c r="Q363" i="842"/>
  <c r="P363" i="842"/>
  <c r="O363" i="842"/>
  <c r="O364" i="842" s="1"/>
  <c r="N363" i="842"/>
  <c r="AD356" i="842"/>
  <c r="AD357" i="842" s="1"/>
  <c r="T356" i="842"/>
  <c r="T357" i="842" s="1"/>
  <c r="AD355" i="842"/>
  <c r="AD354" i="842"/>
  <c r="AH353" i="842"/>
  <c r="AH354" i="842" s="1"/>
  <c r="AH355" i="842" s="1"/>
  <c r="AH356" i="842" s="1"/>
  <c r="AH357" i="842" s="1"/>
  <c r="M353" i="842"/>
  <c r="M354" i="842" s="1"/>
  <c r="M355" i="842" s="1"/>
  <c r="M356" i="842" s="1"/>
  <c r="I350" i="842"/>
  <c r="AD349" i="842"/>
  <c r="AD350" i="842" s="1"/>
  <c r="AD351" i="842" s="1"/>
  <c r="V348" i="842"/>
  <c r="V349" i="842" s="1"/>
  <c r="V350" i="842" s="1"/>
  <c r="V351" i="842" s="1"/>
  <c r="V352" i="842" s="1"/>
  <c r="V353" i="842" s="1"/>
  <c r="V354" i="842" s="1"/>
  <c r="V355" i="842" s="1"/>
  <c r="V356" i="842" s="1"/>
  <c r="Q347" i="842"/>
  <c r="M347" i="842"/>
  <c r="M348" i="842" s="1"/>
  <c r="M349" i="842" s="1"/>
  <c r="M350" i="842" s="1"/>
  <c r="M351" i="842" s="1"/>
  <c r="M352" i="842" s="1"/>
  <c r="AH346" i="842"/>
  <c r="AH347" i="842" s="1"/>
  <c r="AH348" i="842" s="1"/>
  <c r="AH349" i="842" s="1"/>
  <c r="AH350" i="842" s="1"/>
  <c r="AH351" i="842" s="1"/>
  <c r="AH352" i="842" s="1"/>
  <c r="AG346" i="842"/>
  <c r="AG347" i="842" s="1"/>
  <c r="AG348" i="842" s="1"/>
  <c r="AG349" i="842" s="1"/>
  <c r="AG350" i="842" s="1"/>
  <c r="AG351" i="842" s="1"/>
  <c r="AG352" i="842" s="1"/>
  <c r="AG353" i="842" s="1"/>
  <c r="AG354" i="842" s="1"/>
  <c r="AG355" i="842" s="1"/>
  <c r="AG356" i="842" s="1"/>
  <c r="AG357" i="842" s="1"/>
  <c r="AB346" i="842"/>
  <c r="AB347" i="842" s="1"/>
  <c r="AB348" i="842" s="1"/>
  <c r="AB349" i="842" s="1"/>
  <c r="AB350" i="842" s="1"/>
  <c r="AB351" i="842" s="1"/>
  <c r="V346" i="842"/>
  <c r="V347" i="842" s="1"/>
  <c r="I347" i="842" s="1"/>
  <c r="P346" i="842"/>
  <c r="P347" i="842" s="1"/>
  <c r="O346" i="842"/>
  <c r="O347" i="842" s="1"/>
  <c r="O348" i="842" s="1"/>
  <c r="M346" i="842"/>
  <c r="AH345" i="842"/>
  <c r="AG345" i="842"/>
  <c r="AD345" i="842"/>
  <c r="AD346" i="842" s="1"/>
  <c r="W345" i="842"/>
  <c r="V345" i="842"/>
  <c r="R345" i="842"/>
  <c r="I345" i="842"/>
  <c r="E345" i="842"/>
  <c r="AC344" i="842"/>
  <c r="AC345" i="842" s="1"/>
  <c r="AC346" i="842" s="1"/>
  <c r="AC347" i="842" s="1"/>
  <c r="AC348" i="842" s="1"/>
  <c r="AC349" i="842" s="1"/>
  <c r="AC350" i="842" s="1"/>
  <c r="AC351" i="842" s="1"/>
  <c r="AB344" i="842"/>
  <c r="AB345" i="842" s="1"/>
  <c r="AA344" i="842"/>
  <c r="AA345" i="842" s="1"/>
  <c r="AA346" i="842" s="1"/>
  <c r="AA347" i="842" s="1"/>
  <c r="AA348" i="842" s="1"/>
  <c r="AA349" i="842" s="1"/>
  <c r="AA350" i="842" s="1"/>
  <c r="D350" i="842" s="1"/>
  <c r="Z344" i="842"/>
  <c r="Z345" i="842" s="1"/>
  <c r="Z346" i="842" s="1"/>
  <c r="Z347" i="842" s="1"/>
  <c r="Z348" i="842" s="1"/>
  <c r="Z349" i="842" s="1"/>
  <c r="Z350" i="842" s="1"/>
  <c r="Z351" i="842" s="1"/>
  <c r="Z352" i="842" s="1"/>
  <c r="Y344" i="842"/>
  <c r="Y345" i="842" s="1"/>
  <c r="X344" i="842"/>
  <c r="X345" i="842" s="1"/>
  <c r="X346" i="842" s="1"/>
  <c r="W344" i="842"/>
  <c r="V344" i="842"/>
  <c r="U344" i="842"/>
  <c r="U345" i="842" s="1"/>
  <c r="U346" i="842" s="1"/>
  <c r="U347" i="842" s="1"/>
  <c r="U348" i="842" s="1"/>
  <c r="U349" i="842" s="1"/>
  <c r="U350" i="842" s="1"/>
  <c r="U351" i="842" s="1"/>
  <c r="U352" i="842" s="1"/>
  <c r="T344" i="842"/>
  <c r="T345" i="842" s="1"/>
  <c r="T346" i="842" s="1"/>
  <c r="T347" i="842" s="1"/>
  <c r="T348" i="842" s="1"/>
  <c r="T349" i="842" s="1"/>
  <c r="T350" i="842" s="1"/>
  <c r="T351" i="842" s="1"/>
  <c r="T352" i="842" s="1"/>
  <c r="T353" i="842" s="1"/>
  <c r="T354" i="842" s="1"/>
  <c r="T355" i="842" s="1"/>
  <c r="S344" i="842"/>
  <c r="S345" i="842" s="1"/>
  <c r="S346" i="842" s="1"/>
  <c r="S347" i="842" s="1"/>
  <c r="S348" i="842" s="1"/>
  <c r="S349" i="842" s="1"/>
  <c r="S350" i="842" s="1"/>
  <c r="S351" i="842" s="1"/>
  <c r="S352" i="842" s="1"/>
  <c r="S353" i="842" s="1"/>
  <c r="S354" i="842" s="1"/>
  <c r="S355" i="842" s="1"/>
  <c r="S356" i="842" s="1"/>
  <c r="S357" i="842" s="1"/>
  <c r="R344" i="842"/>
  <c r="Q344" i="842"/>
  <c r="Q345" i="842" s="1"/>
  <c r="Q346" i="842" s="1"/>
  <c r="P344" i="842"/>
  <c r="P345" i="842" s="1"/>
  <c r="O344" i="842"/>
  <c r="O345" i="842" s="1"/>
  <c r="N344" i="842"/>
  <c r="AH336" i="842"/>
  <c r="AH337" i="842" s="1"/>
  <c r="AH338" i="842" s="1"/>
  <c r="AD335" i="842"/>
  <c r="AD336" i="842" s="1"/>
  <c r="AD337" i="842" s="1"/>
  <c r="AD338" i="842" s="1"/>
  <c r="N335" i="842"/>
  <c r="N336" i="842" s="1"/>
  <c r="N337" i="842" s="1"/>
  <c r="N338" i="842" s="1"/>
  <c r="AC333" i="842"/>
  <c r="AC334" i="842" s="1"/>
  <c r="AD331" i="842"/>
  <c r="AD332" i="842" s="1"/>
  <c r="M331" i="842"/>
  <c r="M332" i="842" s="1"/>
  <c r="M333" i="842" s="1"/>
  <c r="M334" i="842" s="1"/>
  <c r="M335" i="842" s="1"/>
  <c r="M336" i="842" s="1"/>
  <c r="M337" i="842" s="1"/>
  <c r="AD330" i="842"/>
  <c r="AH328" i="842"/>
  <c r="AH329" i="842" s="1"/>
  <c r="AH330" i="842" s="1"/>
  <c r="AH331" i="842" s="1"/>
  <c r="AH332" i="842" s="1"/>
  <c r="AH333" i="842" s="1"/>
  <c r="AH334" i="842" s="1"/>
  <c r="AH335" i="842" s="1"/>
  <c r="U328" i="842"/>
  <c r="U329" i="842" s="1"/>
  <c r="U330" i="842" s="1"/>
  <c r="U331" i="842" s="1"/>
  <c r="U332" i="842" s="1"/>
  <c r="U333" i="842" s="1"/>
  <c r="D328" i="842"/>
  <c r="AG327" i="842"/>
  <c r="AG328" i="842" s="1"/>
  <c r="AG329" i="842" s="1"/>
  <c r="AG330" i="842" s="1"/>
  <c r="AG331" i="842" s="1"/>
  <c r="AG332" i="842" s="1"/>
  <c r="AG333" i="842" s="1"/>
  <c r="AG334" i="842" s="1"/>
  <c r="AG335" i="842" s="1"/>
  <c r="AG336" i="842" s="1"/>
  <c r="AG337" i="842" s="1"/>
  <c r="AG338" i="842" s="1"/>
  <c r="U327" i="842"/>
  <c r="T327" i="842"/>
  <c r="T328" i="842" s="1"/>
  <c r="T329" i="842" s="1"/>
  <c r="T330" i="842" s="1"/>
  <c r="T331" i="842" s="1"/>
  <c r="T332" i="842" s="1"/>
  <c r="T333" i="842" s="1"/>
  <c r="T334" i="842" s="1"/>
  <c r="T335" i="842" s="1"/>
  <c r="T336" i="842" s="1"/>
  <c r="T337" i="842" s="1"/>
  <c r="T338" i="842" s="1"/>
  <c r="M327" i="842"/>
  <c r="M328" i="842" s="1"/>
  <c r="M329" i="842" s="1"/>
  <c r="M330" i="842" s="1"/>
  <c r="D327" i="842"/>
  <c r="AH326" i="842"/>
  <c r="AH327" i="842" s="1"/>
  <c r="AG326" i="842"/>
  <c r="AD326" i="842"/>
  <c r="AD327" i="842" s="1"/>
  <c r="AC326" i="842"/>
  <c r="AC327" i="842" s="1"/>
  <c r="AC328" i="842" s="1"/>
  <c r="AC329" i="842" s="1"/>
  <c r="AC330" i="842" s="1"/>
  <c r="AC331" i="842" s="1"/>
  <c r="AC332" i="842" s="1"/>
  <c r="D332" i="842" s="1"/>
  <c r="AB326" i="842"/>
  <c r="AB327" i="842" s="1"/>
  <c r="AB328" i="842" s="1"/>
  <c r="AB329" i="842" s="1"/>
  <c r="AB330" i="842" s="1"/>
  <c r="AB331" i="842" s="1"/>
  <c r="AB332" i="842" s="1"/>
  <c r="AA326" i="842"/>
  <c r="AA327" i="842" s="1"/>
  <c r="AA328" i="842" s="1"/>
  <c r="AA329" i="842" s="1"/>
  <c r="AA330" i="842" s="1"/>
  <c r="AA331" i="842" s="1"/>
  <c r="W326" i="842"/>
  <c r="W327" i="842" s="1"/>
  <c r="W328" i="842" s="1"/>
  <c r="W329" i="842" s="1"/>
  <c r="W330" i="842" s="1"/>
  <c r="W331" i="842" s="1"/>
  <c r="W332" i="842" s="1"/>
  <c r="W333" i="842" s="1"/>
  <c r="W334" i="842" s="1"/>
  <c r="W335" i="842" s="1"/>
  <c r="W336" i="842" s="1"/>
  <c r="U326" i="842"/>
  <c r="R326" i="842"/>
  <c r="Q326" i="842"/>
  <c r="Q327" i="842" s="1"/>
  <c r="O326" i="842"/>
  <c r="D326" i="842"/>
  <c r="A326" i="842"/>
  <c r="A327" i="842" s="1"/>
  <c r="A328" i="842" s="1"/>
  <c r="A329" i="842" s="1"/>
  <c r="A330" i="842" s="1"/>
  <c r="A331" i="842" s="1"/>
  <c r="A332" i="842" s="1"/>
  <c r="A333" i="842" s="1"/>
  <c r="A334" i="842" s="1"/>
  <c r="A335" i="842" s="1"/>
  <c r="A336" i="842" s="1"/>
  <c r="A337" i="842" s="1"/>
  <c r="A338" i="842" s="1"/>
  <c r="AC325" i="842"/>
  <c r="AB325" i="842"/>
  <c r="AA325" i="842"/>
  <c r="Z325" i="842"/>
  <c r="Z326" i="842" s="1"/>
  <c r="Z327" i="842" s="1"/>
  <c r="Z328" i="842" s="1"/>
  <c r="Z329" i="842" s="1"/>
  <c r="Z330" i="842" s="1"/>
  <c r="Z331" i="842" s="1"/>
  <c r="Z332" i="842" s="1"/>
  <c r="Z333" i="842" s="1"/>
  <c r="Y325" i="842"/>
  <c r="Y326" i="842" s="1"/>
  <c r="Y327" i="842" s="1"/>
  <c r="Y328" i="842" s="1"/>
  <c r="Y329" i="842" s="1"/>
  <c r="X325" i="842"/>
  <c r="X326" i="842" s="1"/>
  <c r="X327" i="842" s="1"/>
  <c r="W325" i="842"/>
  <c r="V325" i="842"/>
  <c r="V326" i="842" s="1"/>
  <c r="V327" i="842" s="1"/>
  <c r="V328" i="842" s="1"/>
  <c r="U325" i="842"/>
  <c r="T325" i="842"/>
  <c r="T326" i="842" s="1"/>
  <c r="S325" i="842"/>
  <c r="S326" i="842" s="1"/>
  <c r="S327" i="842" s="1"/>
  <c r="S328" i="842" s="1"/>
  <c r="S329" i="842" s="1"/>
  <c r="S330" i="842" s="1"/>
  <c r="S331" i="842" s="1"/>
  <c r="S332" i="842" s="1"/>
  <c r="S333" i="842" s="1"/>
  <c r="S334" i="842" s="1"/>
  <c r="S335" i="842" s="1"/>
  <c r="S336" i="842" s="1"/>
  <c r="S337" i="842" s="1"/>
  <c r="S338" i="842" s="1"/>
  <c r="R325" i="842"/>
  <c r="Q325" i="842"/>
  <c r="P325" i="842"/>
  <c r="P326" i="842" s="1"/>
  <c r="P327" i="842" s="1"/>
  <c r="P328" i="842" s="1"/>
  <c r="O325" i="842"/>
  <c r="N325" i="842"/>
  <c r="N326" i="842" s="1"/>
  <c r="N327" i="842" s="1"/>
  <c r="N328" i="842" s="1"/>
  <c r="N329" i="842" s="1"/>
  <c r="N330" i="842" s="1"/>
  <c r="N331" i="842" s="1"/>
  <c r="N332" i="842" s="1"/>
  <c r="N333" i="842" s="1"/>
  <c r="N334" i="842" s="1"/>
  <c r="AD316" i="842"/>
  <c r="AD317" i="842" s="1"/>
  <c r="AD318" i="842" s="1"/>
  <c r="AD319" i="842" s="1"/>
  <c r="AD313" i="842"/>
  <c r="N313" i="842"/>
  <c r="N314" i="842" s="1"/>
  <c r="N315" i="842" s="1"/>
  <c r="N316" i="842" s="1"/>
  <c r="N317" i="842" s="1"/>
  <c r="N318" i="842" s="1"/>
  <c r="N319" i="842" s="1"/>
  <c r="AD312" i="842"/>
  <c r="AG311" i="842"/>
  <c r="AG312" i="842" s="1"/>
  <c r="AG313" i="842" s="1"/>
  <c r="AG314" i="842" s="1"/>
  <c r="AG315" i="842" s="1"/>
  <c r="AG316" i="842" s="1"/>
  <c r="AG317" i="842" s="1"/>
  <c r="AG318" i="842" s="1"/>
  <c r="AG319" i="842" s="1"/>
  <c r="AD311" i="842"/>
  <c r="AG310" i="842"/>
  <c r="S310" i="842"/>
  <c r="S311" i="842" s="1"/>
  <c r="S312" i="842" s="1"/>
  <c r="S313" i="842" s="1"/>
  <c r="S314" i="842" s="1"/>
  <c r="S315" i="842" s="1"/>
  <c r="S316" i="842" s="1"/>
  <c r="S317" i="842" s="1"/>
  <c r="S318" i="842" s="1"/>
  <c r="S319" i="842" s="1"/>
  <c r="AH309" i="842"/>
  <c r="AH310" i="842" s="1"/>
  <c r="AH311" i="842" s="1"/>
  <c r="AH312" i="842" s="1"/>
  <c r="AH313" i="842" s="1"/>
  <c r="AH314" i="842" s="1"/>
  <c r="AH315" i="842" s="1"/>
  <c r="AH316" i="842" s="1"/>
  <c r="AH317" i="842" s="1"/>
  <c r="AH318" i="842" s="1"/>
  <c r="AH319" i="842" s="1"/>
  <c r="V309" i="842"/>
  <c r="P309" i="842"/>
  <c r="Z308" i="842"/>
  <c r="Z309" i="842" s="1"/>
  <c r="Z310" i="842" s="1"/>
  <c r="Z311" i="842" s="1"/>
  <c r="Z312" i="842" s="1"/>
  <c r="T308" i="842"/>
  <c r="T309" i="842" s="1"/>
  <c r="T310" i="842" s="1"/>
  <c r="T311" i="842" s="1"/>
  <c r="T312" i="842" s="1"/>
  <c r="T313" i="842" s="1"/>
  <c r="T314" i="842" s="1"/>
  <c r="T315" i="842" s="1"/>
  <c r="T316" i="842" s="1"/>
  <c r="T317" i="842" s="1"/>
  <c r="T318" i="842" s="1"/>
  <c r="T319" i="842" s="1"/>
  <c r="N308" i="842"/>
  <c r="N309" i="842" s="1"/>
  <c r="N310" i="842" s="1"/>
  <c r="N311" i="842" s="1"/>
  <c r="N312" i="842" s="1"/>
  <c r="M308" i="842"/>
  <c r="M309" i="842" s="1"/>
  <c r="M310" i="842" s="1"/>
  <c r="M311" i="842" s="1"/>
  <c r="M312" i="842" s="1"/>
  <c r="M313" i="842" s="1"/>
  <c r="M314" i="842" s="1"/>
  <c r="M315" i="842" s="1"/>
  <c r="M316" i="842" s="1"/>
  <c r="M317" i="842" s="1"/>
  <c r="M318" i="842" s="1"/>
  <c r="AH307" i="842"/>
  <c r="AH308" i="842" s="1"/>
  <c r="AG307" i="842"/>
  <c r="AG308" i="842" s="1"/>
  <c r="AG309" i="842" s="1"/>
  <c r="AD307" i="842"/>
  <c r="AD308" i="842" s="1"/>
  <c r="AC307" i="842"/>
  <c r="AC308" i="842" s="1"/>
  <c r="AC309" i="842" s="1"/>
  <c r="AC310" i="842" s="1"/>
  <c r="AC311" i="842" s="1"/>
  <c r="AC312" i="842" s="1"/>
  <c r="AC313" i="842" s="1"/>
  <c r="AB307" i="842"/>
  <c r="AB308" i="842" s="1"/>
  <c r="AB309" i="842" s="1"/>
  <c r="AB310" i="842" s="1"/>
  <c r="AB311" i="842" s="1"/>
  <c r="AB312" i="842" s="1"/>
  <c r="AB313" i="842" s="1"/>
  <c r="AA307" i="842"/>
  <c r="AA308" i="842" s="1"/>
  <c r="AA309" i="842" s="1"/>
  <c r="AA310" i="842" s="1"/>
  <c r="AA311" i="842" s="1"/>
  <c r="AA312" i="842" s="1"/>
  <c r="Z307" i="842"/>
  <c r="W307" i="842"/>
  <c r="V307" i="842"/>
  <c r="V308" i="842" s="1"/>
  <c r="T307" i="842"/>
  <c r="Q307" i="842"/>
  <c r="Q308" i="842" s="1"/>
  <c r="O307" i="842"/>
  <c r="N307" i="842"/>
  <c r="I307" i="842"/>
  <c r="A307" i="842"/>
  <c r="A308" i="842" s="1"/>
  <c r="A309" i="842" s="1"/>
  <c r="A310" i="842" s="1"/>
  <c r="A311" i="842" s="1"/>
  <c r="A312" i="842" s="1"/>
  <c r="A313" i="842" s="1"/>
  <c r="A314" i="842" s="1"/>
  <c r="A315" i="842" s="1"/>
  <c r="A316" i="842" s="1"/>
  <c r="A317" i="842" s="1"/>
  <c r="A318" i="842" s="1"/>
  <c r="A319" i="842" s="1"/>
  <c r="AC306" i="842"/>
  <c r="AB306" i="842"/>
  <c r="AA306" i="842"/>
  <c r="Z306" i="842"/>
  <c r="Y306" i="842"/>
  <c r="Y307" i="842" s="1"/>
  <c r="D308" i="842" s="1"/>
  <c r="X306" i="842"/>
  <c r="X307" i="842" s="1"/>
  <c r="X308" i="842" s="1"/>
  <c r="W306" i="842"/>
  <c r="V306" i="842"/>
  <c r="U306" i="842"/>
  <c r="U307" i="842" s="1"/>
  <c r="U308" i="842" s="1"/>
  <c r="U309" i="842" s="1"/>
  <c r="U310" i="842" s="1"/>
  <c r="U311" i="842" s="1"/>
  <c r="U312" i="842" s="1"/>
  <c r="U313" i="842" s="1"/>
  <c r="U314" i="842" s="1"/>
  <c r="T306" i="842"/>
  <c r="S306" i="842"/>
  <c r="S307" i="842" s="1"/>
  <c r="S308" i="842" s="1"/>
  <c r="S309" i="842" s="1"/>
  <c r="R306" i="842"/>
  <c r="R307" i="842" s="1"/>
  <c r="Q306" i="842"/>
  <c r="P306" i="842"/>
  <c r="P307" i="842" s="1"/>
  <c r="P308" i="842" s="1"/>
  <c r="O306" i="842"/>
  <c r="N306" i="842"/>
  <c r="AD299" i="842"/>
  <c r="AD300" i="842" s="1"/>
  <c r="AD297" i="842"/>
  <c r="AD298" i="842" s="1"/>
  <c r="AD292" i="842"/>
  <c r="AD293" i="842" s="1"/>
  <c r="AD294" i="842" s="1"/>
  <c r="AC291" i="842"/>
  <c r="AC292" i="842" s="1"/>
  <c r="AC293" i="842" s="1"/>
  <c r="AC294" i="842" s="1"/>
  <c r="Z290" i="842"/>
  <c r="Z291" i="842" s="1"/>
  <c r="Z292" i="842" s="1"/>
  <c r="Z293" i="842" s="1"/>
  <c r="AH289" i="842"/>
  <c r="AH290" i="842" s="1"/>
  <c r="AH291" i="842" s="1"/>
  <c r="AH292" i="842" s="1"/>
  <c r="AH293" i="842" s="1"/>
  <c r="AH294" i="842" s="1"/>
  <c r="AH295" i="842" s="1"/>
  <c r="AH296" i="842" s="1"/>
  <c r="AH297" i="842" s="1"/>
  <c r="AH298" i="842" s="1"/>
  <c r="AH299" i="842" s="1"/>
  <c r="AH300" i="842" s="1"/>
  <c r="AD289" i="842"/>
  <c r="V289" i="842"/>
  <c r="V290" i="842" s="1"/>
  <c r="M289" i="842"/>
  <c r="M290" i="842" s="1"/>
  <c r="M291" i="842" s="1"/>
  <c r="M292" i="842" s="1"/>
  <c r="M293" i="842" s="1"/>
  <c r="M294" i="842" s="1"/>
  <c r="M295" i="842" s="1"/>
  <c r="M296" i="842" s="1"/>
  <c r="M297" i="842" s="1"/>
  <c r="M298" i="842" s="1"/>
  <c r="M299" i="842" s="1"/>
  <c r="AH288" i="842"/>
  <c r="AG288" i="842"/>
  <c r="AG289" i="842" s="1"/>
  <c r="AG290" i="842" s="1"/>
  <c r="AG291" i="842" s="1"/>
  <c r="AG292" i="842" s="1"/>
  <c r="AG293" i="842" s="1"/>
  <c r="AG294" i="842" s="1"/>
  <c r="AG295" i="842" s="1"/>
  <c r="AG296" i="842" s="1"/>
  <c r="AG297" i="842" s="1"/>
  <c r="AG298" i="842" s="1"/>
  <c r="AG299" i="842" s="1"/>
  <c r="AG300" i="842" s="1"/>
  <c r="AD288" i="842"/>
  <c r="AB288" i="842"/>
  <c r="AB289" i="842" s="1"/>
  <c r="AB290" i="842" s="1"/>
  <c r="AB291" i="842" s="1"/>
  <c r="AB292" i="842" s="1"/>
  <c r="AB293" i="842" s="1"/>
  <c r="AB294" i="842" s="1"/>
  <c r="Y288" i="842"/>
  <c r="D289" i="842" s="1"/>
  <c r="V288" i="842"/>
  <c r="I288" i="842" s="1"/>
  <c r="S288" i="842"/>
  <c r="S289" i="842" s="1"/>
  <c r="S290" i="842" s="1"/>
  <c r="S291" i="842" s="1"/>
  <c r="S292" i="842" s="1"/>
  <c r="S293" i="842" s="1"/>
  <c r="S294" i="842" s="1"/>
  <c r="S295" i="842" s="1"/>
  <c r="S296" i="842" s="1"/>
  <c r="S297" i="842" s="1"/>
  <c r="S298" i="842" s="1"/>
  <c r="S299" i="842" s="1"/>
  <c r="S300" i="842" s="1"/>
  <c r="AC287" i="842"/>
  <c r="AC288" i="842" s="1"/>
  <c r="AC289" i="842" s="1"/>
  <c r="AC290" i="842" s="1"/>
  <c r="AB287" i="842"/>
  <c r="AA287" i="842"/>
  <c r="AA288" i="842" s="1"/>
  <c r="AA289" i="842" s="1"/>
  <c r="AA290" i="842" s="1"/>
  <c r="AA291" i="842" s="1"/>
  <c r="AA292" i="842" s="1"/>
  <c r="AA293" i="842" s="1"/>
  <c r="Z287" i="842"/>
  <c r="Z288" i="842" s="1"/>
  <c r="Z289" i="842" s="1"/>
  <c r="Y287" i="842"/>
  <c r="X287" i="842"/>
  <c r="X288" i="842" s="1"/>
  <c r="X289" i="842" s="1"/>
  <c r="X290" i="842" s="1"/>
  <c r="X291" i="842" s="1"/>
  <c r="W287" i="842"/>
  <c r="W288" i="842" s="1"/>
  <c r="V287" i="842"/>
  <c r="U287" i="842"/>
  <c r="U288" i="842" s="1"/>
  <c r="U289" i="842" s="1"/>
  <c r="U290" i="842" s="1"/>
  <c r="U291" i="842" s="1"/>
  <c r="U292" i="842" s="1"/>
  <c r="U293" i="842" s="1"/>
  <c r="U294" i="842" s="1"/>
  <c r="U295" i="842" s="1"/>
  <c r="T287" i="842"/>
  <c r="T288" i="842" s="1"/>
  <c r="T289" i="842" s="1"/>
  <c r="T290" i="842" s="1"/>
  <c r="T291" i="842" s="1"/>
  <c r="T292" i="842" s="1"/>
  <c r="T293" i="842" s="1"/>
  <c r="T294" i="842" s="1"/>
  <c r="T295" i="842" s="1"/>
  <c r="T296" i="842" s="1"/>
  <c r="T297" i="842" s="1"/>
  <c r="T298" i="842" s="1"/>
  <c r="T299" i="842" s="1"/>
  <c r="T300" i="842" s="1"/>
  <c r="S287" i="842"/>
  <c r="R287" i="842"/>
  <c r="R288" i="842" s="1"/>
  <c r="L288" i="842" s="1"/>
  <c r="Q287" i="842"/>
  <c r="Q288" i="842" s="1"/>
  <c r="Q289" i="842" s="1"/>
  <c r="P287" i="842"/>
  <c r="P288" i="842" s="1"/>
  <c r="P289" i="842" s="1"/>
  <c r="P290" i="842" s="1"/>
  <c r="O287" i="842"/>
  <c r="O288" i="842" s="1"/>
  <c r="N287" i="842"/>
  <c r="AH280" i="842"/>
  <c r="AH281" i="842" s="1"/>
  <c r="AD278" i="842"/>
  <c r="AD279" i="842" s="1"/>
  <c r="AD280" i="842" s="1"/>
  <c r="AD281" i="842" s="1"/>
  <c r="AG275" i="842"/>
  <c r="AG276" i="842" s="1"/>
  <c r="AG277" i="842" s="1"/>
  <c r="AG278" i="842" s="1"/>
  <c r="AG279" i="842" s="1"/>
  <c r="AG280" i="842" s="1"/>
  <c r="AG281" i="842" s="1"/>
  <c r="AB275" i="842"/>
  <c r="AA275" i="842"/>
  <c r="AA276" i="842" s="1"/>
  <c r="M274" i="842"/>
  <c r="M275" i="842" s="1"/>
  <c r="M276" i="842" s="1"/>
  <c r="M277" i="842" s="1"/>
  <c r="M278" i="842" s="1"/>
  <c r="M279" i="842" s="1"/>
  <c r="M280" i="842" s="1"/>
  <c r="AD273" i="842"/>
  <c r="AD274" i="842" s="1"/>
  <c r="AD275" i="842" s="1"/>
  <c r="AC273" i="842"/>
  <c r="AC274" i="842" s="1"/>
  <c r="AC275" i="842" s="1"/>
  <c r="V272" i="842"/>
  <c r="V273" i="842" s="1"/>
  <c r="V274" i="842" s="1"/>
  <c r="V275" i="842" s="1"/>
  <c r="V276" i="842" s="1"/>
  <c r="V277" i="842" s="1"/>
  <c r="V278" i="842" s="1"/>
  <c r="V279" i="842" s="1"/>
  <c r="V280" i="842" s="1"/>
  <c r="M271" i="842"/>
  <c r="M272" i="842" s="1"/>
  <c r="M273" i="842" s="1"/>
  <c r="I271" i="842"/>
  <c r="AH270" i="842"/>
  <c r="AH271" i="842" s="1"/>
  <c r="AH272" i="842" s="1"/>
  <c r="AH273" i="842" s="1"/>
  <c r="AH274" i="842" s="1"/>
  <c r="AH275" i="842" s="1"/>
  <c r="AH276" i="842" s="1"/>
  <c r="AH277" i="842" s="1"/>
  <c r="AH278" i="842" s="1"/>
  <c r="AH279" i="842" s="1"/>
  <c r="AG270" i="842"/>
  <c r="AG271" i="842" s="1"/>
  <c r="AG272" i="842" s="1"/>
  <c r="AG273" i="842" s="1"/>
  <c r="AG274" i="842" s="1"/>
  <c r="AB270" i="842"/>
  <c r="AB271" i="842" s="1"/>
  <c r="AB272" i="842" s="1"/>
  <c r="AB273" i="842" s="1"/>
  <c r="AB274" i="842" s="1"/>
  <c r="V270" i="842"/>
  <c r="V271" i="842" s="1"/>
  <c r="U270" i="842"/>
  <c r="U271" i="842" s="1"/>
  <c r="U272" i="842" s="1"/>
  <c r="U273" i="842" s="1"/>
  <c r="U274" i="842" s="1"/>
  <c r="U275" i="842" s="1"/>
  <c r="U276" i="842" s="1"/>
  <c r="P270" i="842"/>
  <c r="P271" i="842" s="1"/>
  <c r="M270" i="842"/>
  <c r="AH269" i="842"/>
  <c r="AG269" i="842"/>
  <c r="AD269" i="842"/>
  <c r="AD270" i="842" s="1"/>
  <c r="AB269" i="842"/>
  <c r="X269" i="842"/>
  <c r="X270" i="842" s="1"/>
  <c r="U269" i="842"/>
  <c r="R269" i="842"/>
  <c r="P269" i="842"/>
  <c r="E269" i="842"/>
  <c r="AC268" i="842"/>
  <c r="AC269" i="842" s="1"/>
  <c r="AC270" i="842" s="1"/>
  <c r="AC271" i="842" s="1"/>
  <c r="AC272" i="842" s="1"/>
  <c r="AB268" i="842"/>
  <c r="AA268" i="842"/>
  <c r="AA269" i="842" s="1"/>
  <c r="AA270" i="842" s="1"/>
  <c r="AA271" i="842" s="1"/>
  <c r="AA272" i="842" s="1"/>
  <c r="AA273" i="842" s="1"/>
  <c r="AA274" i="842" s="1"/>
  <c r="D274" i="842" s="1"/>
  <c r="Z268" i="842"/>
  <c r="Z269" i="842" s="1"/>
  <c r="Z270" i="842" s="1"/>
  <c r="Z271" i="842" s="1"/>
  <c r="Z272" i="842" s="1"/>
  <c r="Z273" i="842" s="1"/>
  <c r="Z274" i="842" s="1"/>
  <c r="Y268" i="842"/>
  <c r="Y269" i="842" s="1"/>
  <c r="X268" i="842"/>
  <c r="W268" i="842"/>
  <c r="W269" i="842" s="1"/>
  <c r="W270" i="842" s="1"/>
  <c r="W271" i="842" s="1"/>
  <c r="D271" i="842" s="1"/>
  <c r="V268" i="842"/>
  <c r="V269" i="842" s="1"/>
  <c r="I269" i="842" s="1"/>
  <c r="U268" i="842"/>
  <c r="T268" i="842"/>
  <c r="T269" i="842" s="1"/>
  <c r="T270" i="842" s="1"/>
  <c r="T271" i="842" s="1"/>
  <c r="T272" i="842" s="1"/>
  <c r="T273" i="842" s="1"/>
  <c r="T274" i="842" s="1"/>
  <c r="T275" i="842" s="1"/>
  <c r="T276" i="842" s="1"/>
  <c r="T277" i="842" s="1"/>
  <c r="T278" i="842" s="1"/>
  <c r="T279" i="842" s="1"/>
  <c r="T280" i="842" s="1"/>
  <c r="T281" i="842" s="1"/>
  <c r="S268" i="842"/>
  <c r="S269" i="842" s="1"/>
  <c r="S270" i="842" s="1"/>
  <c r="S271" i="842" s="1"/>
  <c r="S272" i="842" s="1"/>
  <c r="S273" i="842" s="1"/>
  <c r="S274" i="842" s="1"/>
  <c r="S275" i="842" s="1"/>
  <c r="S276" i="842" s="1"/>
  <c r="S277" i="842" s="1"/>
  <c r="S278" i="842" s="1"/>
  <c r="S279" i="842" s="1"/>
  <c r="S280" i="842" s="1"/>
  <c r="S281" i="842" s="1"/>
  <c r="R268" i="842"/>
  <c r="Q268" i="842"/>
  <c r="Q269" i="842" s="1"/>
  <c r="Q270" i="842" s="1"/>
  <c r="P268" i="842"/>
  <c r="O268" i="842"/>
  <c r="O269" i="842" s="1"/>
  <c r="O270" i="842" s="1"/>
  <c r="O271" i="842" s="1"/>
  <c r="O272" i="842" s="1"/>
  <c r="N268" i="842"/>
  <c r="AH262" i="842"/>
  <c r="AD260" i="842"/>
  <c r="AD261" i="842" s="1"/>
  <c r="AD262" i="842" s="1"/>
  <c r="AD259" i="842"/>
  <c r="M259" i="842"/>
  <c r="M260" i="842" s="1"/>
  <c r="M261" i="842" s="1"/>
  <c r="AA256" i="842"/>
  <c r="AA257" i="842" s="1"/>
  <c r="AD255" i="842"/>
  <c r="AD256" i="842" s="1"/>
  <c r="AH254" i="842"/>
  <c r="AH255" i="842" s="1"/>
  <c r="AH256" i="842" s="1"/>
  <c r="AH257" i="842" s="1"/>
  <c r="AH258" i="842" s="1"/>
  <c r="AH259" i="842" s="1"/>
  <c r="AH260" i="842" s="1"/>
  <c r="AH261" i="842" s="1"/>
  <c r="AD254" i="842"/>
  <c r="AH253" i="842"/>
  <c r="X252" i="842"/>
  <c r="X253" i="842" s="1"/>
  <c r="R252" i="842"/>
  <c r="R253" i="842" s="1"/>
  <c r="R254" i="842" s="1"/>
  <c r="R255" i="842" s="1"/>
  <c r="Q252" i="842"/>
  <c r="AH251" i="842"/>
  <c r="AH252" i="842" s="1"/>
  <c r="V251" i="842"/>
  <c r="V252" i="842" s="1"/>
  <c r="U251" i="842"/>
  <c r="U252" i="842" s="1"/>
  <c r="U253" i="842" s="1"/>
  <c r="U254" i="842" s="1"/>
  <c r="U255" i="842" s="1"/>
  <c r="U256" i="842" s="1"/>
  <c r="U257" i="842" s="1"/>
  <c r="R251" i="842"/>
  <c r="M251" i="842"/>
  <c r="M252" i="842" s="1"/>
  <c r="M253" i="842" s="1"/>
  <c r="M254" i="842" s="1"/>
  <c r="M255" i="842" s="1"/>
  <c r="M256" i="842" s="1"/>
  <c r="M257" i="842" s="1"/>
  <c r="M258" i="842" s="1"/>
  <c r="AH250" i="842"/>
  <c r="AG250" i="842"/>
  <c r="AG251" i="842" s="1"/>
  <c r="AG252" i="842" s="1"/>
  <c r="AG253" i="842" s="1"/>
  <c r="AG254" i="842" s="1"/>
  <c r="AG255" i="842" s="1"/>
  <c r="AG256" i="842" s="1"/>
  <c r="AG257" i="842" s="1"/>
  <c r="AG258" i="842" s="1"/>
  <c r="AG259" i="842" s="1"/>
  <c r="AG260" i="842" s="1"/>
  <c r="AG261" i="842" s="1"/>
  <c r="AG262" i="842" s="1"/>
  <c r="AD250" i="842"/>
  <c r="AD251" i="842" s="1"/>
  <c r="AC250" i="842"/>
  <c r="AC251" i="842" s="1"/>
  <c r="AC252" i="842" s="1"/>
  <c r="AC253" i="842" s="1"/>
  <c r="AC254" i="842" s="1"/>
  <c r="AC255" i="842" s="1"/>
  <c r="AC256" i="842" s="1"/>
  <c r="Z250" i="842"/>
  <c r="Z251" i="842" s="1"/>
  <c r="Z252" i="842" s="1"/>
  <c r="Z253" i="842" s="1"/>
  <c r="Z254" i="842" s="1"/>
  <c r="Z255" i="842" s="1"/>
  <c r="W250" i="842"/>
  <c r="U250" i="842"/>
  <c r="R250" i="842"/>
  <c r="Q250" i="842"/>
  <c r="Q251" i="842" s="1"/>
  <c r="E251" i="842" s="1"/>
  <c r="L250" i="842"/>
  <c r="AC249" i="842"/>
  <c r="AB249" i="842"/>
  <c r="AB250" i="842" s="1"/>
  <c r="AB251" i="842" s="1"/>
  <c r="AB252" i="842" s="1"/>
  <c r="AB253" i="842" s="1"/>
  <c r="AB254" i="842" s="1"/>
  <c r="AB255" i="842" s="1"/>
  <c r="AB256" i="842" s="1"/>
  <c r="AA249" i="842"/>
  <c r="AA250" i="842" s="1"/>
  <c r="AA251" i="842" s="1"/>
  <c r="AA252" i="842" s="1"/>
  <c r="AA253" i="842" s="1"/>
  <c r="AA254" i="842" s="1"/>
  <c r="AA255" i="842" s="1"/>
  <c r="D255" i="842" s="1"/>
  <c r="Z249" i="842"/>
  <c r="Y249" i="842"/>
  <c r="Y250" i="842" s="1"/>
  <c r="X249" i="842"/>
  <c r="X250" i="842" s="1"/>
  <c r="X251" i="842" s="1"/>
  <c r="I251" i="842" s="1"/>
  <c r="W249" i="842"/>
  <c r="V249" i="842"/>
  <c r="V250" i="842" s="1"/>
  <c r="I250" i="842" s="1"/>
  <c r="U249" i="842"/>
  <c r="T249" i="842"/>
  <c r="T250" i="842" s="1"/>
  <c r="T251" i="842" s="1"/>
  <c r="T252" i="842" s="1"/>
  <c r="T253" i="842" s="1"/>
  <c r="T254" i="842" s="1"/>
  <c r="T255" i="842" s="1"/>
  <c r="T256" i="842" s="1"/>
  <c r="T257" i="842" s="1"/>
  <c r="T258" i="842" s="1"/>
  <c r="T259" i="842" s="1"/>
  <c r="T260" i="842" s="1"/>
  <c r="T261" i="842" s="1"/>
  <c r="T262" i="842" s="1"/>
  <c r="S249" i="842"/>
  <c r="S250" i="842" s="1"/>
  <c r="S251" i="842" s="1"/>
  <c r="S252" i="842" s="1"/>
  <c r="S253" i="842" s="1"/>
  <c r="S254" i="842" s="1"/>
  <c r="S255" i="842" s="1"/>
  <c r="S256" i="842" s="1"/>
  <c r="S257" i="842" s="1"/>
  <c r="S258" i="842" s="1"/>
  <c r="S259" i="842" s="1"/>
  <c r="S260" i="842" s="1"/>
  <c r="S261" i="842" s="1"/>
  <c r="S262" i="842" s="1"/>
  <c r="R249" i="842"/>
  <c r="Q249" i="842"/>
  <c r="P249" i="842"/>
  <c r="P250" i="842" s="1"/>
  <c r="P251" i="842" s="1"/>
  <c r="P252" i="842" s="1"/>
  <c r="O249" i="842"/>
  <c r="O250" i="842" s="1"/>
  <c r="N249" i="842"/>
  <c r="A250" i="842" s="1"/>
  <c r="A251" i="842" s="1"/>
  <c r="A252" i="842" s="1"/>
  <c r="A253" i="842" s="1"/>
  <c r="A254" i="842" s="1"/>
  <c r="A255" i="842" s="1"/>
  <c r="A256" i="842" s="1"/>
  <c r="A257" i="842" s="1"/>
  <c r="A258" i="842" s="1"/>
  <c r="A259" i="842" s="1"/>
  <c r="A260" i="842" s="1"/>
  <c r="A261" i="842" s="1"/>
  <c r="A262" i="842" s="1"/>
  <c r="A242" i="842"/>
  <c r="A243" i="842" s="1"/>
  <c r="AD241" i="842"/>
  <c r="AD242" i="842" s="1"/>
  <c r="AD243" i="842" s="1"/>
  <c r="AD240" i="842"/>
  <c r="Z240" i="842"/>
  <c r="Z241" i="842" s="1"/>
  <c r="Z242" i="842" s="1"/>
  <c r="Z243" i="842" s="1"/>
  <c r="S240" i="842"/>
  <c r="S241" i="842" s="1"/>
  <c r="S242" i="842" s="1"/>
  <c r="S243" i="842" s="1"/>
  <c r="V239" i="842"/>
  <c r="V240" i="842" s="1"/>
  <c r="V241" i="842" s="1"/>
  <c r="V242" i="842" s="1"/>
  <c r="I238" i="842"/>
  <c r="Z237" i="842"/>
  <c r="Z238" i="842" s="1"/>
  <c r="Z239" i="842" s="1"/>
  <c r="T237" i="842"/>
  <c r="T238" i="842" s="1"/>
  <c r="T239" i="842" s="1"/>
  <c r="T240" i="842" s="1"/>
  <c r="T241" i="842" s="1"/>
  <c r="T242" i="842" s="1"/>
  <c r="T243" i="842" s="1"/>
  <c r="AD236" i="842"/>
  <c r="AD237" i="842" s="1"/>
  <c r="AH235" i="842"/>
  <c r="AH236" i="842" s="1"/>
  <c r="AH237" i="842" s="1"/>
  <c r="AH238" i="842" s="1"/>
  <c r="AH239" i="842" s="1"/>
  <c r="AH240" i="842" s="1"/>
  <c r="AH241" i="842" s="1"/>
  <c r="AH242" i="842" s="1"/>
  <c r="AH243" i="842" s="1"/>
  <c r="AD235" i="842"/>
  <c r="V235" i="842"/>
  <c r="V236" i="842" s="1"/>
  <c r="V237" i="842" s="1"/>
  <c r="V238" i="842" s="1"/>
  <c r="U235" i="842"/>
  <c r="U236" i="842" s="1"/>
  <c r="U237" i="842" s="1"/>
  <c r="U238" i="842" s="1"/>
  <c r="AH234" i="842"/>
  <c r="V234" i="842"/>
  <c r="O234" i="842"/>
  <c r="AC233" i="842"/>
  <c r="AC234" i="842" s="1"/>
  <c r="AC235" i="842" s="1"/>
  <c r="AC236" i="842" s="1"/>
  <c r="AC237" i="842" s="1"/>
  <c r="AC238" i="842" s="1"/>
  <c r="AC239" i="842" s="1"/>
  <c r="AC240" i="842" s="1"/>
  <c r="AC241" i="842" s="1"/>
  <c r="AC242" i="842" s="1"/>
  <c r="AC243" i="842" s="1"/>
  <c r="W233" i="842"/>
  <c r="M233" i="842"/>
  <c r="M234" i="842" s="1"/>
  <c r="M235" i="842" s="1"/>
  <c r="M236" i="842" s="1"/>
  <c r="M237" i="842" s="1"/>
  <c r="M238" i="842" s="1"/>
  <c r="M239" i="842" s="1"/>
  <c r="M240" i="842" s="1"/>
  <c r="M241" i="842" s="1"/>
  <c r="M242" i="842" s="1"/>
  <c r="I233" i="842"/>
  <c r="AG232" i="842"/>
  <c r="AG233" i="842" s="1"/>
  <c r="AG234" i="842" s="1"/>
  <c r="AG235" i="842" s="1"/>
  <c r="AG236" i="842" s="1"/>
  <c r="AG237" i="842" s="1"/>
  <c r="AG238" i="842" s="1"/>
  <c r="AG239" i="842" s="1"/>
  <c r="AG240" i="842" s="1"/>
  <c r="AG241" i="842" s="1"/>
  <c r="AG242" i="842" s="1"/>
  <c r="AG243" i="842" s="1"/>
  <c r="AA232" i="842"/>
  <c r="AA233" i="842" s="1"/>
  <c r="AA234" i="842" s="1"/>
  <c r="AA235" i="842" s="1"/>
  <c r="AA236" i="842" s="1"/>
  <c r="U232" i="842"/>
  <c r="U233" i="842" s="1"/>
  <c r="U234" i="842" s="1"/>
  <c r="T232" i="842"/>
  <c r="T233" i="842" s="1"/>
  <c r="T234" i="842" s="1"/>
  <c r="T235" i="842" s="1"/>
  <c r="T236" i="842" s="1"/>
  <c r="O232" i="842"/>
  <c r="O233" i="842" s="1"/>
  <c r="N232" i="842"/>
  <c r="N233" i="842" s="1"/>
  <c r="N234" i="842" s="1"/>
  <c r="N235" i="842" s="1"/>
  <c r="N236" i="842" s="1"/>
  <c r="N237" i="842" s="1"/>
  <c r="N238" i="842" s="1"/>
  <c r="N239" i="842" s="1"/>
  <c r="N240" i="842" s="1"/>
  <c r="N241" i="842" s="1"/>
  <c r="N242" i="842" s="1"/>
  <c r="N243" i="842" s="1"/>
  <c r="M232" i="842"/>
  <c r="A232" i="842"/>
  <c r="A233" i="842" s="1"/>
  <c r="A234" i="842" s="1"/>
  <c r="A235" i="842" s="1"/>
  <c r="A236" i="842" s="1"/>
  <c r="A237" i="842" s="1"/>
  <c r="A238" i="842" s="1"/>
  <c r="A239" i="842" s="1"/>
  <c r="A240" i="842" s="1"/>
  <c r="A241" i="842" s="1"/>
  <c r="AH231" i="842"/>
  <c r="AH232" i="842" s="1"/>
  <c r="AH233" i="842" s="1"/>
  <c r="AG231" i="842"/>
  <c r="AD231" i="842"/>
  <c r="AD232" i="842" s="1"/>
  <c r="AC231" i="842"/>
  <c r="AC232" i="842" s="1"/>
  <c r="AA231" i="842"/>
  <c r="W231" i="842"/>
  <c r="W232" i="842" s="1"/>
  <c r="U231" i="842"/>
  <c r="S231" i="842"/>
  <c r="S232" i="842" s="1"/>
  <c r="S233" i="842" s="1"/>
  <c r="S234" i="842" s="1"/>
  <c r="S235" i="842" s="1"/>
  <c r="S236" i="842" s="1"/>
  <c r="S237" i="842" s="1"/>
  <c r="S238" i="842" s="1"/>
  <c r="S239" i="842" s="1"/>
  <c r="R231" i="842"/>
  <c r="Q231" i="842"/>
  <c r="Q232" i="842" s="1"/>
  <c r="O231" i="842"/>
  <c r="I231" i="842"/>
  <c r="E231" i="842"/>
  <c r="D231" i="842"/>
  <c r="A231" i="842"/>
  <c r="AC230" i="842"/>
  <c r="AB230" i="842"/>
  <c r="AB231" i="842" s="1"/>
  <c r="AB232" i="842" s="1"/>
  <c r="AB233" i="842" s="1"/>
  <c r="AB234" i="842" s="1"/>
  <c r="AB235" i="842" s="1"/>
  <c r="AB236" i="842" s="1"/>
  <c r="AB237" i="842" s="1"/>
  <c r="AA230" i="842"/>
  <c r="Z230" i="842"/>
  <c r="Z231" i="842" s="1"/>
  <c r="Z232" i="842" s="1"/>
  <c r="Z233" i="842" s="1"/>
  <c r="Z234" i="842" s="1"/>
  <c r="Z235" i="842" s="1"/>
  <c r="Z236" i="842" s="1"/>
  <c r="I236" i="842" s="1"/>
  <c r="Y230" i="842"/>
  <c r="Y231" i="842" s="1"/>
  <c r="Y232" i="842" s="1"/>
  <c r="Y233" i="842" s="1"/>
  <c r="Y234" i="842" s="1"/>
  <c r="X230" i="842"/>
  <c r="X231" i="842" s="1"/>
  <c r="X232" i="842" s="1"/>
  <c r="W230" i="842"/>
  <c r="V230" i="842"/>
  <c r="V231" i="842" s="1"/>
  <c r="V232" i="842" s="1"/>
  <c r="V233" i="842" s="1"/>
  <c r="U230" i="842"/>
  <c r="T230" i="842"/>
  <c r="T231" i="842" s="1"/>
  <c r="S230" i="842"/>
  <c r="R230" i="842"/>
  <c r="Q230" i="842"/>
  <c r="P230" i="842"/>
  <c r="P231" i="842" s="1"/>
  <c r="O230" i="842"/>
  <c r="N230" i="842"/>
  <c r="N231" i="842" s="1"/>
  <c r="AH222" i="842"/>
  <c r="AH223" i="842" s="1"/>
  <c r="AH224" i="842" s="1"/>
  <c r="AD221" i="842"/>
  <c r="AD222" i="842" s="1"/>
  <c r="AD223" i="842" s="1"/>
  <c r="AD224" i="842" s="1"/>
  <c r="S221" i="842"/>
  <c r="S222" i="842" s="1"/>
  <c r="S223" i="842" s="1"/>
  <c r="S224" i="842" s="1"/>
  <c r="AC219" i="842"/>
  <c r="AC220" i="842" s="1"/>
  <c r="M218" i="842"/>
  <c r="M219" i="842" s="1"/>
  <c r="M220" i="842" s="1"/>
  <c r="M221" i="842" s="1"/>
  <c r="M222" i="842" s="1"/>
  <c r="M223" i="842" s="1"/>
  <c r="AD217" i="842"/>
  <c r="AD218" i="842" s="1"/>
  <c r="I217" i="842"/>
  <c r="AD216" i="842"/>
  <c r="AA216" i="842"/>
  <c r="AA217" i="842" s="1"/>
  <c r="AH215" i="842"/>
  <c r="AH216" i="842" s="1"/>
  <c r="AH217" i="842" s="1"/>
  <c r="AH218" i="842" s="1"/>
  <c r="AH219" i="842" s="1"/>
  <c r="AH220" i="842" s="1"/>
  <c r="AH221" i="842" s="1"/>
  <c r="AG215" i="842"/>
  <c r="AG216" i="842" s="1"/>
  <c r="AG217" i="842" s="1"/>
  <c r="AG218" i="842" s="1"/>
  <c r="AG219" i="842" s="1"/>
  <c r="AG220" i="842" s="1"/>
  <c r="AG221" i="842" s="1"/>
  <c r="AG222" i="842" s="1"/>
  <c r="AG223" i="842" s="1"/>
  <c r="AG224" i="842" s="1"/>
  <c r="U215" i="842"/>
  <c r="U216" i="842" s="1"/>
  <c r="U217" i="842" s="1"/>
  <c r="U218" i="842" s="1"/>
  <c r="U219" i="842" s="1"/>
  <c r="T215" i="842"/>
  <c r="T216" i="842" s="1"/>
  <c r="T217" i="842" s="1"/>
  <c r="T218" i="842" s="1"/>
  <c r="T219" i="842" s="1"/>
  <c r="T220" i="842" s="1"/>
  <c r="T221" i="842" s="1"/>
  <c r="T222" i="842" s="1"/>
  <c r="T223" i="842" s="1"/>
  <c r="T224" i="842" s="1"/>
  <c r="A215" i="842"/>
  <c r="A216" i="842" s="1"/>
  <c r="A217" i="842" s="1"/>
  <c r="A218" i="842" s="1"/>
  <c r="A219" i="842" s="1"/>
  <c r="A220" i="842" s="1"/>
  <c r="A221" i="842" s="1"/>
  <c r="A222" i="842" s="1"/>
  <c r="A223" i="842" s="1"/>
  <c r="A224" i="842" s="1"/>
  <c r="P214" i="842"/>
  <c r="AG213" i="842"/>
  <c r="AG214" i="842" s="1"/>
  <c r="Z213" i="842"/>
  <c r="Z214" i="842" s="1"/>
  <c r="Z215" i="842" s="1"/>
  <c r="Z216" i="842" s="1"/>
  <c r="Z217" i="842" s="1"/>
  <c r="Z218" i="842" s="1"/>
  <c r="Z219" i="842" s="1"/>
  <c r="T213" i="842"/>
  <c r="T214" i="842" s="1"/>
  <c r="S213" i="842"/>
  <c r="S214" i="842" s="1"/>
  <c r="S215" i="842" s="1"/>
  <c r="S216" i="842" s="1"/>
  <c r="S217" i="842" s="1"/>
  <c r="S218" i="842" s="1"/>
  <c r="S219" i="842" s="1"/>
  <c r="S220" i="842" s="1"/>
  <c r="N213" i="842"/>
  <c r="N214" i="842" s="1"/>
  <c r="N215" i="842" s="1"/>
  <c r="N216" i="842" s="1"/>
  <c r="N217" i="842" s="1"/>
  <c r="N218" i="842" s="1"/>
  <c r="N219" i="842" s="1"/>
  <c r="N220" i="842" s="1"/>
  <c r="N221" i="842" s="1"/>
  <c r="N222" i="842" s="1"/>
  <c r="N223" i="842" s="1"/>
  <c r="N224" i="842" s="1"/>
  <c r="M213" i="842"/>
  <c r="M214" i="842" s="1"/>
  <c r="M215" i="842" s="1"/>
  <c r="M216" i="842" s="1"/>
  <c r="M217" i="842" s="1"/>
  <c r="D213" i="842"/>
  <c r="AH212" i="842"/>
  <c r="AH213" i="842" s="1"/>
  <c r="AH214" i="842" s="1"/>
  <c r="AG212" i="842"/>
  <c r="AD212" i="842"/>
  <c r="AD213" i="842" s="1"/>
  <c r="AC212" i="842"/>
  <c r="AC213" i="842" s="1"/>
  <c r="AC214" i="842" s="1"/>
  <c r="AC215" i="842" s="1"/>
  <c r="AC216" i="842" s="1"/>
  <c r="AC217" i="842" s="1"/>
  <c r="AC218" i="842" s="1"/>
  <c r="D218" i="842" s="1"/>
  <c r="AB212" i="842"/>
  <c r="AB213" i="842" s="1"/>
  <c r="AB214" i="842" s="1"/>
  <c r="AB215" i="842" s="1"/>
  <c r="AB216" i="842" s="1"/>
  <c r="AB217" i="842" s="1"/>
  <c r="AB218" i="842" s="1"/>
  <c r="I218" i="842" s="1"/>
  <c r="Z212" i="842"/>
  <c r="W212" i="842"/>
  <c r="V212" i="842"/>
  <c r="T212" i="842"/>
  <c r="Q212" i="842"/>
  <c r="Q213" i="842" s="1"/>
  <c r="P212" i="842"/>
  <c r="P213" i="842" s="1"/>
  <c r="N212" i="842"/>
  <c r="A212" i="842"/>
  <c r="A213" i="842" s="1"/>
  <c r="A214" i="842" s="1"/>
  <c r="AC211" i="842"/>
  <c r="AB211" i="842"/>
  <c r="AA211" i="842"/>
  <c r="AA212" i="842" s="1"/>
  <c r="AA213" i="842" s="1"/>
  <c r="AA214" i="842" s="1"/>
  <c r="AA215" i="842" s="1"/>
  <c r="Z211" i="842"/>
  <c r="Y211" i="842"/>
  <c r="Y212" i="842" s="1"/>
  <c r="Y213" i="842" s="1"/>
  <c r="Y214" i="842" s="1"/>
  <c r="Y215" i="842" s="1"/>
  <c r="X211" i="842"/>
  <c r="X212" i="842" s="1"/>
  <c r="X213" i="842" s="1"/>
  <c r="W211" i="842"/>
  <c r="V211" i="842"/>
  <c r="U211" i="842"/>
  <c r="U212" i="842" s="1"/>
  <c r="U213" i="842" s="1"/>
  <c r="U214" i="842" s="1"/>
  <c r="T211" i="842"/>
  <c r="S211" i="842"/>
  <c r="S212" i="842" s="1"/>
  <c r="R211" i="842"/>
  <c r="R212" i="842" s="1"/>
  <c r="Q211" i="842"/>
  <c r="P211" i="842"/>
  <c r="O211" i="842"/>
  <c r="O212" i="842" s="1"/>
  <c r="N211" i="842"/>
  <c r="AD202" i="842"/>
  <c r="AD203" i="842" s="1"/>
  <c r="AD204" i="842" s="1"/>
  <c r="AD205" i="842" s="1"/>
  <c r="U201" i="842"/>
  <c r="AC200" i="842"/>
  <c r="AC201" i="842" s="1"/>
  <c r="AH198" i="842"/>
  <c r="AH199" i="842" s="1"/>
  <c r="AH200" i="842" s="1"/>
  <c r="AH201" i="842" s="1"/>
  <c r="AH202" i="842" s="1"/>
  <c r="AH203" i="842" s="1"/>
  <c r="AH204" i="842" s="1"/>
  <c r="AH205" i="842" s="1"/>
  <c r="AC198" i="842"/>
  <c r="AC199" i="842" s="1"/>
  <c r="D199" i="842" s="1"/>
  <c r="T198" i="842"/>
  <c r="T199" i="842" s="1"/>
  <c r="T200" i="842" s="1"/>
  <c r="T201" i="842" s="1"/>
  <c r="T202" i="842" s="1"/>
  <c r="T203" i="842" s="1"/>
  <c r="T204" i="842" s="1"/>
  <c r="T205" i="842" s="1"/>
  <c r="AD197" i="842"/>
  <c r="AD198" i="842" s="1"/>
  <c r="AD199" i="842" s="1"/>
  <c r="Z197" i="842"/>
  <c r="Z198" i="842" s="1"/>
  <c r="T197" i="842"/>
  <c r="Z196" i="842"/>
  <c r="Y196" i="842"/>
  <c r="N196" i="842"/>
  <c r="N197" i="842" s="1"/>
  <c r="N198" i="842" s="1"/>
  <c r="N199" i="842" s="1"/>
  <c r="N200" i="842" s="1"/>
  <c r="N201" i="842" s="1"/>
  <c r="N202" i="842" s="1"/>
  <c r="N203" i="842" s="1"/>
  <c r="N204" i="842" s="1"/>
  <c r="N205" i="842" s="1"/>
  <c r="A196" i="842"/>
  <c r="A197" i="842" s="1"/>
  <c r="A198" i="842" s="1"/>
  <c r="A199" i="842" s="1"/>
  <c r="A200" i="842" s="1"/>
  <c r="A201" i="842" s="1"/>
  <c r="A202" i="842" s="1"/>
  <c r="A203" i="842" s="1"/>
  <c r="A204" i="842" s="1"/>
  <c r="A205" i="842" s="1"/>
  <c r="AA195" i="842"/>
  <c r="AA196" i="842" s="1"/>
  <c r="AA197" i="842" s="1"/>
  <c r="AA198" i="842" s="1"/>
  <c r="M195" i="842"/>
  <c r="M196" i="842" s="1"/>
  <c r="M197" i="842" s="1"/>
  <c r="M198" i="842" s="1"/>
  <c r="M199" i="842" s="1"/>
  <c r="M200" i="842" s="1"/>
  <c r="M201" i="842" s="1"/>
  <c r="M202" i="842" s="1"/>
  <c r="M203" i="842" s="1"/>
  <c r="M204" i="842" s="1"/>
  <c r="AD194" i="842"/>
  <c r="AB194" i="842"/>
  <c r="AB195" i="842" s="1"/>
  <c r="AB196" i="842" s="1"/>
  <c r="AB197" i="842" s="1"/>
  <c r="AB198" i="842" s="1"/>
  <c r="AB199" i="842" s="1"/>
  <c r="Y194" i="842"/>
  <c r="Y195" i="842" s="1"/>
  <c r="M194" i="842"/>
  <c r="AH193" i="842"/>
  <c r="AH194" i="842" s="1"/>
  <c r="AH195" i="842" s="1"/>
  <c r="AH196" i="842" s="1"/>
  <c r="AH197" i="842" s="1"/>
  <c r="AG193" i="842"/>
  <c r="AG194" i="842" s="1"/>
  <c r="AG195" i="842" s="1"/>
  <c r="AG196" i="842" s="1"/>
  <c r="AG197" i="842" s="1"/>
  <c r="AG198" i="842" s="1"/>
  <c r="AG199" i="842" s="1"/>
  <c r="AG200" i="842" s="1"/>
  <c r="AG201" i="842" s="1"/>
  <c r="AG202" i="842" s="1"/>
  <c r="AG203" i="842" s="1"/>
  <c r="AG204" i="842" s="1"/>
  <c r="AG205" i="842" s="1"/>
  <c r="AD193" i="842"/>
  <c r="AB193" i="842"/>
  <c r="Z193" i="842"/>
  <c r="Z194" i="842" s="1"/>
  <c r="Z195" i="842" s="1"/>
  <c r="Y193" i="842"/>
  <c r="D194" i="842" s="1"/>
  <c r="V193" i="842"/>
  <c r="U193" i="842"/>
  <c r="U194" i="842" s="1"/>
  <c r="U195" i="842" s="1"/>
  <c r="U196" i="842" s="1"/>
  <c r="U197" i="842" s="1"/>
  <c r="U198" i="842" s="1"/>
  <c r="U199" i="842" s="1"/>
  <c r="U200" i="842" s="1"/>
  <c r="S193" i="842"/>
  <c r="S194" i="842" s="1"/>
  <c r="S195" i="842" s="1"/>
  <c r="S196" i="842" s="1"/>
  <c r="S197" i="842" s="1"/>
  <c r="S198" i="842" s="1"/>
  <c r="S199" i="842" s="1"/>
  <c r="S200" i="842" s="1"/>
  <c r="S201" i="842" s="1"/>
  <c r="S202" i="842" s="1"/>
  <c r="S203" i="842" s="1"/>
  <c r="S204" i="842" s="1"/>
  <c r="S205" i="842" s="1"/>
  <c r="P193" i="842"/>
  <c r="P194" i="842" s="1"/>
  <c r="P195" i="842" s="1"/>
  <c r="N193" i="842"/>
  <c r="N194" i="842" s="1"/>
  <c r="N195" i="842" s="1"/>
  <c r="E193" i="842"/>
  <c r="AC192" i="842"/>
  <c r="AC193" i="842" s="1"/>
  <c r="AC194" i="842" s="1"/>
  <c r="AC195" i="842" s="1"/>
  <c r="AC196" i="842" s="1"/>
  <c r="AC197" i="842" s="1"/>
  <c r="AB192" i="842"/>
  <c r="AA192" i="842"/>
  <c r="AA193" i="842" s="1"/>
  <c r="AA194" i="842" s="1"/>
  <c r="Z192" i="842"/>
  <c r="Y192" i="842"/>
  <c r="X192" i="842"/>
  <c r="X193" i="842" s="1"/>
  <c r="X194" i="842" s="1"/>
  <c r="W192" i="842"/>
  <c r="W193" i="842" s="1"/>
  <c r="V192" i="842"/>
  <c r="U192" i="842"/>
  <c r="T192" i="842"/>
  <c r="T193" i="842" s="1"/>
  <c r="T194" i="842" s="1"/>
  <c r="T195" i="842" s="1"/>
  <c r="T196" i="842" s="1"/>
  <c r="S192" i="842"/>
  <c r="R192" i="842"/>
  <c r="R193" i="842" s="1"/>
  <c r="Q192" i="842"/>
  <c r="Q193" i="842" s="1"/>
  <c r="Q194" i="842" s="1"/>
  <c r="P192" i="842"/>
  <c r="O192" i="842"/>
  <c r="O193" i="842" s="1"/>
  <c r="N192" i="842"/>
  <c r="A193" i="842" s="1"/>
  <c r="A194" i="842" s="1"/>
  <c r="A195" i="842" s="1"/>
  <c r="AD184" i="842"/>
  <c r="AD185" i="842" s="1"/>
  <c r="AD186" i="842" s="1"/>
  <c r="AD183" i="842"/>
  <c r="Y182" i="842"/>
  <c r="Y183" i="842" s="1"/>
  <c r="AD180" i="842"/>
  <c r="AB180" i="842"/>
  <c r="AH179" i="842"/>
  <c r="AH180" i="842" s="1"/>
  <c r="AH181" i="842" s="1"/>
  <c r="AH182" i="842" s="1"/>
  <c r="AH183" i="842" s="1"/>
  <c r="AH184" i="842" s="1"/>
  <c r="AH185" i="842" s="1"/>
  <c r="AH186" i="842" s="1"/>
  <c r="A179" i="842"/>
  <c r="A180" i="842" s="1"/>
  <c r="A181" i="842" s="1"/>
  <c r="A182" i="842" s="1"/>
  <c r="A183" i="842" s="1"/>
  <c r="A184" i="842" s="1"/>
  <c r="A185" i="842" s="1"/>
  <c r="A186" i="842" s="1"/>
  <c r="AD178" i="842"/>
  <c r="AD179" i="842" s="1"/>
  <c r="Y178" i="842"/>
  <c r="Y179" i="842" s="1"/>
  <c r="Y180" i="842" s="1"/>
  <c r="Y181" i="842" s="1"/>
  <c r="Y177" i="842"/>
  <c r="D177" i="842" s="1"/>
  <c r="S177" i="842"/>
  <c r="S178" i="842" s="1"/>
  <c r="S179" i="842" s="1"/>
  <c r="S180" i="842" s="1"/>
  <c r="S181" i="842" s="1"/>
  <c r="S182" i="842" s="1"/>
  <c r="S183" i="842" s="1"/>
  <c r="S184" i="842" s="1"/>
  <c r="S185" i="842" s="1"/>
  <c r="S186" i="842" s="1"/>
  <c r="M177" i="842"/>
  <c r="M178" i="842" s="1"/>
  <c r="M179" i="842" s="1"/>
  <c r="M180" i="842" s="1"/>
  <c r="M181" i="842" s="1"/>
  <c r="M182" i="842" s="1"/>
  <c r="M183" i="842" s="1"/>
  <c r="M184" i="842" s="1"/>
  <c r="M185" i="842" s="1"/>
  <c r="AH176" i="842"/>
  <c r="AH177" i="842" s="1"/>
  <c r="AH178" i="842" s="1"/>
  <c r="U176" i="842"/>
  <c r="U177" i="842" s="1"/>
  <c r="U178" i="842" s="1"/>
  <c r="U179" i="842" s="1"/>
  <c r="U180" i="842" s="1"/>
  <c r="U181" i="842" s="1"/>
  <c r="S176" i="842"/>
  <c r="M176" i="842"/>
  <c r="AH175" i="842"/>
  <c r="AD175" i="842"/>
  <c r="X175" i="842"/>
  <c r="R175" i="842"/>
  <c r="R176" i="842" s="1"/>
  <c r="R177" i="842" s="1"/>
  <c r="R178" i="842" s="1"/>
  <c r="R179" i="842" s="1"/>
  <c r="P175" i="842"/>
  <c r="P176" i="842" s="1"/>
  <c r="M175" i="842"/>
  <c r="D175" i="842"/>
  <c r="AH174" i="842"/>
  <c r="AG174" i="842"/>
  <c r="AG175" i="842" s="1"/>
  <c r="AG176" i="842" s="1"/>
  <c r="AG177" i="842" s="1"/>
  <c r="AG178" i="842" s="1"/>
  <c r="AG179" i="842" s="1"/>
  <c r="AG180" i="842" s="1"/>
  <c r="AG181" i="842" s="1"/>
  <c r="AG182" i="842" s="1"/>
  <c r="AG183" i="842" s="1"/>
  <c r="AG184" i="842" s="1"/>
  <c r="AG185" i="842" s="1"/>
  <c r="AG186" i="842" s="1"/>
  <c r="AD174" i="842"/>
  <c r="Z174" i="842"/>
  <c r="Z175" i="842" s="1"/>
  <c r="Z176" i="842" s="1"/>
  <c r="Z177" i="842" s="1"/>
  <c r="Z178" i="842" s="1"/>
  <c r="Z179" i="842" s="1"/>
  <c r="Y174" i="842"/>
  <c r="Y175" i="842" s="1"/>
  <c r="Y176" i="842" s="1"/>
  <c r="X174" i="842"/>
  <c r="U174" i="842"/>
  <c r="U175" i="842" s="1"/>
  <c r="S174" i="842"/>
  <c r="S175" i="842" s="1"/>
  <c r="R174" i="842"/>
  <c r="O174" i="842"/>
  <c r="L174" i="842"/>
  <c r="AC173" i="842"/>
  <c r="AC174" i="842" s="1"/>
  <c r="AC175" i="842" s="1"/>
  <c r="AC176" i="842" s="1"/>
  <c r="AC177" i="842" s="1"/>
  <c r="AC178" i="842" s="1"/>
  <c r="AC179" i="842" s="1"/>
  <c r="AC180" i="842" s="1"/>
  <c r="AB173" i="842"/>
  <c r="AB174" i="842" s="1"/>
  <c r="AB175" i="842" s="1"/>
  <c r="AB176" i="842" s="1"/>
  <c r="AB177" i="842" s="1"/>
  <c r="AB178" i="842" s="1"/>
  <c r="AB179" i="842" s="1"/>
  <c r="AA173" i="842"/>
  <c r="AA174" i="842" s="1"/>
  <c r="AA175" i="842" s="1"/>
  <c r="AA176" i="842" s="1"/>
  <c r="AA177" i="842" s="1"/>
  <c r="AA178" i="842" s="1"/>
  <c r="AA179" i="842" s="1"/>
  <c r="Z173" i="842"/>
  <c r="Y173" i="842"/>
  <c r="X173" i="842"/>
  <c r="W173" i="842"/>
  <c r="W174" i="842" s="1"/>
  <c r="V173" i="842"/>
  <c r="V174" i="842" s="1"/>
  <c r="I174" i="842" s="1"/>
  <c r="U173" i="842"/>
  <c r="T173" i="842"/>
  <c r="T174" i="842" s="1"/>
  <c r="T175" i="842" s="1"/>
  <c r="T176" i="842" s="1"/>
  <c r="T177" i="842" s="1"/>
  <c r="T178" i="842" s="1"/>
  <c r="T179" i="842" s="1"/>
  <c r="T180" i="842" s="1"/>
  <c r="T181" i="842" s="1"/>
  <c r="T182" i="842" s="1"/>
  <c r="T183" i="842" s="1"/>
  <c r="T184" i="842" s="1"/>
  <c r="T185" i="842" s="1"/>
  <c r="T186" i="842" s="1"/>
  <c r="S173" i="842"/>
  <c r="R173" i="842"/>
  <c r="Q173" i="842"/>
  <c r="Q174" i="842" s="1"/>
  <c r="Q175" i="842" s="1"/>
  <c r="P173" i="842"/>
  <c r="P174" i="842" s="1"/>
  <c r="O173" i="842"/>
  <c r="N173" i="842"/>
  <c r="A174" i="842" s="1"/>
  <c r="A175" i="842" s="1"/>
  <c r="A176" i="842" s="1"/>
  <c r="A177" i="842" s="1"/>
  <c r="A178" i="842" s="1"/>
  <c r="AD165" i="842"/>
  <c r="AD166" i="842" s="1"/>
  <c r="AD167" i="842" s="1"/>
  <c r="AD164" i="842"/>
  <c r="AB163" i="842"/>
  <c r="I163" i="842" s="1"/>
  <c r="AD161" i="842"/>
  <c r="R161" i="842"/>
  <c r="R162" i="842" s="1"/>
  <c r="R163" i="842" s="1"/>
  <c r="AH160" i="842"/>
  <c r="AH161" i="842" s="1"/>
  <c r="AH162" i="842" s="1"/>
  <c r="AH163" i="842" s="1"/>
  <c r="AH164" i="842" s="1"/>
  <c r="AH165" i="842" s="1"/>
  <c r="AH166" i="842" s="1"/>
  <c r="AH167" i="842" s="1"/>
  <c r="AC160" i="842"/>
  <c r="AC161" i="842" s="1"/>
  <c r="AD159" i="842"/>
  <c r="AD160" i="842" s="1"/>
  <c r="T159" i="842"/>
  <c r="T160" i="842" s="1"/>
  <c r="T161" i="842" s="1"/>
  <c r="T162" i="842" s="1"/>
  <c r="T163" i="842" s="1"/>
  <c r="T164" i="842" s="1"/>
  <c r="T165" i="842" s="1"/>
  <c r="T166" i="842" s="1"/>
  <c r="T167" i="842" s="1"/>
  <c r="Z158" i="842"/>
  <c r="Z159" i="842" s="1"/>
  <c r="Z160" i="842" s="1"/>
  <c r="Y158" i="842"/>
  <c r="M158" i="842"/>
  <c r="M159" i="842" s="1"/>
  <c r="M160" i="842" s="1"/>
  <c r="M161" i="842" s="1"/>
  <c r="M162" i="842" s="1"/>
  <c r="M163" i="842" s="1"/>
  <c r="M164" i="842" s="1"/>
  <c r="M165" i="842" s="1"/>
  <c r="M166" i="842" s="1"/>
  <c r="AB157" i="842"/>
  <c r="AB158" i="842" s="1"/>
  <c r="AB159" i="842" s="1"/>
  <c r="AB160" i="842" s="1"/>
  <c r="AB161" i="842" s="1"/>
  <c r="AB162" i="842" s="1"/>
  <c r="T157" i="842"/>
  <c r="T158" i="842" s="1"/>
  <c r="P157" i="842"/>
  <c r="P158" i="842" s="1"/>
  <c r="AD156" i="842"/>
  <c r="Y156" i="842"/>
  <c r="Y157" i="842" s="1"/>
  <c r="S156" i="842"/>
  <c r="S157" i="842" s="1"/>
  <c r="S158" i="842" s="1"/>
  <c r="S159" i="842" s="1"/>
  <c r="S160" i="842" s="1"/>
  <c r="S161" i="842" s="1"/>
  <c r="S162" i="842" s="1"/>
  <c r="S163" i="842" s="1"/>
  <c r="S164" i="842" s="1"/>
  <c r="S165" i="842" s="1"/>
  <c r="S166" i="842" s="1"/>
  <c r="S167" i="842" s="1"/>
  <c r="R156" i="842"/>
  <c r="R157" i="842" s="1"/>
  <c r="R158" i="842" s="1"/>
  <c r="R159" i="842" s="1"/>
  <c r="R160" i="842" s="1"/>
  <c r="H160" i="842" s="1"/>
  <c r="M156" i="842"/>
  <c r="M157" i="842" s="1"/>
  <c r="AH155" i="842"/>
  <c r="AH156" i="842" s="1"/>
  <c r="AH157" i="842" s="1"/>
  <c r="AH158" i="842" s="1"/>
  <c r="AH159" i="842" s="1"/>
  <c r="AG155" i="842"/>
  <c r="AG156" i="842" s="1"/>
  <c r="AG157" i="842" s="1"/>
  <c r="AG158" i="842" s="1"/>
  <c r="AG159" i="842" s="1"/>
  <c r="AG160" i="842" s="1"/>
  <c r="AG161" i="842" s="1"/>
  <c r="AG162" i="842" s="1"/>
  <c r="AG163" i="842" s="1"/>
  <c r="AG164" i="842" s="1"/>
  <c r="AG165" i="842" s="1"/>
  <c r="AG166" i="842" s="1"/>
  <c r="AG167" i="842" s="1"/>
  <c r="AD155" i="842"/>
  <c r="AB155" i="842"/>
  <c r="AB156" i="842" s="1"/>
  <c r="Z155" i="842"/>
  <c r="Z156" i="842" s="1"/>
  <c r="Z157" i="842" s="1"/>
  <c r="Y155" i="842"/>
  <c r="D156" i="842" s="1"/>
  <c r="V155" i="842"/>
  <c r="U155" i="842"/>
  <c r="U156" i="842" s="1"/>
  <c r="U157" i="842" s="1"/>
  <c r="U158" i="842" s="1"/>
  <c r="U159" i="842" s="1"/>
  <c r="U160" i="842" s="1"/>
  <c r="U161" i="842" s="1"/>
  <c r="U162" i="842" s="1"/>
  <c r="T155" i="842"/>
  <c r="T156" i="842" s="1"/>
  <c r="S155" i="842"/>
  <c r="P155" i="842"/>
  <c r="P156" i="842" s="1"/>
  <c r="N155" i="842"/>
  <c r="N156" i="842" s="1"/>
  <c r="N157" i="842" s="1"/>
  <c r="N158" i="842" s="1"/>
  <c r="N159" i="842" s="1"/>
  <c r="N160" i="842" s="1"/>
  <c r="N161" i="842" s="1"/>
  <c r="N162" i="842" s="1"/>
  <c r="N163" i="842" s="1"/>
  <c r="N164" i="842" s="1"/>
  <c r="N165" i="842" s="1"/>
  <c r="N166" i="842" s="1"/>
  <c r="N167" i="842" s="1"/>
  <c r="G155" i="842"/>
  <c r="A155" i="842"/>
  <c r="A156" i="842" s="1"/>
  <c r="A157" i="842" s="1"/>
  <c r="A158" i="842" s="1"/>
  <c r="A159" i="842" s="1"/>
  <c r="A160" i="842" s="1"/>
  <c r="A161" i="842" s="1"/>
  <c r="A162" i="842" s="1"/>
  <c r="A163" i="842" s="1"/>
  <c r="A164" i="842" s="1"/>
  <c r="A165" i="842" s="1"/>
  <c r="A166" i="842" s="1"/>
  <c r="A167" i="842" s="1"/>
  <c r="AC154" i="842"/>
  <c r="AC155" i="842" s="1"/>
  <c r="AC156" i="842" s="1"/>
  <c r="AC157" i="842" s="1"/>
  <c r="AC158" i="842" s="1"/>
  <c r="AC159" i="842" s="1"/>
  <c r="AB154" i="842"/>
  <c r="AA154" i="842"/>
  <c r="AA155" i="842" s="1"/>
  <c r="AA156" i="842" s="1"/>
  <c r="AA157" i="842" s="1"/>
  <c r="AA158" i="842" s="1"/>
  <c r="AA159" i="842" s="1"/>
  <c r="AA160" i="842" s="1"/>
  <c r="Z154" i="842"/>
  <c r="Y154" i="842"/>
  <c r="X154" i="842"/>
  <c r="X155" i="842" s="1"/>
  <c r="X156" i="842" s="1"/>
  <c r="W154" i="842"/>
  <c r="W155" i="842" s="1"/>
  <c r="D155" i="842" s="1"/>
  <c r="V154" i="842"/>
  <c r="U154" i="842"/>
  <c r="T154" i="842"/>
  <c r="S154" i="842"/>
  <c r="R154" i="842"/>
  <c r="R155" i="842" s="1"/>
  <c r="L155" i="842" s="1"/>
  <c r="Q154" i="842"/>
  <c r="Q155" i="842" s="1"/>
  <c r="Q156" i="842" s="1"/>
  <c r="P154" i="842"/>
  <c r="O154" i="842"/>
  <c r="O155" i="842" s="1"/>
  <c r="N154" i="842"/>
  <c r="AD146" i="842"/>
  <c r="AD147" i="842" s="1"/>
  <c r="AD148" i="842" s="1"/>
  <c r="AD145" i="842"/>
  <c r="AB145" i="842"/>
  <c r="AB146" i="842" s="1"/>
  <c r="AB147" i="842" s="1"/>
  <c r="AB148" i="842" s="1"/>
  <c r="AH142" i="842"/>
  <c r="AH143" i="842" s="1"/>
  <c r="AH144" i="842" s="1"/>
  <c r="AH145" i="842" s="1"/>
  <c r="AH146" i="842" s="1"/>
  <c r="AH147" i="842" s="1"/>
  <c r="AH148" i="842" s="1"/>
  <c r="I142" i="842"/>
  <c r="AA141" i="842"/>
  <c r="AH140" i="842"/>
  <c r="AH141" i="842" s="1"/>
  <c r="AD140" i="842"/>
  <c r="AD141" i="842" s="1"/>
  <c r="AD142" i="842" s="1"/>
  <c r="AC139" i="842"/>
  <c r="AC140" i="842" s="1"/>
  <c r="AC141" i="842" s="1"/>
  <c r="AC142" i="842" s="1"/>
  <c r="M139" i="842"/>
  <c r="M140" i="842" s="1"/>
  <c r="M141" i="842" s="1"/>
  <c r="M142" i="842" s="1"/>
  <c r="M143" i="842" s="1"/>
  <c r="M144" i="842" s="1"/>
  <c r="M145" i="842" s="1"/>
  <c r="M146" i="842" s="1"/>
  <c r="M147" i="842" s="1"/>
  <c r="M138" i="842"/>
  <c r="A138" i="842"/>
  <c r="A139" i="842" s="1"/>
  <c r="A140" i="842" s="1"/>
  <c r="A141" i="842" s="1"/>
  <c r="A142" i="842" s="1"/>
  <c r="A143" i="842" s="1"/>
  <c r="A144" i="842" s="1"/>
  <c r="A145" i="842" s="1"/>
  <c r="A146" i="842" s="1"/>
  <c r="A147" i="842" s="1"/>
  <c r="AH137" i="842"/>
  <c r="AH138" i="842" s="1"/>
  <c r="AH139" i="842" s="1"/>
  <c r="AC137" i="842"/>
  <c r="AC138" i="842" s="1"/>
  <c r="AA137" i="842"/>
  <c r="AA138" i="842" s="1"/>
  <c r="AA139" i="842" s="1"/>
  <c r="AA140" i="842" s="1"/>
  <c r="W137" i="842"/>
  <c r="W138" i="842" s="1"/>
  <c r="Q137" i="842"/>
  <c r="Q138" i="842" s="1"/>
  <c r="O137" i="842"/>
  <c r="O138" i="842" s="1"/>
  <c r="O139" i="842" s="1"/>
  <c r="O140" i="842" s="1"/>
  <c r="M137" i="842"/>
  <c r="AH136" i="842"/>
  <c r="AG136" i="842"/>
  <c r="AG137" i="842" s="1"/>
  <c r="AG138" i="842" s="1"/>
  <c r="AG139" i="842" s="1"/>
  <c r="AG140" i="842" s="1"/>
  <c r="AG141" i="842" s="1"/>
  <c r="AG142" i="842" s="1"/>
  <c r="AG143" i="842" s="1"/>
  <c r="AG144" i="842" s="1"/>
  <c r="AG145" i="842" s="1"/>
  <c r="AG146" i="842" s="1"/>
  <c r="AG147" i="842" s="1"/>
  <c r="AG148" i="842" s="1"/>
  <c r="AD136" i="842"/>
  <c r="AD137" i="842" s="1"/>
  <c r="AC136" i="842"/>
  <c r="Z136" i="842"/>
  <c r="Z137" i="842" s="1"/>
  <c r="Z138" i="842" s="1"/>
  <c r="Z139" i="842" s="1"/>
  <c r="Z140" i="842" s="1"/>
  <c r="Z141" i="842" s="1"/>
  <c r="Y136" i="842"/>
  <c r="W136" i="842"/>
  <c r="T136" i="842"/>
  <c r="T137" i="842" s="1"/>
  <c r="T138" i="842" s="1"/>
  <c r="T139" i="842" s="1"/>
  <c r="T140" i="842" s="1"/>
  <c r="T141" i="842" s="1"/>
  <c r="T142" i="842" s="1"/>
  <c r="T143" i="842" s="1"/>
  <c r="T144" i="842" s="1"/>
  <c r="T145" i="842" s="1"/>
  <c r="T146" i="842" s="1"/>
  <c r="T147" i="842" s="1"/>
  <c r="T148" i="842" s="1"/>
  <c r="R136" i="842"/>
  <c r="Q136" i="842"/>
  <c r="N136" i="842"/>
  <c r="N137" i="842" s="1"/>
  <c r="N138" i="842" s="1"/>
  <c r="N139" i="842" s="1"/>
  <c r="N140" i="842" s="1"/>
  <c r="N141" i="842" s="1"/>
  <c r="N142" i="842" s="1"/>
  <c r="N143" i="842" s="1"/>
  <c r="N144" i="842" s="1"/>
  <c r="N145" i="842" s="1"/>
  <c r="N146" i="842" s="1"/>
  <c r="N147" i="842" s="1"/>
  <c r="N148" i="842" s="1"/>
  <c r="F136" i="842"/>
  <c r="D136" i="842"/>
  <c r="AC135" i="842"/>
  <c r="AB135" i="842"/>
  <c r="AB136" i="842" s="1"/>
  <c r="AB137" i="842" s="1"/>
  <c r="AB138" i="842" s="1"/>
  <c r="AB139" i="842" s="1"/>
  <c r="AB140" i="842" s="1"/>
  <c r="AB141" i="842" s="1"/>
  <c r="AB142" i="842" s="1"/>
  <c r="AB143" i="842" s="1"/>
  <c r="AB144" i="842" s="1"/>
  <c r="I144" i="842" s="1"/>
  <c r="AA135" i="842"/>
  <c r="AA136" i="842" s="1"/>
  <c r="Z135" i="842"/>
  <c r="Y135" i="842"/>
  <c r="X135" i="842"/>
  <c r="X136" i="842" s="1"/>
  <c r="X137" i="842" s="1"/>
  <c r="W135" i="842"/>
  <c r="V135" i="842"/>
  <c r="V136" i="842" s="1"/>
  <c r="I136" i="842" s="1"/>
  <c r="U135" i="842"/>
  <c r="U136" i="842" s="1"/>
  <c r="U137" i="842" s="1"/>
  <c r="U138" i="842" s="1"/>
  <c r="U139" i="842" s="1"/>
  <c r="U140" i="842" s="1"/>
  <c r="U141" i="842" s="1"/>
  <c r="U142" i="842" s="1"/>
  <c r="U143" i="842" s="1"/>
  <c r="T135" i="842"/>
  <c r="S135" i="842"/>
  <c r="S136" i="842" s="1"/>
  <c r="S137" i="842" s="1"/>
  <c r="S138" i="842" s="1"/>
  <c r="S139" i="842" s="1"/>
  <c r="S140" i="842" s="1"/>
  <c r="S141" i="842" s="1"/>
  <c r="S142" i="842" s="1"/>
  <c r="S143" i="842" s="1"/>
  <c r="S144" i="842" s="1"/>
  <c r="S145" i="842" s="1"/>
  <c r="S146" i="842" s="1"/>
  <c r="S147" i="842" s="1"/>
  <c r="S148" i="842" s="1"/>
  <c r="R135" i="842"/>
  <c r="Q135" i="842"/>
  <c r="P135" i="842"/>
  <c r="P136" i="842" s="1"/>
  <c r="P137" i="842" s="1"/>
  <c r="P138" i="842" s="1"/>
  <c r="O135" i="842"/>
  <c r="O136" i="842" s="1"/>
  <c r="N135" i="842"/>
  <c r="A136" i="842" s="1"/>
  <c r="A137" i="842" s="1"/>
  <c r="AD129" i="842"/>
  <c r="AD127" i="842"/>
  <c r="AD128" i="842" s="1"/>
  <c r="AD126" i="842"/>
  <c r="A126" i="842"/>
  <c r="A127" i="842" s="1"/>
  <c r="A128" i="842" s="1"/>
  <c r="A129" i="842" s="1"/>
  <c r="AD122" i="842"/>
  <c r="AD123" i="842" s="1"/>
  <c r="AD121" i="842"/>
  <c r="AC121" i="842"/>
  <c r="AC122" i="842" s="1"/>
  <c r="AC123" i="842" s="1"/>
  <c r="Z120" i="842"/>
  <c r="Z121" i="842" s="1"/>
  <c r="Z122" i="842" s="1"/>
  <c r="U120" i="842"/>
  <c r="U121" i="842" s="1"/>
  <c r="U122" i="842" s="1"/>
  <c r="U123" i="842" s="1"/>
  <c r="U124" i="842" s="1"/>
  <c r="AB119" i="842"/>
  <c r="AB120" i="842" s="1"/>
  <c r="AB121" i="842" s="1"/>
  <c r="AB122" i="842" s="1"/>
  <c r="AB123" i="842" s="1"/>
  <c r="P119" i="842"/>
  <c r="AG118" i="842"/>
  <c r="AG119" i="842" s="1"/>
  <c r="AG120" i="842" s="1"/>
  <c r="AG121" i="842" s="1"/>
  <c r="AG122" i="842" s="1"/>
  <c r="AG123" i="842" s="1"/>
  <c r="AG124" i="842" s="1"/>
  <c r="AG125" i="842" s="1"/>
  <c r="AG126" i="842" s="1"/>
  <c r="AG127" i="842" s="1"/>
  <c r="AG128" i="842" s="1"/>
  <c r="AG129" i="842" s="1"/>
  <c r="Z118" i="842"/>
  <c r="Z119" i="842" s="1"/>
  <c r="U118" i="842"/>
  <c r="U119" i="842" s="1"/>
  <c r="S118" i="842"/>
  <c r="S119" i="842" s="1"/>
  <c r="S120" i="842" s="1"/>
  <c r="S121" i="842" s="1"/>
  <c r="S122" i="842" s="1"/>
  <c r="S123" i="842" s="1"/>
  <c r="S124" i="842" s="1"/>
  <c r="S125" i="842" s="1"/>
  <c r="S126" i="842" s="1"/>
  <c r="S127" i="842" s="1"/>
  <c r="S128" i="842" s="1"/>
  <c r="S129" i="842" s="1"/>
  <c r="N118" i="842"/>
  <c r="N119" i="842" s="1"/>
  <c r="N120" i="842" s="1"/>
  <c r="N121" i="842" s="1"/>
  <c r="N122" i="842" s="1"/>
  <c r="N123" i="842" s="1"/>
  <c r="N124" i="842" s="1"/>
  <c r="N125" i="842" s="1"/>
  <c r="N126" i="842" s="1"/>
  <c r="N127" i="842" s="1"/>
  <c r="N128" i="842" s="1"/>
  <c r="N129" i="842" s="1"/>
  <c r="M118" i="842"/>
  <c r="M119" i="842" s="1"/>
  <c r="M120" i="842" s="1"/>
  <c r="M121" i="842" s="1"/>
  <c r="M122" i="842" s="1"/>
  <c r="M123" i="842" s="1"/>
  <c r="M124" i="842" s="1"/>
  <c r="M125" i="842" s="1"/>
  <c r="M126" i="842" s="1"/>
  <c r="M127" i="842" s="1"/>
  <c r="M128" i="842" s="1"/>
  <c r="AH117" i="842"/>
  <c r="AH118" i="842" s="1"/>
  <c r="AH119" i="842" s="1"/>
  <c r="AH120" i="842" s="1"/>
  <c r="AH121" i="842" s="1"/>
  <c r="AH122" i="842" s="1"/>
  <c r="AH123" i="842" s="1"/>
  <c r="AH124" i="842" s="1"/>
  <c r="AH125" i="842" s="1"/>
  <c r="AH126" i="842" s="1"/>
  <c r="AH127" i="842" s="1"/>
  <c r="AH128" i="842" s="1"/>
  <c r="AH129" i="842" s="1"/>
  <c r="AG117" i="842"/>
  <c r="AD117" i="842"/>
  <c r="AD118" i="842" s="1"/>
  <c r="AC117" i="842"/>
  <c r="AC118" i="842" s="1"/>
  <c r="AC119" i="842" s="1"/>
  <c r="AC120" i="842" s="1"/>
  <c r="AB117" i="842"/>
  <c r="AB118" i="842" s="1"/>
  <c r="Z117" i="842"/>
  <c r="X117" i="842"/>
  <c r="X118" i="842" s="1"/>
  <c r="V117" i="842"/>
  <c r="U117" i="842"/>
  <c r="T117" i="842"/>
  <c r="T118" i="842" s="1"/>
  <c r="T119" i="842" s="1"/>
  <c r="T120" i="842" s="1"/>
  <c r="T121" i="842" s="1"/>
  <c r="T122" i="842" s="1"/>
  <c r="T123" i="842" s="1"/>
  <c r="T124" i="842" s="1"/>
  <c r="T125" i="842" s="1"/>
  <c r="T126" i="842" s="1"/>
  <c r="T127" i="842" s="1"/>
  <c r="T128" i="842" s="1"/>
  <c r="T129" i="842" s="1"/>
  <c r="Q117" i="842"/>
  <c r="Q118" i="842" s="1"/>
  <c r="P117" i="842"/>
  <c r="P118" i="842" s="1"/>
  <c r="N117" i="842"/>
  <c r="A117" i="842"/>
  <c r="A118" i="842" s="1"/>
  <c r="A119" i="842" s="1"/>
  <c r="A120" i="842" s="1"/>
  <c r="A121" i="842" s="1"/>
  <c r="A122" i="842" s="1"/>
  <c r="A123" i="842" s="1"/>
  <c r="A124" i="842" s="1"/>
  <c r="A125" i="842" s="1"/>
  <c r="AC116" i="842"/>
  <c r="AB116" i="842"/>
  <c r="AA116" i="842"/>
  <c r="AA117" i="842" s="1"/>
  <c r="AA118" i="842" s="1"/>
  <c r="AA119" i="842" s="1"/>
  <c r="AA120" i="842" s="1"/>
  <c r="AA121" i="842" s="1"/>
  <c r="AA122" i="842" s="1"/>
  <c r="Z116" i="842"/>
  <c r="Y116" i="842"/>
  <c r="Y117" i="842" s="1"/>
  <c r="X116" i="842"/>
  <c r="W116" i="842"/>
  <c r="W117" i="842" s="1"/>
  <c r="V116" i="842"/>
  <c r="U116" i="842"/>
  <c r="T116" i="842"/>
  <c r="S116" i="842"/>
  <c r="S117" i="842" s="1"/>
  <c r="R116" i="842"/>
  <c r="R117" i="842" s="1"/>
  <c r="Q116" i="842"/>
  <c r="P116" i="842"/>
  <c r="O116" i="842"/>
  <c r="O117" i="842" s="1"/>
  <c r="N116" i="842"/>
  <c r="T110" i="842"/>
  <c r="AD109" i="842"/>
  <c r="AD110" i="842" s="1"/>
  <c r="M109" i="842"/>
  <c r="H109" i="842" s="1"/>
  <c r="AD108" i="842"/>
  <c r="AD107" i="842"/>
  <c r="AD103" i="842"/>
  <c r="AD104" i="842" s="1"/>
  <c r="AD102" i="842"/>
  <c r="AC100" i="842"/>
  <c r="AC101" i="842" s="1"/>
  <c r="AC102" i="842" s="1"/>
  <c r="AC103" i="842" s="1"/>
  <c r="AC104" i="842" s="1"/>
  <c r="AB100" i="842"/>
  <c r="AB101" i="842" s="1"/>
  <c r="AB102" i="842" s="1"/>
  <c r="AB103" i="842" s="1"/>
  <c r="AB104" i="842" s="1"/>
  <c r="Q100" i="842"/>
  <c r="Q101" i="842" s="1"/>
  <c r="Q102" i="842" s="1"/>
  <c r="P100" i="842"/>
  <c r="M100" i="842"/>
  <c r="M101" i="842" s="1"/>
  <c r="M102" i="842" s="1"/>
  <c r="M103" i="842" s="1"/>
  <c r="M104" i="842" s="1"/>
  <c r="M105" i="842" s="1"/>
  <c r="M106" i="842" s="1"/>
  <c r="M107" i="842" s="1"/>
  <c r="M108" i="842" s="1"/>
  <c r="X99" i="842"/>
  <c r="T99" i="842"/>
  <c r="T100" i="842" s="1"/>
  <c r="T101" i="842" s="1"/>
  <c r="T102" i="842" s="1"/>
  <c r="T103" i="842" s="1"/>
  <c r="T104" i="842" s="1"/>
  <c r="T105" i="842" s="1"/>
  <c r="T106" i="842" s="1"/>
  <c r="T107" i="842" s="1"/>
  <c r="T108" i="842" s="1"/>
  <c r="T109" i="842" s="1"/>
  <c r="AH98" i="842"/>
  <c r="AH99" i="842" s="1"/>
  <c r="AH100" i="842" s="1"/>
  <c r="AH101" i="842" s="1"/>
  <c r="AH102" i="842" s="1"/>
  <c r="AH103" i="842" s="1"/>
  <c r="AH104" i="842" s="1"/>
  <c r="AH105" i="842" s="1"/>
  <c r="AH106" i="842" s="1"/>
  <c r="AH107" i="842" s="1"/>
  <c r="AH108" i="842" s="1"/>
  <c r="AH109" i="842" s="1"/>
  <c r="AH110" i="842" s="1"/>
  <c r="AG98" i="842"/>
  <c r="AG99" i="842" s="1"/>
  <c r="AG100" i="842" s="1"/>
  <c r="AG101" i="842" s="1"/>
  <c r="AG102" i="842" s="1"/>
  <c r="AG103" i="842" s="1"/>
  <c r="AG104" i="842" s="1"/>
  <c r="AG105" i="842" s="1"/>
  <c r="AG106" i="842" s="1"/>
  <c r="AG107" i="842" s="1"/>
  <c r="AG108" i="842" s="1"/>
  <c r="AG109" i="842" s="1"/>
  <c r="AG110" i="842" s="1"/>
  <c r="AD98" i="842"/>
  <c r="AD99" i="842" s="1"/>
  <c r="AB98" i="842"/>
  <c r="AB99" i="842" s="1"/>
  <c r="Z98" i="842"/>
  <c r="Z99" i="842" s="1"/>
  <c r="Z100" i="842" s="1"/>
  <c r="Z101" i="842" s="1"/>
  <c r="Z102" i="842" s="1"/>
  <c r="Z103" i="842" s="1"/>
  <c r="X98" i="842"/>
  <c r="U98" i="842"/>
  <c r="U99" i="842" s="1"/>
  <c r="U100" i="842" s="1"/>
  <c r="U101" i="842" s="1"/>
  <c r="U102" i="842" s="1"/>
  <c r="U103" i="842" s="1"/>
  <c r="U104" i="842" s="1"/>
  <c r="U105" i="842" s="1"/>
  <c r="T98" i="842"/>
  <c r="R98" i="842"/>
  <c r="L98" i="842" s="1"/>
  <c r="P98" i="842"/>
  <c r="P99" i="842" s="1"/>
  <c r="N98" i="842"/>
  <c r="N99" i="842" s="1"/>
  <c r="N100" i="842" s="1"/>
  <c r="N101" i="842" s="1"/>
  <c r="N102" i="842" s="1"/>
  <c r="N103" i="842" s="1"/>
  <c r="N104" i="842" s="1"/>
  <c r="N105" i="842" s="1"/>
  <c r="N106" i="842" s="1"/>
  <c r="N107" i="842" s="1"/>
  <c r="N108" i="842" s="1"/>
  <c r="N109" i="842" s="1"/>
  <c r="N110" i="842" s="1"/>
  <c r="G98" i="842"/>
  <c r="AC97" i="842"/>
  <c r="AC98" i="842" s="1"/>
  <c r="AC99" i="842" s="1"/>
  <c r="AB97" i="842"/>
  <c r="AA97" i="842"/>
  <c r="AA98" i="842" s="1"/>
  <c r="AA99" i="842" s="1"/>
  <c r="AA100" i="842" s="1"/>
  <c r="AA101" i="842" s="1"/>
  <c r="AA102" i="842" s="1"/>
  <c r="AA103" i="842" s="1"/>
  <c r="Z97" i="842"/>
  <c r="Y97" i="842"/>
  <c r="Y98" i="842" s="1"/>
  <c r="X97" i="842"/>
  <c r="W97" i="842"/>
  <c r="W98" i="842" s="1"/>
  <c r="V97" i="842"/>
  <c r="V98" i="842" s="1"/>
  <c r="U97" i="842"/>
  <c r="T97" i="842"/>
  <c r="S97" i="842"/>
  <c r="S98" i="842" s="1"/>
  <c r="S99" i="842" s="1"/>
  <c r="S100" i="842" s="1"/>
  <c r="S101" i="842" s="1"/>
  <c r="S102" i="842" s="1"/>
  <c r="S103" i="842" s="1"/>
  <c r="S104" i="842" s="1"/>
  <c r="S105" i="842" s="1"/>
  <c r="S106" i="842" s="1"/>
  <c r="S107" i="842" s="1"/>
  <c r="S108" i="842" s="1"/>
  <c r="S109" i="842" s="1"/>
  <c r="S110" i="842" s="1"/>
  <c r="R97" i="842"/>
  <c r="Q97" i="842"/>
  <c r="Q98" i="842" s="1"/>
  <c r="Q99" i="842" s="1"/>
  <c r="E99" i="842" s="1"/>
  <c r="P97" i="842"/>
  <c r="O97" i="842"/>
  <c r="O98" i="842" s="1"/>
  <c r="N97" i="842"/>
  <c r="A98" i="842" s="1"/>
  <c r="A99" i="842" s="1"/>
  <c r="A100" i="842" s="1"/>
  <c r="A101" i="842" s="1"/>
  <c r="A102" i="842" s="1"/>
  <c r="A103" i="842" s="1"/>
  <c r="A104" i="842" s="1"/>
  <c r="A105" i="842" s="1"/>
  <c r="A106" i="842" s="1"/>
  <c r="A107" i="842" s="1"/>
  <c r="A108" i="842" s="1"/>
  <c r="A109" i="842" s="1"/>
  <c r="A110" i="842" s="1"/>
  <c r="M92" i="842"/>
  <c r="H91" i="842"/>
  <c r="E91" i="842"/>
  <c r="M90" i="842"/>
  <c r="AD89" i="842"/>
  <c r="AD90" i="842" s="1"/>
  <c r="AD91" i="842" s="1"/>
  <c r="AD92" i="842" s="1"/>
  <c r="AG85" i="842"/>
  <c r="AG86" i="842" s="1"/>
  <c r="AG87" i="842" s="1"/>
  <c r="AG88" i="842" s="1"/>
  <c r="AG89" i="842" s="1"/>
  <c r="AG90" i="842" s="1"/>
  <c r="AG91" i="842" s="1"/>
  <c r="AG92" i="842" s="1"/>
  <c r="AH84" i="842"/>
  <c r="AH85" i="842" s="1"/>
  <c r="AH86" i="842" s="1"/>
  <c r="AH87" i="842" s="1"/>
  <c r="AH88" i="842" s="1"/>
  <c r="AH89" i="842" s="1"/>
  <c r="AH90" i="842" s="1"/>
  <c r="AH91" i="842" s="1"/>
  <c r="AH92" i="842" s="1"/>
  <c r="AD84" i="842"/>
  <c r="AD85" i="842" s="1"/>
  <c r="AD86" i="842" s="1"/>
  <c r="V84" i="842"/>
  <c r="V85" i="842" s="1"/>
  <c r="V86" i="842" s="1"/>
  <c r="V87" i="842" s="1"/>
  <c r="V88" i="842" s="1"/>
  <c r="V89" i="842" s="1"/>
  <c r="V90" i="842" s="1"/>
  <c r="V91" i="842" s="1"/>
  <c r="V83" i="842"/>
  <c r="AG82" i="842"/>
  <c r="AG83" i="842" s="1"/>
  <c r="AG84" i="842" s="1"/>
  <c r="T82" i="842"/>
  <c r="T83" i="842" s="1"/>
  <c r="T84" i="842" s="1"/>
  <c r="T85" i="842" s="1"/>
  <c r="T86" i="842" s="1"/>
  <c r="T87" i="842" s="1"/>
  <c r="T88" i="842" s="1"/>
  <c r="T89" i="842" s="1"/>
  <c r="T90" i="842" s="1"/>
  <c r="T91" i="842" s="1"/>
  <c r="T92" i="842" s="1"/>
  <c r="I82" i="842"/>
  <c r="AH81" i="842"/>
  <c r="AH82" i="842" s="1"/>
  <c r="AH83" i="842" s="1"/>
  <c r="AG81" i="842"/>
  <c r="AC81" i="842"/>
  <c r="AC82" i="842" s="1"/>
  <c r="AC83" i="842" s="1"/>
  <c r="AC84" i="842" s="1"/>
  <c r="AC85" i="842" s="1"/>
  <c r="AC86" i="842" s="1"/>
  <c r="AA81" i="842"/>
  <c r="AA82" i="842" s="1"/>
  <c r="AA83" i="842" s="1"/>
  <c r="AA84" i="842" s="1"/>
  <c r="AA85" i="842" s="1"/>
  <c r="V81" i="842"/>
  <c r="V82" i="842" s="1"/>
  <c r="O81" i="842"/>
  <c r="O82" i="842" s="1"/>
  <c r="O83" i="842" s="1"/>
  <c r="O84" i="842" s="1"/>
  <c r="M81" i="842"/>
  <c r="M82" i="842" s="1"/>
  <c r="M83" i="842" s="1"/>
  <c r="M84" i="842" s="1"/>
  <c r="M85" i="842" s="1"/>
  <c r="M86" i="842" s="1"/>
  <c r="M87" i="842" s="1"/>
  <c r="M88" i="842" s="1"/>
  <c r="M89" i="842" s="1"/>
  <c r="AH80" i="842"/>
  <c r="AG80" i="842"/>
  <c r="AD80" i="842"/>
  <c r="AD81" i="842" s="1"/>
  <c r="AB80" i="842"/>
  <c r="AB81" i="842" s="1"/>
  <c r="AB82" i="842" s="1"/>
  <c r="AB83" i="842" s="1"/>
  <c r="AB84" i="842" s="1"/>
  <c r="AB85" i="842" s="1"/>
  <c r="AB86" i="842" s="1"/>
  <c r="AB87" i="842" s="1"/>
  <c r="AB88" i="842" s="1"/>
  <c r="I88" i="842" s="1"/>
  <c r="Y80" i="842"/>
  <c r="X80" i="842"/>
  <c r="X81" i="842" s="1"/>
  <c r="I81" i="842" s="1"/>
  <c r="V80" i="842"/>
  <c r="I80" i="842" s="1"/>
  <c r="T80" i="842"/>
  <c r="T81" i="842" s="1"/>
  <c r="R80" i="842"/>
  <c r="L80" i="842" s="1"/>
  <c r="P80" i="842"/>
  <c r="P81" i="842" s="1"/>
  <c r="P82" i="842" s="1"/>
  <c r="AC79" i="842"/>
  <c r="AC80" i="842" s="1"/>
  <c r="AB79" i="842"/>
  <c r="AA79" i="842"/>
  <c r="AA80" i="842" s="1"/>
  <c r="Z79" i="842"/>
  <c r="Z80" i="842" s="1"/>
  <c r="Z81" i="842" s="1"/>
  <c r="Z82" i="842" s="1"/>
  <c r="Z83" i="842" s="1"/>
  <c r="Z84" i="842" s="1"/>
  <c r="Z85" i="842" s="1"/>
  <c r="Y79" i="842"/>
  <c r="X79" i="842"/>
  <c r="W79" i="842"/>
  <c r="W80" i="842" s="1"/>
  <c r="D80" i="842" s="1"/>
  <c r="V79" i="842"/>
  <c r="U79" i="842"/>
  <c r="U80" i="842" s="1"/>
  <c r="U81" i="842" s="1"/>
  <c r="U82" i="842" s="1"/>
  <c r="U83" i="842" s="1"/>
  <c r="U84" i="842" s="1"/>
  <c r="U85" i="842" s="1"/>
  <c r="U86" i="842" s="1"/>
  <c r="U87" i="842" s="1"/>
  <c r="T79" i="842"/>
  <c r="S79" i="842"/>
  <c r="S80" i="842" s="1"/>
  <c r="S81" i="842" s="1"/>
  <c r="S82" i="842" s="1"/>
  <c r="S83" i="842" s="1"/>
  <c r="S84" i="842" s="1"/>
  <c r="S85" i="842" s="1"/>
  <c r="S86" i="842" s="1"/>
  <c r="S87" i="842" s="1"/>
  <c r="S88" i="842" s="1"/>
  <c r="S89" i="842" s="1"/>
  <c r="S90" i="842" s="1"/>
  <c r="S91" i="842" s="1"/>
  <c r="S92" i="842" s="1"/>
  <c r="R79" i="842"/>
  <c r="Q79" i="842"/>
  <c r="Q80" i="842" s="1"/>
  <c r="Q81" i="842" s="1"/>
  <c r="P79" i="842"/>
  <c r="O79" i="842"/>
  <c r="O80" i="842" s="1"/>
  <c r="N79" i="842"/>
  <c r="A80" i="842" s="1"/>
  <c r="A81" i="842" s="1"/>
  <c r="A82" i="842" s="1"/>
  <c r="A83" i="842" s="1"/>
  <c r="A84" i="842" s="1"/>
  <c r="A85" i="842" s="1"/>
  <c r="A86" i="842" s="1"/>
  <c r="A87" i="842" s="1"/>
  <c r="A88" i="842" s="1"/>
  <c r="A89" i="842" s="1"/>
  <c r="A90" i="842" s="1"/>
  <c r="A91" i="842" s="1"/>
  <c r="A92" i="842" s="1"/>
  <c r="M73" i="842"/>
  <c r="H72" i="842"/>
  <c r="E72" i="842"/>
  <c r="AD70" i="842"/>
  <c r="AD71" i="842" s="1"/>
  <c r="AD72" i="842" s="1"/>
  <c r="AD73" i="842" s="1"/>
  <c r="AD66" i="842"/>
  <c r="AD67" i="842" s="1"/>
  <c r="M66" i="842"/>
  <c r="M67" i="842" s="1"/>
  <c r="M68" i="842" s="1"/>
  <c r="M69" i="842" s="1"/>
  <c r="M70" i="842" s="1"/>
  <c r="M71" i="842" s="1"/>
  <c r="AH65" i="842"/>
  <c r="AH66" i="842" s="1"/>
  <c r="AH67" i="842" s="1"/>
  <c r="AH68" i="842" s="1"/>
  <c r="AH69" i="842" s="1"/>
  <c r="AH70" i="842" s="1"/>
  <c r="AH71" i="842" s="1"/>
  <c r="AH72" i="842" s="1"/>
  <c r="AH73" i="842" s="1"/>
  <c r="AD65" i="842"/>
  <c r="AH64" i="842"/>
  <c r="Z64" i="842"/>
  <c r="Z65" i="842" s="1"/>
  <c r="Z66" i="842" s="1"/>
  <c r="X63" i="842"/>
  <c r="X64" i="842" s="1"/>
  <c r="AG62" i="842"/>
  <c r="AG63" i="842" s="1"/>
  <c r="AG64" i="842" s="1"/>
  <c r="AG65" i="842" s="1"/>
  <c r="AG66" i="842" s="1"/>
  <c r="AG67" i="842" s="1"/>
  <c r="AG68" i="842" s="1"/>
  <c r="AG69" i="842" s="1"/>
  <c r="AG70" i="842" s="1"/>
  <c r="AG71" i="842" s="1"/>
  <c r="AG72" i="842" s="1"/>
  <c r="AG73" i="842" s="1"/>
  <c r="AA62" i="842"/>
  <c r="AA63" i="842" s="1"/>
  <c r="AA64" i="842" s="1"/>
  <c r="AA65" i="842" s="1"/>
  <c r="AA66" i="842" s="1"/>
  <c r="D66" i="842" s="1"/>
  <c r="Z62" i="842"/>
  <c r="Z63" i="842" s="1"/>
  <c r="U62" i="842"/>
  <c r="U63" i="842" s="1"/>
  <c r="U64" i="842" s="1"/>
  <c r="U65" i="842" s="1"/>
  <c r="U66" i="842" s="1"/>
  <c r="U67" i="842" s="1"/>
  <c r="U68" i="842" s="1"/>
  <c r="O62" i="842"/>
  <c r="N62" i="842"/>
  <c r="N63" i="842" s="1"/>
  <c r="N64" i="842" s="1"/>
  <c r="N65" i="842" s="1"/>
  <c r="N66" i="842" s="1"/>
  <c r="N67" i="842" s="1"/>
  <c r="N68" i="842" s="1"/>
  <c r="N69" i="842" s="1"/>
  <c r="N70" i="842" s="1"/>
  <c r="N71" i="842" s="1"/>
  <c r="N72" i="842" s="1"/>
  <c r="N73" i="842" s="1"/>
  <c r="M62" i="842"/>
  <c r="M63" i="842" s="1"/>
  <c r="M64" i="842" s="1"/>
  <c r="M65" i="842" s="1"/>
  <c r="D62" i="842"/>
  <c r="AH61" i="842"/>
  <c r="AH62" i="842" s="1"/>
  <c r="AH63" i="842" s="1"/>
  <c r="AG61" i="842"/>
  <c r="AD61" i="842"/>
  <c r="AD62" i="842" s="1"/>
  <c r="AC61" i="842"/>
  <c r="AC62" i="842" s="1"/>
  <c r="AC63" i="842" s="1"/>
  <c r="AC64" i="842" s="1"/>
  <c r="AC65" i="842" s="1"/>
  <c r="AC66" i="842" s="1"/>
  <c r="AC67" i="842" s="1"/>
  <c r="AB61" i="842"/>
  <c r="AB62" i="842" s="1"/>
  <c r="AB63" i="842" s="1"/>
  <c r="AB64" i="842" s="1"/>
  <c r="AB65" i="842" s="1"/>
  <c r="AB66" i="842" s="1"/>
  <c r="AB67" i="842" s="1"/>
  <c r="Z61" i="842"/>
  <c r="X61" i="842"/>
  <c r="X62" i="842" s="1"/>
  <c r="I62" i="842" s="1"/>
  <c r="V61" i="842"/>
  <c r="T61" i="842"/>
  <c r="T62" i="842" s="1"/>
  <c r="T63" i="842" s="1"/>
  <c r="T64" i="842" s="1"/>
  <c r="T65" i="842" s="1"/>
  <c r="T66" i="842" s="1"/>
  <c r="T67" i="842" s="1"/>
  <c r="T68" i="842" s="1"/>
  <c r="T69" i="842" s="1"/>
  <c r="T70" i="842" s="1"/>
  <c r="T71" i="842" s="1"/>
  <c r="T72" i="842" s="1"/>
  <c r="T73" i="842" s="1"/>
  <c r="Q61" i="842"/>
  <c r="Q62" i="842" s="1"/>
  <c r="P61" i="842"/>
  <c r="P62" i="842" s="1"/>
  <c r="P63" i="842" s="1"/>
  <c r="N61" i="842"/>
  <c r="H61" i="842"/>
  <c r="A61" i="842"/>
  <c r="A62" i="842" s="1"/>
  <c r="A63" i="842" s="1"/>
  <c r="A64" i="842" s="1"/>
  <c r="A65" i="842" s="1"/>
  <c r="A66" i="842" s="1"/>
  <c r="A67" i="842" s="1"/>
  <c r="A68" i="842" s="1"/>
  <c r="A69" i="842" s="1"/>
  <c r="A70" i="842" s="1"/>
  <c r="A71" i="842" s="1"/>
  <c r="A72" i="842" s="1"/>
  <c r="A73" i="842" s="1"/>
  <c r="AC60" i="842"/>
  <c r="AB60" i="842"/>
  <c r="AA60" i="842"/>
  <c r="AA61" i="842" s="1"/>
  <c r="Z60" i="842"/>
  <c r="Y60" i="842"/>
  <c r="Y61" i="842" s="1"/>
  <c r="Y62" i="842" s="1"/>
  <c r="Y63" i="842" s="1"/>
  <c r="Y64" i="842" s="1"/>
  <c r="Y65" i="842" s="1"/>
  <c r="Y66" i="842" s="1"/>
  <c r="Y67" i="842" s="1"/>
  <c r="Y68" i="842" s="1"/>
  <c r="Y69" i="842" s="1"/>
  <c r="Y70" i="842" s="1"/>
  <c r="X60" i="842"/>
  <c r="W60" i="842"/>
  <c r="W61" i="842" s="1"/>
  <c r="W62" i="842" s="1"/>
  <c r="W63" i="842" s="1"/>
  <c r="V60" i="842"/>
  <c r="U60" i="842"/>
  <c r="U61" i="842" s="1"/>
  <c r="T60" i="842"/>
  <c r="S60" i="842"/>
  <c r="S61" i="842" s="1"/>
  <c r="S62" i="842" s="1"/>
  <c r="S63" i="842" s="1"/>
  <c r="S64" i="842" s="1"/>
  <c r="S65" i="842" s="1"/>
  <c r="S66" i="842" s="1"/>
  <c r="S67" i="842" s="1"/>
  <c r="S68" i="842" s="1"/>
  <c r="S69" i="842" s="1"/>
  <c r="S70" i="842" s="1"/>
  <c r="S71" i="842" s="1"/>
  <c r="S72" i="842" s="1"/>
  <c r="S73" i="842" s="1"/>
  <c r="R60" i="842"/>
  <c r="R61" i="842" s="1"/>
  <c r="Q60" i="842"/>
  <c r="P60" i="842"/>
  <c r="O60" i="842"/>
  <c r="O61" i="842" s="1"/>
  <c r="N60" i="842"/>
  <c r="M54" i="842"/>
  <c r="AD53" i="842"/>
  <c r="AD54" i="842" s="1"/>
  <c r="H53" i="842"/>
  <c r="E53" i="842"/>
  <c r="AD52" i="842"/>
  <c r="AD48" i="842"/>
  <c r="AG47" i="842"/>
  <c r="AG48" i="842" s="1"/>
  <c r="AG49" i="842" s="1"/>
  <c r="AG50" i="842" s="1"/>
  <c r="AG51" i="842" s="1"/>
  <c r="AG52" i="842" s="1"/>
  <c r="AG53" i="842" s="1"/>
  <c r="AG54" i="842" s="1"/>
  <c r="AD47" i="842"/>
  <c r="AB47" i="842"/>
  <c r="AB48" i="842" s="1"/>
  <c r="AD46" i="842"/>
  <c r="W46" i="842"/>
  <c r="W47" i="842" s="1"/>
  <c r="W48" i="842" s="1"/>
  <c r="W49" i="842" s="1"/>
  <c r="W50" i="842" s="1"/>
  <c r="W51" i="842" s="1"/>
  <c r="W52" i="842" s="1"/>
  <c r="AC45" i="842"/>
  <c r="AC46" i="842" s="1"/>
  <c r="AC47" i="842" s="1"/>
  <c r="AC48" i="842" s="1"/>
  <c r="W45" i="842"/>
  <c r="Z44" i="842"/>
  <c r="Z45" i="842" s="1"/>
  <c r="Z46" i="842" s="1"/>
  <c r="Z47" i="842" s="1"/>
  <c r="U44" i="842"/>
  <c r="U45" i="842" s="1"/>
  <c r="U46" i="842" s="1"/>
  <c r="U47" i="842" s="1"/>
  <c r="U48" i="842" s="1"/>
  <c r="U49" i="842" s="1"/>
  <c r="M44" i="842"/>
  <c r="M45" i="842" s="1"/>
  <c r="M46" i="842" s="1"/>
  <c r="M47" i="842" s="1"/>
  <c r="M48" i="842" s="1"/>
  <c r="M49" i="842" s="1"/>
  <c r="M50" i="842" s="1"/>
  <c r="M51" i="842" s="1"/>
  <c r="M52" i="842" s="1"/>
  <c r="D44" i="842"/>
  <c r="AH43" i="842"/>
  <c r="AH44" i="842" s="1"/>
  <c r="AH45" i="842" s="1"/>
  <c r="AH46" i="842" s="1"/>
  <c r="AH47" i="842" s="1"/>
  <c r="AH48" i="842" s="1"/>
  <c r="AH49" i="842" s="1"/>
  <c r="AH50" i="842" s="1"/>
  <c r="AH51" i="842" s="1"/>
  <c r="AH52" i="842" s="1"/>
  <c r="AH53" i="842" s="1"/>
  <c r="AH54" i="842" s="1"/>
  <c r="AD43" i="842"/>
  <c r="AC43" i="842"/>
  <c r="AC44" i="842" s="1"/>
  <c r="AB43" i="842"/>
  <c r="AB44" i="842" s="1"/>
  <c r="AB45" i="842" s="1"/>
  <c r="AB46" i="842" s="1"/>
  <c r="X43" i="842"/>
  <c r="X44" i="842" s="1"/>
  <c r="X45" i="842" s="1"/>
  <c r="V43" i="842"/>
  <c r="V44" i="842" s="1"/>
  <c r="Q43" i="842"/>
  <c r="M43" i="842"/>
  <c r="AH42" i="842"/>
  <c r="AG42" i="842"/>
  <c r="AG43" i="842" s="1"/>
  <c r="AG44" i="842" s="1"/>
  <c r="AG45" i="842" s="1"/>
  <c r="AG46" i="842" s="1"/>
  <c r="AD42" i="842"/>
  <c r="AC42" i="842"/>
  <c r="AA42" i="842"/>
  <c r="AA43" i="842" s="1"/>
  <c r="AA44" i="842" s="1"/>
  <c r="AA45" i="842" s="1"/>
  <c r="AA46" i="842" s="1"/>
  <c r="AA47" i="842" s="1"/>
  <c r="Y42" i="842"/>
  <c r="W42" i="842"/>
  <c r="W43" i="842" s="1"/>
  <c r="W44" i="842" s="1"/>
  <c r="U42" i="842"/>
  <c r="U43" i="842" s="1"/>
  <c r="T42" i="842"/>
  <c r="T43" i="842" s="1"/>
  <c r="T44" i="842" s="1"/>
  <c r="T45" i="842" s="1"/>
  <c r="T46" i="842" s="1"/>
  <c r="T47" i="842" s="1"/>
  <c r="T48" i="842" s="1"/>
  <c r="T49" i="842" s="1"/>
  <c r="T50" i="842" s="1"/>
  <c r="T51" i="842" s="1"/>
  <c r="T52" i="842" s="1"/>
  <c r="T53" i="842" s="1"/>
  <c r="T54" i="842" s="1"/>
  <c r="S42" i="842"/>
  <c r="S43" i="842" s="1"/>
  <c r="S44" i="842" s="1"/>
  <c r="S45" i="842" s="1"/>
  <c r="S46" i="842" s="1"/>
  <c r="S47" i="842" s="1"/>
  <c r="S48" i="842" s="1"/>
  <c r="S49" i="842" s="1"/>
  <c r="S50" i="842" s="1"/>
  <c r="S51" i="842" s="1"/>
  <c r="S52" i="842" s="1"/>
  <c r="S53" i="842" s="1"/>
  <c r="S54" i="842" s="1"/>
  <c r="Q42" i="842"/>
  <c r="O42" i="842"/>
  <c r="E42" i="842"/>
  <c r="AC41" i="842"/>
  <c r="AB41" i="842"/>
  <c r="AB42" i="842" s="1"/>
  <c r="AA41" i="842"/>
  <c r="Z41" i="842"/>
  <c r="Z42" i="842" s="1"/>
  <c r="Z43" i="842" s="1"/>
  <c r="Y41" i="842"/>
  <c r="X41" i="842"/>
  <c r="X42" i="842" s="1"/>
  <c r="W41" i="842"/>
  <c r="V41" i="842"/>
  <c r="V42" i="842" s="1"/>
  <c r="I42" i="842" s="1"/>
  <c r="U41" i="842"/>
  <c r="T41" i="842"/>
  <c r="S41" i="842"/>
  <c r="R41" i="842"/>
  <c r="R42" i="842" s="1"/>
  <c r="L42" i="842" s="1"/>
  <c r="Q41" i="842"/>
  <c r="P41" i="842"/>
  <c r="P42" i="842" s="1"/>
  <c r="P43" i="842" s="1"/>
  <c r="P44" i="842" s="1"/>
  <c r="O41" i="842"/>
  <c r="N41" i="842"/>
  <c r="AD32" i="842"/>
  <c r="AD33" i="842" s="1"/>
  <c r="AD34" i="842" s="1"/>
  <c r="AD35" i="842" s="1"/>
  <c r="AD27" i="842"/>
  <c r="AD28" i="842" s="1"/>
  <c r="AD29" i="842" s="1"/>
  <c r="M26" i="842"/>
  <c r="M27" i="842" s="1"/>
  <c r="M28" i="842" s="1"/>
  <c r="M29" i="842" s="1"/>
  <c r="M30" i="842" s="1"/>
  <c r="M31" i="842" s="1"/>
  <c r="M32" i="842" s="1"/>
  <c r="M33" i="842" s="1"/>
  <c r="M34" i="842" s="1"/>
  <c r="AG25" i="842"/>
  <c r="AG26" i="842" s="1"/>
  <c r="AG27" i="842" s="1"/>
  <c r="AG28" i="842" s="1"/>
  <c r="AG29" i="842" s="1"/>
  <c r="AG30" i="842" s="1"/>
  <c r="AG31" i="842" s="1"/>
  <c r="AG32" i="842" s="1"/>
  <c r="AG33" i="842" s="1"/>
  <c r="AG34" i="842" s="1"/>
  <c r="AG35" i="842" s="1"/>
  <c r="M25" i="842"/>
  <c r="AH24" i="842"/>
  <c r="AH25" i="842" s="1"/>
  <c r="AH26" i="842" s="1"/>
  <c r="AH27" i="842" s="1"/>
  <c r="AH28" i="842" s="1"/>
  <c r="AH29" i="842" s="1"/>
  <c r="AH30" i="842" s="1"/>
  <c r="AH31" i="842" s="1"/>
  <c r="AH32" i="842" s="1"/>
  <c r="AH33" i="842" s="1"/>
  <c r="AH34" i="842" s="1"/>
  <c r="AH35" i="842" s="1"/>
  <c r="AG24" i="842"/>
  <c r="AC24" i="842"/>
  <c r="AC25" i="842" s="1"/>
  <c r="AC26" i="842" s="1"/>
  <c r="AC27" i="842" s="1"/>
  <c r="AC28" i="842" s="1"/>
  <c r="AC29" i="842" s="1"/>
  <c r="W24" i="842"/>
  <c r="W25" i="842" s="1"/>
  <c r="Q24" i="842"/>
  <c r="Q25" i="842" s="1"/>
  <c r="M24" i="842"/>
  <c r="AH23" i="842"/>
  <c r="AG23" i="842"/>
  <c r="AD23" i="842"/>
  <c r="AD24" i="842" s="1"/>
  <c r="AC23" i="842"/>
  <c r="Y23" i="842"/>
  <c r="Y24" i="842" s="1"/>
  <c r="Y25" i="842" s="1"/>
  <c r="Y26" i="842" s="1"/>
  <c r="X23" i="842"/>
  <c r="X24" i="842" s="1"/>
  <c r="W23" i="842"/>
  <c r="T23" i="842"/>
  <c r="T24" i="842" s="1"/>
  <c r="T25" i="842" s="1"/>
  <c r="T26" i="842" s="1"/>
  <c r="T27" i="842" s="1"/>
  <c r="T28" i="842" s="1"/>
  <c r="T29" i="842" s="1"/>
  <c r="T30" i="842" s="1"/>
  <c r="T31" i="842" s="1"/>
  <c r="T32" i="842" s="1"/>
  <c r="T33" i="842" s="1"/>
  <c r="T34" i="842" s="1"/>
  <c r="T35" i="842" s="1"/>
  <c r="R23" i="842"/>
  <c r="R24" i="842" s="1"/>
  <c r="R25" i="842" s="1"/>
  <c r="R26" i="842" s="1"/>
  <c r="R27" i="842" s="1"/>
  <c r="R28" i="842" s="1"/>
  <c r="Q23" i="842"/>
  <c r="D23" i="842"/>
  <c r="AC22" i="842"/>
  <c r="AB22" i="842"/>
  <c r="AB23" i="842" s="1"/>
  <c r="AB24" i="842" s="1"/>
  <c r="AB25" i="842" s="1"/>
  <c r="AB26" i="842" s="1"/>
  <c r="AB27" i="842" s="1"/>
  <c r="AB28" i="842" s="1"/>
  <c r="AB29" i="842" s="1"/>
  <c r="AA22" i="842"/>
  <c r="AA23" i="842" s="1"/>
  <c r="AA24" i="842" s="1"/>
  <c r="AA25" i="842" s="1"/>
  <c r="AA26" i="842" s="1"/>
  <c r="AA27" i="842" s="1"/>
  <c r="AA28" i="842" s="1"/>
  <c r="Z22" i="842"/>
  <c r="Z23" i="842" s="1"/>
  <c r="Z24" i="842" s="1"/>
  <c r="Z25" i="842" s="1"/>
  <c r="Z26" i="842" s="1"/>
  <c r="Z27" i="842" s="1"/>
  <c r="Z28" i="842" s="1"/>
  <c r="Y22" i="842"/>
  <c r="X22" i="842"/>
  <c r="W22" i="842"/>
  <c r="V22" i="842"/>
  <c r="V23" i="842" s="1"/>
  <c r="U22" i="842"/>
  <c r="U23" i="842" s="1"/>
  <c r="U24" i="842" s="1"/>
  <c r="U25" i="842" s="1"/>
  <c r="U26" i="842" s="1"/>
  <c r="U27" i="842" s="1"/>
  <c r="U28" i="842" s="1"/>
  <c r="U29" i="842" s="1"/>
  <c r="U30" i="842" s="1"/>
  <c r="T22" i="842"/>
  <c r="S22" i="842"/>
  <c r="S23" i="842" s="1"/>
  <c r="S24" i="842" s="1"/>
  <c r="S25" i="842" s="1"/>
  <c r="S26" i="842" s="1"/>
  <c r="S27" i="842" s="1"/>
  <c r="S28" i="842" s="1"/>
  <c r="S29" i="842" s="1"/>
  <c r="S30" i="842" s="1"/>
  <c r="S31" i="842" s="1"/>
  <c r="S32" i="842" s="1"/>
  <c r="S33" i="842" s="1"/>
  <c r="S34" i="842" s="1"/>
  <c r="S35" i="842" s="1"/>
  <c r="R22" i="842"/>
  <c r="Q22" i="842"/>
  <c r="P22" i="842"/>
  <c r="P23" i="842" s="1"/>
  <c r="P24" i="842" s="1"/>
  <c r="P25" i="842" s="1"/>
  <c r="O22" i="842"/>
  <c r="O23" i="842" s="1"/>
  <c r="N22" i="842"/>
  <c r="A23" i="842" s="1"/>
  <c r="A24" i="842" s="1"/>
  <c r="A25" i="842" s="1"/>
  <c r="A26" i="842" s="1"/>
  <c r="A27" i="842" s="1"/>
  <c r="A28" i="842" s="1"/>
  <c r="A29" i="842" s="1"/>
  <c r="A30" i="842" s="1"/>
  <c r="A31" i="842" s="1"/>
  <c r="A32" i="842" s="1"/>
  <c r="A33" i="842" s="1"/>
  <c r="AD8" i="842"/>
  <c r="AD9" i="842" s="1"/>
  <c r="AD10" i="842" s="1"/>
  <c r="AD11" i="842" s="1"/>
  <c r="AD12" i="842" s="1"/>
  <c r="AD13" i="842" s="1"/>
  <c r="AD14" i="842" s="1"/>
  <c r="AD15" i="842" s="1"/>
  <c r="AD16" i="842" s="1"/>
  <c r="M7" i="842"/>
  <c r="M8" i="842" s="1"/>
  <c r="M9" i="842" s="1"/>
  <c r="M10" i="842" s="1"/>
  <c r="M11" i="842" s="1"/>
  <c r="M12" i="842" s="1"/>
  <c r="M13" i="842" s="1"/>
  <c r="M14" i="842" s="1"/>
  <c r="M15" i="842" s="1"/>
  <c r="V6" i="842"/>
  <c r="V7" i="842" s="1"/>
  <c r="V8" i="842" s="1"/>
  <c r="V9" i="842" s="1"/>
  <c r="V10" i="842" s="1"/>
  <c r="V11" i="842" s="1"/>
  <c r="V12" i="842" s="1"/>
  <c r="V13" i="842" s="1"/>
  <c r="V14" i="842" s="1"/>
  <c r="V15" i="842" s="1"/>
  <c r="M6" i="842"/>
  <c r="AH5" i="842"/>
  <c r="AH6" i="842" s="1"/>
  <c r="AH7" i="842" s="1"/>
  <c r="AH8" i="842" s="1"/>
  <c r="AH9" i="842" s="1"/>
  <c r="AH10" i="842" s="1"/>
  <c r="AH11" i="842" s="1"/>
  <c r="AH12" i="842" s="1"/>
  <c r="AH13" i="842" s="1"/>
  <c r="AH14" i="842" s="1"/>
  <c r="AH15" i="842" s="1"/>
  <c r="AH16" i="842" s="1"/>
  <c r="AC5" i="842"/>
  <c r="AC6" i="842" s="1"/>
  <c r="AC7" i="842" s="1"/>
  <c r="AC8" i="842" s="1"/>
  <c r="AC9" i="842" s="1"/>
  <c r="AC10" i="842" s="1"/>
  <c r="AB5" i="842"/>
  <c r="AB6" i="842" s="1"/>
  <c r="AB7" i="842" s="1"/>
  <c r="AB8" i="842" s="1"/>
  <c r="AB9" i="842" s="1"/>
  <c r="AB10" i="842" s="1"/>
  <c r="V5" i="842"/>
  <c r="Q5" i="842"/>
  <c r="Q6" i="842" s="1"/>
  <c r="P5" i="842"/>
  <c r="P6" i="842" s="1"/>
  <c r="M5" i="842"/>
  <c r="D5" i="842"/>
  <c r="AH4" i="842"/>
  <c r="AG4" i="842"/>
  <c r="AG5" i="842" s="1"/>
  <c r="AG6" i="842" s="1"/>
  <c r="AG7" i="842" s="1"/>
  <c r="AG8" i="842" s="1"/>
  <c r="AG9" i="842" s="1"/>
  <c r="AG10" i="842" s="1"/>
  <c r="AG11" i="842" s="1"/>
  <c r="AG12" i="842" s="1"/>
  <c r="AG13" i="842" s="1"/>
  <c r="AG14" i="842" s="1"/>
  <c r="AG15" i="842" s="1"/>
  <c r="AG16" i="842" s="1"/>
  <c r="AC4" i="842"/>
  <c r="AB4" i="842"/>
  <c r="Y4" i="842"/>
  <c r="Y5" i="842" s="1"/>
  <c r="Y6" i="842" s="1"/>
  <c r="Y7" i="842" s="1"/>
  <c r="W4" i="842"/>
  <c r="W5" i="842" s="1"/>
  <c r="W6" i="842" s="1"/>
  <c r="V4" i="842"/>
  <c r="R4" i="842"/>
  <c r="L4" i="842" s="1"/>
  <c r="Q4" i="842"/>
  <c r="P4" i="842"/>
  <c r="I4" i="842"/>
  <c r="AC3" i="842"/>
  <c r="AB3" i="842"/>
  <c r="AA3" i="842"/>
  <c r="AA4" i="842" s="1"/>
  <c r="AA5" i="842" s="1"/>
  <c r="AA6" i="842" s="1"/>
  <c r="AA7" i="842" s="1"/>
  <c r="AA8" i="842" s="1"/>
  <c r="AA9" i="842" s="1"/>
  <c r="Z3" i="842"/>
  <c r="Z4" i="842" s="1"/>
  <c r="Z5" i="842" s="1"/>
  <c r="Z6" i="842" s="1"/>
  <c r="Z7" i="842" s="1"/>
  <c r="Z8" i="842" s="1"/>
  <c r="Z9" i="842" s="1"/>
  <c r="Y3" i="842"/>
  <c r="X3" i="842"/>
  <c r="X4" i="842" s="1"/>
  <c r="X5" i="842" s="1"/>
  <c r="W3" i="842"/>
  <c r="V3" i="842"/>
  <c r="U3" i="842"/>
  <c r="U4" i="842" s="1"/>
  <c r="U5" i="842" s="1"/>
  <c r="U6" i="842" s="1"/>
  <c r="U7" i="842" s="1"/>
  <c r="U8" i="842" s="1"/>
  <c r="U9" i="842" s="1"/>
  <c r="U10" i="842" s="1"/>
  <c r="U11" i="842" s="1"/>
  <c r="T3" i="842"/>
  <c r="T4" i="842" s="1"/>
  <c r="T5" i="842" s="1"/>
  <c r="T6" i="842" s="1"/>
  <c r="T7" i="842" s="1"/>
  <c r="T8" i="842" s="1"/>
  <c r="T9" i="842" s="1"/>
  <c r="T10" i="842" s="1"/>
  <c r="T11" i="842" s="1"/>
  <c r="T12" i="842" s="1"/>
  <c r="T13" i="842" s="1"/>
  <c r="T14" i="842" s="1"/>
  <c r="T15" i="842" s="1"/>
  <c r="T16" i="842" s="1"/>
  <c r="S3" i="842"/>
  <c r="S4" i="842" s="1"/>
  <c r="S5" i="842" s="1"/>
  <c r="S6" i="842" s="1"/>
  <c r="S7" i="842" s="1"/>
  <c r="S8" i="842" s="1"/>
  <c r="S9" i="842" s="1"/>
  <c r="S10" i="842" s="1"/>
  <c r="S11" i="842" s="1"/>
  <c r="S12" i="842" s="1"/>
  <c r="S13" i="842" s="1"/>
  <c r="S14" i="842" s="1"/>
  <c r="S15" i="842" s="1"/>
  <c r="S16" i="842" s="1"/>
  <c r="R3" i="842"/>
  <c r="Q3" i="842"/>
  <c r="P3" i="842"/>
  <c r="O3" i="842"/>
  <c r="O4" i="842" s="1"/>
  <c r="N3" i="842"/>
  <c r="N4" i="842" s="1"/>
  <c r="N5" i="842" s="1"/>
  <c r="N6" i="842" s="1"/>
  <c r="N7" i="842" s="1"/>
  <c r="N8" i="842" s="1"/>
  <c r="N9" i="842" s="1"/>
  <c r="N10" i="842" s="1"/>
  <c r="N11" i="842" s="1"/>
  <c r="N12" i="842" s="1"/>
  <c r="N13" i="842" s="1"/>
  <c r="N14" i="842" s="1"/>
  <c r="N15" i="842" s="1"/>
  <c r="N16" i="842" s="1"/>
  <c r="F250" i="822"/>
  <c r="E250" i="822"/>
  <c r="F249" i="822"/>
  <c r="E249" i="822"/>
  <c r="F248" i="822"/>
  <c r="E248" i="822"/>
  <c r="E247" i="822"/>
  <c r="E246" i="822"/>
  <c r="E245" i="822"/>
  <c r="E244" i="822"/>
  <c r="E243" i="822"/>
  <c r="E242" i="822"/>
  <c r="E241" i="822"/>
  <c r="E240" i="822"/>
  <c r="E239" i="822"/>
  <c r="I238" i="822"/>
  <c r="H238" i="822"/>
  <c r="E238" i="822"/>
  <c r="D238" i="822"/>
  <c r="I237" i="822"/>
  <c r="H237" i="822"/>
  <c r="E237" i="822"/>
  <c r="D237" i="822"/>
  <c r="I236" i="822"/>
  <c r="H236" i="822"/>
  <c r="E236" i="822"/>
  <c r="D236" i="822"/>
  <c r="I235" i="822"/>
  <c r="H235" i="822"/>
  <c r="E235" i="822"/>
  <c r="D235" i="822"/>
  <c r="I234" i="822"/>
  <c r="H234" i="822"/>
  <c r="E234" i="822"/>
  <c r="D234" i="822"/>
  <c r="I233" i="822"/>
  <c r="H233" i="822"/>
  <c r="E233" i="822"/>
  <c r="D233" i="822"/>
  <c r="I232" i="822"/>
  <c r="H232" i="822"/>
  <c r="E232" i="822"/>
  <c r="D232" i="822"/>
  <c r="I231" i="822"/>
  <c r="H231" i="822"/>
  <c r="E231" i="822"/>
  <c r="D231" i="822"/>
  <c r="I230" i="822"/>
  <c r="H230" i="822"/>
  <c r="E230" i="822"/>
  <c r="D230" i="822"/>
  <c r="A229" i="822"/>
  <c r="A230" i="822" s="1"/>
  <c r="A231" i="822" s="1"/>
  <c r="A232" i="822" s="1"/>
  <c r="A233" i="822" s="1"/>
  <c r="A234" i="822" s="1"/>
  <c r="A235" i="822" s="1"/>
  <c r="A236" i="822" s="1"/>
  <c r="A237" i="822" s="1"/>
  <c r="A238" i="822" s="1"/>
  <c r="A239" i="822" s="1"/>
  <c r="F219" i="822"/>
  <c r="E219" i="822"/>
  <c r="F218" i="822"/>
  <c r="E218" i="822"/>
  <c r="F217" i="822"/>
  <c r="E217" i="822"/>
  <c r="E216" i="822"/>
  <c r="E215" i="822"/>
  <c r="E214" i="822"/>
  <c r="E213" i="822"/>
  <c r="E212" i="822"/>
  <c r="E211" i="822"/>
  <c r="E210" i="822"/>
  <c r="E209" i="822"/>
  <c r="E208" i="822"/>
  <c r="I207" i="822"/>
  <c r="H207" i="822"/>
  <c r="E207" i="822"/>
  <c r="D207" i="822"/>
  <c r="I206" i="822"/>
  <c r="H206" i="822"/>
  <c r="E206" i="822"/>
  <c r="D206" i="822"/>
  <c r="I205" i="822"/>
  <c r="H205" i="822"/>
  <c r="E205" i="822"/>
  <c r="D205" i="822"/>
  <c r="I204" i="822"/>
  <c r="H204" i="822"/>
  <c r="E204" i="822"/>
  <c r="D204" i="822"/>
  <c r="I203" i="822"/>
  <c r="H203" i="822"/>
  <c r="E203" i="822"/>
  <c r="D203" i="822"/>
  <c r="I202" i="822"/>
  <c r="H202" i="822"/>
  <c r="E202" i="822"/>
  <c r="D202" i="822"/>
  <c r="I201" i="822"/>
  <c r="H201" i="822"/>
  <c r="E201" i="822"/>
  <c r="D201" i="822"/>
  <c r="I200" i="822"/>
  <c r="H200" i="822"/>
  <c r="E200" i="822"/>
  <c r="D200" i="822"/>
  <c r="A200" i="822"/>
  <c r="A201" i="822" s="1"/>
  <c r="A202" i="822" s="1"/>
  <c r="A203" i="822" s="1"/>
  <c r="A204" i="822" s="1"/>
  <c r="A205" i="822" s="1"/>
  <c r="A206" i="822" s="1"/>
  <c r="A207" i="822" s="1"/>
  <c r="A208" i="822" s="1"/>
  <c r="I199" i="822"/>
  <c r="H199" i="822"/>
  <c r="E199" i="822"/>
  <c r="D199" i="822"/>
  <c r="A199" i="822"/>
  <c r="D198" i="822"/>
  <c r="B198" i="822"/>
  <c r="A198" i="822"/>
  <c r="A196" i="822"/>
  <c r="A195" i="822"/>
  <c r="F188" i="822"/>
  <c r="E188" i="822"/>
  <c r="F187" i="822"/>
  <c r="E187" i="822"/>
  <c r="F186" i="822"/>
  <c r="E186" i="822"/>
  <c r="E185" i="822"/>
  <c r="E184" i="822"/>
  <c r="E183" i="822"/>
  <c r="E182" i="822"/>
  <c r="E181" i="822"/>
  <c r="E180" i="822"/>
  <c r="E179" i="822"/>
  <c r="E178" i="822"/>
  <c r="E177" i="822"/>
  <c r="I176" i="822"/>
  <c r="H176" i="822"/>
  <c r="E176" i="822"/>
  <c r="D176" i="822"/>
  <c r="I175" i="822"/>
  <c r="H175" i="822"/>
  <c r="E175" i="822"/>
  <c r="D175" i="822"/>
  <c r="I174" i="822"/>
  <c r="H174" i="822"/>
  <c r="E174" i="822"/>
  <c r="D174" i="822"/>
  <c r="I173" i="822"/>
  <c r="H173" i="822"/>
  <c r="E173" i="822"/>
  <c r="D173" i="822"/>
  <c r="I172" i="822"/>
  <c r="H172" i="822"/>
  <c r="E172" i="822"/>
  <c r="D172" i="822"/>
  <c r="I171" i="822"/>
  <c r="H171" i="822"/>
  <c r="E171" i="822"/>
  <c r="D171" i="822"/>
  <c r="I170" i="822"/>
  <c r="H170" i="822"/>
  <c r="E170" i="822"/>
  <c r="D170" i="822"/>
  <c r="I169" i="822"/>
  <c r="H169" i="822"/>
  <c r="E169" i="822"/>
  <c r="D169" i="822"/>
  <c r="I168" i="822"/>
  <c r="H168" i="822"/>
  <c r="E168" i="822"/>
  <c r="D168" i="822"/>
  <c r="B167" i="822"/>
  <c r="A167" i="822"/>
  <c r="A168" i="822" s="1"/>
  <c r="A169" i="822" s="1"/>
  <c r="A170" i="822" s="1"/>
  <c r="A171" i="822" s="1"/>
  <c r="A172" i="822" s="1"/>
  <c r="A173" i="822" s="1"/>
  <c r="A174" i="822" s="1"/>
  <c r="A175" i="822" s="1"/>
  <c r="A176" i="822" s="1"/>
  <c r="A177" i="822" s="1"/>
  <c r="A165" i="822"/>
  <c r="F157" i="822"/>
  <c r="E157" i="822"/>
  <c r="F156" i="822"/>
  <c r="E156" i="822"/>
  <c r="F155" i="822"/>
  <c r="E155" i="822"/>
  <c r="E154" i="822"/>
  <c r="E153" i="822"/>
  <c r="E152" i="822"/>
  <c r="E151" i="822"/>
  <c r="E150" i="822"/>
  <c r="E149" i="822"/>
  <c r="E148" i="822"/>
  <c r="E147" i="822"/>
  <c r="E146" i="822"/>
  <c r="E145" i="822"/>
  <c r="I144" i="822"/>
  <c r="H144" i="822"/>
  <c r="E144" i="822"/>
  <c r="D144" i="822"/>
  <c r="I143" i="822"/>
  <c r="H143" i="822"/>
  <c r="E143" i="822"/>
  <c r="D143" i="822"/>
  <c r="I142" i="822"/>
  <c r="H142" i="822"/>
  <c r="E142" i="822"/>
  <c r="D142" i="822"/>
  <c r="I141" i="822"/>
  <c r="H141" i="822"/>
  <c r="E141" i="822"/>
  <c r="D141" i="822"/>
  <c r="I140" i="822"/>
  <c r="H140" i="822"/>
  <c r="E140" i="822"/>
  <c r="D140" i="822"/>
  <c r="I139" i="822"/>
  <c r="H139" i="822"/>
  <c r="E139" i="822"/>
  <c r="D139" i="822"/>
  <c r="I138" i="822"/>
  <c r="H138" i="822"/>
  <c r="E138" i="822"/>
  <c r="D138" i="822"/>
  <c r="I137" i="822"/>
  <c r="H137" i="822"/>
  <c r="E137" i="822"/>
  <c r="D137" i="822"/>
  <c r="I136" i="822"/>
  <c r="H136" i="822"/>
  <c r="E136" i="822"/>
  <c r="D136" i="822"/>
  <c r="A135" i="822"/>
  <c r="D135" i="822" s="1"/>
  <c r="A132" i="822"/>
  <c r="F125" i="822"/>
  <c r="E125" i="822"/>
  <c r="F124" i="822"/>
  <c r="E124" i="822"/>
  <c r="F123" i="822"/>
  <c r="E123" i="822"/>
  <c r="E122" i="822"/>
  <c r="E121" i="822"/>
  <c r="E120" i="822"/>
  <c r="E119" i="822"/>
  <c r="E118" i="822"/>
  <c r="E117" i="822"/>
  <c r="E116" i="822"/>
  <c r="E115" i="822"/>
  <c r="E114" i="822"/>
  <c r="E113" i="822"/>
  <c r="I112" i="822"/>
  <c r="H112" i="822"/>
  <c r="E112" i="822"/>
  <c r="D112" i="822"/>
  <c r="I111" i="822"/>
  <c r="H111" i="822"/>
  <c r="E111" i="822"/>
  <c r="D111" i="822"/>
  <c r="I110" i="822"/>
  <c r="H110" i="822"/>
  <c r="E110" i="822"/>
  <c r="D110" i="822"/>
  <c r="I109" i="822"/>
  <c r="H109" i="822"/>
  <c r="E109" i="822"/>
  <c r="D109" i="822"/>
  <c r="I108" i="822"/>
  <c r="H108" i="822"/>
  <c r="E108" i="822"/>
  <c r="D108" i="822"/>
  <c r="I107" i="822"/>
  <c r="H107" i="822"/>
  <c r="E107" i="822"/>
  <c r="D107" i="822"/>
  <c r="I106" i="822"/>
  <c r="H106" i="822"/>
  <c r="E106" i="822"/>
  <c r="D106" i="822"/>
  <c r="I105" i="822"/>
  <c r="H105" i="822"/>
  <c r="E105" i="822"/>
  <c r="D105" i="822"/>
  <c r="I104" i="822"/>
  <c r="H104" i="822"/>
  <c r="E104" i="822"/>
  <c r="D104" i="822"/>
  <c r="I103" i="822"/>
  <c r="H103" i="822"/>
  <c r="E103" i="822"/>
  <c r="D103" i="822"/>
  <c r="A103" i="822"/>
  <c r="A104" i="822" s="1"/>
  <c r="A105" i="822" s="1"/>
  <c r="A106" i="822" s="1"/>
  <c r="A107" i="822" s="1"/>
  <c r="A108" i="822" s="1"/>
  <c r="A109" i="822" s="1"/>
  <c r="A110" i="822" s="1"/>
  <c r="A111" i="822" s="1"/>
  <c r="A112" i="822" s="1"/>
  <c r="A113" i="822" s="1"/>
  <c r="A114" i="822" s="1"/>
  <c r="D102" i="822"/>
  <c r="B102" i="822"/>
  <c r="A102" i="822"/>
  <c r="A100" i="822"/>
  <c r="A99" i="822"/>
  <c r="F92" i="822"/>
  <c r="E92" i="822"/>
  <c r="F91" i="822"/>
  <c r="E91" i="822"/>
  <c r="F90" i="822"/>
  <c r="E90" i="822"/>
  <c r="E89" i="822"/>
  <c r="E88" i="822"/>
  <c r="E87" i="822"/>
  <c r="E86" i="822"/>
  <c r="E85" i="822"/>
  <c r="E84" i="822"/>
  <c r="E83" i="822"/>
  <c r="E82" i="822"/>
  <c r="E81" i="822"/>
  <c r="E80" i="822"/>
  <c r="I79" i="822"/>
  <c r="H79" i="822"/>
  <c r="E79" i="822"/>
  <c r="D79" i="822"/>
  <c r="I78" i="822"/>
  <c r="H78" i="822"/>
  <c r="E78" i="822"/>
  <c r="D78" i="822"/>
  <c r="I77" i="822"/>
  <c r="H77" i="822"/>
  <c r="E77" i="822"/>
  <c r="D77" i="822"/>
  <c r="I76" i="822"/>
  <c r="H76" i="822"/>
  <c r="E76" i="822"/>
  <c r="D76" i="822"/>
  <c r="I75" i="822"/>
  <c r="H75" i="822"/>
  <c r="E75" i="822"/>
  <c r="D75" i="822"/>
  <c r="I74" i="822"/>
  <c r="H74" i="822"/>
  <c r="E74" i="822"/>
  <c r="D74" i="822"/>
  <c r="I73" i="822"/>
  <c r="H73" i="822"/>
  <c r="E73" i="822"/>
  <c r="D73" i="822"/>
  <c r="I72" i="822"/>
  <c r="H72" i="822"/>
  <c r="E72" i="822"/>
  <c r="D72" i="822"/>
  <c r="I71" i="822"/>
  <c r="H71" i="822"/>
  <c r="E71" i="822"/>
  <c r="D71" i="822"/>
  <c r="A71" i="822"/>
  <c r="A72" i="822" s="1"/>
  <c r="A73" i="822" s="1"/>
  <c r="A74" i="822" s="1"/>
  <c r="A75" i="822" s="1"/>
  <c r="A76" i="822" s="1"/>
  <c r="A77" i="822" s="1"/>
  <c r="A78" i="822" s="1"/>
  <c r="A79" i="822" s="1"/>
  <c r="A80" i="822" s="1"/>
  <c r="A81" i="822" s="1"/>
  <c r="D70" i="822"/>
  <c r="B70" i="822"/>
  <c r="A70" i="822"/>
  <c r="A68" i="822" s="1"/>
  <c r="F60" i="822"/>
  <c r="E60" i="822"/>
  <c r="F59" i="822"/>
  <c r="E59" i="822"/>
  <c r="F58" i="822"/>
  <c r="E58" i="822"/>
  <c r="E57" i="822"/>
  <c r="E56" i="822"/>
  <c r="E55" i="822"/>
  <c r="E54" i="822"/>
  <c r="E53" i="822"/>
  <c r="E52" i="822"/>
  <c r="E51" i="822"/>
  <c r="E50" i="822"/>
  <c r="E49" i="822"/>
  <c r="I48" i="822"/>
  <c r="H48" i="822"/>
  <c r="E48" i="822"/>
  <c r="D48" i="822"/>
  <c r="I47" i="822"/>
  <c r="H47" i="822"/>
  <c r="E47" i="822"/>
  <c r="D47" i="822"/>
  <c r="I46" i="822"/>
  <c r="H46" i="822"/>
  <c r="E46" i="822"/>
  <c r="D46" i="822"/>
  <c r="I45" i="822"/>
  <c r="H45" i="822"/>
  <c r="E45" i="822"/>
  <c r="D45" i="822"/>
  <c r="I44" i="822"/>
  <c r="H44" i="822"/>
  <c r="E44" i="822"/>
  <c r="D44" i="822"/>
  <c r="I43" i="822"/>
  <c r="H43" i="822"/>
  <c r="E43" i="822"/>
  <c r="D43" i="822"/>
  <c r="I42" i="822"/>
  <c r="H42" i="822"/>
  <c r="E42" i="822"/>
  <c r="D42" i="822"/>
  <c r="I41" i="822"/>
  <c r="H41" i="822"/>
  <c r="E41" i="822"/>
  <c r="D41" i="822"/>
  <c r="I40" i="822"/>
  <c r="H40" i="822"/>
  <c r="E40" i="822"/>
  <c r="D40" i="822"/>
  <c r="I39" i="822"/>
  <c r="H39" i="822"/>
  <c r="E39" i="822"/>
  <c r="D39" i="822"/>
  <c r="I38" i="822"/>
  <c r="H38" i="822"/>
  <c r="E38" i="822"/>
  <c r="D38" i="822"/>
  <c r="A38" i="822"/>
  <c r="A39" i="822" s="1"/>
  <c r="A40" i="822" s="1"/>
  <c r="A41" i="822" s="1"/>
  <c r="A42" i="822" s="1"/>
  <c r="A43" i="822" s="1"/>
  <c r="A44" i="822" s="1"/>
  <c r="A45" i="822" s="1"/>
  <c r="A46" i="822" s="1"/>
  <c r="A47" i="822" s="1"/>
  <c r="A48" i="822" s="1"/>
  <c r="A49" i="822" s="1"/>
  <c r="D37" i="822"/>
  <c r="B37" i="822"/>
  <c r="A37" i="822"/>
  <c r="A35" i="822"/>
  <c r="A34" i="822"/>
  <c r="F27" i="822"/>
  <c r="E27" i="822"/>
  <c r="F26" i="822"/>
  <c r="E26" i="822"/>
  <c r="F25" i="822"/>
  <c r="E25" i="822"/>
  <c r="E24" i="822"/>
  <c r="E23" i="822"/>
  <c r="E22" i="822"/>
  <c r="E21" i="822"/>
  <c r="E20" i="822"/>
  <c r="E19" i="822"/>
  <c r="E18" i="822"/>
  <c r="E17" i="822"/>
  <c r="E16" i="822"/>
  <c r="I15" i="822"/>
  <c r="H15" i="822"/>
  <c r="E15" i="822"/>
  <c r="D15" i="822"/>
  <c r="I14" i="822"/>
  <c r="H14" i="822"/>
  <c r="E14" i="822"/>
  <c r="D14" i="822"/>
  <c r="I13" i="822"/>
  <c r="H13" i="822"/>
  <c r="E13" i="822"/>
  <c r="D13" i="822"/>
  <c r="I12" i="822"/>
  <c r="H12" i="822"/>
  <c r="E12" i="822"/>
  <c r="D12" i="822"/>
  <c r="I11" i="822"/>
  <c r="H11" i="822"/>
  <c r="E11" i="822"/>
  <c r="D11" i="822"/>
  <c r="I10" i="822"/>
  <c r="H10" i="822"/>
  <c r="E10" i="822"/>
  <c r="D10" i="822"/>
  <c r="I9" i="822"/>
  <c r="H9" i="822"/>
  <c r="E9" i="822"/>
  <c r="D9" i="822"/>
  <c r="I8" i="822"/>
  <c r="H8" i="822"/>
  <c r="E8" i="822"/>
  <c r="D8" i="822"/>
  <c r="I7" i="822"/>
  <c r="H7" i="822"/>
  <c r="E7" i="822"/>
  <c r="D7" i="822"/>
  <c r="A6" i="822"/>
  <c r="E49" i="821"/>
  <c r="E48" i="821"/>
  <c r="E47" i="821"/>
  <c r="E46" i="821"/>
  <c r="E45" i="821"/>
  <c r="E44" i="821"/>
  <c r="E43" i="821"/>
  <c r="E42" i="821"/>
  <c r="E41" i="821"/>
  <c r="I40" i="821"/>
  <c r="H40" i="821"/>
  <c r="E40" i="821"/>
  <c r="D40" i="821"/>
  <c r="I39" i="821"/>
  <c r="H39" i="821"/>
  <c r="E39" i="821"/>
  <c r="D39" i="821"/>
  <c r="I38" i="821"/>
  <c r="H38" i="821"/>
  <c r="E38" i="821"/>
  <c r="D38" i="821"/>
  <c r="I37" i="821"/>
  <c r="H37" i="821"/>
  <c r="E37" i="821"/>
  <c r="D37" i="821"/>
  <c r="I36" i="821"/>
  <c r="H36" i="821"/>
  <c r="E36" i="821"/>
  <c r="D36" i="821"/>
  <c r="I35" i="821"/>
  <c r="H35" i="821"/>
  <c r="E35" i="821"/>
  <c r="D35" i="821"/>
  <c r="I34" i="821"/>
  <c r="H34" i="821"/>
  <c r="E34" i="821"/>
  <c r="D34" i="821"/>
  <c r="H33" i="821"/>
  <c r="E33" i="821"/>
  <c r="D33" i="821"/>
  <c r="A32" i="821"/>
  <c r="E23" i="821"/>
  <c r="E22" i="821"/>
  <c r="E21" i="821"/>
  <c r="E20" i="821"/>
  <c r="E19" i="821"/>
  <c r="E18" i="821"/>
  <c r="E17" i="821"/>
  <c r="E16" i="821"/>
  <c r="E15" i="821"/>
  <c r="I14" i="821"/>
  <c r="H14" i="821"/>
  <c r="E14" i="821"/>
  <c r="D14" i="821"/>
  <c r="I13" i="821"/>
  <c r="H13" i="821"/>
  <c r="E13" i="821"/>
  <c r="D13" i="821"/>
  <c r="I12" i="821"/>
  <c r="H12" i="821"/>
  <c r="E12" i="821"/>
  <c r="D12" i="821"/>
  <c r="I11" i="821"/>
  <c r="H11" i="821"/>
  <c r="E11" i="821"/>
  <c r="D11" i="821"/>
  <c r="I10" i="821"/>
  <c r="H10" i="821"/>
  <c r="E10" i="821"/>
  <c r="D10" i="821"/>
  <c r="I9" i="821"/>
  <c r="H9" i="821"/>
  <c r="E9" i="821"/>
  <c r="D9" i="821"/>
  <c r="I8" i="821"/>
  <c r="H8" i="821"/>
  <c r="E8" i="821"/>
  <c r="D8" i="821"/>
  <c r="H7" i="821"/>
  <c r="E7" i="821"/>
  <c r="D7" i="821"/>
  <c r="A7" i="821"/>
  <c r="A8" i="821" s="1"/>
  <c r="A9" i="821" s="1"/>
  <c r="A10" i="821" s="1"/>
  <c r="A11" i="821" s="1"/>
  <c r="A12" i="821" s="1"/>
  <c r="A13" i="821" s="1"/>
  <c r="A14" i="821" s="1"/>
  <c r="A15" i="821" s="1"/>
  <c r="A16" i="821" s="1"/>
  <c r="D6" i="821"/>
  <c r="B6" i="821"/>
  <c r="A6" i="821"/>
  <c r="A3" i="821" s="1"/>
  <c r="A4" i="821"/>
  <c r="F147" i="820"/>
  <c r="E147" i="820"/>
  <c r="E146" i="820"/>
  <c r="F145" i="820"/>
  <c r="E145" i="820"/>
  <c r="F144" i="820"/>
  <c r="E144" i="820"/>
  <c r="E143" i="820"/>
  <c r="E142" i="820"/>
  <c r="E141" i="820"/>
  <c r="E140" i="820"/>
  <c r="E139" i="820"/>
  <c r="E138" i="820"/>
  <c r="I137" i="820"/>
  <c r="H137" i="820"/>
  <c r="E137" i="820"/>
  <c r="D137" i="820"/>
  <c r="I136" i="820"/>
  <c r="H136" i="820"/>
  <c r="E136" i="820"/>
  <c r="D136" i="820"/>
  <c r="I135" i="820"/>
  <c r="H135" i="820"/>
  <c r="E135" i="820"/>
  <c r="D135" i="820"/>
  <c r="I134" i="820"/>
  <c r="H134" i="820"/>
  <c r="E134" i="820"/>
  <c r="D134" i="820"/>
  <c r="I133" i="820"/>
  <c r="H133" i="820"/>
  <c r="E133" i="820"/>
  <c r="D133" i="820"/>
  <c r="I132" i="820"/>
  <c r="H132" i="820"/>
  <c r="E132" i="820"/>
  <c r="D132" i="820"/>
  <c r="I131" i="820"/>
  <c r="H131" i="820"/>
  <c r="E131" i="820"/>
  <c r="D131" i="820"/>
  <c r="I130" i="820"/>
  <c r="H130" i="820"/>
  <c r="E130" i="820"/>
  <c r="D130" i="820"/>
  <c r="I129" i="820"/>
  <c r="H129" i="820"/>
  <c r="E129" i="820"/>
  <c r="D129" i="820"/>
  <c r="A129" i="820"/>
  <c r="A130" i="820" s="1"/>
  <c r="A131" i="820" s="1"/>
  <c r="A132" i="820" s="1"/>
  <c r="A133" i="820" s="1"/>
  <c r="A134" i="820" s="1"/>
  <c r="A135" i="820" s="1"/>
  <c r="A136" i="820" s="1"/>
  <c r="A128" i="820"/>
  <c r="B128" i="820" s="1"/>
  <c r="F119" i="820"/>
  <c r="E119" i="820"/>
  <c r="E118" i="820"/>
  <c r="E117" i="820"/>
  <c r="F116" i="820"/>
  <c r="E116" i="820"/>
  <c r="F115" i="820"/>
  <c r="E115" i="820"/>
  <c r="E114" i="820"/>
  <c r="E113" i="820"/>
  <c r="E112" i="820"/>
  <c r="E111" i="820"/>
  <c r="E110" i="820"/>
  <c r="E109" i="820"/>
  <c r="E108" i="820"/>
  <c r="I107" i="820"/>
  <c r="H107" i="820"/>
  <c r="E107" i="820"/>
  <c r="D107" i="820"/>
  <c r="I106" i="820"/>
  <c r="H106" i="820"/>
  <c r="E106" i="820"/>
  <c r="D106" i="820"/>
  <c r="I105" i="820"/>
  <c r="H105" i="820"/>
  <c r="E105" i="820"/>
  <c r="D105" i="820"/>
  <c r="I104" i="820"/>
  <c r="H104" i="820"/>
  <c r="E104" i="820"/>
  <c r="D104" i="820"/>
  <c r="I103" i="820"/>
  <c r="H103" i="820"/>
  <c r="E103" i="820"/>
  <c r="D103" i="820"/>
  <c r="I102" i="820"/>
  <c r="H102" i="820"/>
  <c r="E102" i="820"/>
  <c r="D102" i="820"/>
  <c r="I101" i="820"/>
  <c r="H101" i="820"/>
  <c r="E101" i="820"/>
  <c r="D101" i="820"/>
  <c r="I100" i="820"/>
  <c r="H100" i="820"/>
  <c r="E100" i="820"/>
  <c r="D100" i="820"/>
  <c r="I99" i="820"/>
  <c r="H99" i="820"/>
  <c r="E99" i="820"/>
  <c r="D99" i="820"/>
  <c r="A98" i="820"/>
  <c r="F88" i="820"/>
  <c r="E88" i="820"/>
  <c r="F87" i="820"/>
  <c r="E87" i="820"/>
  <c r="F86" i="820"/>
  <c r="E86" i="820"/>
  <c r="E85" i="820"/>
  <c r="E84" i="820"/>
  <c r="E83" i="820"/>
  <c r="E82" i="820"/>
  <c r="E81" i="820"/>
  <c r="E80" i="820"/>
  <c r="E79" i="820"/>
  <c r="E78" i="820"/>
  <c r="E77" i="820"/>
  <c r="I76" i="820"/>
  <c r="H76" i="820"/>
  <c r="E76" i="820"/>
  <c r="D76" i="820"/>
  <c r="I75" i="820"/>
  <c r="H75" i="820"/>
  <c r="E75" i="820"/>
  <c r="D75" i="820"/>
  <c r="I74" i="820"/>
  <c r="H74" i="820"/>
  <c r="E74" i="820"/>
  <c r="D74" i="820"/>
  <c r="I73" i="820"/>
  <c r="H73" i="820"/>
  <c r="E73" i="820"/>
  <c r="D73" i="820"/>
  <c r="I72" i="820"/>
  <c r="H72" i="820"/>
  <c r="E72" i="820"/>
  <c r="D72" i="820"/>
  <c r="I71" i="820"/>
  <c r="H71" i="820"/>
  <c r="E71" i="820"/>
  <c r="D71" i="820"/>
  <c r="I70" i="820"/>
  <c r="H70" i="820"/>
  <c r="E70" i="820"/>
  <c r="D70" i="820"/>
  <c r="I69" i="820"/>
  <c r="H69" i="820"/>
  <c r="E69" i="820"/>
  <c r="D69" i="820"/>
  <c r="I68" i="820"/>
  <c r="H68" i="820"/>
  <c r="E68" i="820"/>
  <c r="D68" i="820"/>
  <c r="A67" i="820"/>
  <c r="A68" i="820" s="1"/>
  <c r="A69" i="820" s="1"/>
  <c r="A70" i="820" s="1"/>
  <c r="A71" i="820" s="1"/>
  <c r="A72" i="820" s="1"/>
  <c r="A73" i="820" s="1"/>
  <c r="A74" i="820" s="1"/>
  <c r="A75" i="820" s="1"/>
  <c r="A76" i="820" s="1"/>
  <c r="A77" i="820" s="1"/>
  <c r="A78" i="820" s="1"/>
  <c r="A79" i="820" s="1"/>
  <c r="A65" i="820"/>
  <c r="A64" i="820"/>
  <c r="F56" i="820"/>
  <c r="E56" i="820"/>
  <c r="F55" i="820"/>
  <c r="E55" i="820"/>
  <c r="F54" i="820"/>
  <c r="E54" i="820"/>
  <c r="E53" i="820"/>
  <c r="E52" i="820"/>
  <c r="E51" i="820"/>
  <c r="E50" i="820"/>
  <c r="E49" i="820"/>
  <c r="E48" i="820"/>
  <c r="E47" i="820"/>
  <c r="E46" i="820"/>
  <c r="E45" i="820"/>
  <c r="I44" i="820"/>
  <c r="H44" i="820"/>
  <c r="E44" i="820"/>
  <c r="D44" i="820"/>
  <c r="I43" i="820"/>
  <c r="H43" i="820"/>
  <c r="E43" i="820"/>
  <c r="D43" i="820"/>
  <c r="I42" i="820"/>
  <c r="H42" i="820"/>
  <c r="E42" i="820"/>
  <c r="D42" i="820"/>
  <c r="I41" i="820"/>
  <c r="H41" i="820"/>
  <c r="E41" i="820"/>
  <c r="D41" i="820"/>
  <c r="I40" i="820"/>
  <c r="H40" i="820"/>
  <c r="E40" i="820"/>
  <c r="D40" i="820"/>
  <c r="I39" i="820"/>
  <c r="H39" i="820"/>
  <c r="E39" i="820"/>
  <c r="D39" i="820"/>
  <c r="I38" i="820"/>
  <c r="H38" i="820"/>
  <c r="E38" i="820"/>
  <c r="D38" i="820"/>
  <c r="I37" i="820"/>
  <c r="H37" i="820"/>
  <c r="E37" i="820"/>
  <c r="D37" i="820"/>
  <c r="I36" i="820"/>
  <c r="H36" i="820"/>
  <c r="E36" i="820"/>
  <c r="D36" i="820"/>
  <c r="B35" i="820"/>
  <c r="A35" i="820"/>
  <c r="A36" i="820" s="1"/>
  <c r="A37" i="820" s="1"/>
  <c r="A38" i="820" s="1"/>
  <c r="F26" i="820"/>
  <c r="E26" i="820"/>
  <c r="F25" i="820"/>
  <c r="E25" i="820"/>
  <c r="F24" i="820"/>
  <c r="E24" i="820"/>
  <c r="E23" i="820"/>
  <c r="E22" i="820"/>
  <c r="E21" i="820"/>
  <c r="E20" i="820"/>
  <c r="E19" i="820"/>
  <c r="E18" i="820"/>
  <c r="E17" i="820"/>
  <c r="E16" i="820"/>
  <c r="I15" i="820"/>
  <c r="H15" i="820"/>
  <c r="E15" i="820"/>
  <c r="D15" i="820"/>
  <c r="I14" i="820"/>
  <c r="H14" i="820"/>
  <c r="E14" i="820"/>
  <c r="D14" i="820"/>
  <c r="I13" i="820"/>
  <c r="H13" i="820"/>
  <c r="E13" i="820"/>
  <c r="D13" i="820"/>
  <c r="I12" i="820"/>
  <c r="H12" i="820"/>
  <c r="E12" i="820"/>
  <c r="D12" i="820"/>
  <c r="I11" i="820"/>
  <c r="H11" i="820"/>
  <c r="E11" i="820"/>
  <c r="D11" i="820"/>
  <c r="I10" i="820"/>
  <c r="H10" i="820"/>
  <c r="E10" i="820"/>
  <c r="D10" i="820"/>
  <c r="I9" i="820"/>
  <c r="H9" i="820"/>
  <c r="E9" i="820"/>
  <c r="D9" i="820"/>
  <c r="I8" i="820"/>
  <c r="H8" i="820"/>
  <c r="E8" i="820"/>
  <c r="D8" i="820"/>
  <c r="I7" i="820"/>
  <c r="H7" i="820"/>
  <c r="E7" i="820"/>
  <c r="D7" i="820"/>
  <c r="A7" i="820"/>
  <c r="A8" i="820" s="1"/>
  <c r="A9" i="820" s="1"/>
  <c r="A10" i="820" s="1"/>
  <c r="A11" i="820" s="1"/>
  <c r="A12" i="820" s="1"/>
  <c r="A13" i="820" s="1"/>
  <c r="A14" i="820" s="1"/>
  <c r="A15" i="820" s="1"/>
  <c r="A16" i="820" s="1"/>
  <c r="A17" i="820" s="1"/>
  <c r="B6" i="820"/>
  <c r="A6" i="820"/>
  <c r="E77" i="817"/>
  <c r="E76" i="817"/>
  <c r="E75" i="817"/>
  <c r="F74" i="817"/>
  <c r="E74" i="817"/>
  <c r="F73" i="817"/>
  <c r="E73" i="817"/>
  <c r="E72" i="817"/>
  <c r="E71" i="817"/>
  <c r="E70" i="817"/>
  <c r="B70" i="817"/>
  <c r="E69" i="817"/>
  <c r="E68" i="817"/>
  <c r="E67" i="817"/>
  <c r="I66" i="817"/>
  <c r="H66" i="817"/>
  <c r="E66" i="817"/>
  <c r="D66" i="817"/>
  <c r="I65" i="817"/>
  <c r="H65" i="817"/>
  <c r="E65" i="817"/>
  <c r="D65" i="817"/>
  <c r="I64" i="817"/>
  <c r="H64" i="817"/>
  <c r="E64" i="817"/>
  <c r="D64" i="817"/>
  <c r="I63" i="817"/>
  <c r="H63" i="817"/>
  <c r="E63" i="817"/>
  <c r="D63" i="817"/>
  <c r="I62" i="817"/>
  <c r="H62" i="817"/>
  <c r="E62" i="817"/>
  <c r="D62" i="817"/>
  <c r="I61" i="817"/>
  <c r="H61" i="817"/>
  <c r="E61" i="817"/>
  <c r="D61" i="817"/>
  <c r="I60" i="817"/>
  <c r="H60" i="817"/>
  <c r="E60" i="817"/>
  <c r="D60" i="817"/>
  <c r="I59" i="817"/>
  <c r="H59" i="817"/>
  <c r="E59" i="817"/>
  <c r="D59" i="817"/>
  <c r="A59" i="817"/>
  <c r="A60" i="817" s="1"/>
  <c r="A61" i="817" s="1"/>
  <c r="A62" i="817" s="1"/>
  <c r="A63" i="817" s="1"/>
  <c r="A64" i="817" s="1"/>
  <c r="B58" i="817"/>
  <c r="A58" i="817"/>
  <c r="A57" i="817"/>
  <c r="E49" i="817"/>
  <c r="E48" i="817"/>
  <c r="E47" i="817"/>
  <c r="F46" i="817"/>
  <c r="E46" i="817"/>
  <c r="F45" i="817"/>
  <c r="E45" i="817"/>
  <c r="E44" i="817"/>
  <c r="E43" i="817"/>
  <c r="E42" i="817"/>
  <c r="E41" i="817"/>
  <c r="E40" i="817"/>
  <c r="E39" i="817"/>
  <c r="I38" i="817"/>
  <c r="H38" i="817"/>
  <c r="E38" i="817"/>
  <c r="D38" i="817"/>
  <c r="I37" i="817"/>
  <c r="H37" i="817"/>
  <c r="E37" i="817"/>
  <c r="D37" i="817"/>
  <c r="I36" i="817"/>
  <c r="H36" i="817"/>
  <c r="E36" i="817"/>
  <c r="D36" i="817"/>
  <c r="I35" i="817"/>
  <c r="H35" i="817"/>
  <c r="E35" i="817"/>
  <c r="D35" i="817"/>
  <c r="I34" i="817"/>
  <c r="H34" i="817"/>
  <c r="E34" i="817"/>
  <c r="D34" i="817"/>
  <c r="I33" i="817"/>
  <c r="H33" i="817"/>
  <c r="E33" i="817"/>
  <c r="D33" i="817"/>
  <c r="I32" i="817"/>
  <c r="H32" i="817"/>
  <c r="E32" i="817"/>
  <c r="D32" i="817"/>
  <c r="I31" i="817"/>
  <c r="H31" i="817"/>
  <c r="E31" i="817"/>
  <c r="D31" i="817"/>
  <c r="A30" i="817"/>
  <c r="A29" i="817"/>
  <c r="E23" i="817"/>
  <c r="E22" i="817"/>
  <c r="E21" i="817"/>
  <c r="F20" i="817"/>
  <c r="E20" i="817"/>
  <c r="F19" i="817"/>
  <c r="E19" i="817"/>
  <c r="E18" i="817"/>
  <c r="E17" i="817"/>
  <c r="E16" i="817"/>
  <c r="E15" i="817"/>
  <c r="E14" i="817"/>
  <c r="E13" i="817"/>
  <c r="I12" i="817"/>
  <c r="H12" i="817"/>
  <c r="E12" i="817"/>
  <c r="D12" i="817"/>
  <c r="I11" i="817"/>
  <c r="H11" i="817"/>
  <c r="E11" i="817"/>
  <c r="D11" i="817"/>
  <c r="I10" i="817"/>
  <c r="H10" i="817"/>
  <c r="E10" i="817"/>
  <c r="D10" i="817"/>
  <c r="I9" i="817"/>
  <c r="H9" i="817"/>
  <c r="E9" i="817"/>
  <c r="D9" i="817"/>
  <c r="I8" i="817"/>
  <c r="H8" i="817"/>
  <c r="E8" i="817"/>
  <c r="D8" i="817"/>
  <c r="I7" i="817"/>
  <c r="H7" i="817"/>
  <c r="E7" i="817"/>
  <c r="D7" i="817"/>
  <c r="I6" i="817"/>
  <c r="H6" i="817"/>
  <c r="E6" i="817"/>
  <c r="D6" i="817"/>
  <c r="I5" i="817"/>
  <c r="H5" i="817"/>
  <c r="E5" i="817"/>
  <c r="D5" i="817"/>
  <c r="A4" i="817"/>
  <c r="A5" i="817" s="1"/>
  <c r="A6" i="817" s="1"/>
  <c r="A7" i="817" s="1"/>
  <c r="A8" i="817" s="1"/>
  <c r="A9" i="817" s="1"/>
  <c r="A10" i="817" s="1"/>
  <c r="E35" i="814"/>
  <c r="E34" i="814"/>
  <c r="E33" i="814"/>
  <c r="E32" i="814"/>
  <c r="F31" i="814"/>
  <c r="E31" i="814"/>
  <c r="F30" i="814"/>
  <c r="E30" i="814"/>
  <c r="E29" i="814"/>
  <c r="E28" i="814"/>
  <c r="E27" i="814"/>
  <c r="E26" i="814"/>
  <c r="E25" i="814"/>
  <c r="I24" i="814"/>
  <c r="H24" i="814"/>
  <c r="E24" i="814"/>
  <c r="D24" i="814"/>
  <c r="I23" i="814"/>
  <c r="H23" i="814"/>
  <c r="E23" i="814"/>
  <c r="D23" i="814"/>
  <c r="I22" i="814"/>
  <c r="H22" i="814"/>
  <c r="E22" i="814"/>
  <c r="D22" i="814"/>
  <c r="I21" i="814"/>
  <c r="H21" i="814"/>
  <c r="E21" i="814"/>
  <c r="D21" i="814"/>
  <c r="I20" i="814"/>
  <c r="H20" i="814"/>
  <c r="E20" i="814"/>
  <c r="D20" i="814"/>
  <c r="I19" i="814"/>
  <c r="H19" i="814"/>
  <c r="E19" i="814"/>
  <c r="D19" i="814"/>
  <c r="I18" i="814"/>
  <c r="H18" i="814"/>
  <c r="E18" i="814"/>
  <c r="D18" i="814"/>
  <c r="I17" i="814"/>
  <c r="H17" i="814"/>
  <c r="E17" i="814"/>
  <c r="D17" i="814"/>
  <c r="I16" i="814"/>
  <c r="H16" i="814"/>
  <c r="E16" i="814"/>
  <c r="D16" i="814"/>
  <c r="A15" i="814"/>
  <c r="B15" i="814" s="1"/>
  <c r="E4" i="814"/>
  <c r="E3" i="814"/>
  <c r="E47" i="811"/>
  <c r="E46" i="811"/>
  <c r="E45" i="811"/>
  <c r="E44" i="811"/>
  <c r="E43" i="811"/>
  <c r="E42" i="811"/>
  <c r="E41" i="811"/>
  <c r="E40" i="811"/>
  <c r="E39" i="811"/>
  <c r="I38" i="811"/>
  <c r="H38" i="811"/>
  <c r="E38" i="811"/>
  <c r="D38" i="811"/>
  <c r="I37" i="811"/>
  <c r="H37" i="811"/>
  <c r="E37" i="811"/>
  <c r="D37" i="811"/>
  <c r="I36" i="811"/>
  <c r="H36" i="811"/>
  <c r="E36" i="811"/>
  <c r="D36" i="811"/>
  <c r="I35" i="811"/>
  <c r="H35" i="811"/>
  <c r="E35" i="811"/>
  <c r="D35" i="811"/>
  <c r="I34" i="811"/>
  <c r="H34" i="811"/>
  <c r="E34" i="811"/>
  <c r="D34" i="811"/>
  <c r="I33" i="811"/>
  <c r="H33" i="811"/>
  <c r="E33" i="811"/>
  <c r="D33" i="811"/>
  <c r="I32" i="811"/>
  <c r="H32" i="811"/>
  <c r="E32" i="811"/>
  <c r="D32" i="811"/>
  <c r="A32" i="811"/>
  <c r="A33" i="811" s="1"/>
  <c r="A34" i="811" s="1"/>
  <c r="A35" i="811" s="1"/>
  <c r="A36" i="811" s="1"/>
  <c r="A37" i="811" s="1"/>
  <c r="A38" i="811" s="1"/>
  <c r="A39" i="811" s="1"/>
  <c r="A40" i="811" s="1"/>
  <c r="H31" i="811"/>
  <c r="E31" i="811"/>
  <c r="D31" i="811"/>
  <c r="A31" i="811"/>
  <c r="D30" i="811"/>
  <c r="B30" i="811"/>
  <c r="A30" i="811"/>
  <c r="A28" i="811"/>
  <c r="E22" i="811"/>
  <c r="E21" i="811"/>
  <c r="E20" i="811"/>
  <c r="E19" i="811"/>
  <c r="E18" i="811"/>
  <c r="E17" i="811"/>
  <c r="E16" i="811"/>
  <c r="E15" i="811"/>
  <c r="E14" i="811"/>
  <c r="I13" i="811"/>
  <c r="H13" i="811"/>
  <c r="E13" i="811"/>
  <c r="D13" i="811"/>
  <c r="I12" i="811"/>
  <c r="H12" i="811"/>
  <c r="E12" i="811"/>
  <c r="D12" i="811"/>
  <c r="I11" i="811"/>
  <c r="H11" i="811"/>
  <c r="E11" i="811"/>
  <c r="D11" i="811"/>
  <c r="I10" i="811"/>
  <c r="H10" i="811"/>
  <c r="E10" i="811"/>
  <c r="D10" i="811"/>
  <c r="I9" i="811"/>
  <c r="H9" i="811"/>
  <c r="E9" i="811"/>
  <c r="D9" i="811"/>
  <c r="I8" i="811"/>
  <c r="H8" i="811"/>
  <c r="E8" i="811"/>
  <c r="D8" i="811"/>
  <c r="I7" i="811"/>
  <c r="H7" i="811"/>
  <c r="E7" i="811"/>
  <c r="D7" i="811"/>
  <c r="A7" i="811"/>
  <c r="A8" i="811" s="1"/>
  <c r="A9" i="811" s="1"/>
  <c r="A10" i="811" s="1"/>
  <c r="A11" i="811" s="1"/>
  <c r="A12" i="811" s="1"/>
  <c r="A13" i="811" s="1"/>
  <c r="A14" i="811" s="1"/>
  <c r="A15" i="811" s="1"/>
  <c r="H6" i="811"/>
  <c r="E6" i="811"/>
  <c r="D6" i="811"/>
  <c r="A6" i="811"/>
  <c r="D5" i="811"/>
  <c r="B5" i="811"/>
  <c r="A5" i="811"/>
  <c r="A3" i="811"/>
  <c r="AE27" i="810"/>
  <c r="X26" i="810"/>
  <c r="W26" i="810"/>
  <c r="AO25" i="810"/>
  <c r="AN25" i="810"/>
  <c r="AL25" i="810"/>
  <c r="AM25" i="810" s="1"/>
  <c r="AK25" i="810"/>
  <c r="AJ25" i="810"/>
  <c r="AI25" i="810"/>
  <c r="AG25" i="810"/>
  <c r="AD25" i="810"/>
  <c r="AB25" i="810" s="1"/>
  <c r="X25" i="810"/>
  <c r="W25" i="810"/>
  <c r="G25" i="810"/>
  <c r="AO24" i="810"/>
  <c r="AN24" i="810"/>
  <c r="AL24" i="810"/>
  <c r="AM24" i="810" s="1"/>
  <c r="AK24" i="810"/>
  <c r="AJ24" i="810"/>
  <c r="AI24" i="810"/>
  <c r="AG24" i="810"/>
  <c r="AB24" i="810" s="1"/>
  <c r="AD24" i="810"/>
  <c r="X24" i="810"/>
  <c r="W24" i="810"/>
  <c r="G24" i="810"/>
  <c r="AO23" i="810"/>
  <c r="AN23" i="810"/>
  <c r="AL23" i="810"/>
  <c r="AM23" i="810" s="1"/>
  <c r="AK23" i="810"/>
  <c r="AJ23" i="810"/>
  <c r="AI23" i="810"/>
  <c r="AG23" i="810"/>
  <c r="AD23" i="810"/>
  <c r="AB23" i="810" s="1"/>
  <c r="X23" i="810"/>
  <c r="W23" i="810"/>
  <c r="G23" i="810"/>
  <c r="AO22" i="810"/>
  <c r="AN22" i="810"/>
  <c r="AL22" i="810"/>
  <c r="AM22" i="810" s="1"/>
  <c r="AK22" i="810"/>
  <c r="AJ22" i="810"/>
  <c r="AI22" i="810"/>
  <c r="AG22" i="810"/>
  <c r="AD22" i="810"/>
  <c r="AB22" i="810" s="1"/>
  <c r="X22" i="810"/>
  <c r="W22" i="810"/>
  <c r="G22" i="810"/>
  <c r="AO21" i="810"/>
  <c r="AN21" i="810"/>
  <c r="AL21" i="810"/>
  <c r="AM21" i="810" s="1"/>
  <c r="AK21" i="810"/>
  <c r="AJ21" i="810"/>
  <c r="AI21" i="810"/>
  <c r="AG21" i="810"/>
  <c r="AB21" i="810" s="1"/>
  <c r="AD21" i="810"/>
  <c r="X21" i="810"/>
  <c r="W21" i="810"/>
  <c r="G21" i="810"/>
  <c r="AO20" i="810"/>
  <c r="AN20" i="810"/>
  <c r="AL20" i="810"/>
  <c r="AM20" i="810" s="1"/>
  <c r="AK20" i="810"/>
  <c r="AJ20" i="810"/>
  <c r="AI20" i="810"/>
  <c r="AG20" i="810"/>
  <c r="AD20" i="810"/>
  <c r="AB20" i="810" s="1"/>
  <c r="X20" i="810"/>
  <c r="W20" i="810"/>
  <c r="G20" i="810"/>
  <c r="AO19" i="810"/>
  <c r="AN19" i="810"/>
  <c r="AL19" i="810"/>
  <c r="AM19" i="810" s="1"/>
  <c r="AK19" i="810"/>
  <c r="AJ19" i="810"/>
  <c r="AI19" i="810"/>
  <c r="AG19" i="810"/>
  <c r="AD19" i="810"/>
  <c r="AB19" i="810" s="1"/>
  <c r="X19" i="810"/>
  <c r="W19" i="810"/>
  <c r="G19" i="810"/>
  <c r="AO18" i="810"/>
  <c r="AN18" i="810"/>
  <c r="AL18" i="810"/>
  <c r="AM18" i="810" s="1"/>
  <c r="AK18" i="810"/>
  <c r="AJ18" i="810"/>
  <c r="AI18" i="810"/>
  <c r="AG18" i="810"/>
  <c r="AB18" i="810" s="1"/>
  <c r="AD18" i="810"/>
  <c r="X18" i="810"/>
  <c r="W18" i="810"/>
  <c r="G18" i="810"/>
  <c r="AO17" i="810"/>
  <c r="AN17" i="810"/>
  <c r="AL17" i="810"/>
  <c r="AM17" i="810" s="1"/>
  <c r="AK17" i="810"/>
  <c r="AJ17" i="810"/>
  <c r="AI17" i="810"/>
  <c r="AG17" i="810"/>
  <c r="AD17" i="810"/>
  <c r="AB17" i="810" s="1"/>
  <c r="X17" i="810"/>
  <c r="W17" i="810"/>
  <c r="G17" i="810"/>
  <c r="AO16" i="810"/>
  <c r="AN16" i="810"/>
  <c r="AL16" i="810"/>
  <c r="AM16" i="810" s="1"/>
  <c r="AK16" i="810"/>
  <c r="AJ16" i="810"/>
  <c r="AI16" i="810"/>
  <c r="AG16" i="810"/>
  <c r="AD16" i="810"/>
  <c r="AB16" i="810" s="1"/>
  <c r="X16" i="810"/>
  <c r="W16" i="810"/>
  <c r="G16" i="810"/>
  <c r="AO15" i="810"/>
  <c r="AN15" i="810"/>
  <c r="AL15" i="810"/>
  <c r="AM15" i="810" s="1"/>
  <c r="AK15" i="810"/>
  <c r="AJ15" i="810"/>
  <c r="AI15" i="810"/>
  <c r="AG15" i="810"/>
  <c r="AD15" i="810"/>
  <c r="AB15" i="810" s="1"/>
  <c r="X15" i="810"/>
  <c r="W15" i="810"/>
  <c r="G15" i="810"/>
  <c r="AO14" i="810"/>
  <c r="AN14" i="810"/>
  <c r="AL14" i="810"/>
  <c r="AM14" i="810" s="1"/>
  <c r="AK14" i="810"/>
  <c r="AJ14" i="810"/>
  <c r="AI14" i="810"/>
  <c r="AG14" i="810"/>
  <c r="AD14" i="810"/>
  <c r="AB14" i="810" s="1"/>
  <c r="X14" i="810"/>
  <c r="W14" i="810"/>
  <c r="G14" i="810"/>
  <c r="AO13" i="810"/>
  <c r="AN13" i="810"/>
  <c r="AL13" i="810"/>
  <c r="AM13" i="810" s="1"/>
  <c r="AK13" i="810"/>
  <c r="AJ13" i="810"/>
  <c r="AI13" i="810"/>
  <c r="AG13" i="810"/>
  <c r="AD13" i="810"/>
  <c r="AB13" i="810" s="1"/>
  <c r="X13" i="810"/>
  <c r="W13" i="810"/>
  <c r="G13" i="810"/>
  <c r="AO12" i="810"/>
  <c r="AN12" i="810"/>
  <c r="AL12" i="810"/>
  <c r="AM12" i="810" s="1"/>
  <c r="AK12" i="810"/>
  <c r="AJ12" i="810"/>
  <c r="AI12" i="810"/>
  <c r="AG12" i="810"/>
  <c r="AD12" i="810"/>
  <c r="AB12" i="810" s="1"/>
  <c r="X12" i="810"/>
  <c r="W12" i="810"/>
  <c r="G12" i="810"/>
  <c r="AO11" i="810"/>
  <c r="AP11" i="810" s="1"/>
  <c r="AL11" i="810"/>
  <c r="AM11" i="810" s="1"/>
  <c r="AK11" i="810"/>
  <c r="AJ11" i="810"/>
  <c r="AI11" i="810"/>
  <c r="AG11" i="810"/>
  <c r="AD11" i="810"/>
  <c r="AB11" i="810" s="1"/>
  <c r="X11" i="810"/>
  <c r="W11" i="810"/>
  <c r="G11" i="810"/>
  <c r="AO10" i="810"/>
  <c r="AL10" i="810"/>
  <c r="AM10" i="810" s="1"/>
  <c r="AK10" i="810"/>
  <c r="AJ10" i="810"/>
  <c r="AI10" i="810"/>
  <c r="AG10" i="810"/>
  <c r="AD10" i="810"/>
  <c r="AB10" i="810"/>
  <c r="X10" i="810"/>
  <c r="W10" i="810"/>
  <c r="G10" i="810"/>
  <c r="AO9" i="810"/>
  <c r="AL9" i="810"/>
  <c r="AM9" i="810" s="1"/>
  <c r="AK9" i="810"/>
  <c r="AJ9" i="810"/>
  <c r="AI9" i="810"/>
  <c r="AG9" i="810"/>
  <c r="AB9" i="810" s="1"/>
  <c r="AD9" i="810"/>
  <c r="X9" i="810"/>
  <c r="W9" i="810"/>
  <c r="G9" i="810"/>
  <c r="AO8" i="810"/>
  <c r="AL8" i="810"/>
  <c r="AM8" i="810" s="1"/>
  <c r="AK8" i="810"/>
  <c r="AJ8" i="810"/>
  <c r="AI8" i="810"/>
  <c r="AG8" i="810"/>
  <c r="AD8" i="810"/>
  <c r="AB8" i="810"/>
  <c r="X8" i="810"/>
  <c r="W8" i="810"/>
  <c r="G8" i="810"/>
  <c r="AO7" i="810"/>
  <c r="AP6" i="810" s="1"/>
  <c r="AL7" i="810"/>
  <c r="AM7" i="810" s="1"/>
  <c r="AK7" i="810"/>
  <c r="AJ7" i="810"/>
  <c r="AI7" i="810"/>
  <c r="AG7" i="810"/>
  <c r="AD7" i="810"/>
  <c r="AB7" i="810" s="1"/>
  <c r="X7" i="810"/>
  <c r="W7" i="810"/>
  <c r="G7" i="810"/>
  <c r="AO6" i="810"/>
  <c r="AL6" i="810"/>
  <c r="AM6" i="810" s="1"/>
  <c r="AK6" i="810"/>
  <c r="AJ6" i="810"/>
  <c r="AI6" i="810"/>
  <c r="AG6" i="810"/>
  <c r="AD6" i="810"/>
  <c r="AB6" i="810" s="1"/>
  <c r="X6" i="810"/>
  <c r="W6" i="810"/>
  <c r="G6" i="810"/>
  <c r="AO5" i="810"/>
  <c r="AN5" i="810"/>
  <c r="AN27" i="810" s="1"/>
  <c r="AL5" i="810"/>
  <c r="AM5" i="810" s="1"/>
  <c r="AK5" i="810"/>
  <c r="AJ5" i="810"/>
  <c r="AI5" i="810"/>
  <c r="AG5" i="810"/>
  <c r="AG1" i="810" s="1"/>
  <c r="AD5" i="810"/>
  <c r="AB5" i="810" s="1"/>
  <c r="X5" i="810"/>
  <c r="W5" i="810"/>
  <c r="G5" i="810"/>
  <c r="AO4" i="810"/>
  <c r="AP3" i="810" s="1"/>
  <c r="AM4" i="810"/>
  <c r="AL4" i="810"/>
  <c r="AK4" i="810"/>
  <c r="AJ4" i="810"/>
  <c r="AI4" i="810"/>
  <c r="AG4" i="810"/>
  <c r="AD4" i="810"/>
  <c r="AB4" i="810" s="1"/>
  <c r="X4" i="810"/>
  <c r="W4" i="810"/>
  <c r="U4" i="810"/>
  <c r="U5" i="810" s="1"/>
  <c r="G4" i="810"/>
  <c r="AO3" i="810"/>
  <c r="AL3" i="810"/>
  <c r="AM3" i="810" s="1"/>
  <c r="AM27" i="810" s="1"/>
  <c r="AK3" i="810"/>
  <c r="AK27" i="810" s="1"/>
  <c r="AJ3" i="810"/>
  <c r="AJ27" i="810" s="1"/>
  <c r="AI3" i="810"/>
  <c r="AG3" i="810"/>
  <c r="AD3" i="810"/>
  <c r="AD27" i="810" s="1"/>
  <c r="AB3" i="810"/>
  <c r="X3" i="810"/>
  <c r="W3" i="810"/>
  <c r="Z3" i="810" s="1"/>
  <c r="G3" i="810"/>
  <c r="AE474" i="842"/>
  <c r="AF469" i="842"/>
  <c r="AF461" i="842"/>
  <c r="AF457" i="842"/>
  <c r="AE453" i="842"/>
  <c r="AF431" i="842"/>
  <c r="AF481" i="842"/>
  <c r="AE477" i="842"/>
  <c r="AF473" i="842"/>
  <c r="AF452" i="842"/>
  <c r="AF426" i="842"/>
  <c r="AE421" i="842"/>
  <c r="AE480" i="842"/>
  <c r="AE476" i="842"/>
  <c r="AF451" i="842"/>
  <c r="AF425" i="842"/>
  <c r="AF471" i="842"/>
  <c r="AF459" i="842"/>
  <c r="AE451" i="842"/>
  <c r="AF433" i="842"/>
  <c r="AF429" i="842"/>
  <c r="AE425" i="842"/>
  <c r="AF424" i="842"/>
  <c r="AF479" i="842"/>
  <c r="AF475" i="842"/>
  <c r="AE471" i="842"/>
  <c r="AE459" i="842"/>
  <c r="AF455" i="842"/>
  <c r="AE433" i="842"/>
  <c r="AF470" i="842"/>
  <c r="AF458" i="842"/>
  <c r="AE450" i="842"/>
  <c r="AF432" i="842"/>
  <c r="AE428" i="842"/>
  <c r="AF478" i="842"/>
  <c r="AE470" i="842"/>
  <c r="AF462" i="842"/>
  <c r="AE458" i="842"/>
  <c r="AF454" i="842"/>
  <c r="AE432" i="842"/>
  <c r="AF427" i="842"/>
  <c r="AE481" i="842"/>
  <c r="AF453" i="842"/>
  <c r="AE452" i="842"/>
  <c r="AF413" i="842"/>
  <c r="AE409" i="842"/>
  <c r="AE404" i="842"/>
  <c r="AE392" i="842"/>
  <c r="AE469" i="842"/>
  <c r="AE454" i="842"/>
  <c r="AF450" i="842"/>
  <c r="AE408" i="842"/>
  <c r="AE403" i="842"/>
  <c r="AF395" i="842"/>
  <c r="AF391" i="842"/>
  <c r="AE387" i="842"/>
  <c r="AF474" i="842"/>
  <c r="AE473" i="842"/>
  <c r="AE423" i="842"/>
  <c r="AF407" i="842"/>
  <c r="AE402" i="842"/>
  <c r="AF394" i="842"/>
  <c r="AE390" i="842"/>
  <c r="AE475" i="842"/>
  <c r="AF460" i="842"/>
  <c r="AE431" i="842"/>
  <c r="AF430" i="842"/>
  <c r="AF421" i="842"/>
  <c r="AF411" i="842"/>
  <c r="AE407" i="842"/>
  <c r="AE394" i="842"/>
  <c r="AF389" i="842"/>
  <c r="AF477" i="842"/>
  <c r="AF476" i="842"/>
  <c r="AE461" i="842"/>
  <c r="AE460" i="842"/>
  <c r="AE430" i="842"/>
  <c r="AE411" i="842"/>
  <c r="AE389" i="842"/>
  <c r="AE479" i="842"/>
  <c r="AE429" i="842"/>
  <c r="AF414" i="842"/>
  <c r="AF410" i="842"/>
  <c r="AE406" i="842"/>
  <c r="AF405" i="842"/>
  <c r="AE393" i="842"/>
  <c r="AF480" i="842"/>
  <c r="AF428" i="842"/>
  <c r="AF422" i="842"/>
  <c r="AE414" i="842"/>
  <c r="AE410" i="842"/>
  <c r="AE405" i="842"/>
  <c r="AE455" i="842"/>
  <c r="AE424" i="842"/>
  <c r="AF390" i="842"/>
  <c r="AE384" i="842"/>
  <c r="AF376" i="842"/>
  <c r="AF372" i="842"/>
  <c r="AE368" i="842"/>
  <c r="AF367" i="842"/>
  <c r="AE355" i="842"/>
  <c r="AE478" i="842"/>
  <c r="AF406" i="842"/>
  <c r="AF392" i="842"/>
  <c r="AE391" i="842"/>
  <c r="AF388" i="842"/>
  <c r="AE376" i="842"/>
  <c r="AE372" i="842"/>
  <c r="AE367" i="842"/>
  <c r="AE422" i="842"/>
  <c r="AE395" i="842"/>
  <c r="AE375" i="842"/>
  <c r="AF370" i="842"/>
  <c r="AF365" i="842"/>
  <c r="AF472" i="842"/>
  <c r="AE370" i="842"/>
  <c r="AE365" i="842"/>
  <c r="AF357" i="842"/>
  <c r="AF353" i="842"/>
  <c r="AE472" i="842"/>
  <c r="AF412" i="842"/>
  <c r="AF374" i="842"/>
  <c r="AE357" i="842"/>
  <c r="AE353" i="842"/>
  <c r="AF456" i="842"/>
  <c r="AE413" i="842"/>
  <c r="AE412" i="842"/>
  <c r="AF386" i="842"/>
  <c r="AE374" i="842"/>
  <c r="AF364" i="842"/>
  <c r="K469" i="842"/>
  <c r="AF385" i="842"/>
  <c r="AF373" i="842"/>
  <c r="AE369" i="842"/>
  <c r="AE356" i="842"/>
  <c r="AF404" i="842"/>
  <c r="AF402" i="842"/>
  <c r="AF384" i="842"/>
  <c r="AF368" i="842"/>
  <c r="AF355" i="842"/>
  <c r="AE456" i="842"/>
  <c r="AE351" i="842"/>
  <c r="AE338" i="842"/>
  <c r="AE334" i="842"/>
  <c r="AE329" i="842"/>
  <c r="AF312" i="842"/>
  <c r="AF345" i="842"/>
  <c r="AF333" i="842"/>
  <c r="AF328" i="842"/>
  <c r="AF316" i="842"/>
  <c r="AE388" i="842"/>
  <c r="AE383" i="842"/>
  <c r="AF354" i="842"/>
  <c r="AE332" i="842"/>
  <c r="AE327" i="842"/>
  <c r="AF319" i="842"/>
  <c r="AF315" i="842"/>
  <c r="AF403" i="842"/>
  <c r="AE385" i="842"/>
  <c r="AF375" i="842"/>
  <c r="AF371" i="842"/>
  <c r="AE354" i="842"/>
  <c r="AF349" i="842"/>
  <c r="AF336" i="842"/>
  <c r="AE319" i="842"/>
  <c r="AE315" i="842"/>
  <c r="AF409" i="842"/>
  <c r="AE371" i="842"/>
  <c r="AE349" i="842"/>
  <c r="AF348" i="842"/>
  <c r="AE336" i="842"/>
  <c r="AF326" i="842"/>
  <c r="AF314" i="842"/>
  <c r="AE386" i="842"/>
  <c r="AE348" i="842"/>
  <c r="AF331" i="842"/>
  <c r="AE326" i="842"/>
  <c r="AF318" i="842"/>
  <c r="AE314" i="842"/>
  <c r="AF423" i="842"/>
  <c r="AF408" i="842"/>
  <c r="AE457" i="842"/>
  <c r="AE373" i="842"/>
  <c r="AF369" i="842"/>
  <c r="AE364" i="842"/>
  <c r="AF351" i="842"/>
  <c r="AE346" i="842"/>
  <c r="AF338" i="842"/>
  <c r="AF334" i="842"/>
  <c r="AF366" i="842"/>
  <c r="AF330" i="842"/>
  <c r="AF309" i="842"/>
  <c r="AF297" i="842"/>
  <c r="AE293" i="842"/>
  <c r="AE280" i="842"/>
  <c r="AF387" i="842"/>
  <c r="AE366" i="842"/>
  <c r="K345" i="842"/>
  <c r="AE330" i="842"/>
  <c r="AF313" i="842"/>
  <c r="AE309" i="842"/>
  <c r="AE297" i="842"/>
  <c r="AE426" i="842"/>
  <c r="K421" i="842"/>
  <c r="AE345" i="842"/>
  <c r="AF327" i="842"/>
  <c r="AE318" i="842"/>
  <c r="AE300" i="842"/>
  <c r="AE296" i="842"/>
  <c r="AE291" i="842"/>
  <c r="AF350" i="842"/>
  <c r="AF307" i="842"/>
  <c r="AF295" i="842"/>
  <c r="AE350" i="842"/>
  <c r="AF317" i="842"/>
  <c r="AE307" i="842"/>
  <c r="AF299" i="842"/>
  <c r="AE295" i="842"/>
  <c r="AE290" i="842"/>
  <c r="AE278" i="842"/>
  <c r="AF356" i="842"/>
  <c r="AF335" i="842"/>
  <c r="AE317" i="842"/>
  <c r="AE299" i="842"/>
  <c r="AF294" i="842"/>
  <c r="AF289" i="842"/>
  <c r="AE462" i="842"/>
  <c r="AE352" i="842"/>
  <c r="AE337" i="842"/>
  <c r="AE331" i="842"/>
  <c r="AE310" i="842"/>
  <c r="AF293" i="842"/>
  <c r="AF347" i="842"/>
  <c r="AE335" i="842"/>
  <c r="AF296" i="842"/>
  <c r="AF292" i="842"/>
  <c r="AF288" i="842"/>
  <c r="AF277" i="842"/>
  <c r="AE273" i="842"/>
  <c r="AF272" i="842"/>
  <c r="AE260" i="842"/>
  <c r="AF250" i="842"/>
  <c r="AE347" i="842"/>
  <c r="AF332" i="842"/>
  <c r="AF298" i="842"/>
  <c r="AE292" i="842"/>
  <c r="AE288" i="842"/>
  <c r="AF278" i="842"/>
  <c r="AE277" i="842"/>
  <c r="AE272" i="842"/>
  <c r="AF255" i="842"/>
  <c r="AE250" i="842"/>
  <c r="AF242" i="842"/>
  <c r="AE313" i="842"/>
  <c r="AF275" i="842"/>
  <c r="AF270" i="842"/>
  <c r="AF254" i="842"/>
  <c r="AF337" i="842"/>
  <c r="AF290" i="842"/>
  <c r="AF280" i="842"/>
  <c r="AE275" i="842"/>
  <c r="AE270" i="842"/>
  <c r="AF262" i="842"/>
  <c r="AF258" i="842"/>
  <c r="AE254" i="842"/>
  <c r="AF253" i="842"/>
  <c r="AF383" i="842"/>
  <c r="AF352" i="842"/>
  <c r="AF308" i="842"/>
  <c r="AE262" i="842"/>
  <c r="AF346" i="842"/>
  <c r="AE308" i="842"/>
  <c r="AF269" i="842"/>
  <c r="AF257" i="842"/>
  <c r="AF393" i="842"/>
  <c r="AE311" i="842"/>
  <c r="AF281" i="842"/>
  <c r="AE256" i="842"/>
  <c r="AE251" i="842"/>
  <c r="AF243" i="842"/>
  <c r="AE312" i="842"/>
  <c r="AE281" i="842"/>
  <c r="AF273" i="842"/>
  <c r="AF260" i="842"/>
  <c r="AE252" i="842"/>
  <c r="AE239" i="842"/>
  <c r="AE234" i="842"/>
  <c r="AF217" i="842"/>
  <c r="AE212" i="842"/>
  <c r="AF204" i="842"/>
  <c r="AE200" i="842"/>
  <c r="AF329" i="842"/>
  <c r="AE294" i="842"/>
  <c r="AE289" i="842"/>
  <c r="AF238" i="842"/>
  <c r="AF233" i="842"/>
  <c r="AF221" i="842"/>
  <c r="AE217" i="842"/>
  <c r="AE204" i="842"/>
  <c r="AF310" i="842"/>
  <c r="AF274" i="842"/>
  <c r="AE269" i="842"/>
  <c r="AE237" i="842"/>
  <c r="AE232" i="842"/>
  <c r="AF224" i="842"/>
  <c r="AF220" i="842"/>
  <c r="AE216" i="842"/>
  <c r="AF215" i="842"/>
  <c r="AE203" i="842"/>
  <c r="AE274" i="842"/>
  <c r="AF259" i="842"/>
  <c r="AE257" i="842"/>
  <c r="AF241" i="842"/>
  <c r="AE224" i="842"/>
  <c r="AE220" i="842"/>
  <c r="AE215" i="842"/>
  <c r="AE333" i="842"/>
  <c r="AF261" i="842"/>
  <c r="AE259" i="842"/>
  <c r="AE258" i="842"/>
  <c r="AF256" i="842"/>
  <c r="AE241" i="842"/>
  <c r="AF231" i="842"/>
  <c r="AF219" i="842"/>
  <c r="AF214" i="842"/>
  <c r="AF202" i="842"/>
  <c r="AF271" i="842"/>
  <c r="AE261" i="842"/>
  <c r="AE243" i="842"/>
  <c r="AF236" i="842"/>
  <c r="AE316" i="842"/>
  <c r="AF279" i="842"/>
  <c r="AF276" i="842"/>
  <c r="AE253" i="842"/>
  <c r="AE242" i="842"/>
  <c r="AF235" i="842"/>
  <c r="AF222" i="842"/>
  <c r="AE205" i="842"/>
  <c r="AE201" i="842"/>
  <c r="AE279" i="842"/>
  <c r="AE276" i="842"/>
  <c r="AF252" i="842"/>
  <c r="AF239" i="842"/>
  <c r="AE235" i="842"/>
  <c r="AF234" i="842"/>
  <c r="AE222" i="842"/>
  <c r="AF212" i="842"/>
  <c r="AF237" i="842"/>
  <c r="AF232" i="842"/>
  <c r="AF205" i="842"/>
  <c r="AE198" i="842"/>
  <c r="AE185" i="842"/>
  <c r="AF180" i="842"/>
  <c r="AF175" i="842"/>
  <c r="AF251" i="842"/>
  <c r="AE233" i="842"/>
  <c r="AE202" i="842"/>
  <c r="AE180" i="842"/>
  <c r="AE175" i="842"/>
  <c r="AF167" i="842"/>
  <c r="AF163" i="842"/>
  <c r="AE255" i="842"/>
  <c r="AE238" i="842"/>
  <c r="AE214" i="842"/>
  <c r="AE213" i="842"/>
  <c r="AE197" i="842"/>
  <c r="AF196" i="842"/>
  <c r="AE184" i="842"/>
  <c r="AF174" i="842"/>
  <c r="K269" i="842"/>
  <c r="AE196" i="842"/>
  <c r="AE328" i="842"/>
  <c r="AF300" i="842"/>
  <c r="AF216" i="842"/>
  <c r="AF201" i="842"/>
  <c r="AF195" i="842"/>
  <c r="AF183" i="842"/>
  <c r="AE179" i="842"/>
  <c r="AE166" i="842"/>
  <c r="AF218" i="842"/>
  <c r="AE195" i="842"/>
  <c r="AE183" i="842"/>
  <c r="AE219" i="842"/>
  <c r="AE218" i="842"/>
  <c r="AF199" i="842"/>
  <c r="AF194" i="842"/>
  <c r="AF178" i="842"/>
  <c r="AF165" i="842"/>
  <c r="AF291" i="842"/>
  <c r="AF240" i="842"/>
  <c r="AF223" i="842"/>
  <c r="AF203" i="842"/>
  <c r="AF200" i="842"/>
  <c r="AF193" i="842"/>
  <c r="AF311" i="842"/>
  <c r="AE271" i="842"/>
  <c r="AF198" i="842"/>
  <c r="AF176" i="842"/>
  <c r="AE162" i="842"/>
  <c r="AE160" i="842"/>
  <c r="AE142" i="842"/>
  <c r="AE137" i="842"/>
  <c r="AF129" i="842"/>
  <c r="AF125" i="842"/>
  <c r="AE121" i="842"/>
  <c r="AE231" i="842"/>
  <c r="AF185" i="842"/>
  <c r="AF184" i="842"/>
  <c r="AE176" i="842"/>
  <c r="AE167" i="842"/>
  <c r="AF146" i="842"/>
  <c r="AE129" i="842"/>
  <c r="AE186" i="842"/>
  <c r="AE165" i="842"/>
  <c r="AE159" i="842"/>
  <c r="AF158" i="842"/>
  <c r="AF141" i="842"/>
  <c r="AE136" i="842"/>
  <c r="AF128" i="842"/>
  <c r="AE124" i="842"/>
  <c r="AE182" i="842"/>
  <c r="AE174" i="842"/>
  <c r="AF164" i="842"/>
  <c r="AF157" i="842"/>
  <c r="AE145" i="842"/>
  <c r="AE123" i="842"/>
  <c r="AE221" i="842"/>
  <c r="AF181" i="842"/>
  <c r="AE164" i="842"/>
  <c r="AE157" i="842"/>
  <c r="AF140" i="842"/>
  <c r="AF127" i="842"/>
  <c r="AE240" i="842"/>
  <c r="AE236" i="842"/>
  <c r="AF213" i="842"/>
  <c r="AE181" i="842"/>
  <c r="AF161" i="842"/>
  <c r="AF156" i="842"/>
  <c r="AF144" i="842"/>
  <c r="AE140" i="842"/>
  <c r="AF139" i="842"/>
  <c r="AE127" i="842"/>
  <c r="AE427" i="842"/>
  <c r="AE178" i="842"/>
  <c r="AF177" i="842"/>
  <c r="AF155" i="842"/>
  <c r="AF147" i="842"/>
  <c r="AE143" i="842"/>
  <c r="AE138" i="842"/>
  <c r="AE126" i="842"/>
  <c r="AE223" i="842"/>
  <c r="AE194" i="842"/>
  <c r="AE177" i="842"/>
  <c r="AF162" i="842"/>
  <c r="AF160" i="842"/>
  <c r="AE155" i="842"/>
  <c r="AE147" i="842"/>
  <c r="AF142" i="842"/>
  <c r="AF137" i="842"/>
  <c r="AE144" i="842"/>
  <c r="AE120" i="842"/>
  <c r="AF103" i="842"/>
  <c r="AE91" i="842"/>
  <c r="AE86" i="842"/>
  <c r="AE81" i="842"/>
  <c r="AF73" i="842"/>
  <c r="AE69" i="842"/>
  <c r="AE64" i="842"/>
  <c r="AF51" i="842"/>
  <c r="K212" i="842"/>
  <c r="AF119" i="842"/>
  <c r="AF107" i="842"/>
  <c r="AE103" i="842"/>
  <c r="AF90" i="842"/>
  <c r="AE73" i="842"/>
  <c r="AF68" i="842"/>
  <c r="AF63" i="842"/>
  <c r="AE51" i="842"/>
  <c r="AF46" i="842"/>
  <c r="AF33" i="842"/>
  <c r="AF197" i="842"/>
  <c r="AF186" i="842"/>
  <c r="AE158" i="842"/>
  <c r="AF145" i="842"/>
  <c r="AF121" i="842"/>
  <c r="AE119" i="842"/>
  <c r="AE298" i="842"/>
  <c r="AE141" i="842"/>
  <c r="AF136" i="842"/>
  <c r="AF122" i="842"/>
  <c r="AF118" i="842"/>
  <c r="AF102" i="842"/>
  <c r="AF85" i="842"/>
  <c r="AE80" i="842"/>
  <c r="AF72" i="842"/>
  <c r="AF67" i="842"/>
  <c r="AF62" i="842"/>
  <c r="AE50" i="842"/>
  <c r="AE45" i="842"/>
  <c r="H251" i="842"/>
  <c r="K231" i="842"/>
  <c r="AE199" i="842"/>
  <c r="AF159" i="842"/>
  <c r="AE125" i="842"/>
  <c r="AE110" i="842"/>
  <c r="AE106" i="842"/>
  <c r="AE101" i="842"/>
  <c r="AE89" i="842"/>
  <c r="AF71" i="842"/>
  <c r="AE54" i="842"/>
  <c r="AE49" i="842"/>
  <c r="AE44" i="842"/>
  <c r="AE32" i="842"/>
  <c r="AF138" i="842"/>
  <c r="AE128" i="842"/>
  <c r="AF124" i="842"/>
  <c r="AF117" i="842"/>
  <c r="AF105" i="842"/>
  <c r="AF100" i="842"/>
  <c r="AF84" i="842"/>
  <c r="AE71" i="842"/>
  <c r="AF61" i="842"/>
  <c r="AF48" i="842"/>
  <c r="AF43" i="842"/>
  <c r="AE156" i="842"/>
  <c r="AF123" i="842"/>
  <c r="AE117" i="842"/>
  <c r="AF109" i="842"/>
  <c r="AE105" i="842"/>
  <c r="AE100" i="842"/>
  <c r="AF88" i="842"/>
  <c r="AE84" i="842"/>
  <c r="AF83" i="842"/>
  <c r="AF66" i="842"/>
  <c r="AE61" i="842"/>
  <c r="AF53" i="842"/>
  <c r="AE48" i="842"/>
  <c r="AE43" i="842"/>
  <c r="AF35" i="842"/>
  <c r="AF31" i="842"/>
  <c r="AF182" i="842"/>
  <c r="AF166" i="842"/>
  <c r="AE139" i="842"/>
  <c r="AE109" i="842"/>
  <c r="AF104" i="842"/>
  <c r="AE193" i="842"/>
  <c r="AF179" i="842"/>
  <c r="AF148" i="842"/>
  <c r="AF108" i="842"/>
  <c r="AF98" i="842"/>
  <c r="AE87" i="842"/>
  <c r="AE82" i="842"/>
  <c r="AF65" i="842"/>
  <c r="AE52" i="842"/>
  <c r="AF47" i="842"/>
  <c r="AE163" i="842"/>
  <c r="AE161" i="842"/>
  <c r="AE148" i="842"/>
  <c r="AF120" i="842"/>
  <c r="AE108" i="842"/>
  <c r="AE98" i="842"/>
  <c r="AF91" i="842"/>
  <c r="AF86" i="842"/>
  <c r="AF81" i="842"/>
  <c r="AF69" i="842"/>
  <c r="AE65" i="842"/>
  <c r="AF64" i="842"/>
  <c r="AE47" i="842"/>
  <c r="AE34" i="842"/>
  <c r="AF29" i="842"/>
  <c r="AF143" i="842"/>
  <c r="AE72" i="842"/>
  <c r="AF32" i="842"/>
  <c r="AE31" i="842"/>
  <c r="AE24" i="842"/>
  <c r="AF16" i="842"/>
  <c r="AF12" i="842"/>
  <c r="AE102" i="842"/>
  <c r="AF99" i="842"/>
  <c r="AE53" i="842"/>
  <c r="AE33" i="842"/>
  <c r="AF30" i="842"/>
  <c r="AE16" i="842"/>
  <c r="AE12" i="842"/>
  <c r="AF8" i="842"/>
  <c r="AE107" i="842"/>
  <c r="AE99" i="842"/>
  <c r="AE83" i="842"/>
  <c r="AE68" i="842"/>
  <c r="AF49" i="842"/>
  <c r="AE35" i="842"/>
  <c r="AF34" i="842"/>
  <c r="AE30" i="842"/>
  <c r="AF23" i="842"/>
  <c r="AE8" i="842"/>
  <c r="AF7" i="842"/>
  <c r="AF92" i="842"/>
  <c r="AF87" i="842"/>
  <c r="AF54" i="842"/>
  <c r="AE29" i="842"/>
  <c r="AE23" i="842"/>
  <c r="AF15" i="842"/>
  <c r="AF11" i="842"/>
  <c r="AE7" i="842"/>
  <c r="AE92" i="842"/>
  <c r="AE15" i="842"/>
  <c r="AE11" i="842"/>
  <c r="AF6" i="842"/>
  <c r="AE146" i="842"/>
  <c r="AE118" i="842"/>
  <c r="AF50" i="842"/>
  <c r="AE6" i="842"/>
  <c r="AF110" i="842"/>
  <c r="AE88" i="842"/>
  <c r="AF44" i="842"/>
  <c r="AF42" i="842"/>
  <c r="AF27" i="842"/>
  <c r="AF14" i="842"/>
  <c r="AF10" i="842"/>
  <c r="AF5" i="842"/>
  <c r="AF70" i="842"/>
  <c r="AF45" i="842"/>
  <c r="AE42" i="842"/>
  <c r="AE27" i="842"/>
  <c r="AF26" i="842"/>
  <c r="AE14" i="842"/>
  <c r="AE10" i="842"/>
  <c r="AE5" i="842"/>
  <c r="AF101" i="842"/>
  <c r="AF89" i="842"/>
  <c r="AF80" i="842"/>
  <c r="AE70" i="842"/>
  <c r="AE66" i="842"/>
  <c r="AE62" i="842"/>
  <c r="AE46" i="842"/>
  <c r="AF28" i="842"/>
  <c r="AE26" i="842"/>
  <c r="AF4" i="842"/>
  <c r="AE85" i="842"/>
  <c r="AE28" i="842"/>
  <c r="AF25" i="842"/>
  <c r="AF13" i="842"/>
  <c r="AE4" i="842"/>
  <c r="AE122" i="842"/>
  <c r="AF106" i="842"/>
  <c r="AE25" i="842"/>
  <c r="AE13" i="842"/>
  <c r="AF9" i="842"/>
  <c r="AF126" i="842"/>
  <c r="AE104" i="842"/>
  <c r="AE90" i="842"/>
  <c r="AF82" i="842"/>
  <c r="AE67" i="842"/>
  <c r="AE63" i="842"/>
  <c r="AF52" i="842"/>
  <c r="AF24" i="842"/>
  <c r="AE9" i="842"/>
  <c r="K61" i="842"/>
  <c r="A16" i="814" l="1"/>
  <c r="A17" i="814" s="1"/>
  <c r="A18" i="814" s="1"/>
  <c r="A19" i="814" s="1"/>
  <c r="A20" i="814" s="1"/>
  <c r="A21" i="814" s="1"/>
  <c r="A22" i="814" s="1"/>
  <c r="A23" i="814" s="1"/>
  <c r="A24" i="814" s="1"/>
  <c r="A25" i="814" s="1"/>
  <c r="A26" i="814" s="1"/>
  <c r="U6" i="810"/>
  <c r="Z5" i="810"/>
  <c r="AC5" i="810" s="1"/>
  <c r="A11" i="817"/>
  <c r="A12" i="817"/>
  <c r="A13" i="817" s="1"/>
  <c r="A14" i="817" s="1"/>
  <c r="A15" i="817" s="1"/>
  <c r="A16" i="817" s="1"/>
  <c r="A17" i="817" s="1"/>
  <c r="A18" i="817" s="1"/>
  <c r="A19" i="817" s="1"/>
  <c r="A20" i="817" s="1"/>
  <c r="A21" i="817" s="1"/>
  <c r="A22" i="817" s="1"/>
  <c r="A23" i="817" s="1"/>
  <c r="A66" i="817"/>
  <c r="A65" i="817"/>
  <c r="A67" i="817" s="1"/>
  <c r="A68" i="817" s="1"/>
  <c r="A69" i="817" s="1"/>
  <c r="A70" i="817" s="1"/>
  <c r="A71" i="817" s="1"/>
  <c r="A72" i="817" s="1"/>
  <c r="A73" i="817" s="1"/>
  <c r="A74" i="817" s="1"/>
  <c r="A75" i="817" s="1"/>
  <c r="A76" i="817" s="1"/>
  <c r="A77" i="817" s="1"/>
  <c r="A138" i="820"/>
  <c r="A139" i="820" s="1"/>
  <c r="A140" i="820" s="1"/>
  <c r="A141" i="820" s="1"/>
  <c r="A142" i="820" s="1"/>
  <c r="A143" i="820" s="1"/>
  <c r="A144" i="820" s="1"/>
  <c r="A145" i="820" s="1"/>
  <c r="A146" i="820" s="1"/>
  <c r="A147" i="820" s="1"/>
  <c r="A148" i="820" s="1"/>
  <c r="A137" i="820"/>
  <c r="A40" i="820"/>
  <c r="A41" i="820" s="1"/>
  <c r="A42" i="820" s="1"/>
  <c r="A43" i="820" s="1"/>
  <c r="A44" i="820" s="1"/>
  <c r="A45" i="820" s="1"/>
  <c r="A46" i="820" s="1"/>
  <c r="A47" i="820" s="1"/>
  <c r="A39" i="820"/>
  <c r="A126" i="822"/>
  <c r="A115" i="822"/>
  <c r="A116" i="822" s="1"/>
  <c r="A82" i="822"/>
  <c r="A83" i="822" s="1"/>
  <c r="A93" i="822"/>
  <c r="AC3" i="810"/>
  <c r="A178" i="822"/>
  <c r="A179" i="822" s="1"/>
  <c r="A189" i="822"/>
  <c r="AB27" i="810"/>
  <c r="A66" i="820"/>
  <c r="A220" i="822"/>
  <c r="A209" i="822"/>
  <c r="A210" i="822" s="1"/>
  <c r="A251" i="822"/>
  <c r="A240" i="822"/>
  <c r="A241" i="822" s="1"/>
  <c r="I10" i="842"/>
  <c r="AB11" i="842"/>
  <c r="AB12" i="842" s="1"/>
  <c r="W26" i="842"/>
  <c r="W27" i="842" s="1"/>
  <c r="W28" i="842" s="1"/>
  <c r="W29" i="842" s="1"/>
  <c r="W30" i="842" s="1"/>
  <c r="W31" i="842" s="1"/>
  <c r="W32" i="842" s="1"/>
  <c r="W33" i="842" s="1"/>
  <c r="D25" i="842"/>
  <c r="U50" i="842"/>
  <c r="W64" i="842"/>
  <c r="W65" i="842" s="1"/>
  <c r="W66" i="842" s="1"/>
  <c r="W67" i="842" s="1"/>
  <c r="W68" i="842" s="1"/>
  <c r="W69" i="842" s="1"/>
  <c r="W70" i="842" s="1"/>
  <c r="W71" i="842" s="1"/>
  <c r="D63" i="842"/>
  <c r="A33" i="821"/>
  <c r="A34" i="821" s="1"/>
  <c r="A35" i="821" s="1"/>
  <c r="A36" i="821" s="1"/>
  <c r="A37" i="821" s="1"/>
  <c r="A38" i="821" s="1"/>
  <c r="A39" i="821" s="1"/>
  <c r="A40" i="821" s="1"/>
  <c r="A41" i="821" s="1"/>
  <c r="A42" i="821" s="1"/>
  <c r="D32" i="821"/>
  <c r="B32" i="821"/>
  <c r="A30" i="821"/>
  <c r="A29" i="821"/>
  <c r="D6" i="842"/>
  <c r="W7" i="842"/>
  <c r="W8" i="842" s="1"/>
  <c r="W9" i="842" s="1"/>
  <c r="W10" i="842" s="1"/>
  <c r="W11" i="842" s="1"/>
  <c r="W12" i="842" s="1"/>
  <c r="W13" i="842" s="1"/>
  <c r="W14" i="842" s="1"/>
  <c r="AC11" i="842"/>
  <c r="AC12" i="842" s="1"/>
  <c r="D10" i="842"/>
  <c r="R29" i="842"/>
  <c r="R30" i="842" s="1"/>
  <c r="R31" i="842" s="1"/>
  <c r="H28" i="842"/>
  <c r="AC30" i="842"/>
  <c r="AC31" i="842" s="1"/>
  <c r="D29" i="842"/>
  <c r="Z48" i="842"/>
  <c r="Z49" i="842" s="1"/>
  <c r="I47" i="842"/>
  <c r="U69" i="842"/>
  <c r="I103" i="842"/>
  <c r="Z104" i="842"/>
  <c r="Z105" i="842" s="1"/>
  <c r="A3" i="817"/>
  <c r="I5" i="842"/>
  <c r="X6" i="842"/>
  <c r="X7" i="842" s="1"/>
  <c r="D7" i="842"/>
  <c r="Y8" i="842"/>
  <c r="Y9" i="842" s="1"/>
  <c r="Y10" i="842" s="1"/>
  <c r="Y11" i="842" s="1"/>
  <c r="Y12" i="842" s="1"/>
  <c r="Y13" i="842" s="1"/>
  <c r="U31" i="842"/>
  <c r="Y71" i="842"/>
  <c r="D70" i="842"/>
  <c r="V24" i="842"/>
  <c r="V25" i="842" s="1"/>
  <c r="I23" i="842"/>
  <c r="AC49" i="842"/>
  <c r="AC50" i="842" s="1"/>
  <c r="D48" i="842"/>
  <c r="B4" i="817"/>
  <c r="Z10" i="842"/>
  <c r="Z11" i="842" s="1"/>
  <c r="I9" i="842"/>
  <c r="V16" i="842"/>
  <c r="I16" i="842" s="1"/>
  <c r="I15" i="842"/>
  <c r="X25" i="842"/>
  <c r="X26" i="842" s="1"/>
  <c r="I24" i="842"/>
  <c r="D53" i="842"/>
  <c r="W53" i="842"/>
  <c r="I67" i="842"/>
  <c r="AB68" i="842"/>
  <c r="AB69" i="842" s="1"/>
  <c r="Z86" i="842"/>
  <c r="Z87" i="842" s="1"/>
  <c r="I85" i="842"/>
  <c r="H4" i="842"/>
  <c r="F4" i="842"/>
  <c r="E4" i="842"/>
  <c r="O5" i="842"/>
  <c r="D9" i="842"/>
  <c r="AA10" i="842"/>
  <c r="AA11" i="842" s="1"/>
  <c r="H15" i="842"/>
  <c r="E15" i="842"/>
  <c r="M16" i="842"/>
  <c r="Y27" i="842"/>
  <c r="Y28" i="842" s="1"/>
  <c r="Y29" i="842" s="1"/>
  <c r="Y30" i="842" s="1"/>
  <c r="Y31" i="842" s="1"/>
  <c r="Y32" i="842" s="1"/>
  <c r="D26" i="842"/>
  <c r="X46" i="842"/>
  <c r="X47" i="842" s="1"/>
  <c r="X48" i="842" s="1"/>
  <c r="X49" i="842" s="1"/>
  <c r="X50" i="842" s="1"/>
  <c r="X51" i="842" s="1"/>
  <c r="I45" i="842"/>
  <c r="V92" i="842"/>
  <c r="I92" i="842" s="1"/>
  <c r="I91" i="842"/>
  <c r="Z4" i="810"/>
  <c r="AC4" i="810" s="1"/>
  <c r="H34" i="842"/>
  <c r="M35" i="842"/>
  <c r="E34" i="842"/>
  <c r="I66" i="842"/>
  <c r="Z67" i="842"/>
  <c r="Z68" i="842" s="1"/>
  <c r="A35" i="842"/>
  <c r="A34" i="842"/>
  <c r="Z29" i="842"/>
  <c r="Z30" i="842" s="1"/>
  <c r="I28" i="842"/>
  <c r="R62" i="842"/>
  <c r="R63" i="842" s="1"/>
  <c r="R64" i="842" s="1"/>
  <c r="R65" i="842" s="1"/>
  <c r="R66" i="842" s="1"/>
  <c r="G61" i="842"/>
  <c r="Q82" i="842"/>
  <c r="A31" i="817"/>
  <c r="A32" i="817" s="1"/>
  <c r="A33" i="817" s="1"/>
  <c r="A34" i="817" s="1"/>
  <c r="A35" i="817" s="1"/>
  <c r="A36" i="817" s="1"/>
  <c r="B30" i="817"/>
  <c r="A7" i="822"/>
  <c r="A8" i="822" s="1"/>
  <c r="A9" i="822" s="1"/>
  <c r="A10" i="822" s="1"/>
  <c r="A11" i="822" s="1"/>
  <c r="A12" i="822" s="1"/>
  <c r="A13" i="822" s="1"/>
  <c r="A14" i="822" s="1"/>
  <c r="A15" i="822" s="1"/>
  <c r="A16" i="822" s="1"/>
  <c r="D6" i="822"/>
  <c r="B6" i="822"/>
  <c r="A4" i="822"/>
  <c r="A3" i="822"/>
  <c r="H23" i="842"/>
  <c r="F23" i="842"/>
  <c r="E23" i="842"/>
  <c r="O24" i="842"/>
  <c r="D28" i="842"/>
  <c r="AA29" i="842"/>
  <c r="AA30" i="842" s="1"/>
  <c r="E6" i="842"/>
  <c r="P7" i="842"/>
  <c r="E25" i="842"/>
  <c r="P26" i="842"/>
  <c r="AB30" i="842"/>
  <c r="AB31" i="842" s="1"/>
  <c r="I29" i="842"/>
  <c r="AA48" i="842"/>
  <c r="AA49" i="842" s="1"/>
  <c r="D47" i="842"/>
  <c r="AA86" i="842"/>
  <c r="AA87" i="842" s="1"/>
  <c r="D85" i="842"/>
  <c r="AB124" i="842"/>
  <c r="AB125" i="842" s="1"/>
  <c r="I123" i="842"/>
  <c r="AL27" i="810"/>
  <c r="A99" i="820"/>
  <c r="A100" i="820" s="1"/>
  <c r="A101" i="820" s="1"/>
  <c r="A102" i="820" s="1"/>
  <c r="A103" i="820" s="1"/>
  <c r="A104" i="820" s="1"/>
  <c r="A105" i="820" s="1"/>
  <c r="A106" i="820" s="1"/>
  <c r="A107" i="820" s="1"/>
  <c r="A108" i="820" s="1"/>
  <c r="A109" i="820" s="1"/>
  <c r="A110" i="820" s="1"/>
  <c r="A111" i="820" s="1"/>
  <c r="A112" i="820" s="1"/>
  <c r="A113" i="820" s="1"/>
  <c r="A114" i="820" s="1"/>
  <c r="A115" i="820" s="1"/>
  <c r="A116" i="820" s="1"/>
  <c r="A117" i="820" s="1"/>
  <c r="A118" i="820" s="1"/>
  <c r="A119" i="820" s="1"/>
  <c r="B98" i="820"/>
  <c r="Q7" i="842"/>
  <c r="Q8" i="842" s="1"/>
  <c r="E63" i="842"/>
  <c r="P64" i="842"/>
  <c r="AC87" i="842"/>
  <c r="AC88" i="842" s="1"/>
  <c r="D86" i="842"/>
  <c r="V99" i="842"/>
  <c r="V100" i="842" s="1"/>
  <c r="I98" i="842"/>
  <c r="A50" i="822"/>
  <c r="A51" i="822" s="1"/>
  <c r="A61" i="822"/>
  <c r="U12" i="842"/>
  <c r="Q26" i="842"/>
  <c r="Q27" i="842" s="1"/>
  <c r="E44" i="842"/>
  <c r="P45" i="842"/>
  <c r="U88" i="842"/>
  <c r="U106" i="842"/>
  <c r="I104" i="842"/>
  <c r="AB105" i="842"/>
  <c r="AB106" i="842" s="1"/>
  <c r="A136" i="822"/>
  <c r="A137" i="822" s="1"/>
  <c r="A138" i="822" s="1"/>
  <c r="A139" i="822" s="1"/>
  <c r="A140" i="822" s="1"/>
  <c r="A141" i="822" s="1"/>
  <c r="A142" i="822" s="1"/>
  <c r="A143" i="822" s="1"/>
  <c r="A144" i="822" s="1"/>
  <c r="A145" i="822" s="1"/>
  <c r="A146" i="822" s="1"/>
  <c r="A226" i="822"/>
  <c r="I6" i="842"/>
  <c r="Y43" i="842"/>
  <c r="Y44" i="842" s="1"/>
  <c r="Y45" i="842" s="1"/>
  <c r="D43" i="842"/>
  <c r="Q44" i="842"/>
  <c r="W81" i="842"/>
  <c r="W82" i="842" s="1"/>
  <c r="M148" i="842"/>
  <c r="H147" i="842"/>
  <c r="E147" i="842"/>
  <c r="A227" i="822"/>
  <c r="A4" i="842"/>
  <c r="A5" i="842" s="1"/>
  <c r="A6" i="842" s="1"/>
  <c r="A7" i="842" s="1"/>
  <c r="A8" i="842" s="1"/>
  <c r="A9" i="842" s="1"/>
  <c r="A10" i="842" s="1"/>
  <c r="A11" i="842" s="1"/>
  <c r="A12" i="842" s="1"/>
  <c r="A13" i="842" s="1"/>
  <c r="A14" i="842" s="1"/>
  <c r="A15" i="842" s="1"/>
  <c r="A16" i="842" s="1"/>
  <c r="D24" i="842"/>
  <c r="R43" i="842"/>
  <c r="R44" i="842" s="1"/>
  <c r="R45" i="842" s="1"/>
  <c r="R46" i="842" s="1"/>
  <c r="R47" i="842" s="1"/>
  <c r="I48" i="842"/>
  <c r="AB49" i="842"/>
  <c r="AB50" i="842" s="1"/>
  <c r="D64" i="842"/>
  <c r="AB89" i="842"/>
  <c r="AB90" i="842" s="1"/>
  <c r="AB91" i="842" s="1"/>
  <c r="AB92" i="842" s="1"/>
  <c r="H128" i="842"/>
  <c r="M129" i="842"/>
  <c r="E128" i="842"/>
  <c r="AC143" i="842"/>
  <c r="AC144" i="842" s="1"/>
  <c r="D142" i="842"/>
  <c r="H166" i="842"/>
  <c r="E166" i="842"/>
  <c r="M167" i="842"/>
  <c r="D4" i="842"/>
  <c r="L23" i="842"/>
  <c r="V45" i="842"/>
  <c r="V46" i="842" s="1"/>
  <c r="V47" i="842" s="1"/>
  <c r="V48" i="842" s="1"/>
  <c r="V49" i="842" s="1"/>
  <c r="V50" i="842" s="1"/>
  <c r="V51" i="842" s="1"/>
  <c r="V52" i="842" s="1"/>
  <c r="V53" i="842" s="1"/>
  <c r="I44" i="842"/>
  <c r="P101" i="842"/>
  <c r="E118" i="842"/>
  <c r="Q119" i="842"/>
  <c r="U125" i="842"/>
  <c r="O141" i="842"/>
  <c r="O142" i="842" s="1"/>
  <c r="D158" i="842"/>
  <c r="Y159" i="842"/>
  <c r="Y160" i="842" s="1"/>
  <c r="Y161" i="842" s="1"/>
  <c r="Y162" i="842" s="1"/>
  <c r="Y163" i="842" s="1"/>
  <c r="Y164" i="842" s="1"/>
  <c r="H179" i="842"/>
  <c r="R180" i="842"/>
  <c r="R181" i="842" s="1"/>
  <c r="R182" i="842" s="1"/>
  <c r="D236" i="842"/>
  <c r="AA237" i="842"/>
  <c r="AA238" i="842" s="1"/>
  <c r="B229" i="822"/>
  <c r="N23" i="842"/>
  <c r="N24" i="842" s="1"/>
  <c r="N25" i="842" s="1"/>
  <c r="N26" i="842" s="1"/>
  <c r="N27" i="842" s="1"/>
  <c r="N28" i="842" s="1"/>
  <c r="N29" i="842" s="1"/>
  <c r="N30" i="842" s="1"/>
  <c r="N31" i="842" s="1"/>
  <c r="N32" i="842" s="1"/>
  <c r="N33" i="842" s="1"/>
  <c r="N34" i="842" s="1"/>
  <c r="N35" i="842" s="1"/>
  <c r="F42" i="842"/>
  <c r="D61" i="842"/>
  <c r="AC68" i="842"/>
  <c r="AC69" i="842" s="1"/>
  <c r="D67" i="842"/>
  <c r="F80" i="842"/>
  <c r="Q103" i="842"/>
  <c r="Q104" i="842" s="1"/>
  <c r="Q105" i="842" s="1"/>
  <c r="Q106" i="842" s="1"/>
  <c r="Q107" i="842" s="1"/>
  <c r="Q108" i="842" s="1"/>
  <c r="Q109" i="842" s="1"/>
  <c r="Q110" i="842" s="1"/>
  <c r="H102" i="842"/>
  <c r="W118" i="842"/>
  <c r="W119" i="842" s="1"/>
  <c r="D117" i="842"/>
  <c r="Z123" i="842"/>
  <c r="Z124" i="842" s="1"/>
  <c r="I122" i="842"/>
  <c r="U144" i="842"/>
  <c r="Z161" i="842"/>
  <c r="Z162" i="842" s="1"/>
  <c r="I160" i="842"/>
  <c r="L193" i="842"/>
  <c r="R194" i="842"/>
  <c r="R195" i="842" s="1"/>
  <c r="R196" i="842" s="1"/>
  <c r="R197" i="842" s="1"/>
  <c r="R198" i="842" s="1"/>
  <c r="G193" i="842"/>
  <c r="A67" i="822"/>
  <c r="D229" i="822"/>
  <c r="R5" i="842"/>
  <c r="R6" i="842" s="1"/>
  <c r="R7" i="842" s="1"/>
  <c r="R8" i="842" s="1"/>
  <c r="R9" i="842" s="1"/>
  <c r="G42" i="842"/>
  <c r="B67" i="820"/>
  <c r="G4" i="842"/>
  <c r="N80" i="842"/>
  <c r="N81" i="842" s="1"/>
  <c r="N82" i="842" s="1"/>
  <c r="N83" i="842" s="1"/>
  <c r="N84" i="842" s="1"/>
  <c r="N85" i="842" s="1"/>
  <c r="N86" i="842" s="1"/>
  <c r="N87" i="842" s="1"/>
  <c r="N88" i="842" s="1"/>
  <c r="N89" i="842" s="1"/>
  <c r="N90" i="842" s="1"/>
  <c r="N91" i="842" s="1"/>
  <c r="N92" i="842" s="1"/>
  <c r="I86" i="842"/>
  <c r="D118" i="842"/>
  <c r="Y118" i="842"/>
  <c r="Y119" i="842" s="1"/>
  <c r="Y120" i="842" s="1"/>
  <c r="V118" i="842"/>
  <c r="V119" i="842" s="1"/>
  <c r="I117" i="842"/>
  <c r="AB200" i="842"/>
  <c r="AB201" i="842" s="1"/>
  <c r="I199" i="842"/>
  <c r="A164" i="822"/>
  <c r="O43" i="842"/>
  <c r="P83" i="842"/>
  <c r="D98" i="842"/>
  <c r="W99" i="842"/>
  <c r="W100" i="842" s="1"/>
  <c r="X119" i="842"/>
  <c r="X120" i="842" s="1"/>
  <c r="I118" i="842"/>
  <c r="I137" i="842"/>
  <c r="X138" i="842"/>
  <c r="X139" i="842" s="1"/>
  <c r="AA142" i="842"/>
  <c r="AA143" i="842" s="1"/>
  <c r="D141" i="842"/>
  <c r="R81" i="842"/>
  <c r="R82" i="842" s="1"/>
  <c r="R83" i="842" s="1"/>
  <c r="R84" i="842" s="1"/>
  <c r="R85" i="842" s="1"/>
  <c r="G80" i="842"/>
  <c r="X100" i="842"/>
  <c r="X101" i="842" s="1"/>
  <c r="I99" i="842"/>
  <c r="AC105" i="842"/>
  <c r="AC106" i="842" s="1"/>
  <c r="D104" i="842"/>
  <c r="E109" i="842"/>
  <c r="M110" i="842"/>
  <c r="F117" i="842"/>
  <c r="E117" i="842"/>
  <c r="O118" i="842"/>
  <c r="O119" i="842" s="1"/>
  <c r="O120" i="842" s="1"/>
  <c r="AA123" i="842"/>
  <c r="AA124" i="842" s="1"/>
  <c r="D122" i="842"/>
  <c r="D123" i="842"/>
  <c r="AC124" i="842"/>
  <c r="AC125" i="842" s="1"/>
  <c r="AC162" i="842"/>
  <c r="AC163" i="842" s="1"/>
  <c r="D161" i="842"/>
  <c r="D183" i="842"/>
  <c r="Y184" i="842"/>
  <c r="M205" i="842"/>
  <c r="E204" i="842"/>
  <c r="H204" i="842"/>
  <c r="A133" i="822"/>
  <c r="Q63" i="842"/>
  <c r="Y99" i="842"/>
  <c r="Y100" i="842" s="1"/>
  <c r="Y101" i="842" s="1"/>
  <c r="D99" i="842"/>
  <c r="Z142" i="842"/>
  <c r="Z143" i="842" s="1"/>
  <c r="I141" i="842"/>
  <c r="V156" i="842"/>
  <c r="V157" i="842" s="1"/>
  <c r="I155" i="842"/>
  <c r="I43" i="842"/>
  <c r="O85" i="842"/>
  <c r="O86" i="842" s="1"/>
  <c r="P120" i="842"/>
  <c r="R164" i="842"/>
  <c r="R165" i="842" s="1"/>
  <c r="R166" i="842" s="1"/>
  <c r="R167" i="842" s="1"/>
  <c r="E163" i="842"/>
  <c r="D179" i="842"/>
  <c r="AA180" i="842"/>
  <c r="AA181" i="842" s="1"/>
  <c r="B135" i="822"/>
  <c r="D167" i="822"/>
  <c r="G23" i="842"/>
  <c r="A42" i="842"/>
  <c r="A43" i="842" s="1"/>
  <c r="A44" i="842" s="1"/>
  <c r="A45" i="842" s="1"/>
  <c r="A46" i="842" s="1"/>
  <c r="A47" i="842" s="1"/>
  <c r="A48" i="842" s="1"/>
  <c r="A49" i="842" s="1"/>
  <c r="A50" i="842" s="1"/>
  <c r="A51" i="842" s="1"/>
  <c r="A52" i="842" s="1"/>
  <c r="A53" i="842" s="1"/>
  <c r="A54" i="842" s="1"/>
  <c r="N42" i="842"/>
  <c r="N43" i="842" s="1"/>
  <c r="N44" i="842" s="1"/>
  <c r="N45" i="842" s="1"/>
  <c r="N46" i="842" s="1"/>
  <c r="N47" i="842" s="1"/>
  <c r="N48" i="842" s="1"/>
  <c r="N49" i="842" s="1"/>
  <c r="N50" i="842" s="1"/>
  <c r="N51" i="842" s="1"/>
  <c r="N52" i="842" s="1"/>
  <c r="N53" i="842" s="1"/>
  <c r="N54" i="842" s="1"/>
  <c r="E62" i="842"/>
  <c r="O63" i="842"/>
  <c r="O64" i="842" s="1"/>
  <c r="X65" i="842"/>
  <c r="X66" i="842" s="1"/>
  <c r="X67" i="842" s="1"/>
  <c r="X68" i="842" s="1"/>
  <c r="X69" i="842" s="1"/>
  <c r="X70" i="842" s="1"/>
  <c r="I64" i="842"/>
  <c r="X82" i="842"/>
  <c r="X83" i="842" s="1"/>
  <c r="O99" i="842"/>
  <c r="O100" i="842" s="1"/>
  <c r="O101" i="842" s="1"/>
  <c r="F98" i="842"/>
  <c r="E98" i="842"/>
  <c r="AA104" i="842"/>
  <c r="AA105" i="842" s="1"/>
  <c r="D103" i="842"/>
  <c r="L117" i="842"/>
  <c r="R118" i="842"/>
  <c r="R119" i="842" s="1"/>
  <c r="R120" i="842" s="1"/>
  <c r="R121" i="842" s="1"/>
  <c r="R122" i="842" s="1"/>
  <c r="G117" i="842"/>
  <c r="AA161" i="842"/>
  <c r="AA162" i="842" s="1"/>
  <c r="D160" i="842"/>
  <c r="M186" i="842"/>
  <c r="E185" i="842"/>
  <c r="H185" i="842"/>
  <c r="L61" i="842"/>
  <c r="F61" i="842"/>
  <c r="E61" i="842"/>
  <c r="V62" i="842"/>
  <c r="V63" i="842" s="1"/>
  <c r="I61" i="842"/>
  <c r="AA67" i="842"/>
  <c r="AA68" i="842" s="1"/>
  <c r="H80" i="842"/>
  <c r="E80" i="842"/>
  <c r="Y81" i="842"/>
  <c r="Y82" i="842" s="1"/>
  <c r="Y83" i="842" s="1"/>
  <c r="D81" i="842"/>
  <c r="D42" i="842"/>
  <c r="X157" i="842"/>
  <c r="X158" i="842" s="1"/>
  <c r="I156" i="842"/>
  <c r="U258" i="842"/>
  <c r="R99" i="842"/>
  <c r="R100" i="842" s="1"/>
  <c r="R101" i="842" s="1"/>
  <c r="R102" i="842" s="1"/>
  <c r="R103" i="842" s="1"/>
  <c r="R137" i="842"/>
  <c r="R138" i="842" s="1"/>
  <c r="R139" i="842" s="1"/>
  <c r="R140" i="842" s="1"/>
  <c r="R141" i="842" s="1"/>
  <c r="G136" i="842"/>
  <c r="U163" i="842"/>
  <c r="W156" i="842"/>
  <c r="W157" i="842" s="1"/>
  <c r="F174" i="842"/>
  <c r="O175" i="842"/>
  <c r="O176" i="842" s="1"/>
  <c r="O177" i="842" s="1"/>
  <c r="G174" i="842"/>
  <c r="E174" i="842"/>
  <c r="P177" i="842"/>
  <c r="AA218" i="842"/>
  <c r="AA219" i="842" s="1"/>
  <c r="D217" i="842"/>
  <c r="E232" i="842"/>
  <c r="Q233" i="842"/>
  <c r="I252" i="842"/>
  <c r="V253" i="842"/>
  <c r="V254" i="842" s="1"/>
  <c r="V255" i="842" s="1"/>
  <c r="V256" i="842" s="1"/>
  <c r="V257" i="842" s="1"/>
  <c r="V258" i="842" s="1"/>
  <c r="V259" i="842" s="1"/>
  <c r="V260" i="842" s="1"/>
  <c r="V261" i="842" s="1"/>
  <c r="I232" i="842"/>
  <c r="X233" i="842"/>
  <c r="X234" i="842" s="1"/>
  <c r="O156" i="842"/>
  <c r="O157" i="842" s="1"/>
  <c r="O158" i="842" s="1"/>
  <c r="F155" i="842"/>
  <c r="E155" i="842"/>
  <c r="X176" i="842"/>
  <c r="X177" i="842" s="1"/>
  <c r="I175" i="842"/>
  <c r="D196" i="842"/>
  <c r="Y197" i="842"/>
  <c r="Y198" i="842" s="1"/>
  <c r="Y199" i="842" s="1"/>
  <c r="Y200" i="842" s="1"/>
  <c r="Y201" i="842" s="1"/>
  <c r="Y202" i="842" s="1"/>
  <c r="X214" i="842"/>
  <c r="X215" i="842" s="1"/>
  <c r="I213" i="842"/>
  <c r="V213" i="842"/>
  <c r="V214" i="842" s="1"/>
  <c r="I212" i="842"/>
  <c r="U239" i="842"/>
  <c r="Y137" i="842"/>
  <c r="Y138" i="842" s="1"/>
  <c r="Y139" i="842" s="1"/>
  <c r="D137" i="842"/>
  <c r="V137" i="842"/>
  <c r="V138" i="842" s="1"/>
  <c r="AB164" i="842"/>
  <c r="AB165" i="842" s="1"/>
  <c r="AB166" i="842" s="1"/>
  <c r="AB167" i="842" s="1"/>
  <c r="Y216" i="842"/>
  <c r="Y217" i="842" s="1"/>
  <c r="Y218" i="842" s="1"/>
  <c r="Y219" i="842" s="1"/>
  <c r="Y220" i="842" s="1"/>
  <c r="Y221" i="842" s="1"/>
  <c r="D215" i="842"/>
  <c r="D212" i="842"/>
  <c r="W213" i="842"/>
  <c r="W214" i="842" s="1"/>
  <c r="I219" i="842"/>
  <c r="Z220" i="842"/>
  <c r="Z221" i="842" s="1"/>
  <c r="Z222" i="842" s="1"/>
  <c r="Z223" i="842" s="1"/>
  <c r="Z224" i="842" s="1"/>
  <c r="E136" i="842"/>
  <c r="W139" i="842"/>
  <c r="W140" i="842" s="1"/>
  <c r="W141" i="842" s="1"/>
  <c r="W142" i="842" s="1"/>
  <c r="W143" i="842" s="1"/>
  <c r="W144" i="842" s="1"/>
  <c r="W145" i="842" s="1"/>
  <c r="W146" i="842" s="1"/>
  <c r="D138" i="842"/>
  <c r="Q157" i="842"/>
  <c r="I161" i="842"/>
  <c r="D174" i="842"/>
  <c r="W175" i="842"/>
  <c r="W176" i="842" s="1"/>
  <c r="AB181" i="842"/>
  <c r="AB182" i="842" s="1"/>
  <c r="I180" i="842"/>
  <c r="P196" i="842"/>
  <c r="H223" i="842"/>
  <c r="E223" i="842"/>
  <c r="M224" i="842"/>
  <c r="I255" i="842"/>
  <c r="Z256" i="842"/>
  <c r="Z257" i="842" s="1"/>
  <c r="E280" i="842"/>
  <c r="M281" i="842"/>
  <c r="H280" i="842"/>
  <c r="AC295" i="842"/>
  <c r="AC296" i="842" s="1"/>
  <c r="D294" i="842"/>
  <c r="E138" i="842"/>
  <c r="P139" i="842"/>
  <c r="I237" i="842"/>
  <c r="AB238" i="842"/>
  <c r="AB239" i="842" s="1"/>
  <c r="I179" i="842"/>
  <c r="Z180" i="842"/>
  <c r="Z181" i="842" s="1"/>
  <c r="D193" i="842"/>
  <c r="W194" i="842"/>
  <c r="W195" i="842" s="1"/>
  <c r="Y251" i="842"/>
  <c r="Y252" i="842" s="1"/>
  <c r="Y253" i="842" s="1"/>
  <c r="D251" i="842"/>
  <c r="P159" i="842"/>
  <c r="P160" i="842" s="1"/>
  <c r="P161" i="842" s="1"/>
  <c r="P162" i="842" s="1"/>
  <c r="P163" i="842" s="1"/>
  <c r="P164" i="842" s="1"/>
  <c r="V194" i="842"/>
  <c r="V195" i="842" s="1"/>
  <c r="I193" i="842"/>
  <c r="AC202" i="842"/>
  <c r="AC203" i="842" s="1"/>
  <c r="AC204" i="842" s="1"/>
  <c r="AC205" i="842" s="1"/>
  <c r="D201" i="842"/>
  <c r="AC221" i="842"/>
  <c r="AC222" i="842" s="1"/>
  <c r="AC223" i="842" s="1"/>
  <c r="AC224" i="842" s="1"/>
  <c r="D220" i="842"/>
  <c r="U182" i="842"/>
  <c r="U202" i="842"/>
  <c r="U203" i="842" s="1"/>
  <c r="U204" i="842" s="1"/>
  <c r="U205" i="842" s="1"/>
  <c r="L136" i="842"/>
  <c r="Q139" i="842"/>
  <c r="Q140" i="842" s="1"/>
  <c r="E137" i="842"/>
  <c r="Q176" i="842"/>
  <c r="E175" i="842"/>
  <c r="AC181" i="842"/>
  <c r="AC182" i="842" s="1"/>
  <c r="D180" i="842"/>
  <c r="AA199" i="842"/>
  <c r="AA200" i="842" s="1"/>
  <c r="D198" i="842"/>
  <c r="O235" i="842"/>
  <c r="E234" i="842"/>
  <c r="D257" i="842"/>
  <c r="AA258" i="842"/>
  <c r="AA259" i="842" s="1"/>
  <c r="AA260" i="842" s="1"/>
  <c r="AA261" i="842" s="1"/>
  <c r="AA262" i="842" s="1"/>
  <c r="Z199" i="842"/>
  <c r="Z200" i="842" s="1"/>
  <c r="I198" i="842"/>
  <c r="E213" i="842"/>
  <c r="V243" i="842"/>
  <c r="I243" i="842" s="1"/>
  <c r="I242" i="842"/>
  <c r="V281" i="842"/>
  <c r="I281" i="842" s="1"/>
  <c r="I280" i="842"/>
  <c r="O289" i="842"/>
  <c r="F288" i="842"/>
  <c r="E288" i="842"/>
  <c r="G288" i="842"/>
  <c r="AA294" i="842"/>
  <c r="AA295" i="842" s="1"/>
  <c r="D293" i="842"/>
  <c r="Q195" i="842"/>
  <c r="U220" i="842"/>
  <c r="N269" i="842"/>
  <c r="N270" i="842" s="1"/>
  <c r="N271" i="842" s="1"/>
  <c r="N272" i="842" s="1"/>
  <c r="N273" i="842" s="1"/>
  <c r="N274" i="842" s="1"/>
  <c r="N275" i="842" s="1"/>
  <c r="N276" i="842" s="1"/>
  <c r="N277" i="842" s="1"/>
  <c r="N278" i="842" s="1"/>
  <c r="N279" i="842" s="1"/>
  <c r="N280" i="842" s="1"/>
  <c r="N281" i="842" s="1"/>
  <c r="A269" i="842"/>
  <c r="A270" i="842" s="1"/>
  <c r="A271" i="842" s="1"/>
  <c r="A272" i="842" s="1"/>
  <c r="A273" i="842" s="1"/>
  <c r="A274" i="842" s="1"/>
  <c r="A275" i="842" s="1"/>
  <c r="A276" i="842" s="1"/>
  <c r="A277" i="842" s="1"/>
  <c r="A278" i="842" s="1"/>
  <c r="A279" i="842" s="1"/>
  <c r="A280" i="842" s="1"/>
  <c r="A281" i="842" s="1"/>
  <c r="I274" i="842"/>
  <c r="Z275" i="842"/>
  <c r="Z276" i="842" s="1"/>
  <c r="Y235" i="842"/>
  <c r="Y236" i="842" s="1"/>
  <c r="Y237" i="842" s="1"/>
  <c r="Y238" i="842" s="1"/>
  <c r="Y239" i="842" s="1"/>
  <c r="Y240" i="842" s="1"/>
  <c r="D234" i="842"/>
  <c r="D276" i="842"/>
  <c r="AA277" i="842"/>
  <c r="AA278" i="842" s="1"/>
  <c r="AA279" i="842" s="1"/>
  <c r="AA280" i="842" s="1"/>
  <c r="AA281" i="842" s="1"/>
  <c r="U315" i="842"/>
  <c r="H318" i="842"/>
  <c r="M319" i="842"/>
  <c r="V175" i="842"/>
  <c r="V176" i="842" s="1"/>
  <c r="E212" i="842"/>
  <c r="O213" i="842"/>
  <c r="O214" i="842" s="1"/>
  <c r="O215" i="842" s="1"/>
  <c r="F212" i="842"/>
  <c r="H212" i="842"/>
  <c r="D237" i="842"/>
  <c r="Q253" i="842"/>
  <c r="Q254" i="842" s="1"/>
  <c r="M262" i="842"/>
  <c r="H261" i="842"/>
  <c r="E261" i="842"/>
  <c r="H255" i="842"/>
  <c r="R256" i="842"/>
  <c r="R257" i="842" s="1"/>
  <c r="R258" i="842" s="1"/>
  <c r="N174" i="842"/>
  <c r="N175" i="842" s="1"/>
  <c r="N176" i="842" s="1"/>
  <c r="N177" i="842" s="1"/>
  <c r="N178" i="842" s="1"/>
  <c r="N179" i="842" s="1"/>
  <c r="N180" i="842" s="1"/>
  <c r="N181" i="842" s="1"/>
  <c r="N182" i="842" s="1"/>
  <c r="N183" i="842" s="1"/>
  <c r="N184" i="842" s="1"/>
  <c r="N185" i="842" s="1"/>
  <c r="N186" i="842" s="1"/>
  <c r="X195" i="842"/>
  <c r="X196" i="842" s="1"/>
  <c r="I194" i="842"/>
  <c r="Q214" i="842"/>
  <c r="AB219" i="842"/>
  <c r="AB220" i="842" s="1"/>
  <c r="M243" i="842"/>
  <c r="E242" i="842"/>
  <c r="H242" i="842"/>
  <c r="D239" i="842"/>
  <c r="O194" i="842"/>
  <c r="O195" i="842" s="1"/>
  <c r="O196" i="842" s="1"/>
  <c r="F193" i="842"/>
  <c r="F250" i="842"/>
  <c r="E250" i="842"/>
  <c r="H250" i="842"/>
  <c r="O251" i="842"/>
  <c r="O252" i="842" s="1"/>
  <c r="O253" i="842" s="1"/>
  <c r="G250" i="842"/>
  <c r="V291" i="842"/>
  <c r="V292" i="842" s="1"/>
  <c r="V293" i="842" s="1"/>
  <c r="V294" i="842" s="1"/>
  <c r="V295" i="842" s="1"/>
  <c r="V296" i="842" s="1"/>
  <c r="V297" i="842" s="1"/>
  <c r="V298" i="842" s="1"/>
  <c r="V299" i="842" s="1"/>
  <c r="I290" i="842"/>
  <c r="I313" i="842"/>
  <c r="AB314" i="842"/>
  <c r="AB315" i="842" s="1"/>
  <c r="P215" i="842"/>
  <c r="L231" i="842"/>
  <c r="R232" i="842"/>
  <c r="R233" i="842" s="1"/>
  <c r="R234" i="842" s="1"/>
  <c r="R235" i="842" s="1"/>
  <c r="R236" i="842" s="1"/>
  <c r="G231" i="842"/>
  <c r="D232" i="842"/>
  <c r="AC257" i="842"/>
  <c r="AC258" i="842" s="1"/>
  <c r="D256" i="842"/>
  <c r="Y270" i="842"/>
  <c r="Y271" i="842" s="1"/>
  <c r="Y272" i="842" s="1"/>
  <c r="D270" i="842"/>
  <c r="Z294" i="842"/>
  <c r="Z295" i="842" s="1"/>
  <c r="I293" i="842"/>
  <c r="I356" i="842"/>
  <c r="V357" i="842"/>
  <c r="I357" i="842" s="1"/>
  <c r="P253" i="842"/>
  <c r="AB257" i="842"/>
  <c r="AB258" i="842" s="1"/>
  <c r="I256" i="842"/>
  <c r="O273" i="842"/>
  <c r="I275" i="842"/>
  <c r="AB276" i="842"/>
  <c r="AB277" i="842" s="1"/>
  <c r="U296" i="842"/>
  <c r="Q309" i="842"/>
  <c r="X254" i="842"/>
  <c r="X255" i="842" s="1"/>
  <c r="X256" i="842" s="1"/>
  <c r="X257" i="842" s="1"/>
  <c r="X258" i="842" s="1"/>
  <c r="X259" i="842" s="1"/>
  <c r="I253" i="842"/>
  <c r="P232" i="842"/>
  <c r="P233" i="842" s="1"/>
  <c r="E271" i="842"/>
  <c r="P272" i="842"/>
  <c r="X309" i="842"/>
  <c r="X310" i="842" s="1"/>
  <c r="I308" i="842"/>
  <c r="L212" i="842"/>
  <c r="R213" i="842"/>
  <c r="R214" i="842" s="1"/>
  <c r="R215" i="842" s="1"/>
  <c r="R216" i="842" s="1"/>
  <c r="R217" i="842" s="1"/>
  <c r="G212" i="842"/>
  <c r="W234" i="842"/>
  <c r="W235" i="842" s="1"/>
  <c r="W236" i="842" s="1"/>
  <c r="W237" i="842" s="1"/>
  <c r="W238" i="842" s="1"/>
  <c r="W239" i="842" s="1"/>
  <c r="W240" i="842" s="1"/>
  <c r="W241" i="842" s="1"/>
  <c r="D233" i="842"/>
  <c r="U277" i="842"/>
  <c r="P310" i="842"/>
  <c r="I332" i="842"/>
  <c r="AB333" i="842"/>
  <c r="AB334" i="842" s="1"/>
  <c r="AC276" i="842"/>
  <c r="AC277" i="842" s="1"/>
  <c r="D275" i="842"/>
  <c r="AC352" i="842"/>
  <c r="AC353" i="842" s="1"/>
  <c r="D351" i="842"/>
  <c r="A288" i="842"/>
  <c r="A289" i="842" s="1"/>
  <c r="A290" i="842" s="1"/>
  <c r="A291" i="842" s="1"/>
  <c r="A292" i="842" s="1"/>
  <c r="A293" i="842" s="1"/>
  <c r="A294" i="842" s="1"/>
  <c r="A295" i="842" s="1"/>
  <c r="A296" i="842" s="1"/>
  <c r="A297" i="842" s="1"/>
  <c r="A298" i="842" s="1"/>
  <c r="A299" i="842" s="1"/>
  <c r="A300" i="842" s="1"/>
  <c r="N288" i="842"/>
  <c r="N289" i="842" s="1"/>
  <c r="N290" i="842" s="1"/>
  <c r="N291" i="842" s="1"/>
  <c r="N292" i="842" s="1"/>
  <c r="N293" i="842" s="1"/>
  <c r="N294" i="842" s="1"/>
  <c r="N295" i="842" s="1"/>
  <c r="N296" i="842" s="1"/>
  <c r="N297" i="842" s="1"/>
  <c r="N298" i="842" s="1"/>
  <c r="N299" i="842" s="1"/>
  <c r="N300" i="842" s="1"/>
  <c r="D313" i="842"/>
  <c r="AC314" i="842"/>
  <c r="AC315" i="842" s="1"/>
  <c r="H231" i="842"/>
  <c r="W251" i="842"/>
  <c r="W252" i="842" s="1"/>
  <c r="D250" i="842"/>
  <c r="I270" i="842"/>
  <c r="X271" i="842"/>
  <c r="X272" i="842" s="1"/>
  <c r="L307" i="842"/>
  <c r="R308" i="842"/>
  <c r="R309" i="842" s="1"/>
  <c r="R310" i="842" s="1"/>
  <c r="R311" i="842" s="1"/>
  <c r="R312" i="842" s="1"/>
  <c r="G307" i="842"/>
  <c r="R270" i="842"/>
  <c r="R271" i="842" s="1"/>
  <c r="R272" i="842" s="1"/>
  <c r="R273" i="842" s="1"/>
  <c r="R274" i="842" s="1"/>
  <c r="G269" i="842"/>
  <c r="I291" i="842"/>
  <c r="X292" i="842"/>
  <c r="X293" i="842" s="1"/>
  <c r="X294" i="842" s="1"/>
  <c r="X295" i="842" s="1"/>
  <c r="X296" i="842" s="1"/>
  <c r="X297" i="842" s="1"/>
  <c r="I294" i="842"/>
  <c r="AB295" i="842"/>
  <c r="AB296" i="842" s="1"/>
  <c r="Z313" i="842"/>
  <c r="Z314" i="842" s="1"/>
  <c r="I312" i="842"/>
  <c r="E337" i="842"/>
  <c r="M338" i="842"/>
  <c r="H337" i="842"/>
  <c r="AA351" i="842"/>
  <c r="AA352" i="842" s="1"/>
  <c r="AA313" i="842"/>
  <c r="AA314" i="842" s="1"/>
  <c r="D312" i="842"/>
  <c r="H269" i="842"/>
  <c r="F269" i="842"/>
  <c r="P291" i="842"/>
  <c r="V329" i="842"/>
  <c r="V330" i="842" s="1"/>
  <c r="V331" i="842" s="1"/>
  <c r="V332" i="842" s="1"/>
  <c r="V333" i="842" s="1"/>
  <c r="V334" i="842" s="1"/>
  <c r="V335" i="842" s="1"/>
  <c r="V336" i="842" s="1"/>
  <c r="V337" i="842" s="1"/>
  <c r="I328" i="842"/>
  <c r="L326" i="842"/>
  <c r="R327" i="842"/>
  <c r="R328" i="842" s="1"/>
  <c r="R329" i="842" s="1"/>
  <c r="R330" i="842" s="1"/>
  <c r="R331" i="842" s="1"/>
  <c r="G326" i="842"/>
  <c r="AC335" i="842"/>
  <c r="AC336" i="842" s="1"/>
  <c r="AC337" i="842" s="1"/>
  <c r="AC338" i="842" s="1"/>
  <c r="D334" i="842"/>
  <c r="H375" i="842"/>
  <c r="E375" i="842"/>
  <c r="M376" i="842"/>
  <c r="Q385" i="842"/>
  <c r="F231" i="842"/>
  <c r="N250" i="842"/>
  <c r="N251" i="842" s="1"/>
  <c r="N252" i="842" s="1"/>
  <c r="N253" i="842" s="1"/>
  <c r="N254" i="842" s="1"/>
  <c r="N255" i="842" s="1"/>
  <c r="N256" i="842" s="1"/>
  <c r="N257" i="842" s="1"/>
  <c r="N258" i="842" s="1"/>
  <c r="N259" i="842" s="1"/>
  <c r="N260" i="842" s="1"/>
  <c r="N261" i="842" s="1"/>
  <c r="N262" i="842" s="1"/>
  <c r="Q290" i="842"/>
  <c r="I289" i="842"/>
  <c r="Q271" i="842"/>
  <c r="E299" i="842"/>
  <c r="M300" i="842"/>
  <c r="H299" i="842"/>
  <c r="X328" i="842"/>
  <c r="X329" i="842" s="1"/>
  <c r="I327" i="842"/>
  <c r="D269" i="842"/>
  <c r="U334" i="842"/>
  <c r="Q348" i="842"/>
  <c r="Q349" i="842" s="1"/>
  <c r="L269" i="842"/>
  <c r="W272" i="842"/>
  <c r="W273" i="842" s="1"/>
  <c r="W274" i="842" s="1"/>
  <c r="W275" i="842" s="1"/>
  <c r="W276" i="842" s="1"/>
  <c r="W277" i="842" s="1"/>
  <c r="W278" i="842" s="1"/>
  <c r="W279" i="842" s="1"/>
  <c r="E328" i="842"/>
  <c r="P329" i="842"/>
  <c r="D408" i="842"/>
  <c r="AC409" i="842"/>
  <c r="AC410" i="842" s="1"/>
  <c r="E270" i="842"/>
  <c r="Y308" i="842"/>
  <c r="Y309" i="842" s="1"/>
  <c r="Y310" i="842" s="1"/>
  <c r="V310" i="842"/>
  <c r="V311" i="842" s="1"/>
  <c r="V312" i="842" s="1"/>
  <c r="V313" i="842" s="1"/>
  <c r="V314" i="842" s="1"/>
  <c r="V315" i="842" s="1"/>
  <c r="V316" i="842" s="1"/>
  <c r="V317" i="842" s="1"/>
  <c r="V318" i="842" s="1"/>
  <c r="I309" i="842"/>
  <c r="Z334" i="842"/>
  <c r="Z335" i="842" s="1"/>
  <c r="Z336" i="842" s="1"/>
  <c r="Z337" i="842" s="1"/>
  <c r="Z338" i="842" s="1"/>
  <c r="I333" i="842"/>
  <c r="O349" i="842"/>
  <c r="U391" i="842"/>
  <c r="D403" i="842"/>
  <c r="Y403" i="842"/>
  <c r="Y404" i="842" s="1"/>
  <c r="Y405" i="842" s="1"/>
  <c r="U458" i="842"/>
  <c r="Q452" i="842"/>
  <c r="X452" i="842"/>
  <c r="X453" i="842" s="1"/>
  <c r="I451" i="842"/>
  <c r="I331" i="842"/>
  <c r="P348" i="842"/>
  <c r="AB352" i="842"/>
  <c r="AB353" i="842" s="1"/>
  <c r="I351" i="842"/>
  <c r="U429" i="842"/>
  <c r="N364" i="842"/>
  <c r="N365" i="842" s="1"/>
  <c r="N366" i="842" s="1"/>
  <c r="N367" i="842" s="1"/>
  <c r="N368" i="842" s="1"/>
  <c r="N369" i="842" s="1"/>
  <c r="N370" i="842" s="1"/>
  <c r="N371" i="842" s="1"/>
  <c r="N372" i="842" s="1"/>
  <c r="N373" i="842" s="1"/>
  <c r="N374" i="842" s="1"/>
  <c r="N375" i="842" s="1"/>
  <c r="N376" i="842" s="1"/>
  <c r="A364" i="842"/>
  <c r="A365" i="842" s="1"/>
  <c r="A366" i="842" s="1"/>
  <c r="A367" i="842" s="1"/>
  <c r="A368" i="842" s="1"/>
  <c r="A369" i="842" s="1"/>
  <c r="A370" i="842" s="1"/>
  <c r="A371" i="842" s="1"/>
  <c r="A372" i="842" s="1"/>
  <c r="A373" i="842" s="1"/>
  <c r="A374" i="842" s="1"/>
  <c r="A375" i="842" s="1"/>
  <c r="A376" i="842" s="1"/>
  <c r="I369" i="842"/>
  <c r="Z370" i="842"/>
  <c r="Z371" i="842" s="1"/>
  <c r="F307" i="842"/>
  <c r="E307" i="842"/>
  <c r="O308" i="842"/>
  <c r="U353" i="842"/>
  <c r="M357" i="842"/>
  <c r="H356" i="842"/>
  <c r="H364" i="842"/>
  <c r="F364" i="842"/>
  <c r="O365" i="842"/>
  <c r="L364" i="842"/>
  <c r="E364" i="842"/>
  <c r="D369" i="842"/>
  <c r="AA370" i="842"/>
  <c r="AA371" i="842" s="1"/>
  <c r="R289" i="842"/>
  <c r="R290" i="842" s="1"/>
  <c r="R291" i="842" s="1"/>
  <c r="R292" i="842" s="1"/>
  <c r="R293" i="842" s="1"/>
  <c r="Q328" i="842"/>
  <c r="W346" i="842"/>
  <c r="W347" i="842" s="1"/>
  <c r="D345" i="842"/>
  <c r="AB390" i="842"/>
  <c r="AB391" i="842" s="1"/>
  <c r="I389" i="842"/>
  <c r="W394" i="842"/>
  <c r="D394" i="842"/>
  <c r="R403" i="842"/>
  <c r="R404" i="842" s="1"/>
  <c r="R405" i="842" s="1"/>
  <c r="R406" i="842" s="1"/>
  <c r="R407" i="842" s="1"/>
  <c r="L402" i="842"/>
  <c r="G402" i="842"/>
  <c r="F402" i="842"/>
  <c r="I346" i="842"/>
  <c r="X347" i="842"/>
  <c r="X348" i="842" s="1"/>
  <c r="U372" i="842"/>
  <c r="D337" i="842"/>
  <c r="W337" i="842"/>
  <c r="Y346" i="842"/>
  <c r="Y347" i="842" s="1"/>
  <c r="Y348" i="842" s="1"/>
  <c r="D346" i="842"/>
  <c r="AC371" i="842"/>
  <c r="AC372" i="842" s="1"/>
  <c r="D370" i="842"/>
  <c r="V405" i="842"/>
  <c r="V406" i="842" s="1"/>
  <c r="V407" i="842" s="1"/>
  <c r="V408" i="842" s="1"/>
  <c r="V409" i="842" s="1"/>
  <c r="V410" i="842" s="1"/>
  <c r="V411" i="842" s="1"/>
  <c r="V412" i="842" s="1"/>
  <c r="V413" i="842" s="1"/>
  <c r="I404" i="842"/>
  <c r="D288" i="842"/>
  <c r="W289" i="842"/>
  <c r="W290" i="842" s="1"/>
  <c r="Y289" i="842"/>
  <c r="Y290" i="842" s="1"/>
  <c r="Y291" i="842" s="1"/>
  <c r="D307" i="842"/>
  <c r="W308" i="842"/>
  <c r="W309" i="842" s="1"/>
  <c r="Y330" i="842"/>
  <c r="Y331" i="842" s="1"/>
  <c r="Y332" i="842" s="1"/>
  <c r="Y333" i="842" s="1"/>
  <c r="Y334" i="842" s="1"/>
  <c r="Y335" i="842" s="1"/>
  <c r="D329" i="842"/>
  <c r="D331" i="842"/>
  <c r="AA332" i="842"/>
  <c r="AA333" i="842" s="1"/>
  <c r="A345" i="842"/>
  <c r="A346" i="842" s="1"/>
  <c r="A347" i="842" s="1"/>
  <c r="A348" i="842" s="1"/>
  <c r="A349" i="842" s="1"/>
  <c r="A350" i="842" s="1"/>
  <c r="A351" i="842" s="1"/>
  <c r="A352" i="842" s="1"/>
  <c r="A353" i="842" s="1"/>
  <c r="A354" i="842" s="1"/>
  <c r="A355" i="842" s="1"/>
  <c r="A356" i="842" s="1"/>
  <c r="A357" i="842" s="1"/>
  <c r="N345" i="842"/>
  <c r="N346" i="842" s="1"/>
  <c r="N347" i="842" s="1"/>
  <c r="N348" i="842" s="1"/>
  <c r="N349" i="842" s="1"/>
  <c r="N350" i="842" s="1"/>
  <c r="N351" i="842" s="1"/>
  <c r="N352" i="842" s="1"/>
  <c r="N353" i="842" s="1"/>
  <c r="N354" i="842" s="1"/>
  <c r="N355" i="842" s="1"/>
  <c r="N356" i="842" s="1"/>
  <c r="N357" i="842" s="1"/>
  <c r="Z353" i="842"/>
  <c r="Z354" i="842" s="1"/>
  <c r="Z355" i="842" s="1"/>
  <c r="Z356" i="842" s="1"/>
  <c r="Z357" i="842" s="1"/>
  <c r="I352" i="842"/>
  <c r="O327" i="842"/>
  <c r="O328" i="842" s="1"/>
  <c r="O329" i="842" s="1"/>
  <c r="R346" i="842"/>
  <c r="R347" i="842" s="1"/>
  <c r="R348" i="842" s="1"/>
  <c r="R349" i="842" s="1"/>
  <c r="R350" i="842" s="1"/>
  <c r="G345" i="842"/>
  <c r="D365" i="842"/>
  <c r="Z389" i="842"/>
  <c r="Z390" i="842" s="1"/>
  <c r="I388" i="842"/>
  <c r="H413" i="842"/>
  <c r="E413" i="842"/>
  <c r="M414" i="842"/>
  <c r="AC428" i="842"/>
  <c r="AC429" i="842" s="1"/>
  <c r="D427" i="842"/>
  <c r="Y387" i="842"/>
  <c r="Y388" i="842" s="1"/>
  <c r="Y389" i="842" s="1"/>
  <c r="Y390" i="842" s="1"/>
  <c r="Y391" i="842" s="1"/>
  <c r="Y392" i="842" s="1"/>
  <c r="D386" i="842"/>
  <c r="H394" i="842"/>
  <c r="M395" i="842"/>
  <c r="E394" i="842"/>
  <c r="D472" i="842"/>
  <c r="Y473" i="842"/>
  <c r="Y474" i="842" s="1"/>
  <c r="Y475" i="842" s="1"/>
  <c r="Y476" i="842" s="1"/>
  <c r="Y477" i="842" s="1"/>
  <c r="Y478" i="842" s="1"/>
  <c r="AC476" i="842"/>
  <c r="AC477" i="842" s="1"/>
  <c r="D475" i="842"/>
  <c r="I326" i="842"/>
  <c r="F345" i="842"/>
  <c r="H345" i="842"/>
  <c r="V367" i="842"/>
  <c r="V368" i="842" s="1"/>
  <c r="V369" i="842" s="1"/>
  <c r="V370" i="842" s="1"/>
  <c r="V371" i="842" s="1"/>
  <c r="V372" i="842" s="1"/>
  <c r="V373" i="842" s="1"/>
  <c r="V374" i="842" s="1"/>
  <c r="V375" i="842" s="1"/>
  <c r="I366" i="842"/>
  <c r="I370" i="842"/>
  <c r="AB371" i="842"/>
  <c r="AB372" i="842" s="1"/>
  <c r="AC390" i="842"/>
  <c r="AC391" i="842" s="1"/>
  <c r="D389" i="842"/>
  <c r="H432" i="842"/>
  <c r="E432" i="842"/>
  <c r="M433" i="842"/>
  <c r="F326" i="842"/>
  <c r="E326" i="842"/>
  <c r="Y368" i="842"/>
  <c r="Y369" i="842" s="1"/>
  <c r="Y370" i="842" s="1"/>
  <c r="Y371" i="842" s="1"/>
  <c r="Y372" i="842" s="1"/>
  <c r="Y373" i="842" s="1"/>
  <c r="D367" i="842"/>
  <c r="R384" i="842"/>
  <c r="R385" i="842" s="1"/>
  <c r="R386" i="842" s="1"/>
  <c r="R387" i="842" s="1"/>
  <c r="R388" i="842" s="1"/>
  <c r="G383" i="842"/>
  <c r="L383" i="842"/>
  <c r="Q423" i="842"/>
  <c r="R475" i="842"/>
  <c r="R476" i="842" s="1"/>
  <c r="R477" i="842" s="1"/>
  <c r="H474" i="842"/>
  <c r="E373" i="842"/>
  <c r="H373" i="842" s="1"/>
  <c r="P374" i="842"/>
  <c r="V384" i="842"/>
  <c r="V385" i="842" s="1"/>
  <c r="I383" i="842"/>
  <c r="M462" i="842"/>
  <c r="H461" i="842"/>
  <c r="L345" i="842"/>
  <c r="Z408" i="842"/>
  <c r="Z409" i="842" s="1"/>
  <c r="I407" i="842"/>
  <c r="R365" i="842"/>
  <c r="R366" i="842" s="1"/>
  <c r="R367" i="842" s="1"/>
  <c r="R368" i="842" s="1"/>
  <c r="R369" i="842" s="1"/>
  <c r="G364" i="842"/>
  <c r="I422" i="842"/>
  <c r="X423" i="842"/>
  <c r="X424" i="842" s="1"/>
  <c r="Q404" i="842"/>
  <c r="E403" i="842"/>
  <c r="AA408" i="842"/>
  <c r="AA409" i="842" s="1"/>
  <c r="D407" i="842"/>
  <c r="D428" i="842"/>
  <c r="AA429" i="842"/>
  <c r="AA430" i="842" s="1"/>
  <c r="AA431" i="842" s="1"/>
  <c r="AA432" i="842" s="1"/>
  <c r="AA433" i="842" s="1"/>
  <c r="E480" i="842"/>
  <c r="M481" i="842"/>
  <c r="H480" i="842"/>
  <c r="X385" i="842"/>
  <c r="X386" i="842" s="1"/>
  <c r="I384" i="842"/>
  <c r="P424" i="842"/>
  <c r="I427" i="842"/>
  <c r="AB428" i="842"/>
  <c r="AB429" i="842" s="1"/>
  <c r="I456" i="842"/>
  <c r="AB457" i="842"/>
  <c r="AB458" i="842" s="1"/>
  <c r="W365" i="842"/>
  <c r="W366" i="842" s="1"/>
  <c r="D364" i="842"/>
  <c r="Q366" i="842"/>
  <c r="Z427" i="842"/>
  <c r="Z428" i="842" s="1"/>
  <c r="I426" i="842"/>
  <c r="H383" i="842"/>
  <c r="O384" i="842"/>
  <c r="O385" i="842" s="1"/>
  <c r="O386" i="842" s="1"/>
  <c r="AA389" i="842"/>
  <c r="AA390" i="842" s="1"/>
  <c r="D388" i="842"/>
  <c r="U410" i="842"/>
  <c r="D455" i="842"/>
  <c r="AA456" i="842"/>
  <c r="AA457" i="842" s="1"/>
  <c r="U477" i="842"/>
  <c r="I365" i="842"/>
  <c r="X366" i="842"/>
  <c r="X367" i="842" s="1"/>
  <c r="D402" i="842"/>
  <c r="W403" i="842"/>
  <c r="W404" i="842" s="1"/>
  <c r="F383" i="842"/>
  <c r="D384" i="842"/>
  <c r="P386" i="842"/>
  <c r="A402" i="842"/>
  <c r="A403" i="842" s="1"/>
  <c r="A404" i="842" s="1"/>
  <c r="A405" i="842" s="1"/>
  <c r="A406" i="842" s="1"/>
  <c r="A407" i="842" s="1"/>
  <c r="A408" i="842" s="1"/>
  <c r="A409" i="842" s="1"/>
  <c r="A410" i="842" s="1"/>
  <c r="A411" i="842" s="1"/>
  <c r="A412" i="842" s="1"/>
  <c r="A413" i="842" s="1"/>
  <c r="A414" i="842" s="1"/>
  <c r="N402" i="842"/>
  <c r="N403" i="842" s="1"/>
  <c r="N404" i="842" s="1"/>
  <c r="N405" i="842" s="1"/>
  <c r="N406" i="842" s="1"/>
  <c r="N407" i="842" s="1"/>
  <c r="N408" i="842" s="1"/>
  <c r="N409" i="842" s="1"/>
  <c r="N410" i="842" s="1"/>
  <c r="N411" i="842" s="1"/>
  <c r="N412" i="842" s="1"/>
  <c r="N413" i="842" s="1"/>
  <c r="N414" i="842" s="1"/>
  <c r="AC457" i="842"/>
  <c r="AC458" i="842" s="1"/>
  <c r="D456" i="842"/>
  <c r="AA475" i="842"/>
  <c r="AA476" i="842" s="1"/>
  <c r="D474" i="842"/>
  <c r="V453" i="842"/>
  <c r="V454" i="842" s="1"/>
  <c r="V455" i="842" s="1"/>
  <c r="V456" i="842" s="1"/>
  <c r="V457" i="842" s="1"/>
  <c r="V458" i="842" s="1"/>
  <c r="V459" i="842" s="1"/>
  <c r="V460" i="842" s="1"/>
  <c r="V461" i="842" s="1"/>
  <c r="I452" i="842"/>
  <c r="Q471" i="842"/>
  <c r="AB478" i="842"/>
  <c r="AB479" i="842" s="1"/>
  <c r="AB480" i="842" s="1"/>
  <c r="AB481" i="842" s="1"/>
  <c r="I477" i="842"/>
  <c r="R422" i="842"/>
  <c r="R423" i="842" s="1"/>
  <c r="R424" i="842" s="1"/>
  <c r="R425" i="842" s="1"/>
  <c r="R426" i="842" s="1"/>
  <c r="L421" i="842"/>
  <c r="I457" i="842"/>
  <c r="Z458" i="842"/>
  <c r="Z459" i="842" s="1"/>
  <c r="Z460" i="842" s="1"/>
  <c r="Z461" i="842" s="1"/>
  <c r="Z462" i="842" s="1"/>
  <c r="Y422" i="842"/>
  <c r="Y423" i="842" s="1"/>
  <c r="Y424" i="842" s="1"/>
  <c r="E424" i="842" s="1"/>
  <c r="D422" i="842"/>
  <c r="V422" i="842"/>
  <c r="V423" i="842" s="1"/>
  <c r="Y454" i="842"/>
  <c r="Y455" i="842" s="1"/>
  <c r="Y456" i="842" s="1"/>
  <c r="Y457" i="842" s="1"/>
  <c r="Y458" i="842" s="1"/>
  <c r="Y459" i="842" s="1"/>
  <c r="D453" i="842"/>
  <c r="P472" i="842"/>
  <c r="P406" i="842"/>
  <c r="P407" i="842" s="1"/>
  <c r="P408" i="842" s="1"/>
  <c r="P409" i="842" s="1"/>
  <c r="P410" i="842" s="1"/>
  <c r="P411" i="842" s="1"/>
  <c r="W422" i="842"/>
  <c r="W423" i="842" s="1"/>
  <c r="X404" i="842"/>
  <c r="X405" i="842" s="1"/>
  <c r="I403" i="842"/>
  <c r="P453" i="842"/>
  <c r="Z475" i="842"/>
  <c r="Z476" i="842" s="1"/>
  <c r="H402" i="842"/>
  <c r="E402" i="842"/>
  <c r="O403" i="842"/>
  <c r="O404" i="842" s="1"/>
  <c r="O405" i="842" s="1"/>
  <c r="AB409" i="842"/>
  <c r="AB410" i="842" s="1"/>
  <c r="I408" i="842"/>
  <c r="O426" i="842"/>
  <c r="O427" i="842" s="1"/>
  <c r="F450" i="842"/>
  <c r="G421" i="842"/>
  <c r="H450" i="842"/>
  <c r="E450" i="842"/>
  <c r="O451" i="842"/>
  <c r="V470" i="842"/>
  <c r="V471" i="842" s="1"/>
  <c r="I469" i="842"/>
  <c r="W451" i="842"/>
  <c r="W452" i="842" s="1"/>
  <c r="D450" i="842"/>
  <c r="D469" i="842"/>
  <c r="W470" i="842"/>
  <c r="W471" i="842" s="1"/>
  <c r="X471" i="842"/>
  <c r="X472" i="842" s="1"/>
  <c r="I470" i="842"/>
  <c r="E421" i="842"/>
  <c r="F469" i="842"/>
  <c r="O470" i="842"/>
  <c r="H469" i="842"/>
  <c r="R451" i="842"/>
  <c r="R452" i="842" s="1"/>
  <c r="R453" i="842" s="1"/>
  <c r="R454" i="842" s="1"/>
  <c r="R455" i="842" s="1"/>
  <c r="G450" i="842"/>
  <c r="F421" i="842"/>
  <c r="G469" i="842"/>
  <c r="D38" i="805"/>
  <c r="C38" i="805"/>
  <c r="B38" i="805"/>
  <c r="D37" i="805"/>
  <c r="C37" i="805"/>
  <c r="B37" i="805"/>
  <c r="D36" i="805"/>
  <c r="C36" i="805"/>
  <c r="B36" i="805"/>
  <c r="D35" i="805"/>
  <c r="C35" i="805"/>
  <c r="B35" i="805"/>
  <c r="D34" i="805"/>
  <c r="C34" i="805"/>
  <c r="B34" i="805"/>
  <c r="D33" i="805"/>
  <c r="C33" i="805"/>
  <c r="B33" i="805"/>
  <c r="A10" i="805"/>
  <c r="A3" i="805" s="1"/>
  <c r="C4" i="805" s="1"/>
  <c r="C5" i="805" s="1"/>
  <c r="C6" i="805" s="1"/>
  <c r="A32" i="803"/>
  <c r="A31" i="803"/>
  <c r="B30" i="803"/>
  <c r="A27" i="803"/>
  <c r="A26" i="803"/>
  <c r="B25" i="803"/>
  <c r="A22" i="803"/>
  <c r="A21" i="803"/>
  <c r="B20" i="803"/>
  <c r="A17" i="803"/>
  <c r="A16" i="803"/>
  <c r="B15" i="803"/>
  <c r="A12" i="803"/>
  <c r="A11" i="803"/>
  <c r="B10" i="803"/>
  <c r="A7" i="803"/>
  <c r="A6" i="803"/>
  <c r="B5" i="803"/>
  <c r="H99" i="842"/>
  <c r="H175" i="842"/>
  <c r="H213" i="842"/>
  <c r="H365" i="842"/>
  <c r="K98" i="842"/>
  <c r="H232" i="842"/>
  <c r="H352" i="842"/>
  <c r="H43" i="842"/>
  <c r="H194" i="842"/>
  <c r="H384" i="842"/>
  <c r="H457" i="842"/>
  <c r="H327" i="842"/>
  <c r="H252" i="842"/>
  <c r="K250" i="842"/>
  <c r="H346" i="842"/>
  <c r="H24" i="842"/>
  <c r="H81" i="842"/>
  <c r="H137" i="842"/>
  <c r="H333" i="842"/>
  <c r="H451" i="842"/>
  <c r="H403" i="842"/>
  <c r="K23" i="842"/>
  <c r="K117" i="842"/>
  <c r="H289" i="842"/>
  <c r="H156" i="842"/>
  <c r="K174" i="842"/>
  <c r="H219" i="842"/>
  <c r="H347" i="842"/>
  <c r="H118" i="842"/>
  <c r="K288" i="842"/>
  <c r="H308" i="842"/>
  <c r="K307" i="842"/>
  <c r="H470" i="842"/>
  <c r="K364" i="842"/>
  <c r="K383" i="842"/>
  <c r="K42" i="842"/>
  <c r="K193" i="842"/>
  <c r="H270" i="842"/>
  <c r="K402" i="842"/>
  <c r="H5" i="842"/>
  <c r="H62" i="842"/>
  <c r="K155" i="842"/>
  <c r="H238" i="842"/>
  <c r="H422" i="842"/>
  <c r="K80" i="842"/>
  <c r="K136" i="842"/>
  <c r="K4" i="842"/>
  <c r="H6" i="842"/>
  <c r="K326" i="842"/>
  <c r="K450" i="842"/>
  <c r="H12" i="805"/>
  <c r="H14" i="805"/>
  <c r="H326" i="842" l="1"/>
  <c r="H136" i="842"/>
  <c r="H155" i="842"/>
  <c r="H193" i="842"/>
  <c r="H42" i="842"/>
  <c r="H307" i="842"/>
  <c r="H288" i="842"/>
  <c r="H174" i="842"/>
  <c r="H117" i="842"/>
  <c r="H98" i="842"/>
  <c r="I458" i="842"/>
  <c r="AB459" i="842"/>
  <c r="AB460" i="842" s="1"/>
  <c r="AB461" i="842" s="1"/>
  <c r="AB462" i="842" s="1"/>
  <c r="V424" i="842"/>
  <c r="V425" i="842" s="1"/>
  <c r="V426" i="842" s="1"/>
  <c r="V427" i="842" s="1"/>
  <c r="V428" i="842" s="1"/>
  <c r="V429" i="842" s="1"/>
  <c r="V430" i="842" s="1"/>
  <c r="V431" i="842" s="1"/>
  <c r="V432" i="842" s="1"/>
  <c r="I423" i="842"/>
  <c r="E405" i="842"/>
  <c r="O406" i="842"/>
  <c r="P412" i="842"/>
  <c r="E411" i="842"/>
  <c r="H411" i="842" s="1"/>
  <c r="R427" i="842"/>
  <c r="R428" i="842" s="1"/>
  <c r="R429" i="842" s="1"/>
  <c r="E426" i="842"/>
  <c r="H426" i="842"/>
  <c r="AA458" i="842"/>
  <c r="AA459" i="842" s="1"/>
  <c r="AA460" i="842" s="1"/>
  <c r="AA461" i="842" s="1"/>
  <c r="AA462" i="842" s="1"/>
  <c r="D457" i="842"/>
  <c r="E422" i="842"/>
  <c r="D477" i="842"/>
  <c r="AC478" i="842"/>
  <c r="AC479" i="842" s="1"/>
  <c r="AC480" i="842" s="1"/>
  <c r="AC481" i="842" s="1"/>
  <c r="D333" i="842"/>
  <c r="AA334" i="842"/>
  <c r="AA335" i="842" s="1"/>
  <c r="AA336" i="842" s="1"/>
  <c r="AA337" i="842" s="1"/>
  <c r="AA338" i="842" s="1"/>
  <c r="AC373" i="842"/>
  <c r="AC374" i="842" s="1"/>
  <c r="AC375" i="842" s="1"/>
  <c r="AC376" i="842" s="1"/>
  <c r="D372" i="842"/>
  <c r="H407" i="842"/>
  <c r="R408" i="842"/>
  <c r="R409" i="842" s="1"/>
  <c r="R410" i="842" s="1"/>
  <c r="I353" i="842"/>
  <c r="AB354" i="842"/>
  <c r="AB355" i="842" s="1"/>
  <c r="AB356" i="842" s="1"/>
  <c r="AB357" i="842" s="1"/>
  <c r="P330" i="842"/>
  <c r="P331" i="842" s="1"/>
  <c r="P332" i="842" s="1"/>
  <c r="P333" i="842" s="1"/>
  <c r="P334" i="842" s="1"/>
  <c r="P335" i="842" s="1"/>
  <c r="X298" i="842"/>
  <c r="I297" i="842"/>
  <c r="AC316" i="842"/>
  <c r="AC317" i="842" s="1"/>
  <c r="AC318" i="842" s="1"/>
  <c r="AC319" i="842" s="1"/>
  <c r="D315" i="842"/>
  <c r="P311" i="842"/>
  <c r="P312" i="842" s="1"/>
  <c r="P313" i="842" s="1"/>
  <c r="P314" i="842" s="1"/>
  <c r="P315" i="842" s="1"/>
  <c r="P316" i="842" s="1"/>
  <c r="E233" i="842"/>
  <c r="P234" i="842"/>
  <c r="I258" i="842"/>
  <c r="AB259" i="842"/>
  <c r="AB260" i="842" s="1"/>
  <c r="AB261" i="842" s="1"/>
  <c r="AB262" i="842" s="1"/>
  <c r="X197" i="842"/>
  <c r="X198" i="842" s="1"/>
  <c r="X199" i="842" s="1"/>
  <c r="X200" i="842" s="1"/>
  <c r="X201" i="842" s="1"/>
  <c r="X202" i="842" s="1"/>
  <c r="I196" i="842"/>
  <c r="Y241" i="842"/>
  <c r="D240" i="842"/>
  <c r="Q177" i="842"/>
  <c r="Q178" i="842" s="1"/>
  <c r="W147" i="842"/>
  <c r="D147" i="842"/>
  <c r="D219" i="842"/>
  <c r="AA220" i="842"/>
  <c r="AA221" i="842" s="1"/>
  <c r="AA222" i="842" s="1"/>
  <c r="AA223" i="842" s="1"/>
  <c r="AA224" i="842" s="1"/>
  <c r="Y84" i="842"/>
  <c r="Y85" i="842" s="1"/>
  <c r="Y86" i="842" s="1"/>
  <c r="Y87" i="842" s="1"/>
  <c r="Y88" i="842" s="1"/>
  <c r="Y89" i="842" s="1"/>
  <c r="D83" i="842"/>
  <c r="X84" i="842"/>
  <c r="X85" i="842" s="1"/>
  <c r="X86" i="842" s="1"/>
  <c r="X87" i="842" s="1"/>
  <c r="X88" i="842" s="1"/>
  <c r="X89" i="842" s="1"/>
  <c r="I83" i="842"/>
  <c r="Y102" i="842"/>
  <c r="Y103" i="842" s="1"/>
  <c r="Y104" i="842" s="1"/>
  <c r="Y105" i="842" s="1"/>
  <c r="Y106" i="842" s="1"/>
  <c r="Y107" i="842" s="1"/>
  <c r="D101" i="842"/>
  <c r="X102" i="842"/>
  <c r="X103" i="842" s="1"/>
  <c r="X104" i="842" s="1"/>
  <c r="X105" i="842" s="1"/>
  <c r="X106" i="842" s="1"/>
  <c r="X107" i="842" s="1"/>
  <c r="I101" i="842"/>
  <c r="H26" i="842"/>
  <c r="P27" i="842"/>
  <c r="P28" i="842" s="1"/>
  <c r="P29" i="842" s="1"/>
  <c r="P30" i="842" s="1"/>
  <c r="P31" i="842" s="1"/>
  <c r="P32" i="842" s="1"/>
  <c r="Z31" i="842"/>
  <c r="Z32" i="842" s="1"/>
  <c r="Z33" i="842" s="1"/>
  <c r="Z34" i="842" s="1"/>
  <c r="Z35" i="842" s="1"/>
  <c r="I30" i="842"/>
  <c r="X52" i="842"/>
  <c r="I51" i="842"/>
  <c r="Z12" i="842"/>
  <c r="Z13" i="842" s="1"/>
  <c r="Z14" i="842" s="1"/>
  <c r="Z15" i="842" s="1"/>
  <c r="Z16" i="842" s="1"/>
  <c r="I11" i="842"/>
  <c r="D452" i="842"/>
  <c r="E452" i="842" s="1"/>
  <c r="W453" i="842"/>
  <c r="W454" i="842" s="1"/>
  <c r="W455" i="842" s="1"/>
  <c r="W456" i="842" s="1"/>
  <c r="W457" i="842" s="1"/>
  <c r="W458" i="842" s="1"/>
  <c r="W459" i="842" s="1"/>
  <c r="W460" i="842" s="1"/>
  <c r="P387" i="842"/>
  <c r="P388" i="842" s="1"/>
  <c r="P389" i="842" s="1"/>
  <c r="P390" i="842" s="1"/>
  <c r="P391" i="842" s="1"/>
  <c r="P392" i="842" s="1"/>
  <c r="D366" i="842"/>
  <c r="E366" i="842" s="1"/>
  <c r="W367" i="842"/>
  <c r="W368" i="842" s="1"/>
  <c r="W369" i="842" s="1"/>
  <c r="W370" i="842" s="1"/>
  <c r="W371" i="842" s="1"/>
  <c r="W372" i="842" s="1"/>
  <c r="W373" i="842" s="1"/>
  <c r="W374" i="842" s="1"/>
  <c r="Z410" i="842"/>
  <c r="Z411" i="842" s="1"/>
  <c r="Z412" i="842" s="1"/>
  <c r="Z413" i="842" s="1"/>
  <c r="Z414" i="842" s="1"/>
  <c r="I409" i="842"/>
  <c r="Q424" i="842"/>
  <c r="Q425" i="842" s="1"/>
  <c r="Y479" i="842"/>
  <c r="D478" i="842"/>
  <c r="E308" i="842"/>
  <c r="O309" i="842"/>
  <c r="O310" i="842" s="1"/>
  <c r="P349" i="842"/>
  <c r="P350" i="842" s="1"/>
  <c r="P351" i="842" s="1"/>
  <c r="P352" i="842" s="1"/>
  <c r="P353" i="842" s="1"/>
  <c r="P354" i="842" s="1"/>
  <c r="H348" i="842"/>
  <c r="U392" i="842"/>
  <c r="U393" i="842" s="1"/>
  <c r="U394" i="842" s="1"/>
  <c r="U395" i="842" s="1"/>
  <c r="H253" i="842"/>
  <c r="P254" i="842"/>
  <c r="P255" i="842" s="1"/>
  <c r="P256" i="842" s="1"/>
  <c r="P257" i="842" s="1"/>
  <c r="P258" i="842" s="1"/>
  <c r="P259" i="842" s="1"/>
  <c r="H236" i="842"/>
  <c r="R237" i="842"/>
  <c r="R238" i="842" s="1"/>
  <c r="R239" i="842" s="1"/>
  <c r="E215" i="842"/>
  <c r="O216" i="842"/>
  <c r="Z277" i="842"/>
  <c r="Z278" i="842" s="1"/>
  <c r="Z279" i="842" s="1"/>
  <c r="Z280" i="842" s="1"/>
  <c r="Z281" i="842" s="1"/>
  <c r="I276" i="842"/>
  <c r="I200" i="842"/>
  <c r="Z201" i="842"/>
  <c r="Z202" i="842" s="1"/>
  <c r="Z203" i="842" s="1"/>
  <c r="Z204" i="842" s="1"/>
  <c r="Z205" i="842" s="1"/>
  <c r="V196" i="842"/>
  <c r="V197" i="842" s="1"/>
  <c r="V198" i="842" s="1"/>
  <c r="V199" i="842" s="1"/>
  <c r="V200" i="842" s="1"/>
  <c r="V201" i="842" s="1"/>
  <c r="V202" i="842" s="1"/>
  <c r="V203" i="842" s="1"/>
  <c r="V204" i="842" s="1"/>
  <c r="I195" i="842"/>
  <c r="Y140" i="842"/>
  <c r="Y141" i="842" s="1"/>
  <c r="Y142" i="842" s="1"/>
  <c r="Y143" i="842" s="1"/>
  <c r="Y144" i="842" s="1"/>
  <c r="Y145" i="842" s="1"/>
  <c r="D139" i="842"/>
  <c r="P178" i="842"/>
  <c r="P179" i="842" s="1"/>
  <c r="P180" i="842" s="1"/>
  <c r="P181" i="842" s="1"/>
  <c r="P182" i="842" s="1"/>
  <c r="P183" i="842" s="1"/>
  <c r="H177" i="842"/>
  <c r="H141" i="842"/>
  <c r="R142" i="842"/>
  <c r="R143" i="842" s="1"/>
  <c r="R144" i="842" s="1"/>
  <c r="E141" i="842"/>
  <c r="Q64" i="842"/>
  <c r="Q65" i="842" s="1"/>
  <c r="O44" i="842"/>
  <c r="O45" i="842" s="1"/>
  <c r="E43" i="842"/>
  <c r="U145" i="842"/>
  <c r="U146" i="842" s="1"/>
  <c r="U147" i="842" s="1"/>
  <c r="U148" i="842" s="1"/>
  <c r="U126" i="842"/>
  <c r="U127" i="842" s="1"/>
  <c r="U128" i="842" s="1"/>
  <c r="U129" i="842" s="1"/>
  <c r="U13" i="842"/>
  <c r="U14" i="842" s="1"/>
  <c r="U15" i="842" s="1"/>
  <c r="U16" i="842" s="1"/>
  <c r="X8" i="842"/>
  <c r="X9" i="842" s="1"/>
  <c r="X10" i="842" s="1"/>
  <c r="X11" i="842" s="1"/>
  <c r="X12" i="842" s="1"/>
  <c r="X13" i="842" s="1"/>
  <c r="I7" i="842"/>
  <c r="R32" i="842"/>
  <c r="R33" i="842" s="1"/>
  <c r="R34" i="842" s="1"/>
  <c r="R35" i="842" s="1"/>
  <c r="E31" i="842"/>
  <c r="W72" i="842"/>
  <c r="D72" i="842"/>
  <c r="Z391" i="842"/>
  <c r="Z392" i="842" s="1"/>
  <c r="Z393" i="842" s="1"/>
  <c r="Z394" i="842" s="1"/>
  <c r="Z395" i="842" s="1"/>
  <c r="I390" i="842"/>
  <c r="Y349" i="842"/>
  <c r="Y350" i="842" s="1"/>
  <c r="Y351" i="842" s="1"/>
  <c r="Y352" i="842" s="1"/>
  <c r="Y353" i="842" s="1"/>
  <c r="Y354" i="842" s="1"/>
  <c r="D348" i="842"/>
  <c r="D395" i="842"/>
  <c r="W395" i="842"/>
  <c r="E348" i="842"/>
  <c r="W280" i="842"/>
  <c r="D280" i="842"/>
  <c r="Q272" i="842"/>
  <c r="Q273" i="842" s="1"/>
  <c r="U278" i="842"/>
  <c r="U279" i="842" s="1"/>
  <c r="U280" i="842" s="1"/>
  <c r="U281" i="842" s="1"/>
  <c r="X260" i="842"/>
  <c r="I259" i="842"/>
  <c r="Q141" i="842"/>
  <c r="Q142" i="842" s="1"/>
  <c r="Q143" i="842" s="1"/>
  <c r="Q144" i="842" s="1"/>
  <c r="Q145" i="842" s="1"/>
  <c r="Q146" i="842" s="1"/>
  <c r="Q147" i="842" s="1"/>
  <c r="Q148" i="842" s="1"/>
  <c r="H140" i="842"/>
  <c r="P140" i="842"/>
  <c r="R104" i="842"/>
  <c r="R105" i="842" s="1"/>
  <c r="R106" i="842" s="1"/>
  <c r="H103" i="842"/>
  <c r="AA163" i="842"/>
  <c r="AA164" i="842" s="1"/>
  <c r="AA165" i="842" s="1"/>
  <c r="AA166" i="842" s="1"/>
  <c r="AA167" i="842" s="1"/>
  <c r="D162" i="842"/>
  <c r="X71" i="842"/>
  <c r="I70" i="842"/>
  <c r="D124" i="842"/>
  <c r="AA125" i="842"/>
  <c r="AA126" i="842" s="1"/>
  <c r="AA127" i="842" s="1"/>
  <c r="AA128" i="842" s="1"/>
  <c r="AA129" i="842" s="1"/>
  <c r="H85" i="842"/>
  <c r="R86" i="842"/>
  <c r="R87" i="842" s="1"/>
  <c r="R88" i="842" s="1"/>
  <c r="E85" i="842"/>
  <c r="Q120" i="842"/>
  <c r="Q121" i="842" s="1"/>
  <c r="A158" i="822"/>
  <c r="A147" i="822"/>
  <c r="A148" i="822" s="1"/>
  <c r="P8" i="842"/>
  <c r="P9" i="842" s="1"/>
  <c r="P10" i="842" s="1"/>
  <c r="P11" i="842" s="1"/>
  <c r="P12" i="842" s="1"/>
  <c r="P13" i="842" s="1"/>
  <c r="H7" i="842"/>
  <c r="D32" i="842"/>
  <c r="Y33" i="842"/>
  <c r="Z88" i="842"/>
  <c r="Z89" i="842" s="1"/>
  <c r="Z90" i="842" s="1"/>
  <c r="Z91" i="842" s="1"/>
  <c r="Z92" i="842" s="1"/>
  <c r="I87" i="842"/>
  <c r="Q472" i="842"/>
  <c r="Q473" i="842" s="1"/>
  <c r="U411" i="842"/>
  <c r="U412" i="842" s="1"/>
  <c r="U413" i="842" s="1"/>
  <c r="U414" i="842" s="1"/>
  <c r="D391" i="842"/>
  <c r="AC392" i="842"/>
  <c r="AC393" i="842" s="1"/>
  <c r="AC394" i="842" s="1"/>
  <c r="AC395" i="842" s="1"/>
  <c r="Y336" i="842"/>
  <c r="D335" i="842"/>
  <c r="O350" i="842"/>
  <c r="O351" i="842" s="1"/>
  <c r="E349" i="842"/>
  <c r="D314" i="842"/>
  <c r="AA315" i="842"/>
  <c r="AA316" i="842" s="1"/>
  <c r="AA317" i="842" s="1"/>
  <c r="AA318" i="842" s="1"/>
  <c r="AA319" i="842" s="1"/>
  <c r="H274" i="842"/>
  <c r="R275" i="842"/>
  <c r="R276" i="842" s="1"/>
  <c r="R277" i="842" s="1"/>
  <c r="Q310" i="842"/>
  <c r="Q311" i="842" s="1"/>
  <c r="P216" i="842"/>
  <c r="P217" i="842" s="1"/>
  <c r="P218" i="842" s="1"/>
  <c r="P219" i="842" s="1"/>
  <c r="P220" i="842" s="1"/>
  <c r="P221" i="842" s="1"/>
  <c r="R259" i="842"/>
  <c r="R260" i="842" s="1"/>
  <c r="R261" i="842" s="1"/>
  <c r="R262" i="842" s="1"/>
  <c r="E258" i="842"/>
  <c r="V177" i="842"/>
  <c r="V178" i="842" s="1"/>
  <c r="V179" i="842" s="1"/>
  <c r="V180" i="842" s="1"/>
  <c r="V181" i="842" s="1"/>
  <c r="V182" i="842" s="1"/>
  <c r="V183" i="842" s="1"/>
  <c r="V184" i="842" s="1"/>
  <c r="V185" i="842" s="1"/>
  <c r="I176" i="842"/>
  <c r="P165" i="842"/>
  <c r="E164" i="842"/>
  <c r="H164" i="842" s="1"/>
  <c r="P197" i="842"/>
  <c r="P198" i="842" s="1"/>
  <c r="P199" i="842" s="1"/>
  <c r="P200" i="842" s="1"/>
  <c r="P201" i="842" s="1"/>
  <c r="P202" i="842" s="1"/>
  <c r="U240" i="842"/>
  <c r="U241" i="842" s="1"/>
  <c r="U242" i="842" s="1"/>
  <c r="U243" i="842" s="1"/>
  <c r="E158" i="842"/>
  <c r="O159" i="842"/>
  <c r="O65" i="842"/>
  <c r="E64" i="842"/>
  <c r="P121" i="842"/>
  <c r="P122" i="842" s="1"/>
  <c r="P123" i="842" s="1"/>
  <c r="P124" i="842" s="1"/>
  <c r="P125" i="842" s="1"/>
  <c r="P126" i="842" s="1"/>
  <c r="E120" i="842"/>
  <c r="O121" i="842"/>
  <c r="Z125" i="842"/>
  <c r="Z126" i="842" s="1"/>
  <c r="Z127" i="842" s="1"/>
  <c r="Z128" i="842" s="1"/>
  <c r="Z129" i="842" s="1"/>
  <c r="I124" i="842"/>
  <c r="D238" i="842"/>
  <c r="AA239" i="842"/>
  <c r="AA240" i="842" s="1"/>
  <c r="AA241" i="842" s="1"/>
  <c r="AA242" i="842" s="1"/>
  <c r="AA243" i="842" s="1"/>
  <c r="D144" i="842"/>
  <c r="AC145" i="842"/>
  <c r="AC146" i="842" s="1"/>
  <c r="AC147" i="842" s="1"/>
  <c r="AC148" i="842" s="1"/>
  <c r="AB107" i="842"/>
  <c r="AB108" i="842" s="1"/>
  <c r="AB109" i="842" s="1"/>
  <c r="AB110" i="842" s="1"/>
  <c r="I106" i="842"/>
  <c r="A28" i="822"/>
  <c r="A17" i="822"/>
  <c r="A18" i="822" s="1"/>
  <c r="Z69" i="842"/>
  <c r="Z70" i="842" s="1"/>
  <c r="Z71" i="842" s="1"/>
  <c r="Z72" i="842" s="1"/>
  <c r="Z73" i="842" s="1"/>
  <c r="I68" i="842"/>
  <c r="AB70" i="842"/>
  <c r="AB71" i="842" s="1"/>
  <c r="AB72" i="842" s="1"/>
  <c r="AB73" i="842" s="1"/>
  <c r="I69" i="842"/>
  <c r="AC13" i="842"/>
  <c r="AC14" i="842" s="1"/>
  <c r="AC15" i="842" s="1"/>
  <c r="AC16" i="842" s="1"/>
  <c r="D12" i="842"/>
  <c r="U51" i="842"/>
  <c r="U52" i="842" s="1"/>
  <c r="U53" i="842" s="1"/>
  <c r="U54" i="842" s="1"/>
  <c r="W338" i="842"/>
  <c r="D338" i="842"/>
  <c r="O452" i="842"/>
  <c r="O453" i="842" s="1"/>
  <c r="E451" i="842"/>
  <c r="I476" i="842"/>
  <c r="Z477" i="842"/>
  <c r="Z478" i="842" s="1"/>
  <c r="Z479" i="842" s="1"/>
  <c r="Z480" i="842" s="1"/>
  <c r="Z481" i="842" s="1"/>
  <c r="D459" i="842"/>
  <c r="Y460" i="842"/>
  <c r="I429" i="842"/>
  <c r="AB430" i="842"/>
  <c r="AB431" i="842" s="1"/>
  <c r="AB432" i="842" s="1"/>
  <c r="AB433" i="842" s="1"/>
  <c r="D409" i="842"/>
  <c r="AA410" i="842"/>
  <c r="AA411" i="842" s="1"/>
  <c r="AA412" i="842" s="1"/>
  <c r="AA413" i="842" s="1"/>
  <c r="AA414" i="842" s="1"/>
  <c r="AB373" i="842"/>
  <c r="AB374" i="842" s="1"/>
  <c r="AB375" i="842" s="1"/>
  <c r="AB376" i="842" s="1"/>
  <c r="I372" i="842"/>
  <c r="W310" i="842"/>
  <c r="W311" i="842" s="1"/>
  <c r="W312" i="842" s="1"/>
  <c r="W313" i="842" s="1"/>
  <c r="W314" i="842" s="1"/>
  <c r="W315" i="842" s="1"/>
  <c r="W316" i="842" s="1"/>
  <c r="W317" i="842" s="1"/>
  <c r="D309" i="842"/>
  <c r="E309" i="842" s="1"/>
  <c r="I391" i="842"/>
  <c r="AB392" i="842"/>
  <c r="AB393" i="842" s="1"/>
  <c r="AB394" i="842" s="1"/>
  <c r="AB395" i="842" s="1"/>
  <c r="O366" i="842"/>
  <c r="O367" i="842" s="1"/>
  <c r="E365" i="842"/>
  <c r="H349" i="842"/>
  <c r="Q350" i="842"/>
  <c r="Q351" i="842" s="1"/>
  <c r="Q352" i="842" s="1"/>
  <c r="Q353" i="842" s="1"/>
  <c r="Q354" i="842" s="1"/>
  <c r="Q355" i="842" s="1"/>
  <c r="Q356" i="842" s="1"/>
  <c r="Q357" i="842" s="1"/>
  <c r="AA353" i="842"/>
  <c r="AA354" i="842" s="1"/>
  <c r="AA355" i="842" s="1"/>
  <c r="AA356" i="842" s="1"/>
  <c r="AA357" i="842" s="1"/>
  <c r="D352" i="842"/>
  <c r="W242" i="842"/>
  <c r="D242" i="842"/>
  <c r="AB316" i="842"/>
  <c r="AB317" i="842" s="1"/>
  <c r="AB318" i="842" s="1"/>
  <c r="AB319" i="842" s="1"/>
  <c r="I315" i="842"/>
  <c r="E196" i="842"/>
  <c r="O197" i="842"/>
  <c r="X235" i="842"/>
  <c r="X236" i="842" s="1"/>
  <c r="X237" i="842" s="1"/>
  <c r="X238" i="842" s="1"/>
  <c r="X239" i="842" s="1"/>
  <c r="X240" i="842" s="1"/>
  <c r="I234" i="842"/>
  <c r="U259" i="842"/>
  <c r="U260" i="842" s="1"/>
  <c r="U261" i="842" s="1"/>
  <c r="U262" i="842" s="1"/>
  <c r="AA69" i="842"/>
  <c r="AA70" i="842" s="1"/>
  <c r="AA71" i="842" s="1"/>
  <c r="AA72" i="842" s="1"/>
  <c r="AA73" i="842" s="1"/>
  <c r="D68" i="842"/>
  <c r="R123" i="842"/>
  <c r="R124" i="842" s="1"/>
  <c r="R125" i="842" s="1"/>
  <c r="H122" i="842"/>
  <c r="O87" i="842"/>
  <c r="O88" i="842" s="1"/>
  <c r="O89" i="842" s="1"/>
  <c r="O90" i="842" s="1"/>
  <c r="O91" i="842" s="1"/>
  <c r="O92" i="842" s="1"/>
  <c r="E86" i="842"/>
  <c r="H86" i="842"/>
  <c r="D143" i="842"/>
  <c r="AA144" i="842"/>
  <c r="AA145" i="842" s="1"/>
  <c r="AA146" i="842" s="1"/>
  <c r="AA147" i="842" s="1"/>
  <c r="AA148" i="842" s="1"/>
  <c r="H9" i="842"/>
  <c r="R10" i="842"/>
  <c r="R11" i="842" s="1"/>
  <c r="R12" i="842" s="1"/>
  <c r="D30" i="842"/>
  <c r="AA31" i="842"/>
  <c r="AA32" i="842" s="1"/>
  <c r="AA33" i="842" s="1"/>
  <c r="AA34" i="842" s="1"/>
  <c r="AA35" i="842" s="1"/>
  <c r="D50" i="842"/>
  <c r="AC51" i="842"/>
  <c r="AC52" i="842" s="1"/>
  <c r="AC53" i="842" s="1"/>
  <c r="AC54" i="842" s="1"/>
  <c r="I105" i="842"/>
  <c r="Z106" i="842"/>
  <c r="Z107" i="842" s="1"/>
  <c r="Z108" i="842" s="1"/>
  <c r="Z109" i="842" s="1"/>
  <c r="Z110" i="842" s="1"/>
  <c r="W15" i="842"/>
  <c r="D15" i="842"/>
  <c r="H472" i="842"/>
  <c r="P473" i="842"/>
  <c r="P474" i="842" s="1"/>
  <c r="P475" i="842" s="1"/>
  <c r="P476" i="842" s="1"/>
  <c r="P477" i="842" s="1"/>
  <c r="P478" i="842" s="1"/>
  <c r="D390" i="842"/>
  <c r="AA391" i="842"/>
  <c r="AA392" i="842" s="1"/>
  <c r="AA393" i="842" s="1"/>
  <c r="AA394" i="842" s="1"/>
  <c r="AA395" i="842" s="1"/>
  <c r="X454" i="842"/>
  <c r="X455" i="842" s="1"/>
  <c r="X456" i="842" s="1"/>
  <c r="X457" i="842" s="1"/>
  <c r="X458" i="842" s="1"/>
  <c r="X459" i="842" s="1"/>
  <c r="I453" i="842"/>
  <c r="R313" i="842"/>
  <c r="R314" i="842" s="1"/>
  <c r="R315" i="842" s="1"/>
  <c r="H312" i="842"/>
  <c r="AC354" i="842"/>
  <c r="AC355" i="842" s="1"/>
  <c r="AC356" i="842" s="1"/>
  <c r="AC357" i="842" s="1"/>
  <c r="D353" i="842"/>
  <c r="E289" i="842"/>
  <c r="O290" i="842"/>
  <c r="O291" i="842" s="1"/>
  <c r="O236" i="842"/>
  <c r="O237" i="842" s="1"/>
  <c r="D296" i="842"/>
  <c r="AC297" i="842"/>
  <c r="AC298" i="842" s="1"/>
  <c r="AC299" i="842" s="1"/>
  <c r="AC300" i="842" s="1"/>
  <c r="I182" i="842"/>
  <c r="AB183" i="842"/>
  <c r="AB184" i="842" s="1"/>
  <c r="AB185" i="842" s="1"/>
  <c r="AB186" i="842" s="1"/>
  <c r="V215" i="842"/>
  <c r="V216" i="842" s="1"/>
  <c r="V217" i="842" s="1"/>
  <c r="V218" i="842" s="1"/>
  <c r="V219" i="842" s="1"/>
  <c r="V220" i="842" s="1"/>
  <c r="V221" i="842" s="1"/>
  <c r="V222" i="842" s="1"/>
  <c r="V223" i="842" s="1"/>
  <c r="I214" i="842"/>
  <c r="X140" i="842"/>
  <c r="X141" i="842" s="1"/>
  <c r="X142" i="842" s="1"/>
  <c r="X143" i="842" s="1"/>
  <c r="X144" i="842" s="1"/>
  <c r="X145" i="842" s="1"/>
  <c r="I139" i="842"/>
  <c r="W120" i="842"/>
  <c r="W121" i="842" s="1"/>
  <c r="W122" i="842" s="1"/>
  <c r="W123" i="842" s="1"/>
  <c r="W124" i="842" s="1"/>
  <c r="W125" i="842" s="1"/>
  <c r="W126" i="842" s="1"/>
  <c r="W127" i="842" s="1"/>
  <c r="D119" i="842"/>
  <c r="E119" i="842" s="1"/>
  <c r="E182" i="842"/>
  <c r="R183" i="842"/>
  <c r="R184" i="842" s="1"/>
  <c r="R185" i="842" s="1"/>
  <c r="R186" i="842" s="1"/>
  <c r="P102" i="842"/>
  <c r="P103" i="842" s="1"/>
  <c r="P104" i="842" s="1"/>
  <c r="P105" i="842" s="1"/>
  <c r="P106" i="842" s="1"/>
  <c r="P107" i="842" s="1"/>
  <c r="I125" i="842"/>
  <c r="AB126" i="842"/>
  <c r="AB127" i="842" s="1"/>
  <c r="AB128" i="842" s="1"/>
  <c r="AB129" i="842" s="1"/>
  <c r="A37" i="817"/>
  <c r="A39" i="817" s="1"/>
  <c r="A40" i="817" s="1"/>
  <c r="A41" i="817" s="1"/>
  <c r="A42" i="817" s="1"/>
  <c r="A43" i="817" s="1"/>
  <c r="A44" i="817" s="1"/>
  <c r="A45" i="817" s="1"/>
  <c r="A46" i="817" s="1"/>
  <c r="A47" i="817" s="1"/>
  <c r="A48" i="817" s="1"/>
  <c r="A49" i="817" s="1"/>
  <c r="A38" i="817"/>
  <c r="W54" i="842"/>
  <c r="D54" i="842"/>
  <c r="W34" i="842"/>
  <c r="D34" i="842"/>
  <c r="R389" i="842"/>
  <c r="R390" i="842" s="1"/>
  <c r="R391" i="842" s="1"/>
  <c r="H388" i="842"/>
  <c r="Z372" i="842"/>
  <c r="Z373" i="842" s="1"/>
  <c r="Z374" i="842" s="1"/>
  <c r="Z375" i="842" s="1"/>
  <c r="Z376" i="842" s="1"/>
  <c r="I371" i="842"/>
  <c r="Q291" i="842"/>
  <c r="Q292" i="842" s="1"/>
  <c r="V462" i="842"/>
  <c r="I462" i="842" s="1"/>
  <c r="I461" i="842"/>
  <c r="E386" i="842"/>
  <c r="O387" i="842"/>
  <c r="H424" i="842"/>
  <c r="P425" i="842"/>
  <c r="Q405" i="842"/>
  <c r="R351" i="842"/>
  <c r="R352" i="842" s="1"/>
  <c r="R353" i="842" s="1"/>
  <c r="E350" i="842"/>
  <c r="H350" i="842"/>
  <c r="D291" i="842"/>
  <c r="Y292" i="842"/>
  <c r="Y293" i="842" s="1"/>
  <c r="Y294" i="842" s="1"/>
  <c r="Y295" i="842" s="1"/>
  <c r="Y296" i="842" s="1"/>
  <c r="Y297" i="842" s="1"/>
  <c r="U373" i="842"/>
  <c r="U374" i="842" s="1"/>
  <c r="U375" i="842" s="1"/>
  <c r="U376" i="842" s="1"/>
  <c r="D347" i="842"/>
  <c r="E347" i="842" s="1"/>
  <c r="W348" i="842"/>
  <c r="W349" i="842" s="1"/>
  <c r="W350" i="842" s="1"/>
  <c r="W351" i="842" s="1"/>
  <c r="W352" i="842" s="1"/>
  <c r="W353" i="842" s="1"/>
  <c r="W354" i="842" s="1"/>
  <c r="W355" i="842" s="1"/>
  <c r="Q453" i="842"/>
  <c r="Q454" i="842" s="1"/>
  <c r="U335" i="842"/>
  <c r="U336" i="842" s="1"/>
  <c r="U337" i="842" s="1"/>
  <c r="U338" i="842" s="1"/>
  <c r="H331" i="842"/>
  <c r="R332" i="842"/>
  <c r="R333" i="842" s="1"/>
  <c r="R334" i="842" s="1"/>
  <c r="E346" i="842"/>
  <c r="R218" i="842"/>
  <c r="R219" i="842" s="1"/>
  <c r="R220" i="842" s="1"/>
  <c r="H217" i="842"/>
  <c r="U297" i="842"/>
  <c r="U298" i="842" s="1"/>
  <c r="U299" i="842" s="1"/>
  <c r="U300" i="842" s="1"/>
  <c r="I295" i="842"/>
  <c r="Z296" i="842"/>
  <c r="Z297" i="842" s="1"/>
  <c r="Z298" i="842" s="1"/>
  <c r="Z299" i="842" s="1"/>
  <c r="Z300" i="842" s="1"/>
  <c r="U221" i="842"/>
  <c r="U222" i="842" s="1"/>
  <c r="U223" i="842" s="1"/>
  <c r="U224" i="842" s="1"/>
  <c r="Y254" i="842"/>
  <c r="Y255" i="842" s="1"/>
  <c r="Y256" i="842" s="1"/>
  <c r="Y257" i="842" s="1"/>
  <c r="Y258" i="842" s="1"/>
  <c r="Y259" i="842" s="1"/>
  <c r="D253" i="842"/>
  <c r="W177" i="842"/>
  <c r="W178" i="842" s="1"/>
  <c r="W179" i="842" s="1"/>
  <c r="W180" i="842" s="1"/>
  <c r="W181" i="842" s="1"/>
  <c r="W182" i="842" s="1"/>
  <c r="W183" i="842" s="1"/>
  <c r="W184" i="842" s="1"/>
  <c r="D176" i="842"/>
  <c r="E176" i="842" s="1"/>
  <c r="W215" i="842"/>
  <c r="W216" i="842" s="1"/>
  <c r="W217" i="842" s="1"/>
  <c r="W218" i="842" s="1"/>
  <c r="W219" i="842" s="1"/>
  <c r="W220" i="842" s="1"/>
  <c r="W221" i="842" s="1"/>
  <c r="W222" i="842" s="1"/>
  <c r="D214" i="842"/>
  <c r="E214" i="842" s="1"/>
  <c r="I261" i="842"/>
  <c r="V262" i="842"/>
  <c r="I262" i="842" s="1"/>
  <c r="O178" i="842"/>
  <c r="E177" i="842"/>
  <c r="X159" i="842"/>
  <c r="X160" i="842" s="1"/>
  <c r="X161" i="842" s="1"/>
  <c r="X162" i="842" s="1"/>
  <c r="X163" i="842" s="1"/>
  <c r="X164" i="842" s="1"/>
  <c r="I158" i="842"/>
  <c r="V64" i="842"/>
  <c r="V65" i="842" s="1"/>
  <c r="V66" i="842" s="1"/>
  <c r="V67" i="842" s="1"/>
  <c r="V68" i="842" s="1"/>
  <c r="V69" i="842" s="1"/>
  <c r="V70" i="842" s="1"/>
  <c r="V71" i="842" s="1"/>
  <c r="V72" i="842" s="1"/>
  <c r="I63" i="842"/>
  <c r="I201" i="842"/>
  <c r="AB202" i="842"/>
  <c r="AB203" i="842" s="1"/>
  <c r="AB204" i="842" s="1"/>
  <c r="AB205" i="842" s="1"/>
  <c r="U107" i="842"/>
  <c r="U108" i="842" s="1"/>
  <c r="U109" i="842" s="1"/>
  <c r="U110" i="842" s="1"/>
  <c r="V101" i="842"/>
  <c r="V102" i="842" s="1"/>
  <c r="V103" i="842" s="1"/>
  <c r="V104" i="842" s="1"/>
  <c r="V105" i="842" s="1"/>
  <c r="V106" i="842" s="1"/>
  <c r="V107" i="842" s="1"/>
  <c r="V108" i="842" s="1"/>
  <c r="V109" i="842" s="1"/>
  <c r="I100" i="842"/>
  <c r="E81" i="842"/>
  <c r="D11" i="842"/>
  <c r="AA12" i="842"/>
  <c r="AA13" i="842" s="1"/>
  <c r="AA14" i="842" s="1"/>
  <c r="AA15" i="842" s="1"/>
  <c r="AA16" i="842" s="1"/>
  <c r="V26" i="842"/>
  <c r="V27" i="842" s="1"/>
  <c r="V28" i="842" s="1"/>
  <c r="V29" i="842" s="1"/>
  <c r="V30" i="842" s="1"/>
  <c r="V31" i="842" s="1"/>
  <c r="V32" i="842" s="1"/>
  <c r="V33" i="842" s="1"/>
  <c r="V34" i="842" s="1"/>
  <c r="I25" i="842"/>
  <c r="AB13" i="842"/>
  <c r="AB14" i="842" s="1"/>
  <c r="AB15" i="842" s="1"/>
  <c r="AB16" i="842" s="1"/>
  <c r="I12" i="842"/>
  <c r="I471" i="842"/>
  <c r="V472" i="842"/>
  <c r="V473" i="842" s="1"/>
  <c r="V474" i="842" s="1"/>
  <c r="V475" i="842" s="1"/>
  <c r="V476" i="842" s="1"/>
  <c r="V477" i="842" s="1"/>
  <c r="V478" i="842" s="1"/>
  <c r="V479" i="842" s="1"/>
  <c r="V480" i="842" s="1"/>
  <c r="E470" i="842"/>
  <c r="O471" i="842"/>
  <c r="O472" i="842" s="1"/>
  <c r="D392" i="842"/>
  <c r="Y393" i="842"/>
  <c r="O330" i="842"/>
  <c r="E329" i="842"/>
  <c r="V319" i="842"/>
  <c r="I319" i="842" s="1"/>
  <c r="I318" i="842"/>
  <c r="X273" i="842"/>
  <c r="X274" i="842" s="1"/>
  <c r="X275" i="842" s="1"/>
  <c r="X276" i="842" s="1"/>
  <c r="X277" i="842" s="1"/>
  <c r="X278" i="842" s="1"/>
  <c r="I272" i="842"/>
  <c r="AB278" i="842"/>
  <c r="AB279" i="842" s="1"/>
  <c r="AB280" i="842" s="1"/>
  <c r="AB281" i="842" s="1"/>
  <c r="I277" i="842"/>
  <c r="V300" i="842"/>
  <c r="I300" i="842" s="1"/>
  <c r="I299" i="842"/>
  <c r="U316" i="842"/>
  <c r="U317" i="842" s="1"/>
  <c r="U318" i="842" s="1"/>
  <c r="U319" i="842" s="1"/>
  <c r="Q196" i="842"/>
  <c r="Q197" i="842" s="1"/>
  <c r="D200" i="842"/>
  <c r="AA201" i="842"/>
  <c r="AA202" i="842" s="1"/>
  <c r="AA203" i="842" s="1"/>
  <c r="AA204" i="842" s="1"/>
  <c r="AA205" i="842" s="1"/>
  <c r="U183" i="842"/>
  <c r="U184" i="842" s="1"/>
  <c r="U185" i="842" s="1"/>
  <c r="U186" i="842" s="1"/>
  <c r="D195" i="842"/>
  <c r="E195" i="842" s="1"/>
  <c r="W196" i="842"/>
  <c r="W197" i="842" s="1"/>
  <c r="W198" i="842" s="1"/>
  <c r="W199" i="842" s="1"/>
  <c r="W200" i="842" s="1"/>
  <c r="W201" i="842" s="1"/>
  <c r="W202" i="842" s="1"/>
  <c r="W203" i="842" s="1"/>
  <c r="X216" i="842"/>
  <c r="X217" i="842" s="1"/>
  <c r="X218" i="842" s="1"/>
  <c r="X219" i="842" s="1"/>
  <c r="X220" i="842" s="1"/>
  <c r="X221" i="842" s="1"/>
  <c r="I215" i="842"/>
  <c r="AA106" i="842"/>
  <c r="AA107" i="842" s="1"/>
  <c r="AA108" i="842" s="1"/>
  <c r="AA109" i="842" s="1"/>
  <c r="AA110" i="842" s="1"/>
  <c r="D105" i="842"/>
  <c r="D184" i="842"/>
  <c r="Y185" i="842"/>
  <c r="Y186" i="842" s="1"/>
  <c r="W83" i="842"/>
  <c r="W84" i="842" s="1"/>
  <c r="W85" i="842" s="1"/>
  <c r="W86" i="842" s="1"/>
  <c r="W87" i="842" s="1"/>
  <c r="W88" i="842" s="1"/>
  <c r="W89" i="842" s="1"/>
  <c r="W90" i="842" s="1"/>
  <c r="D82" i="842"/>
  <c r="E82" i="842" s="1"/>
  <c r="D87" i="842"/>
  <c r="AA88" i="842"/>
  <c r="AA89" i="842" s="1"/>
  <c r="AA90" i="842" s="1"/>
  <c r="AA91" i="842" s="1"/>
  <c r="AA92" i="842" s="1"/>
  <c r="O25" i="842"/>
  <c r="O26" i="842" s="1"/>
  <c r="O27" i="842" s="1"/>
  <c r="E24" i="842"/>
  <c r="U70" i="842"/>
  <c r="U71" i="842" s="1"/>
  <c r="U72" i="842" s="1"/>
  <c r="U73" i="842" s="1"/>
  <c r="E374" i="842"/>
  <c r="H374" i="842" s="1"/>
  <c r="P375" i="842"/>
  <c r="P376" i="842" s="1"/>
  <c r="E327" i="842"/>
  <c r="U459" i="842"/>
  <c r="U460" i="842" s="1"/>
  <c r="U461" i="842" s="1"/>
  <c r="U462" i="842" s="1"/>
  <c r="Y311" i="842"/>
  <c r="Y312" i="842" s="1"/>
  <c r="Y313" i="842" s="1"/>
  <c r="Y314" i="842" s="1"/>
  <c r="Y315" i="842" s="1"/>
  <c r="Y316" i="842" s="1"/>
  <c r="D310" i="842"/>
  <c r="D277" i="842"/>
  <c r="AC278" i="842"/>
  <c r="AC279" i="842" s="1"/>
  <c r="AC280" i="842" s="1"/>
  <c r="AC281" i="842" s="1"/>
  <c r="Y273" i="842"/>
  <c r="Y274" i="842" s="1"/>
  <c r="Y275" i="842" s="1"/>
  <c r="Y276" i="842" s="1"/>
  <c r="Y277" i="842" s="1"/>
  <c r="Y278" i="842" s="1"/>
  <c r="D272" i="842"/>
  <c r="E194" i="842"/>
  <c r="Y203" i="842"/>
  <c r="D202" i="842"/>
  <c r="Q234" i="842"/>
  <c r="Q235" i="842" s="1"/>
  <c r="V158" i="842"/>
  <c r="V159" i="842" s="1"/>
  <c r="V160" i="842" s="1"/>
  <c r="V161" i="842" s="1"/>
  <c r="V162" i="842" s="1"/>
  <c r="V163" i="842" s="1"/>
  <c r="V164" i="842" s="1"/>
  <c r="V165" i="842" s="1"/>
  <c r="V166" i="842" s="1"/>
  <c r="I157" i="842"/>
  <c r="I120" i="842"/>
  <c r="X121" i="842"/>
  <c r="X122" i="842" s="1"/>
  <c r="X123" i="842" s="1"/>
  <c r="X124" i="842" s="1"/>
  <c r="X125" i="842" s="1"/>
  <c r="X126" i="842" s="1"/>
  <c r="V120" i="842"/>
  <c r="V121" i="842" s="1"/>
  <c r="V122" i="842" s="1"/>
  <c r="V123" i="842" s="1"/>
  <c r="V124" i="842" s="1"/>
  <c r="V125" i="842" s="1"/>
  <c r="V126" i="842" s="1"/>
  <c r="V127" i="842" s="1"/>
  <c r="V128" i="842" s="1"/>
  <c r="I119" i="842"/>
  <c r="H198" i="842"/>
  <c r="R199" i="842"/>
  <c r="R200" i="842" s="1"/>
  <c r="R201" i="842" s="1"/>
  <c r="D164" i="842"/>
  <c r="Y165" i="842"/>
  <c r="V54" i="842"/>
  <c r="I54" i="842" s="1"/>
  <c r="I53" i="842"/>
  <c r="Q45" i="842"/>
  <c r="Q46" i="842" s="1"/>
  <c r="U89" i="842"/>
  <c r="U90" i="842" s="1"/>
  <c r="U91" i="842" s="1"/>
  <c r="U92" i="842" s="1"/>
  <c r="D88" i="842"/>
  <c r="AC89" i="842"/>
  <c r="AC90" i="842" s="1"/>
  <c r="AC91" i="842" s="1"/>
  <c r="AC92" i="842" s="1"/>
  <c r="Q83" i="842"/>
  <c r="E5" i="842"/>
  <c r="O6" i="842"/>
  <c r="O7" i="842" s="1"/>
  <c r="X27" i="842"/>
  <c r="X28" i="842" s="1"/>
  <c r="X29" i="842" s="1"/>
  <c r="X30" i="842" s="1"/>
  <c r="X31" i="842" s="1"/>
  <c r="X32" i="842" s="1"/>
  <c r="I26" i="842"/>
  <c r="Y72" i="842"/>
  <c r="Y73" i="842" s="1"/>
  <c r="D71" i="842"/>
  <c r="V386" i="842"/>
  <c r="V387" i="842" s="1"/>
  <c r="V388" i="842" s="1"/>
  <c r="V389" i="842" s="1"/>
  <c r="V390" i="842" s="1"/>
  <c r="V391" i="842" s="1"/>
  <c r="V392" i="842" s="1"/>
  <c r="V393" i="842" s="1"/>
  <c r="V394" i="842" s="1"/>
  <c r="I385" i="842"/>
  <c r="X349" i="842"/>
  <c r="X350" i="842" s="1"/>
  <c r="X351" i="842" s="1"/>
  <c r="X352" i="842" s="1"/>
  <c r="X353" i="842" s="1"/>
  <c r="X354" i="842" s="1"/>
  <c r="I348" i="842"/>
  <c r="X406" i="842"/>
  <c r="X407" i="842" s="1"/>
  <c r="X408" i="842" s="1"/>
  <c r="X409" i="842" s="1"/>
  <c r="X410" i="842" s="1"/>
  <c r="X411" i="842" s="1"/>
  <c r="I405" i="842"/>
  <c r="X425" i="842"/>
  <c r="X426" i="842" s="1"/>
  <c r="X427" i="842" s="1"/>
  <c r="X428" i="842" s="1"/>
  <c r="X429" i="842" s="1"/>
  <c r="X430" i="842" s="1"/>
  <c r="I424" i="842"/>
  <c r="X473" i="842"/>
  <c r="X474" i="842" s="1"/>
  <c r="X475" i="842" s="1"/>
  <c r="X476" i="842" s="1"/>
  <c r="X477" i="842" s="1"/>
  <c r="X478" i="842" s="1"/>
  <c r="I472" i="842"/>
  <c r="O428" i="842"/>
  <c r="O429" i="842" s="1"/>
  <c r="O430" i="842" s="1"/>
  <c r="O431" i="842" s="1"/>
  <c r="O432" i="842" s="1"/>
  <c r="O433" i="842" s="1"/>
  <c r="E427" i="842"/>
  <c r="H427" i="842"/>
  <c r="I428" i="842"/>
  <c r="Z429" i="842"/>
  <c r="Z430" i="842" s="1"/>
  <c r="Z431" i="842" s="1"/>
  <c r="Z432" i="842" s="1"/>
  <c r="Z433" i="842" s="1"/>
  <c r="X387" i="842"/>
  <c r="X388" i="842" s="1"/>
  <c r="X389" i="842" s="1"/>
  <c r="X390" i="842" s="1"/>
  <c r="X391" i="842" s="1"/>
  <c r="X392" i="842" s="1"/>
  <c r="I386" i="842"/>
  <c r="AC430" i="842"/>
  <c r="AC431" i="842" s="1"/>
  <c r="AC432" i="842" s="1"/>
  <c r="AC433" i="842" s="1"/>
  <c r="D429" i="842"/>
  <c r="I337" i="842"/>
  <c r="V338" i="842"/>
  <c r="I338" i="842" s="1"/>
  <c r="Z315" i="842"/>
  <c r="Z316" i="842" s="1"/>
  <c r="Z317" i="842" s="1"/>
  <c r="Z318" i="842" s="1"/>
  <c r="Z319" i="842" s="1"/>
  <c r="I314" i="842"/>
  <c r="AB335" i="842"/>
  <c r="AB336" i="842" s="1"/>
  <c r="AB337" i="842" s="1"/>
  <c r="AB338" i="842" s="1"/>
  <c r="I334" i="842"/>
  <c r="X311" i="842"/>
  <c r="X312" i="842" s="1"/>
  <c r="X313" i="842" s="1"/>
  <c r="X314" i="842" s="1"/>
  <c r="X315" i="842" s="1"/>
  <c r="X316" i="842" s="1"/>
  <c r="I310" i="842"/>
  <c r="E272" i="842"/>
  <c r="AB221" i="842"/>
  <c r="AB222" i="842" s="1"/>
  <c r="AB223" i="842" s="1"/>
  <c r="AB224" i="842" s="1"/>
  <c r="I220" i="842"/>
  <c r="H254" i="842"/>
  <c r="Q255" i="842"/>
  <c r="Q256" i="842" s="1"/>
  <c r="Q257" i="842" s="1"/>
  <c r="Q258" i="842" s="1"/>
  <c r="Q259" i="842" s="1"/>
  <c r="Q260" i="842" s="1"/>
  <c r="Q261" i="842" s="1"/>
  <c r="Q262" i="842" s="1"/>
  <c r="D182" i="842"/>
  <c r="AC183" i="842"/>
  <c r="AC184" i="842" s="1"/>
  <c r="AC185" i="842" s="1"/>
  <c r="AC186" i="842" s="1"/>
  <c r="Z182" i="842"/>
  <c r="Z183" i="842" s="1"/>
  <c r="Z184" i="842" s="1"/>
  <c r="Z185" i="842" s="1"/>
  <c r="Z186" i="842" s="1"/>
  <c r="I181" i="842"/>
  <c r="Z258" i="842"/>
  <c r="Z259" i="842" s="1"/>
  <c r="Z260" i="842" s="1"/>
  <c r="Z261" i="842" s="1"/>
  <c r="Z262" i="842" s="1"/>
  <c r="I257" i="842"/>
  <c r="Q158" i="842"/>
  <c r="D221" i="842"/>
  <c r="Y222" i="842"/>
  <c r="D157" i="842"/>
  <c r="E157" i="842" s="1"/>
  <c r="W158" i="842"/>
  <c r="W159" i="842" s="1"/>
  <c r="W160" i="842" s="1"/>
  <c r="W161" i="842" s="1"/>
  <c r="W162" i="842" s="1"/>
  <c r="W163" i="842" s="1"/>
  <c r="W164" i="842" s="1"/>
  <c r="W165" i="842" s="1"/>
  <c r="E139" i="842"/>
  <c r="W101" i="842"/>
  <c r="W102" i="842" s="1"/>
  <c r="W103" i="842" s="1"/>
  <c r="W104" i="842" s="1"/>
  <c r="W105" i="842" s="1"/>
  <c r="W106" i="842" s="1"/>
  <c r="W107" i="842" s="1"/>
  <c r="W108" i="842" s="1"/>
  <c r="D100" i="842"/>
  <c r="E100" i="842" s="1"/>
  <c r="Y121" i="842"/>
  <c r="Y122" i="842" s="1"/>
  <c r="Y123" i="842" s="1"/>
  <c r="Y124" i="842" s="1"/>
  <c r="Y125" i="842" s="1"/>
  <c r="Y126" i="842" s="1"/>
  <c r="D120" i="842"/>
  <c r="AB51" i="842"/>
  <c r="AB52" i="842" s="1"/>
  <c r="AB53" i="842" s="1"/>
  <c r="AB54" i="842" s="1"/>
  <c r="I50" i="842"/>
  <c r="P46" i="842"/>
  <c r="P47" i="842" s="1"/>
  <c r="P48" i="842" s="1"/>
  <c r="P49" i="842" s="1"/>
  <c r="P50" i="842" s="1"/>
  <c r="P51" i="842" s="1"/>
  <c r="H45" i="842"/>
  <c r="H64" i="842"/>
  <c r="P65" i="842"/>
  <c r="P66" i="842" s="1"/>
  <c r="P67" i="842" s="1"/>
  <c r="P68" i="842" s="1"/>
  <c r="P69" i="842" s="1"/>
  <c r="P70" i="842" s="1"/>
  <c r="AA50" i="842"/>
  <c r="AA51" i="842" s="1"/>
  <c r="AA52" i="842" s="1"/>
  <c r="AA53" i="842" s="1"/>
  <c r="AA54" i="842" s="1"/>
  <c r="D49" i="842"/>
  <c r="Z50" i="842"/>
  <c r="Z51" i="842" s="1"/>
  <c r="Z52" i="842" s="1"/>
  <c r="Z53" i="842" s="1"/>
  <c r="Z54" i="842" s="1"/>
  <c r="I49" i="842"/>
  <c r="R456" i="842"/>
  <c r="R457" i="842" s="1"/>
  <c r="R458" i="842" s="1"/>
  <c r="H455" i="842"/>
  <c r="P454" i="842"/>
  <c r="P455" i="842" s="1"/>
  <c r="P456" i="842" s="1"/>
  <c r="P457" i="842" s="1"/>
  <c r="P458" i="842" s="1"/>
  <c r="P459" i="842" s="1"/>
  <c r="H453" i="842"/>
  <c r="I375" i="842"/>
  <c r="V376" i="842"/>
  <c r="I376" i="842" s="1"/>
  <c r="D290" i="842"/>
  <c r="E290" i="842" s="1"/>
  <c r="W291" i="842"/>
  <c r="W292" i="842" s="1"/>
  <c r="W293" i="842" s="1"/>
  <c r="W294" i="842" s="1"/>
  <c r="W295" i="842" s="1"/>
  <c r="W296" i="842" s="1"/>
  <c r="W297" i="842" s="1"/>
  <c r="W298" i="842" s="1"/>
  <c r="X368" i="842"/>
  <c r="X369" i="842" s="1"/>
  <c r="X370" i="842" s="1"/>
  <c r="X371" i="842" s="1"/>
  <c r="X372" i="842" s="1"/>
  <c r="X373" i="842" s="1"/>
  <c r="I367" i="842"/>
  <c r="V414" i="842"/>
  <c r="I414" i="842" s="1"/>
  <c r="I413" i="842"/>
  <c r="R294" i="842"/>
  <c r="R295" i="842" s="1"/>
  <c r="R296" i="842" s="1"/>
  <c r="H293" i="842"/>
  <c r="U430" i="842"/>
  <c r="U431" i="842" s="1"/>
  <c r="U432" i="842" s="1"/>
  <c r="U433" i="842" s="1"/>
  <c r="D405" i="842"/>
  <c r="Y406" i="842"/>
  <c r="Y407" i="842" s="1"/>
  <c r="Y408" i="842" s="1"/>
  <c r="Y409" i="842" s="1"/>
  <c r="Y410" i="842" s="1"/>
  <c r="Y411" i="842" s="1"/>
  <c r="D410" i="842"/>
  <c r="AC411" i="842"/>
  <c r="AC412" i="842" s="1"/>
  <c r="AC413" i="842" s="1"/>
  <c r="AC414" i="842" s="1"/>
  <c r="X330" i="842"/>
  <c r="X331" i="842" s="1"/>
  <c r="X332" i="842" s="1"/>
  <c r="X333" i="842" s="1"/>
  <c r="X334" i="842" s="1"/>
  <c r="X335" i="842" s="1"/>
  <c r="I329" i="842"/>
  <c r="Q386" i="842"/>
  <c r="Q387" i="842" s="1"/>
  <c r="AB297" i="842"/>
  <c r="AB298" i="842" s="1"/>
  <c r="AB299" i="842" s="1"/>
  <c r="AB300" i="842" s="1"/>
  <c r="I296" i="842"/>
  <c r="W253" i="842"/>
  <c r="W254" i="842" s="1"/>
  <c r="W255" i="842" s="1"/>
  <c r="W256" i="842" s="1"/>
  <c r="W257" i="842" s="1"/>
  <c r="W258" i="842" s="1"/>
  <c r="W259" i="842" s="1"/>
  <c r="W260" i="842" s="1"/>
  <c r="D252" i="842"/>
  <c r="E252" i="842" s="1"/>
  <c r="H272" i="842"/>
  <c r="P273" i="842"/>
  <c r="P274" i="842" s="1"/>
  <c r="P275" i="842" s="1"/>
  <c r="P276" i="842" s="1"/>
  <c r="P277" i="842" s="1"/>
  <c r="P278" i="842" s="1"/>
  <c r="O274" i="842"/>
  <c r="O275" i="842" s="1"/>
  <c r="E273" i="842"/>
  <c r="AC259" i="842"/>
  <c r="AC260" i="842" s="1"/>
  <c r="AC261" i="842" s="1"/>
  <c r="AC262" i="842" s="1"/>
  <c r="D258" i="842"/>
  <c r="O254" i="842"/>
  <c r="E253" i="842"/>
  <c r="Q215" i="842"/>
  <c r="Q216" i="842" s="1"/>
  <c r="E156" i="842"/>
  <c r="AA182" i="842"/>
  <c r="AA183" i="842" s="1"/>
  <c r="AA184" i="842" s="1"/>
  <c r="AA185" i="842" s="1"/>
  <c r="AA186" i="842" s="1"/>
  <c r="D181" i="842"/>
  <c r="Z144" i="842"/>
  <c r="Z145" i="842" s="1"/>
  <c r="Z146" i="842" s="1"/>
  <c r="Z147" i="842" s="1"/>
  <c r="Z148" i="842" s="1"/>
  <c r="I143" i="842"/>
  <c r="AC164" i="842"/>
  <c r="AC165" i="842" s="1"/>
  <c r="AC166" i="842" s="1"/>
  <c r="AC167" i="842" s="1"/>
  <c r="D163" i="842"/>
  <c r="D106" i="842"/>
  <c r="AC107" i="842"/>
  <c r="AC108" i="842" s="1"/>
  <c r="AC109" i="842" s="1"/>
  <c r="AC110" i="842" s="1"/>
  <c r="AC70" i="842"/>
  <c r="AC71" i="842" s="1"/>
  <c r="AC72" i="842" s="1"/>
  <c r="AC73" i="842" s="1"/>
  <c r="D69" i="842"/>
  <c r="O143" i="842"/>
  <c r="O144" i="842" s="1"/>
  <c r="O145" i="842" s="1"/>
  <c r="O146" i="842" s="1"/>
  <c r="O147" i="842" s="1"/>
  <c r="O148" i="842" s="1"/>
  <c r="E142" i="842"/>
  <c r="R67" i="842"/>
  <c r="R68" i="842" s="1"/>
  <c r="R69" i="842" s="1"/>
  <c r="H66" i="842"/>
  <c r="U32" i="842"/>
  <c r="U33" i="842" s="1"/>
  <c r="U34" i="842" s="1"/>
  <c r="U35" i="842" s="1"/>
  <c r="W405" i="842"/>
  <c r="W406" i="842" s="1"/>
  <c r="W407" i="842" s="1"/>
  <c r="W408" i="842" s="1"/>
  <c r="W409" i="842" s="1"/>
  <c r="W410" i="842" s="1"/>
  <c r="W411" i="842" s="1"/>
  <c r="W412" i="842" s="1"/>
  <c r="D404" i="842"/>
  <c r="E404" i="842" s="1"/>
  <c r="Y425" i="842"/>
  <c r="Y426" i="842" s="1"/>
  <c r="Y427" i="842" s="1"/>
  <c r="Y428" i="842" s="1"/>
  <c r="Y429" i="842" s="1"/>
  <c r="Y430" i="842" s="1"/>
  <c r="D424" i="842"/>
  <c r="Y374" i="842"/>
  <c r="D373" i="842"/>
  <c r="Q329" i="842"/>
  <c r="Q330" i="842" s="1"/>
  <c r="AA477" i="842"/>
  <c r="AA478" i="842" s="1"/>
  <c r="AA479" i="842" s="1"/>
  <c r="AA480" i="842" s="1"/>
  <c r="AA481" i="842" s="1"/>
  <c r="D476" i="842"/>
  <c r="W472" i="842"/>
  <c r="W473" i="842" s="1"/>
  <c r="W474" i="842" s="1"/>
  <c r="W475" i="842" s="1"/>
  <c r="W476" i="842" s="1"/>
  <c r="W477" i="842" s="1"/>
  <c r="W478" i="842" s="1"/>
  <c r="W479" i="842" s="1"/>
  <c r="D471" i="842"/>
  <c r="E471" i="842" s="1"/>
  <c r="W424" i="842"/>
  <c r="W425" i="842" s="1"/>
  <c r="W426" i="842" s="1"/>
  <c r="W427" i="842" s="1"/>
  <c r="W428" i="842" s="1"/>
  <c r="W429" i="842" s="1"/>
  <c r="W430" i="842" s="1"/>
  <c r="W431" i="842" s="1"/>
  <c r="D423" i="842"/>
  <c r="E423" i="842" s="1"/>
  <c r="AC459" i="842"/>
  <c r="AC460" i="842" s="1"/>
  <c r="AC461" i="842" s="1"/>
  <c r="AC462" i="842" s="1"/>
  <c r="D458" i="842"/>
  <c r="Q367" i="842"/>
  <c r="AB411" i="842"/>
  <c r="AB412" i="842" s="1"/>
  <c r="AB413" i="842" s="1"/>
  <c r="AB414" i="842" s="1"/>
  <c r="I410" i="842"/>
  <c r="U478" i="842"/>
  <c r="U479" i="842" s="1"/>
  <c r="U480" i="842" s="1"/>
  <c r="U481" i="842" s="1"/>
  <c r="H369" i="842"/>
  <c r="R370" i="842"/>
  <c r="R371" i="842" s="1"/>
  <c r="R372" i="842" s="1"/>
  <c r="R478" i="842"/>
  <c r="R479" i="842" s="1"/>
  <c r="R480" i="842" s="1"/>
  <c r="R481" i="842" s="1"/>
  <c r="E477" i="842"/>
  <c r="D371" i="842"/>
  <c r="AA372" i="842"/>
  <c r="AA373" i="842" s="1"/>
  <c r="AA374" i="842" s="1"/>
  <c r="AA375" i="842" s="1"/>
  <c r="AA376" i="842" s="1"/>
  <c r="U354" i="842"/>
  <c r="U355" i="842" s="1"/>
  <c r="U356" i="842" s="1"/>
  <c r="U357" i="842" s="1"/>
  <c r="E384" i="842"/>
  <c r="P292" i="842"/>
  <c r="P293" i="842" s="1"/>
  <c r="P294" i="842" s="1"/>
  <c r="P295" i="842" s="1"/>
  <c r="P296" i="842" s="1"/>
  <c r="P297" i="842" s="1"/>
  <c r="H291" i="842"/>
  <c r="AA296" i="842"/>
  <c r="AA297" i="842" s="1"/>
  <c r="AA298" i="842" s="1"/>
  <c r="AA299" i="842" s="1"/>
  <c r="AA300" i="842" s="1"/>
  <c r="D295" i="842"/>
  <c r="AB240" i="842"/>
  <c r="AB241" i="842" s="1"/>
  <c r="AB242" i="842" s="1"/>
  <c r="AB243" i="842" s="1"/>
  <c r="I239" i="842"/>
  <c r="I138" i="842"/>
  <c r="V139" i="842"/>
  <c r="V140" i="842" s="1"/>
  <c r="V141" i="842" s="1"/>
  <c r="V142" i="842" s="1"/>
  <c r="V143" i="842" s="1"/>
  <c r="V144" i="842" s="1"/>
  <c r="V145" i="842" s="1"/>
  <c r="V146" i="842" s="1"/>
  <c r="V147" i="842" s="1"/>
  <c r="X178" i="842"/>
  <c r="X179" i="842" s="1"/>
  <c r="X180" i="842" s="1"/>
  <c r="X181" i="842" s="1"/>
  <c r="X182" i="842" s="1"/>
  <c r="X183" i="842" s="1"/>
  <c r="I177" i="842"/>
  <c r="U164" i="842"/>
  <c r="U165" i="842" s="1"/>
  <c r="U166" i="842" s="1"/>
  <c r="U167" i="842" s="1"/>
  <c r="H167" i="842" s="1"/>
  <c r="E101" i="842"/>
  <c r="O102" i="842"/>
  <c r="AC126" i="842"/>
  <c r="AC127" i="842" s="1"/>
  <c r="AC128" i="842" s="1"/>
  <c r="AC129" i="842" s="1"/>
  <c r="D125" i="842"/>
  <c r="H83" i="842"/>
  <c r="P84" i="842"/>
  <c r="Z163" i="842"/>
  <c r="Z164" i="842" s="1"/>
  <c r="Z165" i="842" s="1"/>
  <c r="Z166" i="842" s="1"/>
  <c r="Z167" i="842" s="1"/>
  <c r="I162" i="842"/>
  <c r="H47" i="842"/>
  <c r="R48" i="842"/>
  <c r="R49" i="842" s="1"/>
  <c r="R50" i="842" s="1"/>
  <c r="D45" i="842"/>
  <c r="Y46" i="842"/>
  <c r="Y47" i="842" s="1"/>
  <c r="Y48" i="842" s="1"/>
  <c r="Y49" i="842" s="1"/>
  <c r="Y50" i="842" s="1"/>
  <c r="Y51" i="842" s="1"/>
  <c r="H27" i="842"/>
  <c r="Q28" i="842"/>
  <c r="Q29" i="842" s="1"/>
  <c r="Q30" i="842" s="1"/>
  <c r="Q31" i="842" s="1"/>
  <c r="Q32" i="842" s="1"/>
  <c r="Q33" i="842" s="1"/>
  <c r="Q34" i="842" s="1"/>
  <c r="Q35" i="842" s="1"/>
  <c r="Q9" i="842"/>
  <c r="Q10" i="842" s="1"/>
  <c r="Q11" i="842" s="1"/>
  <c r="Q12" i="842" s="1"/>
  <c r="Q13" i="842" s="1"/>
  <c r="Q14" i="842" s="1"/>
  <c r="Q15" i="842" s="1"/>
  <c r="Q16" i="842" s="1"/>
  <c r="H8" i="842"/>
  <c r="AB32" i="842"/>
  <c r="AB33" i="842" s="1"/>
  <c r="AB34" i="842" s="1"/>
  <c r="AB35" i="842" s="1"/>
  <c r="I31" i="842"/>
  <c r="Y14" i="842"/>
  <c r="D13" i="842"/>
  <c r="D31" i="842"/>
  <c r="AC32" i="842"/>
  <c r="AC33" i="842" s="1"/>
  <c r="AC34" i="842" s="1"/>
  <c r="AC35" i="842" s="1"/>
  <c r="U7" i="810"/>
  <c r="Z6" i="810"/>
  <c r="AC6" i="810" s="1"/>
  <c r="E33" i="805"/>
  <c r="E39" i="805"/>
  <c r="E12" i="805"/>
  <c r="A11" i="805"/>
  <c r="A457" i="792"/>
  <c r="A458" i="792" s="1"/>
  <c r="A459" i="792" s="1"/>
  <c r="A460" i="792" s="1"/>
  <c r="A461" i="792" s="1"/>
  <c r="H125" i="842"/>
  <c r="H404" i="842"/>
  <c r="H452" i="842"/>
  <c r="H295" i="842"/>
  <c r="H315" i="842"/>
  <c r="H328" i="842"/>
  <c r="H11" i="842"/>
  <c r="H195" i="842"/>
  <c r="H143" i="842"/>
  <c r="H87" i="842"/>
  <c r="H334" i="842"/>
  <c r="H233" i="842"/>
  <c r="H423" i="842"/>
  <c r="H176" i="842"/>
  <c r="H12" i="842"/>
  <c r="H68" i="842"/>
  <c r="H371" i="842"/>
  <c r="H220" i="842"/>
  <c r="H458" i="842"/>
  <c r="H257" i="842"/>
  <c r="H162" i="842"/>
  <c r="H276" i="842"/>
  <c r="H471" i="842"/>
  <c r="H476" i="842"/>
  <c r="K86" i="842"/>
  <c r="H290" i="842"/>
  <c r="H25" i="842"/>
  <c r="H44" i="842"/>
  <c r="H31" i="842"/>
  <c r="H214" i="842"/>
  <c r="H200" i="842"/>
  <c r="H124" i="842"/>
  <c r="H105" i="842"/>
  <c r="H182" i="842"/>
  <c r="K427" i="842"/>
  <c r="H314" i="842"/>
  <c r="H49" i="842"/>
  <c r="H385" i="842"/>
  <c r="H119" i="842"/>
  <c r="H410" i="842"/>
  <c r="H201" i="842"/>
  <c r="H181" i="842"/>
  <c r="H69" i="842"/>
  <c r="H391" i="842"/>
  <c r="H63" i="842"/>
  <c r="H271" i="842"/>
  <c r="H309" i="842"/>
  <c r="H239" i="842"/>
  <c r="H88" i="842"/>
  <c r="H138" i="842"/>
  <c r="H82" i="842"/>
  <c r="H372" i="842"/>
  <c r="H428" i="842"/>
  <c r="H30" i="842"/>
  <c r="H409" i="842"/>
  <c r="H50" i="842"/>
  <c r="H258" i="842"/>
  <c r="H106" i="842"/>
  <c r="H157" i="842"/>
  <c r="K142" i="842"/>
  <c r="H366" i="842"/>
  <c r="H277" i="842"/>
  <c r="H429" i="842"/>
  <c r="H144" i="842"/>
  <c r="H390" i="842"/>
  <c r="H296" i="842"/>
  <c r="H100" i="842"/>
  <c r="H353" i="842"/>
  <c r="H163" i="842"/>
  <c r="H477" i="842"/>
  <c r="H13" i="805"/>
  <c r="H11" i="805"/>
  <c r="H142" i="842" l="1"/>
  <c r="Q368" i="842"/>
  <c r="H367" i="842"/>
  <c r="I411" i="842"/>
  <c r="X412" i="842"/>
  <c r="I373" i="842"/>
  <c r="X374" i="842"/>
  <c r="I478" i="842"/>
  <c r="X479" i="842"/>
  <c r="H197" i="842"/>
  <c r="Q198" i="842"/>
  <c r="Q199" i="842" s="1"/>
  <c r="Q200" i="842" s="1"/>
  <c r="Q201" i="842" s="1"/>
  <c r="Q202" i="842" s="1"/>
  <c r="Q203" i="842" s="1"/>
  <c r="Q204" i="842" s="1"/>
  <c r="Q205" i="842" s="1"/>
  <c r="H330" i="842"/>
  <c r="Q331" i="842"/>
  <c r="Q332" i="842" s="1"/>
  <c r="Q333" i="842" s="1"/>
  <c r="Q334" i="842" s="1"/>
  <c r="Q335" i="842" s="1"/>
  <c r="Q336" i="842" s="1"/>
  <c r="Q337" i="842" s="1"/>
  <c r="Q338" i="842" s="1"/>
  <c r="E83" i="842"/>
  <c r="Q84" i="842"/>
  <c r="Y204" i="842"/>
  <c r="Y205" i="842" s="1"/>
  <c r="D203" i="842"/>
  <c r="H454" i="842"/>
  <c r="Q455" i="842"/>
  <c r="Q456" i="842" s="1"/>
  <c r="Q457" i="842" s="1"/>
  <c r="Q458" i="842" s="1"/>
  <c r="Q459" i="842" s="1"/>
  <c r="Q460" i="842" s="1"/>
  <c r="Q461" i="842" s="1"/>
  <c r="Q462" i="842" s="1"/>
  <c r="P426" i="842"/>
  <c r="P427" i="842" s="1"/>
  <c r="P428" i="842" s="1"/>
  <c r="P429" i="842" s="1"/>
  <c r="P430" i="842" s="1"/>
  <c r="E425" i="842"/>
  <c r="R392" i="842"/>
  <c r="R393" i="842" s="1"/>
  <c r="R394" i="842" s="1"/>
  <c r="R395" i="842" s="1"/>
  <c r="E391" i="842"/>
  <c r="O238" i="842"/>
  <c r="O239" i="842" s="1"/>
  <c r="O240" i="842" s="1"/>
  <c r="O241" i="842" s="1"/>
  <c r="O242" i="842" s="1"/>
  <c r="O243" i="842" s="1"/>
  <c r="E237" i="842"/>
  <c r="E478" i="842"/>
  <c r="H478" i="842" s="1"/>
  <c r="P479" i="842"/>
  <c r="E12" i="842"/>
  <c r="R13" i="842"/>
  <c r="R14" i="842" s="1"/>
  <c r="R15" i="842" s="1"/>
  <c r="R16" i="842" s="1"/>
  <c r="E351" i="842"/>
  <c r="O352" i="842"/>
  <c r="O353" i="842" s="1"/>
  <c r="O354" i="842" s="1"/>
  <c r="O355" i="842" s="1"/>
  <c r="O356" i="842" s="1"/>
  <c r="O357" i="842" s="1"/>
  <c r="X261" i="842"/>
  <c r="X262" i="842" s="1"/>
  <c r="I260" i="842"/>
  <c r="E183" i="842"/>
  <c r="H183" i="842" s="1"/>
  <c r="P184" i="842"/>
  <c r="R240" i="842"/>
  <c r="R241" i="842" s="1"/>
  <c r="R242" i="842" s="1"/>
  <c r="R243" i="842" s="1"/>
  <c r="E239" i="842"/>
  <c r="Q426" i="842"/>
  <c r="Q427" i="842" s="1"/>
  <c r="Q428" i="842" s="1"/>
  <c r="Q429" i="842" s="1"/>
  <c r="Q430" i="842" s="1"/>
  <c r="Q431" i="842" s="1"/>
  <c r="Q432" i="842" s="1"/>
  <c r="Q433" i="842" s="1"/>
  <c r="H425" i="842"/>
  <c r="I89" i="842"/>
  <c r="X90" i="842"/>
  <c r="X203" i="842"/>
  <c r="I202" i="842"/>
  <c r="H329" i="842"/>
  <c r="E201" i="842"/>
  <c r="R202" i="842"/>
  <c r="R203" i="842" s="1"/>
  <c r="R204" i="842" s="1"/>
  <c r="R205" i="842" s="1"/>
  <c r="O66" i="842"/>
  <c r="E65" i="842"/>
  <c r="H262" i="842"/>
  <c r="I71" i="842"/>
  <c r="X72" i="842"/>
  <c r="X73" i="842" s="1"/>
  <c r="I183" i="842"/>
  <c r="X184" i="842"/>
  <c r="D374" i="842"/>
  <c r="Y375" i="842"/>
  <c r="Y376" i="842" s="1"/>
  <c r="W261" i="842"/>
  <c r="D261" i="842"/>
  <c r="X222" i="842"/>
  <c r="I221" i="842"/>
  <c r="O388" i="842"/>
  <c r="E387" i="842"/>
  <c r="D35" i="842"/>
  <c r="W35" i="842"/>
  <c r="W128" i="842"/>
  <c r="D128" i="842"/>
  <c r="E159" i="842"/>
  <c r="O160" i="842"/>
  <c r="E221" i="842"/>
  <c r="H221" i="842" s="1"/>
  <c r="P222" i="842"/>
  <c r="D336" i="842"/>
  <c r="Y337" i="842"/>
  <c r="Y338" i="842" s="1"/>
  <c r="E13" i="842"/>
  <c r="H13" i="842" s="1"/>
  <c r="P14" i="842"/>
  <c r="D145" i="842"/>
  <c r="Y146" i="842"/>
  <c r="E259" i="842"/>
  <c r="H259" i="842" s="1"/>
  <c r="P260" i="842"/>
  <c r="D89" i="842"/>
  <c r="Y90" i="842"/>
  <c r="R51" i="842"/>
  <c r="R52" i="842" s="1"/>
  <c r="R53" i="842" s="1"/>
  <c r="R54" i="842" s="1"/>
  <c r="E50" i="842"/>
  <c r="E291" i="842"/>
  <c r="O292" i="842"/>
  <c r="V148" i="842"/>
  <c r="I148" i="842" s="1"/>
  <c r="I147" i="842"/>
  <c r="Y279" i="842"/>
  <c r="D278" i="842"/>
  <c r="D204" i="842"/>
  <c r="W204" i="842"/>
  <c r="W223" i="842"/>
  <c r="D223" i="842"/>
  <c r="H215" i="842"/>
  <c r="H273" i="842"/>
  <c r="Q274" i="842"/>
  <c r="Q275" i="842" s="1"/>
  <c r="Q276" i="842" s="1"/>
  <c r="Q277" i="842" s="1"/>
  <c r="Q278" i="842" s="1"/>
  <c r="Q279" i="842" s="1"/>
  <c r="Q280" i="842" s="1"/>
  <c r="Q281" i="842" s="1"/>
  <c r="D73" i="842"/>
  <c r="W73" i="842"/>
  <c r="O46" i="842"/>
  <c r="E45" i="842"/>
  <c r="P235" i="842"/>
  <c r="H234" i="842"/>
  <c r="E410" i="842"/>
  <c r="R411" i="842"/>
  <c r="R412" i="842" s="1"/>
  <c r="R413" i="842" s="1"/>
  <c r="R414" i="842" s="1"/>
  <c r="X53" i="842"/>
  <c r="X54" i="842" s="1"/>
  <c r="I52" i="842"/>
  <c r="V481" i="842"/>
  <c r="I481" i="842" s="1"/>
  <c r="I480" i="842"/>
  <c r="D430" i="842"/>
  <c r="Y431" i="842"/>
  <c r="H216" i="842"/>
  <c r="Q217" i="842"/>
  <c r="Q218" i="842" s="1"/>
  <c r="Q219" i="842" s="1"/>
  <c r="Q220" i="842" s="1"/>
  <c r="Q221" i="842" s="1"/>
  <c r="Q222" i="842" s="1"/>
  <c r="Q223" i="842" s="1"/>
  <c r="Q224" i="842" s="1"/>
  <c r="V129" i="842"/>
  <c r="I129" i="842" s="1"/>
  <c r="I128" i="842"/>
  <c r="E27" i="842"/>
  <c r="O28" i="842"/>
  <c r="O29" i="842" s="1"/>
  <c r="E220" i="842"/>
  <c r="R221" i="842"/>
  <c r="R222" i="842" s="1"/>
  <c r="R223" i="842" s="1"/>
  <c r="R224" i="842" s="1"/>
  <c r="I145" i="842"/>
  <c r="X146" i="842"/>
  <c r="W16" i="842"/>
  <c r="D16" i="842"/>
  <c r="D460" i="842"/>
  <c r="Y461" i="842"/>
  <c r="Y462" i="842" s="1"/>
  <c r="V205" i="842"/>
  <c r="I205" i="842" s="1"/>
  <c r="I204" i="842"/>
  <c r="W375" i="842"/>
  <c r="D375" i="842"/>
  <c r="P33" i="842"/>
  <c r="E32" i="842"/>
  <c r="H32" i="842" s="1"/>
  <c r="X317" i="842"/>
  <c r="I316" i="842"/>
  <c r="P85" i="842"/>
  <c r="P86" i="842" s="1"/>
  <c r="P87" i="842" s="1"/>
  <c r="P88" i="842" s="1"/>
  <c r="P89" i="842" s="1"/>
  <c r="E84" i="842"/>
  <c r="E481" i="842"/>
  <c r="E476" i="842" s="1"/>
  <c r="H481" i="842"/>
  <c r="Q388" i="842"/>
  <c r="Q389" i="842" s="1"/>
  <c r="Q390" i="842" s="1"/>
  <c r="Q391" i="842" s="1"/>
  <c r="Q392" i="842" s="1"/>
  <c r="Q393" i="842" s="1"/>
  <c r="Q394" i="842" s="1"/>
  <c r="Q395" i="842" s="1"/>
  <c r="H387" i="842"/>
  <c r="E296" i="842"/>
  <c r="R297" i="842"/>
  <c r="R298" i="842" s="1"/>
  <c r="R299" i="842" s="1"/>
  <c r="R300" i="842" s="1"/>
  <c r="E458" i="842"/>
  <c r="R459" i="842"/>
  <c r="R460" i="842" s="1"/>
  <c r="R461" i="842" s="1"/>
  <c r="R462" i="842" s="1"/>
  <c r="D126" i="842"/>
  <c r="Y127" i="842"/>
  <c r="V395" i="842"/>
  <c r="I395" i="842" s="1"/>
  <c r="I394" i="842"/>
  <c r="I126" i="842"/>
  <c r="X127" i="842"/>
  <c r="D185" i="842"/>
  <c r="W185" i="842"/>
  <c r="Y298" i="842"/>
  <c r="D297" i="842"/>
  <c r="X241" i="842"/>
  <c r="I240" i="842"/>
  <c r="O368" i="842"/>
  <c r="E367" i="842"/>
  <c r="H311" i="842"/>
  <c r="Q312" i="842"/>
  <c r="Q313" i="842" s="1"/>
  <c r="Q314" i="842" s="1"/>
  <c r="Q315" i="842" s="1"/>
  <c r="Q316" i="842" s="1"/>
  <c r="Q317" i="842" s="1"/>
  <c r="Q318" i="842" s="1"/>
  <c r="Q319" i="842" s="1"/>
  <c r="E35" i="842"/>
  <c r="H35" i="842"/>
  <c r="H65" i="842"/>
  <c r="Q66" i="842"/>
  <c r="Q67" i="842" s="1"/>
  <c r="Q68" i="842" s="1"/>
  <c r="Q69" i="842" s="1"/>
  <c r="Q70" i="842" s="1"/>
  <c r="Q71" i="842" s="1"/>
  <c r="Q72" i="842" s="1"/>
  <c r="Q73" i="842" s="1"/>
  <c r="E26" i="842"/>
  <c r="H310" i="842"/>
  <c r="R430" i="842"/>
  <c r="R431" i="842" s="1"/>
  <c r="R432" i="842" s="1"/>
  <c r="R433" i="842" s="1"/>
  <c r="E429" i="842"/>
  <c r="I354" i="842"/>
  <c r="X355" i="842"/>
  <c r="W432" i="842"/>
  <c r="D432" i="842"/>
  <c r="W413" i="842"/>
  <c r="D413" i="842"/>
  <c r="E254" i="842"/>
  <c r="O255" i="842"/>
  <c r="Q47" i="842"/>
  <c r="Q48" i="842" s="1"/>
  <c r="Q49" i="842" s="1"/>
  <c r="Q50" i="842" s="1"/>
  <c r="Q51" i="842" s="1"/>
  <c r="Q52" i="842" s="1"/>
  <c r="Q53" i="842" s="1"/>
  <c r="Q54" i="842" s="1"/>
  <c r="H46" i="842"/>
  <c r="I278" i="842"/>
  <c r="X279" i="842"/>
  <c r="H292" i="842"/>
  <c r="Q293" i="842"/>
  <c r="Q294" i="842" s="1"/>
  <c r="Q295" i="842" s="1"/>
  <c r="Q296" i="842" s="1"/>
  <c r="Q297" i="842" s="1"/>
  <c r="Q298" i="842" s="1"/>
  <c r="Q299" i="842" s="1"/>
  <c r="Q300" i="842" s="1"/>
  <c r="V224" i="842"/>
  <c r="I224" i="842" s="1"/>
  <c r="I223" i="842"/>
  <c r="E315" i="842"/>
  <c r="R316" i="842"/>
  <c r="R317" i="842" s="1"/>
  <c r="R318" i="842" s="1"/>
  <c r="R319" i="842" s="1"/>
  <c r="O198" i="842"/>
  <c r="E197" i="842"/>
  <c r="H196" i="842"/>
  <c r="E274" i="842"/>
  <c r="H121" i="842"/>
  <c r="Q122" i="842"/>
  <c r="Q123" i="842" s="1"/>
  <c r="Q124" i="842" s="1"/>
  <c r="Q125" i="842" s="1"/>
  <c r="Q126" i="842" s="1"/>
  <c r="Q127" i="842" s="1"/>
  <c r="Q128" i="842" s="1"/>
  <c r="Q129" i="842" s="1"/>
  <c r="E106" i="842"/>
  <c r="R107" i="842"/>
  <c r="R108" i="842" s="1"/>
  <c r="R109" i="842" s="1"/>
  <c r="R110" i="842" s="1"/>
  <c r="D281" i="842"/>
  <c r="W281" i="842"/>
  <c r="H386" i="842"/>
  <c r="W148" i="842"/>
  <c r="D148" i="842"/>
  <c r="E316" i="842"/>
  <c r="H316" i="842" s="1"/>
  <c r="P317" i="842"/>
  <c r="W356" i="842"/>
  <c r="D356" i="842"/>
  <c r="D14" i="842"/>
  <c r="Y15" i="842"/>
  <c r="Y16" i="842" s="1"/>
  <c r="E372" i="842"/>
  <c r="R373" i="842"/>
  <c r="R374" i="842" s="1"/>
  <c r="R375" i="842" s="1"/>
  <c r="R376" i="842" s="1"/>
  <c r="D109" i="842"/>
  <c r="W109" i="842"/>
  <c r="D316" i="842"/>
  <c r="Y317" i="842"/>
  <c r="V73" i="842"/>
  <c r="I73" i="842" s="1"/>
  <c r="I72" i="842"/>
  <c r="D259" i="842"/>
  <c r="Y260" i="842"/>
  <c r="E334" i="842"/>
  <c r="R335" i="842"/>
  <c r="R336" i="842" s="1"/>
  <c r="R337" i="842" s="1"/>
  <c r="R338" i="842" s="1"/>
  <c r="E202" i="842"/>
  <c r="H202" i="842" s="1"/>
  <c r="P203" i="842"/>
  <c r="R278" i="842"/>
  <c r="R279" i="842" s="1"/>
  <c r="R280" i="842" s="1"/>
  <c r="R281" i="842" s="1"/>
  <c r="E277" i="842"/>
  <c r="P141" i="842"/>
  <c r="P142" i="842" s="1"/>
  <c r="P143" i="842" s="1"/>
  <c r="P144" i="842" s="1"/>
  <c r="P145" i="842" s="1"/>
  <c r="E140" i="842"/>
  <c r="X14" i="842"/>
  <c r="I13" i="842"/>
  <c r="E354" i="842"/>
  <c r="H354" i="842" s="1"/>
  <c r="P355" i="842"/>
  <c r="P393" i="842"/>
  <c r="E392" i="842"/>
  <c r="H392" i="842" s="1"/>
  <c r="H178" i="842"/>
  <c r="Q179" i="842"/>
  <c r="Q180" i="842" s="1"/>
  <c r="Q181" i="842" s="1"/>
  <c r="Q182" i="842" s="1"/>
  <c r="Q183" i="842" s="1"/>
  <c r="Q184" i="842" s="1"/>
  <c r="Q185" i="842" s="1"/>
  <c r="Q186" i="842" s="1"/>
  <c r="P413" i="842"/>
  <c r="P414" i="842" s="1"/>
  <c r="E412" i="842"/>
  <c r="H412" i="842" s="1"/>
  <c r="P460" i="842"/>
  <c r="E459" i="842"/>
  <c r="H459" i="842" s="1"/>
  <c r="D480" i="842"/>
  <c r="W480" i="842"/>
  <c r="X336" i="842"/>
  <c r="I335" i="842"/>
  <c r="I166" i="842"/>
  <c r="V167" i="842"/>
  <c r="I167" i="842" s="1"/>
  <c r="W91" i="842"/>
  <c r="D91" i="842"/>
  <c r="V35" i="842"/>
  <c r="I35" i="842" s="1"/>
  <c r="I34" i="842"/>
  <c r="O122" i="842"/>
  <c r="E121" i="842"/>
  <c r="Q474" i="842"/>
  <c r="Q475" i="842" s="1"/>
  <c r="Q476" i="842" s="1"/>
  <c r="Q477" i="842" s="1"/>
  <c r="Q478" i="842" s="1"/>
  <c r="Q479" i="842" s="1"/>
  <c r="Q480" i="842" s="1"/>
  <c r="Q481" i="842" s="1"/>
  <c r="H473" i="842"/>
  <c r="R89" i="842"/>
  <c r="R90" i="842" s="1"/>
  <c r="R91" i="842" s="1"/>
  <c r="R92" i="842" s="1"/>
  <c r="E88" i="842"/>
  <c r="H139" i="842"/>
  <c r="E310" i="842"/>
  <c r="O311" i="842"/>
  <c r="W461" i="842"/>
  <c r="D461" i="842"/>
  <c r="X108" i="842"/>
  <c r="I107" i="842"/>
  <c r="E406" i="842"/>
  <c r="O407" i="842"/>
  <c r="Q159" i="842"/>
  <c r="H158" i="842"/>
  <c r="E102" i="842"/>
  <c r="O103" i="842"/>
  <c r="I32" i="842"/>
  <c r="X33" i="842"/>
  <c r="X165" i="842"/>
  <c r="I164" i="842"/>
  <c r="R354" i="842"/>
  <c r="R355" i="842" s="1"/>
  <c r="R356" i="842" s="1"/>
  <c r="R357" i="842" s="1"/>
  <c r="E353" i="842"/>
  <c r="E107" i="842"/>
  <c r="H107" i="842" s="1"/>
  <c r="P108" i="842"/>
  <c r="I459" i="842"/>
  <c r="X460" i="842"/>
  <c r="W318" i="842"/>
  <c r="D318" i="842"/>
  <c r="E453" i="842"/>
  <c r="O454" i="842"/>
  <c r="E165" i="842"/>
  <c r="H165" i="842" s="1"/>
  <c r="P166" i="842"/>
  <c r="P167" i="842" s="1"/>
  <c r="R145" i="842"/>
  <c r="R146" i="842" s="1"/>
  <c r="R147" i="842" s="1"/>
  <c r="R148" i="842" s="1"/>
  <c r="E144" i="842"/>
  <c r="E216" i="842"/>
  <c r="O217" i="842"/>
  <c r="I392" i="842"/>
  <c r="X393" i="842"/>
  <c r="O473" i="842"/>
  <c r="E472" i="842"/>
  <c r="W166" i="842"/>
  <c r="D166" i="842"/>
  <c r="D51" i="842"/>
  <c r="Y52" i="842"/>
  <c r="P298" i="842"/>
  <c r="E297" i="842"/>
  <c r="H297" i="842" s="1"/>
  <c r="O276" i="842"/>
  <c r="O277" i="842" s="1"/>
  <c r="O278" i="842" s="1"/>
  <c r="O279" i="842" s="1"/>
  <c r="O280" i="842" s="1"/>
  <c r="O281" i="842" s="1"/>
  <c r="E275" i="842"/>
  <c r="D299" i="842"/>
  <c r="W299" i="842"/>
  <c r="E70" i="842"/>
  <c r="H70" i="842" s="1"/>
  <c r="P71" i="842"/>
  <c r="O8" i="842"/>
  <c r="E7" i="842"/>
  <c r="D165" i="842"/>
  <c r="Y166" i="842"/>
  <c r="Y167" i="842" s="1"/>
  <c r="H235" i="842"/>
  <c r="Q236" i="842"/>
  <c r="Q237" i="842" s="1"/>
  <c r="Q238" i="842" s="1"/>
  <c r="Q239" i="842" s="1"/>
  <c r="Q240" i="842" s="1"/>
  <c r="Q241" i="842" s="1"/>
  <c r="Q242" i="842" s="1"/>
  <c r="Q243" i="842" s="1"/>
  <c r="O331" i="842"/>
  <c r="E330" i="842"/>
  <c r="Q406" i="842"/>
  <c r="H405" i="842"/>
  <c r="H101" i="842"/>
  <c r="H120" i="842"/>
  <c r="D107" i="842"/>
  <c r="Y108" i="842"/>
  <c r="D241" i="842"/>
  <c r="Y242" i="842"/>
  <c r="Y243" i="842" s="1"/>
  <c r="I298" i="842"/>
  <c r="X299" i="842"/>
  <c r="X300" i="842" s="1"/>
  <c r="P52" i="842"/>
  <c r="E51" i="842"/>
  <c r="H51" i="842" s="1"/>
  <c r="V110" i="842"/>
  <c r="I110" i="842" s="1"/>
  <c r="I109" i="842"/>
  <c r="Z7" i="810"/>
  <c r="AC7" i="810" s="1"/>
  <c r="U8" i="810"/>
  <c r="R70" i="842"/>
  <c r="R71" i="842" s="1"/>
  <c r="R72" i="842" s="1"/>
  <c r="R73" i="842" s="1"/>
  <c r="E69" i="842"/>
  <c r="P279" i="842"/>
  <c r="E278" i="842"/>
  <c r="H278" i="842" s="1"/>
  <c r="D411" i="842"/>
  <c r="Y412" i="842"/>
  <c r="Y223" i="842"/>
  <c r="Y224" i="842" s="1"/>
  <c r="D222" i="842"/>
  <c r="I430" i="842"/>
  <c r="X431" i="842"/>
  <c r="Y394" i="842"/>
  <c r="Y395" i="842" s="1"/>
  <c r="D393" i="842"/>
  <c r="O179" i="842"/>
  <c r="E178" i="842"/>
  <c r="H186" i="842"/>
  <c r="R126" i="842"/>
  <c r="R127" i="842" s="1"/>
  <c r="R128" i="842" s="1"/>
  <c r="R129" i="842" s="1"/>
  <c r="E125" i="842"/>
  <c r="W243" i="842"/>
  <c r="D243" i="842"/>
  <c r="P127" i="842"/>
  <c r="E126" i="842"/>
  <c r="H126" i="842" s="1"/>
  <c r="V186" i="842"/>
  <c r="I186" i="842" s="1"/>
  <c r="I185" i="842"/>
  <c r="D33" i="842"/>
  <c r="Y34" i="842"/>
  <c r="Y35" i="842" s="1"/>
  <c r="Y355" i="842"/>
  <c r="D354" i="842"/>
  <c r="E236" i="842"/>
  <c r="D479" i="842"/>
  <c r="Y480" i="842"/>
  <c r="Y481" i="842" s="1"/>
  <c r="E335" i="842"/>
  <c r="H335" i="842" s="1"/>
  <c r="P336" i="842"/>
  <c r="I432" i="842"/>
  <c r="V433" i="842"/>
  <c r="I433" i="842" s="1"/>
  <c r="A4" i="805"/>
  <c r="A12" i="805"/>
  <c r="D451" i="792"/>
  <c r="H459" i="792"/>
  <c r="E459" i="792"/>
  <c r="E458" i="792"/>
  <c r="E457" i="792"/>
  <c r="D456" i="792"/>
  <c r="B456" i="792"/>
  <c r="K237" i="842"/>
  <c r="K275" i="842"/>
  <c r="K351" i="842"/>
  <c r="H351" i="842" l="1"/>
  <c r="H275" i="842"/>
  <c r="H237" i="842"/>
  <c r="W376" i="842"/>
  <c r="D376" i="842"/>
  <c r="E311" i="842"/>
  <c r="O312" i="842"/>
  <c r="D167" i="842"/>
  <c r="W167" i="842"/>
  <c r="X394" i="842"/>
  <c r="X395" i="842" s="1"/>
  <c r="I393" i="842"/>
  <c r="I460" i="842"/>
  <c r="X461" i="842"/>
  <c r="X462" i="842" s="1"/>
  <c r="H92" i="842"/>
  <c r="I336" i="842"/>
  <c r="X337" i="842"/>
  <c r="X338" i="842" s="1"/>
  <c r="D357" i="842"/>
  <c r="W357" i="842"/>
  <c r="H300" i="842"/>
  <c r="O30" i="842"/>
  <c r="O31" i="842" s="1"/>
  <c r="O32" i="842" s="1"/>
  <c r="O33" i="842" s="1"/>
  <c r="O34" i="842" s="1"/>
  <c r="O35" i="842" s="1"/>
  <c r="H29" i="842"/>
  <c r="E29" i="842"/>
  <c r="H414" i="842"/>
  <c r="W224" i="842"/>
  <c r="D224" i="842"/>
  <c r="O332" i="842"/>
  <c r="E331" i="842"/>
  <c r="I14" i="842"/>
  <c r="X15" i="842"/>
  <c r="X16" i="842" s="1"/>
  <c r="O256" i="842"/>
  <c r="E255" i="842"/>
  <c r="W186" i="842"/>
  <c r="D186" i="842"/>
  <c r="X185" i="842"/>
  <c r="X186" i="842" s="1"/>
  <c r="I184" i="842"/>
  <c r="X204" i="842"/>
  <c r="X205" i="842" s="1"/>
  <c r="I203" i="842"/>
  <c r="H395" i="842"/>
  <c r="W481" i="842"/>
  <c r="D481" i="842"/>
  <c r="D412" i="842"/>
  <c r="Y413" i="842"/>
  <c r="Y414" i="842" s="1"/>
  <c r="O218" i="842"/>
  <c r="E217" i="842"/>
  <c r="D317" i="842"/>
  <c r="Y318" i="842"/>
  <c r="Y319" i="842" s="1"/>
  <c r="O199" i="842"/>
  <c r="E198" i="842"/>
  <c r="P236" i="842"/>
  <c r="P237" i="842" s="1"/>
  <c r="P238" i="842" s="1"/>
  <c r="P239" i="842" s="1"/>
  <c r="P240" i="842" s="1"/>
  <c r="E235" i="842"/>
  <c r="D146" i="842"/>
  <c r="Y147" i="842"/>
  <c r="Y148" i="842" s="1"/>
  <c r="D129" i="842"/>
  <c r="W129" i="842"/>
  <c r="X91" i="842"/>
  <c r="X92" i="842" s="1"/>
  <c r="I90" i="842"/>
  <c r="X480" i="842"/>
  <c r="X481" i="842" s="1"/>
  <c r="I479" i="842"/>
  <c r="W205" i="842"/>
  <c r="D205" i="842"/>
  <c r="O123" i="842"/>
  <c r="E122" i="842"/>
  <c r="P461" i="842"/>
  <c r="E460" i="842"/>
  <c r="H460" i="842" s="1"/>
  <c r="P146" i="842"/>
  <c r="E145" i="842"/>
  <c r="H145" i="842" s="1"/>
  <c r="H319" i="842"/>
  <c r="X128" i="842"/>
  <c r="X129" i="842" s="1"/>
  <c r="I127" i="842"/>
  <c r="Y280" i="842"/>
  <c r="Y281" i="842" s="1"/>
  <c r="D279" i="842"/>
  <c r="E430" i="842"/>
  <c r="H430" i="842" s="1"/>
  <c r="P431" i="842"/>
  <c r="P261" i="842"/>
  <c r="P262" i="842" s="1"/>
  <c r="E260" i="842"/>
  <c r="H260" i="842" s="1"/>
  <c r="O408" i="842"/>
  <c r="E407" i="842"/>
  <c r="H129" i="842"/>
  <c r="Y356" i="842"/>
  <c r="Y357" i="842" s="1"/>
  <c r="D355" i="842"/>
  <c r="E279" i="842"/>
  <c r="H279" i="842" s="1"/>
  <c r="P280" i="842"/>
  <c r="P281" i="842" s="1"/>
  <c r="E298" i="842"/>
  <c r="H298" i="842" s="1"/>
  <c r="P299" i="842"/>
  <c r="P300" i="842" s="1"/>
  <c r="H148" i="842"/>
  <c r="E148" i="842"/>
  <c r="E143" i="842" s="1"/>
  <c r="H357" i="842"/>
  <c r="E357" i="842"/>
  <c r="E352" i="842" s="1"/>
  <c r="X109" i="842"/>
  <c r="X110" i="842" s="1"/>
  <c r="I108" i="842"/>
  <c r="W110" i="842"/>
  <c r="D110" i="842"/>
  <c r="W414" i="842"/>
  <c r="D414" i="842"/>
  <c r="O47" i="842"/>
  <c r="E46" i="842"/>
  <c r="E14" i="842"/>
  <c r="H14" i="842" s="1"/>
  <c r="P15" i="842"/>
  <c r="P16" i="842" s="1"/>
  <c r="H16" i="842"/>
  <c r="X375" i="842"/>
  <c r="X376" i="842" s="1"/>
  <c r="I374" i="842"/>
  <c r="E108" i="842"/>
  <c r="H108" i="842" s="1"/>
  <c r="P109" i="842"/>
  <c r="P110" i="842" s="1"/>
  <c r="Y109" i="842"/>
  <c r="Y110" i="842" s="1"/>
  <c r="D108" i="842"/>
  <c r="Y53" i="842"/>
  <c r="Y54" i="842" s="1"/>
  <c r="D52" i="842"/>
  <c r="E281" i="842"/>
  <c r="E276" i="842" s="1"/>
  <c r="H281" i="842"/>
  <c r="Y432" i="842"/>
  <c r="Y433" i="842" s="1"/>
  <c r="D431" i="842"/>
  <c r="E52" i="842"/>
  <c r="H52" i="842" s="1"/>
  <c r="P53" i="842"/>
  <c r="P54" i="842" s="1"/>
  <c r="O180" i="842"/>
  <c r="E179" i="842"/>
  <c r="E73" i="842"/>
  <c r="H73" i="842"/>
  <c r="O9" i="842"/>
  <c r="E8" i="842"/>
  <c r="X166" i="842"/>
  <c r="X167" i="842" s="1"/>
  <c r="I165" i="842"/>
  <c r="W462" i="842"/>
  <c r="D462" i="842"/>
  <c r="E203" i="842"/>
  <c r="H203" i="842" s="1"/>
  <c r="P204" i="842"/>
  <c r="P205" i="842" s="1"/>
  <c r="H376" i="842"/>
  <c r="E376" i="842"/>
  <c r="D433" i="842"/>
  <c r="W433" i="842"/>
  <c r="P90" i="842"/>
  <c r="E89" i="842"/>
  <c r="H89" i="842" s="1"/>
  <c r="O293" i="842"/>
  <c r="E292" i="842"/>
  <c r="O389" i="842"/>
  <c r="E388" i="842"/>
  <c r="E479" i="842"/>
  <c r="H479" i="842" s="1"/>
  <c r="P480" i="842"/>
  <c r="P481" i="842" s="1"/>
  <c r="X413" i="842"/>
  <c r="X414" i="842" s="1"/>
  <c r="I412" i="842"/>
  <c r="O455" i="842"/>
  <c r="E454" i="842"/>
  <c r="W92" i="842"/>
  <c r="D92" i="842"/>
  <c r="E92" i="842" s="1"/>
  <c r="E87" i="842" s="1"/>
  <c r="H110" i="842"/>
  <c r="X356" i="842"/>
  <c r="X357" i="842" s="1"/>
  <c r="I355" i="842"/>
  <c r="D127" i="842"/>
  <c r="Y128" i="842"/>
  <c r="Y129" i="842" s="1"/>
  <c r="X147" i="842"/>
  <c r="X148" i="842" s="1"/>
  <c r="I146" i="842"/>
  <c r="H243" i="842"/>
  <c r="E243" i="842"/>
  <c r="E238" i="842" s="1"/>
  <c r="E71" i="842"/>
  <c r="H71" i="842" s="1"/>
  <c r="P72" i="842"/>
  <c r="P73" i="842" s="1"/>
  <c r="X34" i="842"/>
  <c r="X35" i="842" s="1"/>
  <c r="I33" i="842"/>
  <c r="H338" i="842"/>
  <c r="E338" i="842"/>
  <c r="O369" i="842"/>
  <c r="E368" i="842"/>
  <c r="I317" i="842"/>
  <c r="X318" i="842"/>
  <c r="X319" i="842" s="1"/>
  <c r="P223" i="842"/>
  <c r="P224" i="842" s="1"/>
  <c r="E222" i="842"/>
  <c r="H222" i="842" s="1"/>
  <c r="I222" i="842"/>
  <c r="X223" i="842"/>
  <c r="X224" i="842" s="1"/>
  <c r="O67" i="842"/>
  <c r="E66" i="842"/>
  <c r="E184" i="842"/>
  <c r="H184" i="842" s="1"/>
  <c r="P185" i="842"/>
  <c r="P186" i="842" s="1"/>
  <c r="Q85" i="842"/>
  <c r="Q86" i="842" s="1"/>
  <c r="Q87" i="842" s="1"/>
  <c r="Q88" i="842" s="1"/>
  <c r="Q89" i="842" s="1"/>
  <c r="Q90" i="842" s="1"/>
  <c r="Q91" i="842" s="1"/>
  <c r="Q92" i="842" s="1"/>
  <c r="H84" i="842"/>
  <c r="H159" i="842"/>
  <c r="Q160" i="842"/>
  <c r="Q161" i="842" s="1"/>
  <c r="Q162" i="842" s="1"/>
  <c r="Q163" i="842" s="1"/>
  <c r="Q164" i="842" s="1"/>
  <c r="Q165" i="842" s="1"/>
  <c r="Q166" i="842" s="1"/>
  <c r="Q167" i="842" s="1"/>
  <c r="P318" i="842"/>
  <c r="E317" i="842"/>
  <c r="H317" i="842" s="1"/>
  <c r="Y299" i="842"/>
  <c r="Y300" i="842" s="1"/>
  <c r="D298" i="842"/>
  <c r="X432" i="842"/>
  <c r="X433" i="842" s="1"/>
  <c r="I431" i="842"/>
  <c r="W300" i="842"/>
  <c r="D300" i="842"/>
  <c r="O104" i="842"/>
  <c r="E103" i="842"/>
  <c r="E393" i="842"/>
  <c r="H393" i="842" s="1"/>
  <c r="P394" i="842"/>
  <c r="P395" i="842" s="1"/>
  <c r="I279" i="842"/>
  <c r="X280" i="842"/>
  <c r="X281" i="842" s="1"/>
  <c r="H462" i="842"/>
  <c r="E462" i="842"/>
  <c r="E457" i="842" s="1"/>
  <c r="H224" i="842"/>
  <c r="H54" i="842"/>
  <c r="E54" i="842"/>
  <c r="H205" i="842"/>
  <c r="H368" i="842"/>
  <c r="Q369" i="842"/>
  <c r="Q370" i="842" s="1"/>
  <c r="Q371" i="842" s="1"/>
  <c r="Q372" i="842" s="1"/>
  <c r="Q373" i="842" s="1"/>
  <c r="Q374" i="842" s="1"/>
  <c r="Q375" i="842" s="1"/>
  <c r="Q376" i="842" s="1"/>
  <c r="U9" i="810"/>
  <c r="Z8" i="810"/>
  <c r="P337" i="842"/>
  <c r="P338" i="842" s="1"/>
  <c r="E336" i="842"/>
  <c r="H336" i="842" s="1"/>
  <c r="P128" i="842"/>
  <c r="P129" i="842" s="1"/>
  <c r="E127" i="842"/>
  <c r="H127" i="842" s="1"/>
  <c r="H406" i="842"/>
  <c r="Q407" i="842"/>
  <c r="Q408" i="842" s="1"/>
  <c r="Q409" i="842" s="1"/>
  <c r="Q410" i="842" s="1"/>
  <c r="Q411" i="842" s="1"/>
  <c r="Q412" i="842" s="1"/>
  <c r="Q413" i="842" s="1"/>
  <c r="Q414" i="842" s="1"/>
  <c r="E473" i="842"/>
  <c r="O474" i="842"/>
  <c r="W319" i="842"/>
  <c r="D319" i="842"/>
  <c r="P356" i="842"/>
  <c r="E355" i="842"/>
  <c r="H355" i="842" s="1"/>
  <c r="D260" i="842"/>
  <c r="Y261" i="842"/>
  <c r="Y262" i="842" s="1"/>
  <c r="E433" i="842"/>
  <c r="E428" i="842" s="1"/>
  <c r="H433" i="842"/>
  <c r="I241" i="842"/>
  <c r="X242" i="842"/>
  <c r="X243" i="842" s="1"/>
  <c r="E33" i="842"/>
  <c r="H33" i="842" s="1"/>
  <c r="P34" i="842"/>
  <c r="P35" i="842" s="1"/>
  <c r="D90" i="842"/>
  <c r="Y91" i="842"/>
  <c r="Y92" i="842" s="1"/>
  <c r="O161" i="842"/>
  <c r="E160" i="842"/>
  <c r="D262" i="842"/>
  <c r="W262" i="842"/>
  <c r="A13" i="805"/>
  <c r="A5" i="805"/>
  <c r="E449" i="792"/>
  <c r="E448" i="792"/>
  <c r="H445" i="792"/>
  <c r="E445" i="792"/>
  <c r="E444" i="792"/>
  <c r="E443" i="792"/>
  <c r="E442" i="792"/>
  <c r="H441" i="792"/>
  <c r="E441" i="792"/>
  <c r="H440" i="792"/>
  <c r="E440" i="792"/>
  <c r="H439" i="792"/>
  <c r="E439" i="792"/>
  <c r="H438" i="792"/>
  <c r="E438" i="792"/>
  <c r="E436" i="792"/>
  <c r="E435" i="792"/>
  <c r="E434" i="792"/>
  <c r="E433" i="792"/>
  <c r="E432" i="792"/>
  <c r="E431" i="792"/>
  <c r="A431" i="792"/>
  <c r="A432" i="792" s="1"/>
  <c r="A433" i="792" s="1"/>
  <c r="A434" i="792" s="1"/>
  <c r="A435" i="792" s="1"/>
  <c r="A436" i="792" s="1"/>
  <c r="A437" i="792" s="1"/>
  <c r="A438" i="792" s="1"/>
  <c r="A439" i="792" s="1"/>
  <c r="A440" i="792" s="1"/>
  <c r="A441" i="792" s="1"/>
  <c r="A442" i="792" s="1"/>
  <c r="A443" i="792" s="1"/>
  <c r="A444" i="792" s="1"/>
  <c r="A445" i="792" s="1"/>
  <c r="A446" i="792" s="1"/>
  <c r="A447" i="792" s="1"/>
  <c r="A448" i="792" s="1"/>
  <c r="A449" i="792" s="1"/>
  <c r="A450" i="792" s="1"/>
  <c r="A451" i="792" s="1"/>
  <c r="E429" i="792"/>
  <c r="E428" i="792"/>
  <c r="H427" i="792"/>
  <c r="E427" i="792"/>
  <c r="E424" i="792"/>
  <c r="H423" i="792"/>
  <c r="E423" i="792"/>
  <c r="H422" i="792"/>
  <c r="E422" i="792"/>
  <c r="E421" i="792"/>
  <c r="E418" i="792"/>
  <c r="A418" i="792"/>
  <c r="A419" i="792" s="1"/>
  <c r="A420" i="792" s="1"/>
  <c r="A421" i="792" s="1"/>
  <c r="A422" i="792" s="1"/>
  <c r="A423" i="792" s="1"/>
  <c r="A424" i="792" s="1"/>
  <c r="A425" i="792" s="1"/>
  <c r="A426" i="792" s="1"/>
  <c r="A427" i="792" s="1"/>
  <c r="A428" i="792" s="1"/>
  <c r="A429" i="792" s="1"/>
  <c r="E415" i="792"/>
  <c r="E414" i="792"/>
  <c r="H412" i="792"/>
  <c r="E412" i="792"/>
  <c r="E410" i="792"/>
  <c r="A410" i="792"/>
  <c r="A411" i="792" s="1"/>
  <c r="A412" i="792" s="1"/>
  <c r="A413" i="792" s="1"/>
  <c r="A414" i="792" s="1"/>
  <c r="A415" i="792" s="1"/>
  <c r="A416" i="792" s="1"/>
  <c r="K407" i="792"/>
  <c r="E406" i="792"/>
  <c r="E405" i="792"/>
  <c r="H404" i="792"/>
  <c r="E404" i="792"/>
  <c r="E402" i="792"/>
  <c r="H400" i="792"/>
  <c r="E400" i="792"/>
  <c r="H399" i="792"/>
  <c r="E399" i="792"/>
  <c r="A396" i="792"/>
  <c r="A397" i="792" s="1"/>
  <c r="A398" i="792" s="1"/>
  <c r="A399" i="792" s="1"/>
  <c r="A400" i="792" s="1"/>
  <c r="A401" i="792" s="1"/>
  <c r="A402" i="792" s="1"/>
  <c r="A403" i="792" s="1"/>
  <c r="A404" i="792" s="1"/>
  <c r="A405" i="792" s="1"/>
  <c r="A406" i="792" s="1"/>
  <c r="A407" i="792" s="1"/>
  <c r="K393" i="792"/>
  <c r="E392" i="792"/>
  <c r="E391" i="792"/>
  <c r="E389" i="792"/>
  <c r="H387" i="792"/>
  <c r="E387" i="792"/>
  <c r="A385" i="792"/>
  <c r="A386" i="792" s="1"/>
  <c r="A387" i="792" s="1"/>
  <c r="A388" i="792" s="1"/>
  <c r="A389" i="792" s="1"/>
  <c r="A390" i="792" s="1"/>
  <c r="A391" i="792" s="1"/>
  <c r="A392" i="792" s="1"/>
  <c r="A393" i="792" s="1"/>
  <c r="K383" i="792"/>
  <c r="E382" i="792"/>
  <c r="E381" i="792"/>
  <c r="H378" i="792"/>
  <c r="E378" i="792"/>
  <c r="E375" i="792"/>
  <c r="H373" i="792"/>
  <c r="E373" i="792"/>
  <c r="H372" i="792"/>
  <c r="E372" i="792"/>
  <c r="A370" i="792"/>
  <c r="A371" i="792" s="1"/>
  <c r="A372" i="792" s="1"/>
  <c r="A373" i="792" s="1"/>
  <c r="A374" i="792" s="1"/>
  <c r="A375" i="792" s="1"/>
  <c r="A376" i="792" s="1"/>
  <c r="A377" i="792" s="1"/>
  <c r="A378" i="792" s="1"/>
  <c r="A379" i="792" s="1"/>
  <c r="A380" i="792" s="1"/>
  <c r="A381" i="792" s="1"/>
  <c r="A382" i="792" s="1"/>
  <c r="A383" i="792" s="1"/>
  <c r="K367" i="792"/>
  <c r="E366" i="792"/>
  <c r="E365" i="792"/>
  <c r="H362" i="792"/>
  <c r="E362" i="792"/>
  <c r="E359" i="792"/>
  <c r="H357" i="792"/>
  <c r="E357" i="792"/>
  <c r="H356" i="792"/>
  <c r="E356" i="792"/>
  <c r="A354" i="792"/>
  <c r="A355" i="792" s="1"/>
  <c r="A356" i="792" s="1"/>
  <c r="A357" i="792" s="1"/>
  <c r="A358" i="792" s="1"/>
  <c r="A359" i="792" s="1"/>
  <c r="A360" i="792" s="1"/>
  <c r="A361" i="792" s="1"/>
  <c r="A362" i="792" s="1"/>
  <c r="A363" i="792" s="1"/>
  <c r="A364" i="792" s="1"/>
  <c r="A365" i="792" s="1"/>
  <c r="A366" i="792" s="1"/>
  <c r="A367" i="792" s="1"/>
  <c r="K351" i="792"/>
  <c r="E350" i="792"/>
  <c r="E349" i="792"/>
  <c r="E343" i="792"/>
  <c r="H341" i="792"/>
  <c r="E341" i="792"/>
  <c r="A339" i="792"/>
  <c r="A340" i="792" s="1"/>
  <c r="A341" i="792" s="1"/>
  <c r="A342" i="792" s="1"/>
  <c r="A343" i="792" s="1"/>
  <c r="A344" i="792" s="1"/>
  <c r="A345" i="792" s="1"/>
  <c r="A346" i="792" s="1"/>
  <c r="A347" i="792" s="1"/>
  <c r="A348" i="792" s="1"/>
  <c r="A349" i="792" s="1"/>
  <c r="A350" i="792" s="1"/>
  <c r="A351" i="792" s="1"/>
  <c r="K336" i="792"/>
  <c r="E335" i="792"/>
  <c r="E334" i="792"/>
  <c r="E327" i="792"/>
  <c r="H325" i="792"/>
  <c r="E325" i="792"/>
  <c r="A323" i="792"/>
  <c r="A324" i="792" s="1"/>
  <c r="A325" i="792" s="1"/>
  <c r="A326" i="792" s="1"/>
  <c r="A327" i="792" s="1"/>
  <c r="A328" i="792" s="1"/>
  <c r="A329" i="792" s="1"/>
  <c r="A330" i="792" s="1"/>
  <c r="A331" i="792" s="1"/>
  <c r="A332" i="792" s="1"/>
  <c r="A333" i="792" s="1"/>
  <c r="A334" i="792" s="1"/>
  <c r="A335" i="792" s="1"/>
  <c r="A336" i="792" s="1"/>
  <c r="K320" i="792"/>
  <c r="E319" i="792"/>
  <c r="E318" i="792"/>
  <c r="E316" i="792"/>
  <c r="H314" i="792"/>
  <c r="E314" i="792"/>
  <c r="A312" i="792"/>
  <c r="A313" i="792" s="1"/>
  <c r="A314" i="792" s="1"/>
  <c r="A315" i="792" s="1"/>
  <c r="A316" i="792" s="1"/>
  <c r="A317" i="792" s="1"/>
  <c r="A318" i="792" s="1"/>
  <c r="A319" i="792" s="1"/>
  <c r="A320" i="792" s="1"/>
  <c r="K308" i="792"/>
  <c r="E307" i="792"/>
  <c r="E306" i="792"/>
  <c r="E303" i="792"/>
  <c r="H301" i="792"/>
  <c r="E301" i="792"/>
  <c r="A299" i="792"/>
  <c r="A300" i="792" s="1"/>
  <c r="A301" i="792" s="1"/>
  <c r="A302" i="792" s="1"/>
  <c r="A303" i="792" s="1"/>
  <c r="A304" i="792" s="1"/>
  <c r="A305" i="792" s="1"/>
  <c r="A306" i="792" s="1"/>
  <c r="A307" i="792" s="1"/>
  <c r="A308" i="792" s="1"/>
  <c r="K296" i="792"/>
  <c r="E295" i="792"/>
  <c r="E294" i="792"/>
  <c r="E291" i="792"/>
  <c r="H289" i="792"/>
  <c r="E289" i="792"/>
  <c r="A287" i="792"/>
  <c r="A288" i="792" s="1"/>
  <c r="A289" i="792" s="1"/>
  <c r="A290" i="792" s="1"/>
  <c r="A291" i="792" s="1"/>
  <c r="A292" i="792" s="1"/>
  <c r="A293" i="792" s="1"/>
  <c r="A294" i="792" s="1"/>
  <c r="A295" i="792" s="1"/>
  <c r="A296" i="792" s="1"/>
  <c r="K284" i="792"/>
  <c r="E283" i="792"/>
  <c r="E282" i="792"/>
  <c r="E277" i="792"/>
  <c r="H275" i="792"/>
  <c r="E275" i="792"/>
  <c r="E273" i="792"/>
  <c r="A273" i="792"/>
  <c r="A274" i="792" s="1"/>
  <c r="A275" i="792" s="1"/>
  <c r="A276" i="792" s="1"/>
  <c r="A277" i="792" s="1"/>
  <c r="A278" i="792" s="1"/>
  <c r="A279" i="792" s="1"/>
  <c r="A280" i="792" s="1"/>
  <c r="A281" i="792" s="1"/>
  <c r="A282" i="792" s="1"/>
  <c r="A283" i="792" s="1"/>
  <c r="A284" i="792" s="1"/>
  <c r="K271" i="792"/>
  <c r="E270" i="792"/>
  <c r="E269" i="792"/>
  <c r="E265" i="792"/>
  <c r="H263" i="792"/>
  <c r="E263" i="792"/>
  <c r="E261" i="792"/>
  <c r="A261" i="792"/>
  <c r="A262" i="792" s="1"/>
  <c r="A263" i="792" s="1"/>
  <c r="A264" i="792" s="1"/>
  <c r="A265" i="792" s="1"/>
  <c r="A266" i="792" s="1"/>
  <c r="A267" i="792" s="1"/>
  <c r="A268" i="792" s="1"/>
  <c r="A269" i="792" s="1"/>
  <c r="A270" i="792" s="1"/>
  <c r="A271" i="792" s="1"/>
  <c r="K259" i="792"/>
  <c r="E258" i="792"/>
  <c r="E257" i="792"/>
  <c r="E253" i="792"/>
  <c r="H251" i="792"/>
  <c r="E251" i="792"/>
  <c r="E249" i="792"/>
  <c r="A249" i="792"/>
  <c r="A250" i="792" s="1"/>
  <c r="A251" i="792" s="1"/>
  <c r="A252" i="792" s="1"/>
  <c r="A253" i="792" s="1"/>
  <c r="A254" i="792" s="1"/>
  <c r="A255" i="792" s="1"/>
  <c r="A256" i="792" s="1"/>
  <c r="A257" i="792" s="1"/>
  <c r="A258" i="792" s="1"/>
  <c r="A259" i="792" s="1"/>
  <c r="K247" i="792"/>
  <c r="E246" i="792"/>
  <c r="E245" i="792"/>
  <c r="E241" i="792"/>
  <c r="H239" i="792"/>
  <c r="E239" i="792"/>
  <c r="E237" i="792"/>
  <c r="A237" i="792"/>
  <c r="A238" i="792" s="1"/>
  <c r="A239" i="792" s="1"/>
  <c r="A240" i="792" s="1"/>
  <c r="A241" i="792" s="1"/>
  <c r="A242" i="792" s="1"/>
  <c r="A243" i="792" s="1"/>
  <c r="A244" i="792" s="1"/>
  <c r="A245" i="792" s="1"/>
  <c r="A246" i="792" s="1"/>
  <c r="A247" i="792" s="1"/>
  <c r="K235" i="792"/>
  <c r="E234" i="792"/>
  <c r="E233" i="792"/>
  <c r="E226" i="792"/>
  <c r="H224" i="792"/>
  <c r="E224" i="792"/>
  <c r="E222" i="792"/>
  <c r="A222" i="792"/>
  <c r="A223" i="792" s="1"/>
  <c r="A224" i="792" s="1"/>
  <c r="A225" i="792" s="1"/>
  <c r="A226" i="792" s="1"/>
  <c r="A227" i="792" s="1"/>
  <c r="A228" i="792" s="1"/>
  <c r="A229" i="792" s="1"/>
  <c r="A230" i="792" s="1"/>
  <c r="A231" i="792" s="1"/>
  <c r="A232" i="792" s="1"/>
  <c r="A233" i="792" s="1"/>
  <c r="A234" i="792" s="1"/>
  <c r="A235" i="792" s="1"/>
  <c r="K219" i="792"/>
  <c r="E218" i="792"/>
  <c r="E217" i="792"/>
  <c r="E212" i="792"/>
  <c r="H210" i="792"/>
  <c r="E210" i="792"/>
  <c r="E208" i="792"/>
  <c r="A208" i="792"/>
  <c r="A209" i="792" s="1"/>
  <c r="A210" i="792" s="1"/>
  <c r="A211" i="792" s="1"/>
  <c r="A212" i="792" s="1"/>
  <c r="A213" i="792" s="1"/>
  <c r="A214" i="792" s="1"/>
  <c r="A215" i="792" s="1"/>
  <c r="A216" i="792" s="1"/>
  <c r="A217" i="792" s="1"/>
  <c r="A218" i="792" s="1"/>
  <c r="A219" i="792" s="1"/>
  <c r="K203" i="792"/>
  <c r="E202" i="792"/>
  <c r="E201" i="792"/>
  <c r="E198" i="792"/>
  <c r="H196" i="792"/>
  <c r="E196" i="792"/>
  <c r="A194" i="792"/>
  <c r="A195" i="792" s="1"/>
  <c r="A196" i="792" s="1"/>
  <c r="A197" i="792" s="1"/>
  <c r="A198" i="792" s="1"/>
  <c r="A199" i="792" s="1"/>
  <c r="A200" i="792" s="1"/>
  <c r="A201" i="792" s="1"/>
  <c r="A202" i="792" s="1"/>
  <c r="A203" i="792" s="1"/>
  <c r="K191" i="792"/>
  <c r="E190" i="792"/>
  <c r="E189" i="792"/>
  <c r="H188" i="792"/>
  <c r="E188" i="792"/>
  <c r="E185" i="792"/>
  <c r="A181" i="792"/>
  <c r="A182" i="792" s="1"/>
  <c r="A183" i="792" s="1"/>
  <c r="A184" i="792" s="1"/>
  <c r="A185" i="792" s="1"/>
  <c r="A186" i="792" s="1"/>
  <c r="A187" i="792" s="1"/>
  <c r="A188" i="792" s="1"/>
  <c r="A189" i="792" s="1"/>
  <c r="A190" i="792" s="1"/>
  <c r="A191" i="792" s="1"/>
  <c r="K177" i="792"/>
  <c r="E176" i="792"/>
  <c r="E175" i="792"/>
  <c r="H174" i="792"/>
  <c r="H173" i="792"/>
  <c r="E173" i="792"/>
  <c r="E168" i="792"/>
  <c r="H166" i="792"/>
  <c r="E166" i="792"/>
  <c r="H165" i="792"/>
  <c r="E165" i="792"/>
  <c r="A162" i="792"/>
  <c r="A163" i="792" s="1"/>
  <c r="A164" i="792" s="1"/>
  <c r="A165" i="792" s="1"/>
  <c r="A166" i="792" s="1"/>
  <c r="A167" i="792" s="1"/>
  <c r="A168" i="792" s="1"/>
  <c r="A169" i="792" s="1"/>
  <c r="A170" i="792" s="1"/>
  <c r="A171" i="792" s="1"/>
  <c r="A172" i="792" s="1"/>
  <c r="A173" i="792" s="1"/>
  <c r="A174" i="792" s="1"/>
  <c r="A175" i="792" s="1"/>
  <c r="A176" i="792" s="1"/>
  <c r="A177" i="792" s="1"/>
  <c r="K159" i="792"/>
  <c r="E158" i="792"/>
  <c r="E157" i="792"/>
  <c r="H156" i="792"/>
  <c r="H155" i="792"/>
  <c r="E155" i="792"/>
  <c r="E150" i="792"/>
  <c r="H148" i="792"/>
  <c r="E148" i="792"/>
  <c r="H147" i="792"/>
  <c r="E147" i="792"/>
  <c r="A144" i="792"/>
  <c r="A145" i="792" s="1"/>
  <c r="A146" i="792" s="1"/>
  <c r="A147" i="792" s="1"/>
  <c r="A148" i="792" s="1"/>
  <c r="A149" i="792" s="1"/>
  <c r="A150" i="792" s="1"/>
  <c r="A151" i="792" s="1"/>
  <c r="A152" i="792" s="1"/>
  <c r="A153" i="792" s="1"/>
  <c r="A154" i="792" s="1"/>
  <c r="A155" i="792" s="1"/>
  <c r="A156" i="792" s="1"/>
  <c r="A157" i="792" s="1"/>
  <c r="A158" i="792" s="1"/>
  <c r="A159" i="792" s="1"/>
  <c r="E140" i="792"/>
  <c r="E139" i="792"/>
  <c r="H138" i="792"/>
  <c r="E138" i="792"/>
  <c r="E135" i="792"/>
  <c r="H133" i="792"/>
  <c r="E133" i="792"/>
  <c r="H132" i="792"/>
  <c r="E132" i="792"/>
  <c r="A129" i="792"/>
  <c r="A130" i="792" s="1"/>
  <c r="A131" i="792" s="1"/>
  <c r="A132" i="792" s="1"/>
  <c r="A133" i="792" s="1"/>
  <c r="A134" i="792" s="1"/>
  <c r="A135" i="792" s="1"/>
  <c r="A136" i="792" s="1"/>
  <c r="A137" i="792" s="1"/>
  <c r="A138" i="792" s="1"/>
  <c r="A139" i="792" s="1"/>
  <c r="A140" i="792" s="1"/>
  <c r="A141" i="792" s="1"/>
  <c r="E125" i="792"/>
  <c r="E124" i="792"/>
  <c r="E121" i="792"/>
  <c r="H119" i="792"/>
  <c r="E119" i="792"/>
  <c r="A117" i="792"/>
  <c r="A118" i="792" s="1"/>
  <c r="A119" i="792" s="1"/>
  <c r="A120" i="792" s="1"/>
  <c r="A121" i="792" s="1"/>
  <c r="A122" i="792" s="1"/>
  <c r="A123" i="792" s="1"/>
  <c r="A124" i="792" s="1"/>
  <c r="A125" i="792" s="1"/>
  <c r="A126" i="792" s="1"/>
  <c r="E113" i="792"/>
  <c r="E112" i="792"/>
  <c r="E109" i="792"/>
  <c r="H107" i="792"/>
  <c r="E107" i="792"/>
  <c r="A105" i="792"/>
  <c r="A106" i="792" s="1"/>
  <c r="A107" i="792" s="1"/>
  <c r="A108" i="792" s="1"/>
  <c r="A109" i="792" s="1"/>
  <c r="A110" i="792" s="1"/>
  <c r="A111" i="792" s="1"/>
  <c r="A112" i="792" s="1"/>
  <c r="A113" i="792" s="1"/>
  <c r="A114" i="792" s="1"/>
  <c r="E101" i="792"/>
  <c r="E100" i="792"/>
  <c r="E97" i="792"/>
  <c r="H95" i="792"/>
  <c r="E95" i="792"/>
  <c r="E93" i="792"/>
  <c r="A93" i="792"/>
  <c r="A94" i="792" s="1"/>
  <c r="A95" i="792" s="1"/>
  <c r="A96" i="792" s="1"/>
  <c r="A97" i="792" s="1"/>
  <c r="A98" i="792" s="1"/>
  <c r="A99" i="792" s="1"/>
  <c r="A100" i="792" s="1"/>
  <c r="A101" i="792" s="1"/>
  <c r="A102" i="792" s="1"/>
  <c r="E87" i="792"/>
  <c r="E86" i="792"/>
  <c r="H85" i="792"/>
  <c r="E85" i="792"/>
  <c r="E83" i="792"/>
  <c r="H78" i="792"/>
  <c r="E78" i="792"/>
  <c r="H77" i="792"/>
  <c r="E77" i="792"/>
  <c r="A74" i="792"/>
  <c r="A75" i="792" s="1"/>
  <c r="A76" i="792" s="1"/>
  <c r="A77" i="792" s="1"/>
  <c r="A78" i="792" s="1"/>
  <c r="A79" i="792" s="1"/>
  <c r="A80" i="792" s="1"/>
  <c r="A81" i="792" s="1"/>
  <c r="A82" i="792" s="1"/>
  <c r="A83" i="792" s="1"/>
  <c r="A84" i="792" s="1"/>
  <c r="A85" i="792" s="1"/>
  <c r="A86" i="792" s="1"/>
  <c r="A87" i="792" s="1"/>
  <c r="A88" i="792" s="1"/>
  <c r="E71" i="792"/>
  <c r="H70" i="792"/>
  <c r="E70" i="792"/>
  <c r="E68" i="792"/>
  <c r="H67" i="792"/>
  <c r="E67" i="792"/>
  <c r="H66" i="792"/>
  <c r="E66" i="792"/>
  <c r="E63" i="792"/>
  <c r="A63" i="792"/>
  <c r="A64" i="792" s="1"/>
  <c r="A65" i="792" s="1"/>
  <c r="A66" i="792" s="1"/>
  <c r="A67" i="792" s="1"/>
  <c r="A68" i="792" s="1"/>
  <c r="A69" i="792" s="1"/>
  <c r="A70" i="792" s="1"/>
  <c r="A71" i="792" s="1"/>
  <c r="A72" i="792" s="1"/>
  <c r="E58" i="792"/>
  <c r="E57" i="792"/>
  <c r="H55" i="792"/>
  <c r="E55" i="792"/>
  <c r="E53" i="792"/>
  <c r="A53" i="792"/>
  <c r="A54" i="792" s="1"/>
  <c r="A55" i="792" s="1"/>
  <c r="A56" i="792" s="1"/>
  <c r="A57" i="792" s="1"/>
  <c r="A58" i="792" s="1"/>
  <c r="A59" i="792" s="1"/>
  <c r="E49" i="792"/>
  <c r="E48" i="792"/>
  <c r="H47" i="792"/>
  <c r="E47" i="792"/>
  <c r="E44" i="792"/>
  <c r="H43" i="792"/>
  <c r="E43" i="792"/>
  <c r="H42" i="792"/>
  <c r="E42" i="792"/>
  <c r="E41" i="792"/>
  <c r="E38" i="792"/>
  <c r="A38" i="792"/>
  <c r="A39" i="792" s="1"/>
  <c r="A40" i="792" s="1"/>
  <c r="A41" i="792" s="1"/>
  <c r="A42" i="792" s="1"/>
  <c r="A43" i="792" s="1"/>
  <c r="A44" i="792" s="1"/>
  <c r="A45" i="792" s="1"/>
  <c r="A46" i="792" s="1"/>
  <c r="A47" i="792" s="1"/>
  <c r="A48" i="792" s="1"/>
  <c r="A49" i="792" s="1"/>
  <c r="A50" i="792" s="1"/>
  <c r="H33" i="792"/>
  <c r="E33" i="792"/>
  <c r="E32" i="792"/>
  <c r="E31" i="792"/>
  <c r="E30" i="792"/>
  <c r="H29" i="792"/>
  <c r="E29" i="792"/>
  <c r="H28" i="792"/>
  <c r="E28" i="792"/>
  <c r="H27" i="792"/>
  <c r="E27" i="792"/>
  <c r="H26" i="792"/>
  <c r="E26" i="792"/>
  <c r="E24" i="792"/>
  <c r="E23" i="792"/>
  <c r="E22" i="792"/>
  <c r="E21" i="792"/>
  <c r="E20" i="792"/>
  <c r="E19" i="792"/>
  <c r="A19" i="792"/>
  <c r="A20" i="792" s="1"/>
  <c r="A21" i="792" s="1"/>
  <c r="A22" i="792" s="1"/>
  <c r="A23" i="792" s="1"/>
  <c r="A24" i="792" s="1"/>
  <c r="A25" i="792" s="1"/>
  <c r="A26" i="792" s="1"/>
  <c r="A27" i="792" s="1"/>
  <c r="A28" i="792" s="1"/>
  <c r="A29" i="792" s="1"/>
  <c r="A30" i="792" s="1"/>
  <c r="A31" i="792" s="1"/>
  <c r="A32" i="792" s="1"/>
  <c r="A33" i="792" s="1"/>
  <c r="A34" i="792" s="1"/>
  <c r="A35" i="792" s="1"/>
  <c r="E15" i="792"/>
  <c r="E14" i="792"/>
  <c r="E11" i="792"/>
  <c r="H9" i="792"/>
  <c r="E9" i="792"/>
  <c r="E7" i="792"/>
  <c r="A7" i="792"/>
  <c r="A8" i="792" s="1"/>
  <c r="A9" i="792" s="1"/>
  <c r="A10" i="792" s="1"/>
  <c r="A11" i="792" s="1"/>
  <c r="A12" i="792" s="1"/>
  <c r="A13" i="792" s="1"/>
  <c r="A14" i="792" s="1"/>
  <c r="A15" i="792" s="1"/>
  <c r="A3" i="792"/>
  <c r="M34" i="785"/>
  <c r="K34" i="785"/>
  <c r="F34" i="785"/>
  <c r="E33" i="785"/>
  <c r="E32" i="785"/>
  <c r="H31" i="785"/>
  <c r="E31" i="785"/>
  <c r="H23" i="785"/>
  <c r="E23" i="785"/>
  <c r="H22" i="785"/>
  <c r="E22" i="785"/>
  <c r="A19" i="785"/>
  <c r="A20" i="785" s="1"/>
  <c r="F16" i="785"/>
  <c r="M15" i="785"/>
  <c r="K15" i="785"/>
  <c r="F15" i="785"/>
  <c r="E14" i="785"/>
  <c r="E13" i="785"/>
  <c r="E11" i="785"/>
  <c r="H9" i="785"/>
  <c r="E9" i="785"/>
  <c r="A7" i="785"/>
  <c r="A8" i="785" s="1"/>
  <c r="A9" i="785" s="1"/>
  <c r="A10" i="785" s="1"/>
  <c r="A11" i="785" s="1"/>
  <c r="A12" i="785" s="1"/>
  <c r="A13" i="785" s="1"/>
  <c r="A14" i="785" s="1"/>
  <c r="A15" i="785" s="1"/>
  <c r="A16" i="785" s="1"/>
  <c r="A3" i="785"/>
  <c r="K29" i="842"/>
  <c r="O219" i="842" l="1"/>
  <c r="O220" i="842" s="1"/>
  <c r="O221" i="842" s="1"/>
  <c r="O222" i="842" s="1"/>
  <c r="O223" i="842" s="1"/>
  <c r="O224" i="842" s="1"/>
  <c r="E224" i="842" s="1"/>
  <c r="E219" i="842" s="1"/>
  <c r="E218" i="842"/>
  <c r="E389" i="842"/>
  <c r="O390" i="842"/>
  <c r="O391" i="842" s="1"/>
  <c r="O392" i="842" s="1"/>
  <c r="O393" i="842" s="1"/>
  <c r="O394" i="842" s="1"/>
  <c r="O395" i="842" s="1"/>
  <c r="E395" i="842" s="1"/>
  <c r="E390" i="842" s="1"/>
  <c r="H389" i="842"/>
  <c r="H256" i="842"/>
  <c r="O257" i="842"/>
  <c r="O258" i="842" s="1"/>
  <c r="O259" i="842" s="1"/>
  <c r="O260" i="842" s="1"/>
  <c r="O261" i="842" s="1"/>
  <c r="O262" i="842" s="1"/>
  <c r="E262" i="842" s="1"/>
  <c r="E257" i="842" s="1"/>
  <c r="E256" i="842"/>
  <c r="E408" i="842"/>
  <c r="H408" i="842"/>
  <c r="O409" i="842"/>
  <c r="O410" i="842" s="1"/>
  <c r="O411" i="842" s="1"/>
  <c r="O412" i="842" s="1"/>
  <c r="O413" i="842" s="1"/>
  <c r="O414" i="842" s="1"/>
  <c r="E414" i="842" s="1"/>
  <c r="E409" i="842" s="1"/>
  <c r="E146" i="842"/>
  <c r="H146" i="842" s="1"/>
  <c r="P147" i="842"/>
  <c r="P148" i="842" s="1"/>
  <c r="H67" i="842"/>
  <c r="O68" i="842"/>
  <c r="O69" i="842" s="1"/>
  <c r="O70" i="842" s="1"/>
  <c r="O71" i="842" s="1"/>
  <c r="O72" i="842" s="1"/>
  <c r="O73" i="842" s="1"/>
  <c r="E67" i="842"/>
  <c r="O294" i="842"/>
  <c r="E293" i="842"/>
  <c r="P462" i="842"/>
  <c r="E461" i="842"/>
  <c r="P91" i="842"/>
  <c r="P92" i="842" s="1"/>
  <c r="E90" i="842"/>
  <c r="H90" i="842" s="1"/>
  <c r="O10" i="842"/>
  <c r="E9" i="842"/>
  <c r="E28" i="842"/>
  <c r="O48" i="842"/>
  <c r="E47" i="842"/>
  <c r="E431" i="842"/>
  <c r="H431" i="842" s="1"/>
  <c r="P432" i="842"/>
  <c r="P433" i="842" s="1"/>
  <c r="O313" i="842"/>
  <c r="E312" i="842"/>
  <c r="AC8" i="810"/>
  <c r="E30" i="842"/>
  <c r="O124" i="842"/>
  <c r="O125" i="842" s="1"/>
  <c r="O126" i="842" s="1"/>
  <c r="O127" i="842" s="1"/>
  <c r="O128" i="842" s="1"/>
  <c r="O129" i="842" s="1"/>
  <c r="E129" i="842" s="1"/>
  <c r="E124" i="842" s="1"/>
  <c r="E123" i="842"/>
  <c r="E240" i="842"/>
  <c r="H240" i="842" s="1"/>
  <c r="P241" i="842"/>
  <c r="O333" i="842"/>
  <c r="O334" i="842" s="1"/>
  <c r="O335" i="842" s="1"/>
  <c r="O336" i="842" s="1"/>
  <c r="O337" i="842" s="1"/>
  <c r="O338" i="842" s="1"/>
  <c r="E332" i="842"/>
  <c r="O162" i="842"/>
  <c r="O163" i="842" s="1"/>
  <c r="O164" i="842" s="1"/>
  <c r="O165" i="842" s="1"/>
  <c r="O166" i="842" s="1"/>
  <c r="O167" i="842" s="1"/>
  <c r="E167" i="842" s="1"/>
  <c r="E162" i="842" s="1"/>
  <c r="E161" i="842"/>
  <c r="P357" i="842"/>
  <c r="E356" i="842"/>
  <c r="U10" i="810"/>
  <c r="Z9" i="810"/>
  <c r="AC9" i="810" s="1"/>
  <c r="P319" i="842"/>
  <c r="E318" i="842"/>
  <c r="E455" i="842"/>
  <c r="O456" i="842"/>
  <c r="E199" i="842"/>
  <c r="O200" i="842"/>
  <c r="O201" i="842" s="1"/>
  <c r="O202" i="842" s="1"/>
  <c r="O203" i="842" s="1"/>
  <c r="O204" i="842" s="1"/>
  <c r="O205" i="842" s="1"/>
  <c r="E205" i="842" s="1"/>
  <c r="E200" i="842" s="1"/>
  <c r="O475" i="842"/>
  <c r="E474" i="842"/>
  <c r="E180" i="842"/>
  <c r="O181" i="842"/>
  <c r="O182" i="842" s="1"/>
  <c r="O183" i="842" s="1"/>
  <c r="O184" i="842" s="1"/>
  <c r="O185" i="842" s="1"/>
  <c r="O186" i="842" s="1"/>
  <c r="E186" i="842" s="1"/>
  <c r="E181" i="842" s="1"/>
  <c r="E104" i="842"/>
  <c r="O105" i="842"/>
  <c r="O106" i="842" s="1"/>
  <c r="O107" i="842" s="1"/>
  <c r="O108" i="842" s="1"/>
  <c r="O109" i="842" s="1"/>
  <c r="O110" i="842" s="1"/>
  <c r="E110" i="842" s="1"/>
  <c r="E105" i="842" s="1"/>
  <c r="O370" i="842"/>
  <c r="E369" i="842"/>
  <c r="A6" i="805"/>
  <c r="A14" i="805"/>
  <c r="A15" i="805" s="1"/>
  <c r="A16" i="805" s="1"/>
  <c r="A17" i="805" s="1"/>
  <c r="A18" i="805" s="1"/>
  <c r="A19" i="805" s="1"/>
  <c r="A21" i="785"/>
  <c r="A24" i="785" s="1"/>
  <c r="A27" i="785" s="1"/>
  <c r="A22" i="785"/>
  <c r="A25" i="785" s="1"/>
  <c r="A29" i="785" s="1"/>
  <c r="A31" i="785" s="1"/>
  <c r="A32" i="785" s="1"/>
  <c r="A33" i="785" s="1"/>
  <c r="A34" i="785" s="1"/>
  <c r="C6" i="732"/>
  <c r="K218" i="842"/>
  <c r="K332" i="842"/>
  <c r="K408" i="842"/>
  <c r="K180" i="842"/>
  <c r="K161" i="842"/>
  <c r="K389" i="842"/>
  <c r="K123" i="842"/>
  <c r="K199" i="842"/>
  <c r="K104" i="842"/>
  <c r="K256" i="842"/>
  <c r="K67" i="842"/>
  <c r="H104" i="842" l="1"/>
  <c r="H199" i="842"/>
  <c r="H123" i="842"/>
  <c r="H161" i="842"/>
  <c r="H180" i="842"/>
  <c r="H332" i="842"/>
  <c r="H218" i="842"/>
  <c r="P242" i="842"/>
  <c r="P243" i="842" s="1"/>
  <c r="E241" i="842"/>
  <c r="H241" i="842" s="1"/>
  <c r="H475" i="842"/>
  <c r="E475" i="842"/>
  <c r="O476" i="842"/>
  <c r="O477" i="842" s="1"/>
  <c r="O478" i="842" s="1"/>
  <c r="O479" i="842" s="1"/>
  <c r="O480" i="842" s="1"/>
  <c r="O481" i="842" s="1"/>
  <c r="U11" i="810"/>
  <c r="Z10" i="810"/>
  <c r="AC10" i="810" s="1"/>
  <c r="E48" i="842"/>
  <c r="O49" i="842"/>
  <c r="O371" i="842"/>
  <c r="H370" i="842"/>
  <c r="E370" i="842"/>
  <c r="H10" i="842"/>
  <c r="E10" i="842"/>
  <c r="O11" i="842"/>
  <c r="O12" i="842" s="1"/>
  <c r="O13" i="842" s="1"/>
  <c r="O14" i="842" s="1"/>
  <c r="O15" i="842" s="1"/>
  <c r="O16" i="842" s="1"/>
  <c r="E16" i="842" s="1"/>
  <c r="E11" i="842" s="1"/>
  <c r="E68" i="842"/>
  <c r="E456" i="842"/>
  <c r="O457" i="842"/>
  <c r="O458" i="842" s="1"/>
  <c r="O459" i="842" s="1"/>
  <c r="O460" i="842" s="1"/>
  <c r="O461" i="842" s="1"/>
  <c r="O462" i="842" s="1"/>
  <c r="H456" i="842"/>
  <c r="E313" i="842"/>
  <c r="O314" i="842"/>
  <c r="O315" i="842" s="1"/>
  <c r="O316" i="842" s="1"/>
  <c r="O317" i="842" s="1"/>
  <c r="O318" i="842" s="1"/>
  <c r="O319" i="842" s="1"/>
  <c r="E319" i="842" s="1"/>
  <c r="E314" i="842" s="1"/>
  <c r="E333" i="842"/>
  <c r="E294" i="842"/>
  <c r="O295" i="842"/>
  <c r="O296" i="842" s="1"/>
  <c r="O297" i="842" s="1"/>
  <c r="O298" i="842" s="1"/>
  <c r="O299" i="842" s="1"/>
  <c r="O300" i="842" s="1"/>
  <c r="E300" i="842" s="1"/>
  <c r="E295" i="842" s="1"/>
  <c r="A32" i="805"/>
  <c r="A20" i="805"/>
  <c r="A27" i="805"/>
  <c r="A28" i="785"/>
  <c r="A30" i="785" s="1"/>
  <c r="A23" i="785"/>
  <c r="A26" i="785" s="1"/>
  <c r="K294" i="842"/>
  <c r="K48" i="842"/>
  <c r="K370" i="842"/>
  <c r="K456" i="842"/>
  <c r="K313" i="842"/>
  <c r="K10" i="842"/>
  <c r="K475" i="842"/>
  <c r="H313" i="842" l="1"/>
  <c r="H48" i="842"/>
  <c r="H294" i="842"/>
  <c r="O372" i="842"/>
  <c r="O373" i="842" s="1"/>
  <c r="O374" i="842" s="1"/>
  <c r="O375" i="842" s="1"/>
  <c r="O376" i="842" s="1"/>
  <c r="E371" i="842"/>
  <c r="O50" i="842"/>
  <c r="O51" i="842" s="1"/>
  <c r="O52" i="842" s="1"/>
  <c r="O53" i="842" s="1"/>
  <c r="O54" i="842" s="1"/>
  <c r="E49" i="842"/>
  <c r="U12" i="810"/>
  <c r="Z11" i="810"/>
  <c r="AC11" i="810" s="1"/>
  <c r="A33" i="805"/>
  <c r="A21" i="805"/>
  <c r="A28" i="805"/>
  <c r="A26" i="805"/>
  <c r="A39" i="805" s="1"/>
  <c r="U13" i="810" l="1"/>
  <c r="Z12" i="810"/>
  <c r="AC12" i="810" s="1"/>
  <c r="A24" i="805"/>
  <c r="A37" i="805" s="1"/>
  <c r="A22" i="805"/>
  <c r="A30" i="805"/>
  <c r="A29" i="805"/>
  <c r="A34" i="805"/>
  <c r="U14" i="810" l="1"/>
  <c r="Z13" i="810"/>
  <c r="A23" i="805"/>
  <c r="A36" i="805" s="1"/>
  <c r="A31" i="805"/>
  <c r="A35" i="805"/>
  <c r="A25" i="805"/>
  <c r="A38" i="805" s="1"/>
  <c r="U15" i="810" l="1"/>
  <c r="Z14" i="810"/>
  <c r="AC14" i="810" s="1"/>
  <c r="AC13" i="810"/>
  <c r="Z27" i="810"/>
  <c r="AC27" i="810" s="1"/>
  <c r="Z15" i="810" l="1"/>
  <c r="AC15" i="810" s="1"/>
  <c r="U16" i="810"/>
  <c r="U17" i="810" l="1"/>
  <c r="Z16" i="810"/>
  <c r="AC16" i="810" s="1"/>
  <c r="U18" i="810" l="1"/>
  <c r="Z17" i="810"/>
  <c r="AC17" i="810" s="1"/>
  <c r="U19" i="810" l="1"/>
  <c r="Z18" i="810"/>
  <c r="AC18" i="810" s="1"/>
  <c r="U20" i="810" l="1"/>
  <c r="Z19" i="810"/>
  <c r="AC19" i="810" s="1"/>
  <c r="U21" i="810" l="1"/>
  <c r="Z20" i="810"/>
  <c r="AC20" i="810" s="1"/>
  <c r="U22" i="810" l="1"/>
  <c r="Z21" i="810"/>
  <c r="AC21" i="810" s="1"/>
  <c r="U23" i="810" l="1"/>
  <c r="Z22" i="810"/>
  <c r="AC22" i="810" s="1"/>
  <c r="U24" i="810" l="1"/>
  <c r="Z23" i="810"/>
  <c r="AC23" i="810" s="1"/>
  <c r="Z24" i="810" l="1"/>
  <c r="AC24" i="810" s="1"/>
  <c r="U25" i="810"/>
  <c r="Z25" i="810" s="1"/>
  <c r="AC25" i="810" s="1"/>
</calcChain>
</file>

<file path=xl/comments1.xml><?xml version="1.0" encoding="utf-8"?>
<comments xmlns="http://schemas.openxmlformats.org/spreadsheetml/2006/main">
  <authors>
    <author>admin</author>
  </authors>
  <commentList>
    <comment ref="M2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115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134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153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172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191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10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29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48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67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286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305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324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343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362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381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400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419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448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см. графику</t>
        </r>
      </text>
    </comment>
  </commentList>
</comments>
</file>

<file path=xl/comments2.xml><?xml version="1.0" encoding="utf-8"?>
<comments xmlns="http://schemas.openxmlformats.org/spreadsheetml/2006/main">
  <authors>
    <author>СтанкевичПВ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9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9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2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2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  <comment ref="M34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3" background="1" saveData="1">
    <textPr codePage="1251" sourceFile="\\192.168.10.5\объекты\Поликлиника Владивосток\Проект\В работе\Отдел СК\Поликлиника\Спецификации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  <connection id="2" name="КЖ_сист ЖБ Плиты1" type="6" refreshedVersion="6" background="1" saveData="1">
    <textPr codePage="1251" sourceFile="D:\Рогожин ДА\prog\YandexDisk\Работа\material-specification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<sst xmlns="http://schemas.openxmlformats.org/spreadsheetml/2006/main" count="9226" uniqueCount="2953">
  <si>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</si>
  <si>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</si>
  <si>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</si>
  <si>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</si>
  <si>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</si>
  <si>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</si>
  <si>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</si>
  <si>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</si>
  <si>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</si>
  <si>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</si>
  <si>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</si>
  <si>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</si>
  <si>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</si>
  <si>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</si>
  <si>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</si>
  <si>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</si>
  <si>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</si>
  <si>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</si>
  <si>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</si>
  <si>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</si>
  <si>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</si>
  <si>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</si>
  <si>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</si>
  <si>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</si>
  <si>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</si>
  <si>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</si>
  <si>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</si>
  <si>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</si>
  <si>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</si>
  <si>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</si>
  <si>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</si>
  <si>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Тип</t>
  </si>
  <si>
    <t>Потолок</t>
  </si>
  <si>
    <t>|Содержание|</t>
  </si>
  <si>
    <t>ЖБ</t>
  </si>
  <si>
    <t>Колонны</t>
  </si>
  <si>
    <t>П1</t>
  </si>
  <si>
    <t>Стены наружные кирпич.АР</t>
  </si>
  <si>
    <t>Кирпич 120 штукатурка с 2х сторон</t>
  </si>
  <si>
    <t>Перегородки кирпич.АР</t>
  </si>
  <si>
    <t>ГКЛ - обшивка по каркасу С623 55 мм</t>
  </si>
  <si>
    <t>Перегородки ГКЛ.АР</t>
  </si>
  <si>
    <t>Кирпич 250 штукатурка с 2х сторон</t>
  </si>
  <si>
    <t>ГКЛВ - перегородка C112 125 мм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</si>
  <si>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</si>
  <si>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</si>
  <si>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</si>
  <si>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</si>
  <si>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</si>
  <si>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</si>
  <si>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</si>
  <si>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</si>
  <si>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</si>
  <si>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</si>
  <si>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</si>
  <si>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</si>
  <si>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</si>
  <si>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</si>
  <si>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</si>
  <si>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</si>
  <si>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</si>
  <si>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</si>
  <si>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Шпатлёвка</t>
  </si>
  <si>
    <t>decode</t>
  </si>
  <si>
    <t>---</t>
  </si>
  <si>
    <t>ОК</t>
  </si>
  <si>
    <t>!!Исключить</t>
  </si>
  <si>
    <t>!!Добавить</t>
  </si>
  <si>
    <t>Обработка бетоноконтактом</t>
  </si>
  <si>
    <t>!!П1</t>
  </si>
  <si>
    <t>ГКЛ - перегородка C112 125 мм</t>
  </si>
  <si>
    <t>Кирпич 120 штукатурка с 1-й стороны</t>
  </si>
  <si>
    <t>Витражная перегородка 100 мм</t>
  </si>
  <si>
    <t>Ст г/б 300 утеп 60 штукатурка с 1 стор вз 140 н/фасад</t>
  </si>
  <si>
    <t>Стены наружные газоблок.АР</t>
  </si>
  <si>
    <t>ГКЛВ - обшивка по каркасу С623 55 мм</t>
  </si>
  <si>
    <t>Бетон - В25 (стены)</t>
  </si>
  <si>
    <t>Стены.КЖ</t>
  </si>
  <si>
    <t>Стена г/б 300+ штукатурка с 1 стороны</t>
  </si>
  <si>
    <t>Стена ж/б 250 + утеплитель 120 (подземный)</t>
  </si>
  <si>
    <t>Ст ж/б 200  утеп 160 вз 40 н/фасад</t>
  </si>
  <si>
    <t>ГКЛ - обшивка по каркасу С666 75 мм</t>
  </si>
  <si>
    <t>Стена крп 250 утеплитель 120 штукатурка с 1 стороны н/фасад</t>
  </si>
  <si>
    <t>Кирпич 250 штукатурка с 1х стороны</t>
  </si>
  <si>
    <t>Парапетная стена кирпич 250</t>
  </si>
  <si>
    <t>Ст ж/б 250 утеп160 вз 40н/фасад</t>
  </si>
  <si>
    <t>Ст г/б 300 утеп 60 штукатурка с 1 стор вз 40 н/фасад</t>
  </si>
  <si>
    <t>Ст ж/б 200 утеп 160 вз 90 н/фасад</t>
  </si>
  <si>
    <t>П2</t>
  </si>
  <si>
    <t>П3</t>
  </si>
  <si>
    <t>П4</t>
  </si>
  <si>
    <t>Глазурованная керамическая плитка по ГОСТ 6141-91</t>
  </si>
  <si>
    <t>Ведомость отделки_правила</t>
  </si>
  <si>
    <t>Армстронг 1; Без отделки</t>
  </si>
  <si>
    <t>Армстронг 2; Без отделки</t>
  </si>
  <si>
    <t>Армстронг 3; Без отделки</t>
  </si>
  <si>
    <t>Армстронг 4; Без отделки</t>
  </si>
  <si>
    <t>Стены наружные металл.АР</t>
  </si>
  <si>
    <t>Обрамление вентшахт</t>
  </si>
  <si>
    <t>Витраж</t>
  </si>
  <si>
    <t>Наружный газоблок</t>
  </si>
  <si>
    <t>Кирпич 120</t>
  </si>
  <si>
    <t>Ж/б колонна</t>
  </si>
  <si>
    <t>Внутренний газоблок</t>
  </si>
  <si>
    <t>Внутренний Ж/б</t>
  </si>
  <si>
    <t>Обшивка ГКЛВ</t>
  </si>
  <si>
    <t>Перегородка ГКЛВ</t>
  </si>
  <si>
    <t>Перегородка ГКЛ</t>
  </si>
  <si>
    <t>Обшивка ГКЛ</t>
  </si>
  <si>
    <t>Подземный Ж/б</t>
  </si>
  <si>
    <t>Кирпич 250</t>
  </si>
  <si>
    <t>Наружный Ж/б</t>
  </si>
  <si>
    <t>Обшивка ГКЛ С666</t>
  </si>
  <si>
    <t>Наружный кирпич 250</t>
  </si>
  <si>
    <t>Парапет</t>
  </si>
  <si>
    <t>Вентшахта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</si>
  <si>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</si>
  <si>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</si>
  <si>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</si>
  <si>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</si>
  <si>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</si>
  <si>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</si>
  <si>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</si>
  <si>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</si>
  <si>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</si>
  <si>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</si>
  <si>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</si>
  <si>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</si>
  <si>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</si>
  <si>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</si>
  <si>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Имя листа</t>
  </si>
  <si>
    <t>Список значений параметров зоны</t>
  </si>
  <si>
    <t>Номер столбца параметров</t>
  </si>
  <si>
    <t>Тип_Б</t>
  </si>
  <si>
    <t>Тип_А</t>
  </si>
  <si>
    <t>Тест</t>
  </si>
  <si>
    <t>Ведомость отделки_разб</t>
  </si>
  <si>
    <t>Тест2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</si>
  <si>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</si>
  <si>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</si>
  <si>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</si>
  <si>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</si>
  <si>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</si>
  <si>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</si>
  <si>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</si>
  <si>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</si>
  <si>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</si>
  <si>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</si>
  <si>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</si>
  <si>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</si>
  <si>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</si>
  <si>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</si>
  <si>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</si>
  <si>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</si>
  <si>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</si>
  <si>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</si>
  <si>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</si>
  <si>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</si>
  <si>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</si>
  <si>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</si>
  <si>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</si>
  <si>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</si>
  <si>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</si>
  <si>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</si>
  <si>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</si>
  <si>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</si>
  <si>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Арматура</t>
  </si>
  <si>
    <t>Прокат</t>
  </si>
  <si>
    <t>Комментарий</t>
  </si>
  <si>
    <t>Всё в мм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</si>
  <si>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</si>
  <si>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</si>
  <si>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</si>
  <si>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</si>
  <si>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</si>
  <si>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</si>
  <si>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</si>
  <si>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</si>
  <si>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</si>
  <si>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</si>
  <si>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Анкеровка</t>
  </si>
  <si>
    <t>Нахлёст</t>
  </si>
  <si>
    <t>Радиус оправки</t>
  </si>
  <si>
    <t>!!!</t>
  </si>
  <si>
    <t>Основной</t>
  </si>
  <si>
    <t>Бетон В30</t>
  </si>
  <si>
    <t>Км1.3</t>
  </si>
  <si>
    <t>Монолитная колонна Км1.3</t>
  </si>
  <si>
    <t>ГОСТ Р 52544-2006</t>
  </si>
  <si>
    <t>Вертикал. Подвал</t>
  </si>
  <si>
    <t>ГОСТ 5781-82*</t>
  </si>
  <si>
    <t>Хомут на 500</t>
  </si>
  <si>
    <t>Вертикал. 1 эт</t>
  </si>
  <si>
    <t>Вертикал. 2, 3, 4. 5,6 эт</t>
  </si>
  <si>
    <t>Вертикал. 7 эт</t>
  </si>
  <si>
    <t>ГОСТ 25192-2012</t>
  </si>
  <si>
    <t>Бетон В30,F150,W6(ниже 0)</t>
  </si>
  <si>
    <t>Бетон В30,F75,W4(выше 0)</t>
  </si>
  <si>
    <t>ГОСТ 106-2003</t>
  </si>
  <si>
    <t>120*120</t>
  </si>
  <si>
    <t>Км12.2</t>
  </si>
  <si>
    <t>Монолитная колонна Км12.2</t>
  </si>
  <si>
    <t>НЕТ БЕТОНА</t>
  </si>
  <si>
    <t>Хомут на 600</t>
  </si>
  <si>
    <t>Вертикал. 2 эт</t>
  </si>
  <si>
    <t>Вертикал. 2эт</t>
  </si>
  <si>
    <t>Вертикал. 3эт</t>
  </si>
  <si>
    <t>Вертикал. 2, 4. 5,6 эт</t>
  </si>
  <si>
    <t>Км1.1</t>
  </si>
  <si>
    <t>Монолитная колонна Км1.1</t>
  </si>
  <si>
    <t>Км14</t>
  </si>
  <si>
    <t>Монолитная колонна Км14</t>
  </si>
  <si>
    <t>Км3.1</t>
  </si>
  <si>
    <t>Монолитная колонна Км3.1</t>
  </si>
  <si>
    <t>Км5</t>
  </si>
  <si>
    <t>Монолитная колонна Км5</t>
  </si>
  <si>
    <t>Км4</t>
  </si>
  <si>
    <t>Монолитная колонна Км4</t>
  </si>
  <si>
    <t>Км12.1</t>
  </si>
  <si>
    <t>Монолитная колонна Км12.1</t>
  </si>
  <si>
    <t>Км1.3.1</t>
  </si>
  <si>
    <t>Монолитная колонна Км1.3.1</t>
  </si>
  <si>
    <t>Км1.2</t>
  </si>
  <si>
    <t>Монолитная колонна Км1.2</t>
  </si>
  <si>
    <t>Км10.1</t>
  </si>
  <si>
    <t>Монолитная колонна Км10.1</t>
  </si>
  <si>
    <t>Км3.1.2</t>
  </si>
  <si>
    <t>Монолитная колонна Км3.1.2</t>
  </si>
  <si>
    <t>Км6.1.1</t>
  </si>
  <si>
    <t>Монолитная колонна Км6.1.1</t>
  </si>
  <si>
    <t>Км6.1.2</t>
  </si>
  <si>
    <t>Монолитная колонна Км6.1.2</t>
  </si>
  <si>
    <t>Км3.2</t>
  </si>
  <si>
    <t>Монолитная колонна Км3.2</t>
  </si>
  <si>
    <t>Км1.4</t>
  </si>
  <si>
    <t>Монолитная колонна Км1.4</t>
  </si>
  <si>
    <t>Км11.1</t>
  </si>
  <si>
    <t>Монолитная колонна Км11.1</t>
  </si>
  <si>
    <t>Км8.1.2</t>
  </si>
  <si>
    <t>Монолитная колонна Км8.1.2</t>
  </si>
  <si>
    <t>Км11.1.3</t>
  </si>
  <si>
    <t>Монолитная колонна Км11.1.3</t>
  </si>
  <si>
    <t>Км11.1.1</t>
  </si>
  <si>
    <t>Монолитная колонна Км11.1.1</t>
  </si>
  <si>
    <t>Км11.1.2</t>
  </si>
  <si>
    <t>Монолитная колонна Км11.1.2</t>
  </si>
  <si>
    <t>Км8.2.1</t>
  </si>
  <si>
    <t>Монолитная колонна Км8.2.1</t>
  </si>
  <si>
    <t>Км10.2</t>
  </si>
  <si>
    <t>Монолитная колонна Км10.2</t>
  </si>
  <si>
    <t>Км11.3.1</t>
  </si>
  <si>
    <t>Монолитная колонна Км11.3.1</t>
  </si>
  <si>
    <t>Км1.3.2</t>
  </si>
  <si>
    <t>Монолитная колонна Км1.3.2</t>
  </si>
  <si>
    <t>Км7.1.1</t>
  </si>
  <si>
    <t>Монолитная колонна Км7.1.1</t>
  </si>
  <si>
    <t>Км7.2</t>
  </si>
  <si>
    <t>Монолитная колонна Км7.2</t>
  </si>
  <si>
    <t>ГОСТ Р 52544—2006</t>
  </si>
  <si>
    <t>Км2.1</t>
  </si>
  <si>
    <t>Монолитная колонна Км2.1</t>
  </si>
  <si>
    <t>Км9.2.1</t>
  </si>
  <si>
    <t>Монолитная колонна Км9.2.1</t>
  </si>
  <si>
    <t>Км5.1</t>
  </si>
  <si>
    <t>Монолитная колонна Км5.1</t>
  </si>
  <si>
    <t>Км3.1.1</t>
  </si>
  <si>
    <t>Монолитная колонна Км3.1.1</t>
  </si>
  <si>
    <t>Км14.1</t>
  </si>
  <si>
    <t>Монолитная колонна Км14.1</t>
  </si>
  <si>
    <t>Вертикал.7 эт</t>
  </si>
  <si>
    <t>Вертикал. Чердак</t>
  </si>
  <si>
    <t>ГОСТ Р 52544-2007</t>
  </si>
  <si>
    <t>Вертикал.1 эт</t>
  </si>
  <si>
    <t>Вертикал. 1 эт.</t>
  </si>
  <si>
    <t>Вертикал.2,4,5,6эт</t>
  </si>
  <si>
    <t>Хомутна 700х700</t>
  </si>
  <si>
    <t>Хомут на 700х700</t>
  </si>
  <si>
    <t>Хомутна 600х600</t>
  </si>
  <si>
    <t>Хомут на 600х600</t>
  </si>
  <si>
    <t>ГОСТ Р 52544-2008</t>
  </si>
  <si>
    <t>Вертикал. 3 эт</t>
  </si>
  <si>
    <t>ГОСТ Р 52544-2009</t>
  </si>
  <si>
    <t>Хомут на 500х500</t>
  </si>
  <si>
    <t>Вертикал.1,2 эт</t>
  </si>
  <si>
    <t>Вертикал.3,4,5,6 эт</t>
  </si>
  <si>
    <t>Вертикал. 1эт</t>
  </si>
  <si>
    <t>Хомут</t>
  </si>
  <si>
    <t>Вертикал.1,,2,3,4,5,6 эт</t>
  </si>
  <si>
    <t>Вертикал. 1эт.</t>
  </si>
  <si>
    <t>Вертикал. 2, 3, 4. 5 эт</t>
  </si>
  <si>
    <t>Вертикал. 6 эт</t>
  </si>
  <si>
    <t>ГОСТ Р 52544-2005</t>
  </si>
  <si>
    <t>Вертикал. 2, 5. 6 эт</t>
  </si>
  <si>
    <t>Вертикал. 4 эт</t>
  </si>
  <si>
    <t>Вертикал. 6эт</t>
  </si>
  <si>
    <t>Вертикал. 7эт</t>
  </si>
  <si>
    <t>ГОСТ Р 52544-2004</t>
  </si>
  <si>
    <t>Вертикал. 2,3,4, 5 эт</t>
  </si>
  <si>
    <t>Вертикал. 2,3,4, 5,6 эт</t>
  </si>
  <si>
    <t>Вертикал. 2,3,4, 5. 6 эт</t>
  </si>
  <si>
    <t>Вертикал. 2,  4. 5,6 эт</t>
  </si>
  <si>
    <t>Вертикал. 2,3,  4. 5,6 эт</t>
  </si>
  <si>
    <t>Хомут на 500 д.25</t>
  </si>
  <si>
    <t>Вертикал. 2,3, 4. 5,6 эт</t>
  </si>
  <si>
    <t>Из архикада плиты</t>
  </si>
  <si>
    <t>Км(2)_спец</t>
  </si>
  <si>
    <t>Км1234_спец</t>
  </si>
  <si>
    <t>check</t>
  </si>
  <si>
    <t>_грс</t>
  </si>
  <si>
    <t>Бетон В7,5</t>
  </si>
  <si>
    <t>Кр1</t>
  </si>
  <si>
    <t>Каркас Кр1</t>
  </si>
  <si>
    <t>ГОСТ 19903-74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</si>
  <si>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</si>
  <si>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</si>
  <si>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</si>
  <si>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</si>
  <si>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</si>
  <si>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</si>
  <si>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</si>
  <si>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</si>
  <si>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</si>
  <si>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</si>
  <si>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</si>
  <si>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</si>
  <si>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</si>
  <si>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</si>
  <si>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</si>
  <si>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</si>
  <si>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</si>
  <si>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</si>
  <si>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</si>
  <si>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</si>
  <si>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</si>
  <si>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</si>
  <si>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</si>
  <si>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</si>
  <si>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</si>
  <si>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</si>
  <si>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</si>
  <si>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</si>
  <si>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</si>
  <si>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</si>
  <si>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</si>
  <si>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</si>
  <si>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</si>
  <si>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</si>
  <si>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</si>
  <si>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</si>
  <si>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</si>
  <si>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</si>
  <si>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</si>
  <si>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</si>
  <si>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</si>
  <si>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</si>
  <si>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</si>
  <si>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</si>
  <si>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</si>
  <si>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</si>
  <si>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</si>
  <si>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</si>
  <si>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</si>
  <si>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</si>
  <si>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</si>
  <si>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</si>
  <si>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</si>
  <si>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</si>
  <si>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</si>
  <si>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</si>
  <si>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</si>
  <si>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</si>
  <si>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</si>
  <si>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</si>
  <si>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</si>
  <si>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</si>
  <si>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</si>
  <si>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</si>
  <si>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</si>
  <si>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</si>
  <si>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</si>
  <si>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</si>
  <si>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</si>
  <si>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</si>
  <si>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</si>
  <si>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</si>
  <si>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</si>
  <si>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</si>
  <si>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</si>
  <si>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</si>
  <si>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</si>
  <si>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</si>
  <si>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</si>
  <si>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</si>
  <si>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</si>
  <si>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</si>
  <si>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</si>
  <si>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</si>
  <si>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</si>
  <si>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</si>
  <si>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</si>
  <si>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</si>
  <si>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</si>
  <si>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</si>
  <si>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</si>
  <si>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</si>
  <si>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</si>
  <si>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</si>
  <si>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</si>
  <si>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</si>
  <si>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</si>
  <si>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</si>
  <si>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</si>
  <si>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</si>
  <si>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</si>
  <si>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</si>
  <si>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</si>
  <si>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</si>
  <si>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</si>
  <si>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</si>
  <si>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</si>
  <si>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</si>
  <si>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</si>
  <si>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</si>
  <si>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</si>
  <si>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</si>
  <si>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</si>
  <si>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</si>
  <si>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</si>
  <si>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</si>
  <si>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</si>
  <si>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</si>
  <si>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</si>
  <si>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</si>
  <si>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</si>
  <si>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</si>
  <si>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</si>
  <si>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</si>
  <si>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</si>
  <si>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</si>
  <si>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</si>
  <si>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</si>
  <si>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</si>
  <si>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</si>
  <si>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</si>
  <si>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</si>
  <si>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</si>
  <si>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</si>
  <si>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</si>
  <si>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</si>
  <si>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</si>
  <si>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</si>
  <si>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</si>
  <si>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</si>
  <si>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</si>
  <si>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</si>
  <si>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</si>
  <si>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</si>
  <si>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</si>
  <si>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</si>
  <si>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</si>
  <si>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</si>
  <si>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</si>
  <si>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</si>
  <si>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</si>
  <si>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</si>
  <si>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</si>
  <si>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</si>
  <si>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</si>
  <si>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</si>
  <si>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</si>
  <si>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</si>
  <si>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</si>
  <si>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</si>
  <si>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</si>
  <si>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</si>
  <si>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</si>
  <si>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</si>
  <si>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</si>
  <si>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</si>
  <si>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</si>
  <si>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</si>
  <si>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</si>
  <si>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</si>
  <si>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</si>
  <si>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</si>
  <si>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</si>
  <si>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</si>
  <si>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</si>
  <si>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</si>
  <si>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</si>
  <si>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</si>
  <si>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</si>
  <si>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</si>
  <si>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</si>
  <si>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</si>
  <si>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</si>
  <si>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</si>
  <si>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</si>
  <si>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</si>
  <si>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</si>
  <si>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</si>
  <si>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</si>
  <si>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</si>
  <si>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</si>
  <si>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</si>
  <si>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</si>
  <si>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</si>
  <si>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</si>
  <si>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</si>
  <si>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</si>
  <si>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</si>
  <si>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</si>
  <si>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</si>
  <si>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</si>
  <si>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</si>
  <si>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</si>
  <si>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</si>
  <si>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</si>
  <si>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</si>
  <si>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</si>
  <si>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</si>
  <si>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</si>
  <si>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</si>
  <si>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</si>
  <si>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</si>
  <si>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</si>
  <si>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</si>
  <si>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</si>
  <si>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</si>
  <si>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</si>
  <si>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</si>
  <si>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</si>
  <si>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</si>
  <si>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</si>
  <si>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</si>
  <si>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</si>
  <si>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</si>
  <si>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</si>
  <si>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</si>
  <si>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</si>
  <si>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</si>
  <si>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</si>
  <si>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</si>
  <si>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</si>
  <si>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</si>
  <si>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</si>
  <si>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</si>
  <si>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</si>
  <si>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</si>
  <si>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</si>
  <si>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</si>
  <si>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</si>
  <si>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</si>
  <si>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</si>
  <si>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</si>
  <si>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</si>
  <si>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</si>
  <si>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</si>
  <si>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</si>
  <si>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</si>
  <si>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</si>
  <si>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</si>
  <si>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</si>
  <si>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</si>
  <si>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</si>
  <si>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</si>
  <si>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</si>
  <si>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</si>
  <si>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</si>
  <si>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</si>
  <si>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</si>
  <si>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</si>
  <si>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</si>
  <si>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</si>
  <si>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</si>
  <si>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</si>
  <si>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</si>
  <si>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</si>
  <si>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</si>
  <si>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</si>
  <si>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</si>
  <si>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</si>
  <si>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</si>
  <si>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</si>
  <si>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</si>
  <si>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</si>
  <si>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</si>
  <si>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</si>
  <si>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</si>
  <si>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</si>
  <si>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</si>
  <si>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</si>
  <si>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</si>
  <si>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</si>
  <si>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</si>
  <si>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</si>
  <si>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</si>
  <si>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</si>
  <si>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</si>
  <si>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</si>
  <si>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</si>
  <si>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</si>
  <si>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</si>
  <si>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</si>
  <si>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</si>
  <si>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</si>
  <si>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</si>
  <si>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</si>
  <si>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</si>
  <si>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</si>
  <si>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</si>
  <si>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</si>
  <si>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</si>
  <si>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</si>
  <si>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</si>
  <si>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</si>
  <si>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</si>
  <si>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</si>
  <si>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</si>
  <si>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</si>
  <si>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</si>
  <si>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</si>
  <si>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</si>
  <si>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</si>
  <si>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</si>
  <si>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</si>
  <si>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</si>
  <si>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</si>
  <si>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</si>
  <si>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</si>
  <si>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</si>
  <si>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</si>
  <si>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</si>
  <si>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</si>
  <si>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</si>
  <si>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</si>
  <si>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</si>
  <si>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</si>
  <si>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</si>
  <si>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</si>
  <si>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</si>
  <si>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</si>
  <si>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</si>
  <si>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</si>
  <si>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</si>
  <si>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</si>
  <si>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</si>
  <si>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</si>
  <si>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</si>
  <si>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</si>
  <si>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</si>
  <si>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</si>
  <si>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</si>
  <si>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</si>
  <si>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</si>
  <si>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</si>
  <si>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</si>
  <si>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</si>
  <si>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</si>
  <si>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</si>
  <si>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</si>
  <si>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</si>
  <si>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</si>
  <si>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</si>
  <si>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</si>
  <si>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</si>
  <si>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</si>
  <si>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</si>
  <si>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</si>
  <si>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</si>
  <si>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</si>
  <si>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</si>
  <si>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</si>
  <si>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</si>
  <si>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</si>
  <si>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</si>
  <si>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</si>
  <si>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</si>
  <si>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</si>
  <si>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</si>
  <si>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</si>
  <si>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</si>
  <si>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</si>
  <si>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</si>
  <si>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</si>
  <si>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</si>
  <si>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</si>
  <si>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</si>
  <si>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</si>
  <si>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</si>
  <si>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</si>
  <si>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</si>
  <si>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</si>
  <si>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</si>
  <si>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</si>
  <si>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</si>
  <si>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</si>
  <si>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</si>
  <si>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</si>
  <si>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</si>
  <si>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</si>
  <si>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</si>
  <si>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</si>
  <si>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</si>
  <si>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</si>
  <si>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</si>
  <si>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</si>
  <si>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</si>
  <si>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</si>
  <si>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</si>
  <si>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</si>
  <si>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</si>
  <si>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</si>
  <si>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</si>
  <si>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</si>
  <si>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</si>
  <si>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</si>
  <si>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</si>
  <si>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</si>
  <si>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</si>
  <si>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</si>
  <si>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</si>
  <si>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</si>
  <si>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</si>
  <si>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</si>
  <si>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</si>
  <si>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</si>
  <si>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</si>
  <si>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</si>
  <si>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</si>
  <si>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</si>
  <si>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</si>
  <si>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</si>
  <si>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</si>
  <si>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</si>
  <si>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</si>
  <si>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</si>
  <si>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</si>
  <si>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</si>
  <si>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</si>
  <si>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</si>
  <si>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</si>
  <si>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</si>
  <si>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</si>
  <si>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</si>
  <si>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</si>
  <si>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</si>
  <si>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</si>
  <si>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</si>
  <si>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</si>
  <si>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</si>
  <si>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</si>
  <si>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</si>
  <si>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</si>
  <si>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</si>
  <si>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</si>
  <si>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</si>
  <si>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</si>
  <si>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</si>
  <si>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</si>
  <si>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</si>
  <si>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</si>
  <si>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</si>
  <si>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</si>
  <si>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</si>
  <si>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</si>
  <si>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</si>
  <si>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</si>
  <si>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</si>
  <si>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</si>
  <si>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</si>
  <si>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</si>
  <si>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</si>
  <si>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</si>
  <si>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</si>
  <si>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</si>
  <si>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</si>
  <si>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</si>
  <si>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</si>
  <si>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</si>
  <si>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</si>
  <si>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</si>
  <si>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</si>
  <si>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</si>
  <si>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</si>
  <si>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</si>
  <si>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</si>
  <si>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</si>
  <si>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</si>
  <si>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</si>
  <si>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</si>
  <si>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</si>
  <si>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</si>
  <si>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</si>
  <si>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</si>
  <si>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</si>
  <si>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</si>
  <si>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</si>
  <si>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</si>
  <si>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</si>
  <si>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</si>
  <si>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</si>
  <si>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</si>
  <si>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</si>
  <si>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</si>
  <si>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</si>
  <si>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</si>
  <si>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</si>
  <si>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</si>
  <si>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</si>
  <si>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</si>
  <si>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</si>
  <si>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</si>
  <si>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</si>
  <si>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</si>
  <si>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</si>
  <si>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</si>
  <si>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</si>
  <si>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</si>
  <si>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</si>
  <si>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</si>
  <si>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</si>
  <si>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</si>
  <si>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</si>
  <si>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</si>
  <si>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</si>
  <si>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</si>
  <si>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</si>
  <si>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</si>
  <si>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</si>
  <si>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</si>
  <si>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</si>
  <si>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</si>
  <si>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</si>
  <si>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</si>
  <si>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</si>
  <si>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</si>
  <si>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</si>
  <si>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</si>
  <si>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</si>
  <si>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</si>
  <si>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</si>
  <si>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</si>
  <si>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</si>
  <si>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</si>
  <si>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</si>
  <si>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</si>
  <si>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</si>
  <si>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</si>
  <si>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</si>
  <si>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</si>
  <si>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</si>
  <si>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</si>
  <si>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</si>
  <si>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</si>
  <si>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</si>
  <si>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</si>
  <si>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</si>
  <si>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</si>
  <si>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</si>
  <si>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</si>
  <si>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</si>
  <si>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</si>
  <si>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</si>
  <si>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</si>
  <si>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</si>
  <si>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</si>
  <si>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</si>
  <si>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</si>
  <si>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</si>
  <si>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</si>
  <si>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</si>
  <si>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</si>
  <si>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</si>
  <si>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</si>
  <si>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</si>
  <si>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</si>
  <si>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</si>
  <si>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</si>
  <si>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</si>
  <si>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</si>
  <si>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</si>
  <si>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</si>
  <si>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</si>
  <si>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</si>
  <si>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</si>
  <si>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</si>
  <si>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</si>
  <si>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</si>
  <si>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</si>
  <si>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</si>
  <si>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</si>
  <si>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</si>
  <si>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</si>
  <si>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</si>
  <si>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</si>
  <si>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</si>
  <si>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</si>
  <si>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</si>
  <si>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</si>
  <si>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</si>
  <si>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</si>
  <si>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</si>
  <si>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</si>
  <si>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</si>
  <si>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</si>
  <si>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</si>
  <si>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</si>
  <si>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</si>
  <si>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</si>
  <si>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</si>
  <si>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</si>
  <si>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</si>
  <si>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</si>
  <si>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</si>
  <si>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</si>
  <si>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</si>
  <si>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</si>
  <si>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</si>
  <si>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</si>
  <si>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</si>
  <si>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</si>
  <si>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</si>
  <si>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</si>
  <si>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</si>
  <si>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</si>
  <si>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</si>
  <si>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</si>
  <si>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</si>
  <si>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</si>
  <si>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</si>
  <si>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</si>
  <si>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</si>
  <si>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</si>
  <si>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</si>
  <si>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</si>
  <si>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</si>
  <si>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</si>
  <si>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</si>
  <si>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</si>
  <si>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</si>
  <si>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</si>
  <si>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</si>
  <si>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</si>
  <si>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</si>
  <si>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</si>
  <si>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</si>
  <si>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</si>
  <si>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</si>
  <si>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</si>
  <si>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</si>
  <si>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</si>
  <si>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</si>
  <si>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</si>
  <si>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</si>
  <si>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</si>
  <si>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</si>
  <si>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</si>
  <si>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</si>
  <si>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</si>
  <si>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</si>
  <si>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</si>
  <si>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</si>
  <si>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</si>
  <si>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</si>
  <si>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</si>
  <si>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</si>
  <si>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</si>
  <si>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</si>
  <si>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</si>
  <si>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</si>
  <si>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</si>
  <si>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</si>
  <si>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</si>
  <si>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</si>
  <si>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</si>
  <si>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</si>
  <si>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</si>
  <si>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</si>
  <si>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</si>
  <si>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</si>
  <si>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</si>
  <si>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</si>
  <si>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</si>
  <si>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</si>
  <si>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</si>
  <si>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</si>
  <si>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</si>
  <si>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</si>
  <si>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</si>
  <si>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</si>
  <si>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</si>
  <si>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</si>
  <si>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</si>
  <si>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</si>
  <si>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</si>
  <si>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</si>
  <si>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</si>
  <si>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</si>
  <si>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</si>
  <si>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</si>
  <si>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</si>
  <si>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</si>
  <si>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</si>
  <si>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</si>
  <si>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</si>
  <si>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</si>
  <si>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</si>
  <si>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</si>
  <si>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</si>
  <si>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</si>
  <si>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</si>
  <si>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</si>
  <si>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</si>
  <si>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</si>
  <si>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</si>
  <si>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</si>
  <si>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</si>
  <si>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</si>
  <si>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</si>
  <si>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</si>
  <si>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</si>
  <si>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</si>
  <si>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</si>
  <si>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</si>
  <si>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</si>
  <si>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</si>
  <si>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</si>
  <si>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</si>
  <si>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</si>
  <si>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</si>
  <si>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</si>
  <si>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</si>
  <si>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</si>
  <si>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</si>
  <si>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</si>
  <si>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</si>
  <si>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</si>
  <si>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</si>
  <si>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</si>
  <si>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</si>
  <si>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</si>
  <si>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</si>
  <si>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</si>
  <si>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</si>
  <si>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</si>
  <si>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</si>
  <si>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</si>
  <si>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</si>
  <si>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</si>
  <si>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</si>
  <si>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</si>
  <si>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</si>
  <si>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</si>
  <si>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</si>
  <si>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</si>
  <si>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</si>
  <si>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</si>
  <si>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</si>
  <si>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</si>
  <si>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</si>
  <si>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</si>
  <si>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</si>
  <si>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</si>
  <si>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</si>
  <si>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</si>
  <si>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</si>
  <si>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</si>
  <si>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</si>
  <si>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</si>
  <si>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</si>
  <si>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</si>
  <si>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</si>
  <si>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</si>
  <si>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</si>
  <si>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</si>
  <si>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</si>
  <si>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</si>
  <si>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</si>
  <si>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</si>
  <si>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</si>
  <si>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</si>
  <si>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</si>
  <si>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</si>
  <si>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</si>
  <si>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</si>
  <si>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</si>
  <si>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</si>
  <si>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</si>
  <si>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</si>
  <si>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</si>
  <si>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</si>
  <si>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</si>
  <si>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</si>
  <si>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</si>
  <si>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</si>
  <si>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</si>
  <si>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</si>
  <si>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</si>
  <si>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</si>
  <si>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</si>
  <si>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</si>
  <si>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</si>
  <si>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</si>
  <si>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</si>
  <si>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</si>
  <si>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</si>
  <si>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</si>
  <si>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</si>
  <si>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</si>
  <si>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</si>
  <si>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</si>
  <si>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</si>
  <si>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</si>
  <si>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</si>
  <si>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</si>
  <si>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</si>
  <si>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</si>
  <si>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</si>
  <si>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</si>
  <si>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</si>
  <si>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</si>
  <si>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</si>
  <si>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</si>
  <si>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</si>
  <si>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</si>
  <si>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</si>
  <si>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</si>
  <si>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</si>
  <si>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</si>
  <si>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</si>
  <si>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</si>
  <si>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</si>
  <si>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</si>
  <si>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</si>
  <si>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</si>
  <si>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</si>
  <si>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</si>
  <si>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</si>
  <si>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</si>
  <si>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</si>
  <si>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</si>
  <si>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</si>
  <si>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</si>
  <si>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</si>
  <si>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</si>
  <si>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</si>
  <si>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</si>
  <si>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</si>
  <si>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</si>
  <si>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</si>
  <si>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</si>
  <si>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</si>
  <si>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</si>
  <si>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</si>
  <si>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</si>
  <si>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</si>
  <si>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</si>
  <si>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</si>
  <si>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</si>
  <si>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</si>
  <si>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</si>
  <si>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</si>
  <si>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</si>
  <si>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</si>
  <si>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</si>
  <si>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</si>
  <si>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</si>
  <si>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</si>
  <si>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</si>
  <si>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</si>
  <si>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</si>
  <si>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</si>
  <si>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</si>
  <si>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</si>
  <si>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</si>
  <si>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</si>
  <si>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</si>
  <si>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</si>
  <si>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</si>
  <si>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</si>
  <si>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</si>
  <si>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</si>
  <si>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</si>
  <si>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</si>
  <si>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</si>
  <si>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</si>
  <si>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</si>
  <si>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</si>
  <si>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</si>
  <si>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</si>
  <si>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</si>
  <si>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</si>
  <si>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</si>
  <si>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</si>
  <si>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</si>
  <si>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</si>
  <si>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</si>
  <si>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</si>
  <si>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</si>
  <si>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</si>
  <si>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</si>
  <si>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</si>
  <si>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</si>
  <si>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</si>
  <si>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</si>
  <si>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</si>
  <si>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</si>
  <si>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</si>
  <si>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</si>
  <si>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</si>
  <si>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</si>
  <si>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</si>
  <si>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</si>
  <si>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</si>
  <si>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</si>
  <si>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</si>
  <si>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</si>
  <si>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</si>
  <si>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</si>
  <si>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</si>
  <si>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</si>
  <si>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</si>
  <si>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</si>
  <si>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</si>
  <si>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</si>
  <si>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</si>
  <si>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</si>
  <si>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</si>
  <si>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</si>
  <si>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</si>
  <si>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</si>
  <si>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</si>
  <si>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</si>
  <si>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</si>
  <si>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</si>
  <si>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</si>
  <si>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</si>
  <si>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</si>
  <si>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</si>
  <si>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</si>
  <si>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</si>
  <si>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</si>
  <si>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</si>
  <si>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</si>
  <si>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</si>
  <si>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</si>
  <si>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</si>
  <si>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</si>
  <si>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</si>
  <si>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</si>
  <si>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</si>
  <si>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</si>
  <si>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</si>
  <si>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</si>
  <si>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</si>
  <si>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</si>
  <si>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</si>
  <si>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</si>
  <si>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</si>
  <si>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</si>
  <si>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</si>
  <si>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</si>
  <si>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</si>
  <si>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</si>
  <si>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</si>
  <si>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</si>
  <si>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</si>
  <si>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</si>
  <si>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</si>
  <si>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</si>
  <si>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</si>
  <si>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</si>
  <si>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</si>
  <si>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</si>
  <si>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</si>
  <si>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</si>
  <si>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</si>
  <si>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</si>
  <si>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</si>
  <si>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</si>
  <si>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</si>
  <si>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</si>
  <si>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</si>
  <si>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</si>
  <si>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</si>
  <si>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</si>
  <si>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</si>
  <si>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</si>
  <si>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</si>
  <si>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</si>
  <si>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</si>
  <si>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</si>
  <si>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</si>
  <si>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</si>
  <si>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</si>
  <si>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</si>
  <si>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</si>
  <si>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</si>
  <si>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</si>
  <si>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</si>
  <si>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</si>
  <si>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</si>
  <si>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</si>
  <si>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</si>
  <si>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</si>
  <si>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</si>
  <si>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</si>
  <si>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</si>
  <si>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</si>
  <si>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</si>
  <si>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</si>
  <si>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</si>
  <si>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</si>
  <si>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</si>
  <si>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</si>
  <si>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</si>
  <si>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</si>
  <si>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</si>
  <si>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</si>
  <si>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</si>
  <si>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</si>
  <si>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</si>
  <si>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</si>
  <si>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</si>
  <si>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</si>
  <si>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</si>
  <si>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</si>
  <si>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</si>
  <si>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</si>
  <si>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</si>
  <si>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</si>
  <si>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</si>
  <si>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</si>
  <si>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</si>
  <si>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</si>
  <si>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</si>
  <si>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</si>
  <si>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</si>
  <si>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</si>
  <si>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</si>
  <si>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</si>
  <si>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</si>
  <si>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</si>
  <si>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</si>
  <si>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</si>
  <si>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</si>
  <si>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</si>
  <si>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</si>
  <si>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</si>
  <si>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</si>
  <si>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</si>
  <si>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</si>
  <si>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</si>
  <si>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</si>
  <si>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</si>
  <si>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</si>
  <si>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</si>
  <si>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</si>
  <si>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</si>
  <si>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</si>
  <si>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</si>
  <si>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</si>
  <si>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</si>
  <si>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</si>
  <si>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</si>
  <si>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</si>
  <si>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</si>
  <si>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</si>
  <si>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</si>
  <si>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</si>
  <si>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</si>
  <si>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</si>
  <si>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</si>
  <si>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</si>
  <si>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</si>
  <si>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</si>
  <si>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</si>
  <si>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</si>
  <si>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</si>
  <si>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</si>
  <si>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</si>
  <si>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</si>
  <si>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</si>
  <si>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</si>
  <si>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</si>
  <si>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</si>
  <si>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</si>
  <si>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</si>
  <si>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</si>
  <si>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</si>
  <si>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</si>
  <si>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</si>
  <si>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</si>
  <si>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</si>
  <si>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</si>
  <si>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</si>
  <si>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</si>
  <si>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</si>
  <si>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</si>
  <si>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</si>
  <si>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</si>
  <si>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</si>
  <si>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</si>
  <si>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</si>
  <si>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</si>
  <si>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</si>
  <si>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</si>
  <si>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</si>
  <si>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</si>
  <si>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</si>
  <si>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</si>
  <si>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</si>
  <si>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</si>
  <si>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</si>
  <si>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</si>
  <si>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</si>
  <si>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</si>
  <si>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</si>
  <si>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</si>
  <si>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</si>
  <si>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</si>
  <si>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</si>
  <si>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</si>
  <si>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</si>
  <si>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</si>
  <si>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</si>
  <si>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</si>
  <si>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</si>
  <si>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</si>
  <si>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</si>
  <si>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</si>
  <si>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</si>
  <si>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</si>
  <si>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</si>
  <si>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</si>
  <si>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</si>
  <si>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</si>
  <si>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</si>
  <si>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</si>
  <si>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</si>
  <si>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</si>
  <si>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</si>
  <si>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</si>
  <si>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</si>
  <si>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</si>
  <si>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</si>
  <si>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</si>
  <si>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</si>
  <si>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</si>
  <si>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</si>
  <si>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</si>
  <si>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</si>
  <si>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</si>
  <si>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</si>
  <si>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</si>
  <si>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</si>
  <si>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</si>
  <si>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</si>
  <si>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</si>
  <si>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</si>
  <si>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</si>
  <si>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</si>
  <si>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</si>
  <si>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</si>
  <si>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</si>
  <si>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</si>
  <si>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</si>
  <si>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</si>
  <si>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</si>
  <si>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</si>
  <si>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</si>
  <si>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</si>
  <si>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</si>
  <si>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</si>
  <si>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</si>
  <si>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</si>
  <si>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</si>
  <si>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</si>
  <si>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</si>
  <si>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</si>
  <si>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</si>
  <si>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</si>
  <si>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</si>
  <si>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</si>
  <si>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</si>
  <si>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</si>
  <si>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</si>
  <si>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</si>
  <si>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</si>
  <si>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</si>
  <si>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</si>
  <si>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</si>
  <si>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</si>
  <si>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</si>
  <si>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</si>
  <si>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</si>
  <si>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</si>
  <si>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</si>
  <si>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</si>
  <si>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</si>
  <si>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</si>
  <si>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</si>
  <si>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</si>
  <si>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</si>
  <si>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</si>
  <si>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</si>
  <si>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</si>
  <si>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</si>
  <si>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</si>
  <si>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</si>
  <si>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</si>
  <si>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</si>
  <si>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</si>
  <si>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</si>
  <si>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</si>
  <si>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</si>
  <si>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</si>
  <si>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</si>
  <si>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</si>
  <si>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</si>
  <si>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</si>
  <si>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</si>
  <si>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</si>
  <si>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</si>
  <si>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</si>
  <si>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</si>
  <si>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</si>
  <si>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</si>
  <si>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</si>
  <si>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</si>
  <si>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</si>
  <si>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</si>
  <si>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</si>
  <si>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</si>
  <si>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</si>
  <si>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</si>
  <si>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</si>
  <si>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</si>
  <si>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</si>
  <si>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</si>
  <si>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</si>
  <si>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</si>
  <si>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</si>
  <si>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</si>
  <si>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</si>
  <si>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</si>
  <si>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</si>
  <si>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</si>
  <si>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</si>
  <si>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</si>
  <si>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</si>
  <si>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</si>
  <si>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</si>
  <si>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</si>
  <si>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</si>
  <si>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</si>
  <si>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</si>
  <si>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</si>
  <si>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</si>
  <si>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</si>
  <si>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</si>
  <si>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</si>
  <si>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</si>
  <si>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</si>
  <si>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</si>
  <si>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</si>
  <si>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</si>
  <si>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</si>
  <si>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</si>
  <si>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</si>
  <si>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</si>
  <si>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</si>
  <si>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</si>
  <si>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</si>
  <si>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</si>
  <si>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</si>
  <si>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</si>
  <si>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</si>
  <si>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</si>
  <si>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</si>
  <si>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</si>
  <si>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</si>
  <si>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</si>
  <si>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</si>
  <si>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</si>
  <si>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</si>
  <si>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</si>
  <si>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</si>
  <si>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</si>
  <si>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</si>
  <si>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</si>
  <si>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</si>
  <si>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</si>
  <si>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</si>
  <si>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</si>
  <si>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</si>
  <si>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</si>
  <si>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</si>
  <si>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</si>
  <si>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</si>
  <si>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</si>
  <si>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</si>
  <si>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</si>
  <si>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</si>
  <si>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</si>
  <si>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</si>
  <si>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</si>
  <si>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</si>
  <si>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</si>
  <si>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</si>
  <si>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</si>
  <si>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</si>
  <si>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</si>
  <si>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</si>
  <si>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</si>
  <si>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</si>
  <si>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</si>
  <si>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</si>
  <si>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</si>
  <si>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</si>
  <si>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</si>
  <si>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</si>
  <si>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</si>
  <si>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</si>
  <si>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</si>
  <si>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</si>
  <si>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</si>
  <si>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</si>
  <si>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</si>
  <si>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</si>
  <si>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</si>
  <si>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</si>
  <si>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</si>
  <si>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</si>
  <si>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</si>
  <si>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</si>
  <si>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</si>
  <si>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</si>
  <si>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</si>
  <si>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</si>
  <si>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</si>
  <si>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</si>
  <si>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</si>
  <si>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</si>
  <si>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</si>
  <si>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</si>
  <si>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</si>
  <si>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</si>
  <si>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</si>
  <si>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</si>
  <si>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</si>
  <si>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</si>
  <si>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</si>
  <si>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</si>
  <si>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</si>
  <si>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</si>
  <si>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</si>
  <si>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</si>
  <si>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</si>
  <si>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</si>
  <si>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</si>
  <si>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</si>
  <si>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</si>
  <si>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</si>
  <si>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</si>
  <si>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</si>
  <si>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</si>
  <si>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</si>
  <si>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</si>
  <si>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</si>
  <si>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</si>
  <si>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</si>
  <si>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</si>
  <si>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</si>
  <si>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</si>
  <si>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</si>
  <si>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</si>
  <si>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</si>
  <si>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</si>
  <si>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</si>
  <si>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</si>
  <si>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</si>
  <si>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</si>
  <si>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</si>
  <si>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</si>
  <si>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</si>
  <si>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</si>
  <si>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</si>
  <si>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</si>
  <si>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</si>
  <si>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</si>
  <si>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</si>
  <si>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</si>
  <si>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</si>
  <si>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</si>
  <si>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</si>
  <si>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</si>
  <si>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</si>
  <si>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</si>
  <si>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</si>
  <si>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</si>
  <si>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</si>
  <si>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</si>
  <si>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</si>
  <si>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</si>
  <si>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</si>
  <si>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</si>
  <si>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</si>
  <si>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</si>
  <si>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</si>
  <si>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</si>
  <si>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</si>
  <si>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</si>
  <si>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</si>
  <si>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</si>
  <si>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</si>
  <si>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</si>
  <si>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</si>
  <si>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</si>
  <si>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</si>
  <si>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</si>
  <si>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</si>
  <si>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</si>
  <si>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</si>
  <si>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</si>
  <si>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</si>
  <si>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</si>
  <si>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</si>
  <si>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</si>
  <si>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</si>
  <si>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</si>
  <si>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</si>
  <si>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</si>
  <si>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</si>
  <si>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</si>
  <si>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</si>
  <si>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</si>
  <si>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</si>
  <si>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</si>
  <si>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</si>
  <si>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</si>
  <si>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</si>
  <si>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</si>
  <si>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</si>
  <si>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</si>
  <si>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</si>
  <si>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</si>
  <si>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</si>
  <si>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</si>
  <si>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</si>
  <si>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</si>
  <si>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</si>
  <si>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</si>
  <si>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</si>
  <si>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</si>
  <si>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</si>
  <si>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</si>
  <si>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</si>
  <si>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</si>
  <si>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</si>
  <si>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</si>
  <si>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</si>
  <si>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</si>
  <si>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</si>
  <si>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</si>
  <si>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</si>
  <si>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</si>
  <si>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</si>
  <si>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</si>
  <si>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</si>
  <si>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</si>
  <si>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</si>
  <si>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</si>
  <si>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</si>
  <si>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</si>
  <si>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</si>
  <si>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</si>
  <si>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</si>
  <si>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</si>
  <si>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</si>
  <si>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</si>
  <si>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</si>
  <si>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</si>
  <si>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</si>
  <si>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</si>
  <si>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</si>
  <si>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</si>
  <si>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</si>
  <si>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</si>
  <si>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</si>
  <si>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</si>
  <si>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</si>
  <si>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</si>
  <si>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</si>
  <si>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</si>
  <si>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</si>
  <si>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</si>
  <si>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</si>
  <si>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</si>
  <si>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</si>
  <si>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</si>
  <si>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</si>
  <si>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</si>
  <si>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</si>
  <si>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</si>
  <si>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</si>
  <si>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</si>
  <si>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</si>
  <si>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</si>
  <si>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</si>
  <si>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</si>
  <si>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</si>
  <si>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</si>
  <si>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</si>
  <si>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</si>
  <si>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</si>
  <si>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</si>
  <si>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</si>
  <si>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</si>
  <si>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</si>
  <si>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</si>
  <si>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</si>
  <si>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</si>
  <si>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</si>
  <si>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</si>
  <si>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</si>
  <si>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</si>
  <si>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</si>
  <si>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</si>
  <si>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</si>
  <si>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</si>
  <si>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</si>
  <si>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</si>
  <si>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</si>
  <si>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</si>
  <si>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</si>
  <si>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</si>
  <si>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</si>
  <si>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</si>
  <si>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</si>
  <si>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</si>
  <si>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</si>
  <si>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</si>
  <si>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</si>
  <si>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</si>
  <si>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</si>
  <si>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</si>
  <si>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</si>
  <si>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</si>
  <si>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</si>
  <si>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</si>
  <si>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</si>
  <si>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</si>
  <si>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</si>
  <si>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</si>
  <si>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</si>
  <si>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</si>
  <si>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</si>
  <si>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</si>
  <si>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</si>
  <si>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</si>
  <si>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</si>
  <si>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</si>
  <si>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</si>
  <si>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</si>
  <si>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</si>
  <si>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</si>
  <si>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</si>
  <si>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</si>
  <si>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</si>
  <si>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</si>
  <si>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</si>
  <si>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</si>
  <si>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</si>
  <si>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</si>
  <si>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</si>
  <si>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</si>
  <si>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</si>
  <si>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</si>
  <si>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</si>
  <si>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</si>
  <si>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</si>
  <si>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</si>
  <si>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</si>
  <si>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</si>
  <si>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</si>
  <si>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</si>
  <si>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</si>
  <si>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</si>
  <si>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</si>
  <si>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</si>
  <si>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</si>
  <si>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</si>
  <si>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</si>
  <si>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</si>
  <si>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</si>
  <si>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</si>
  <si>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</si>
  <si>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</si>
  <si>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</si>
  <si>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</si>
  <si>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</si>
  <si>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</si>
  <si>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</si>
  <si>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</si>
  <si>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</si>
  <si>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</si>
  <si>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</si>
  <si>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</si>
  <si>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</si>
  <si>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</si>
  <si>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</si>
  <si>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</si>
  <si>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</si>
  <si>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</si>
  <si>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</si>
  <si>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</si>
  <si>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</si>
  <si>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</si>
  <si>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</si>
  <si>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</si>
  <si>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</si>
  <si>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</si>
  <si>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</si>
  <si>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</si>
  <si>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</si>
  <si>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</si>
  <si>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</si>
  <si>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</si>
  <si>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</si>
  <si>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</si>
  <si>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</si>
  <si>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</si>
  <si>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</si>
  <si>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</si>
  <si>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</si>
  <si>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</si>
  <si>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</si>
  <si>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</si>
  <si>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</si>
  <si>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</si>
  <si>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</si>
  <si>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</si>
  <si>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</si>
  <si>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</si>
  <si>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</si>
  <si>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</si>
  <si>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</si>
  <si>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</si>
  <si>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</si>
  <si>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</si>
  <si>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</si>
  <si>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</si>
  <si>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</si>
  <si>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</si>
  <si>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</si>
  <si>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</si>
  <si>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</si>
  <si>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</si>
  <si>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</si>
  <si>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</si>
  <si>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</si>
  <si>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</si>
  <si>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</si>
  <si>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</si>
  <si>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</si>
  <si>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</si>
  <si>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</si>
  <si>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</si>
  <si>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</si>
  <si>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</si>
  <si>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</si>
  <si>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</si>
  <si>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</si>
  <si>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</si>
  <si>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</si>
  <si>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</si>
  <si>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</si>
  <si>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</si>
  <si>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</si>
  <si>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</si>
  <si>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</si>
  <si>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</si>
  <si>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</si>
  <si>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</si>
  <si>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</si>
  <si>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</si>
  <si>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</si>
  <si>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</si>
  <si>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</si>
  <si>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</si>
  <si>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</si>
  <si>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</si>
  <si>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</si>
  <si>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</si>
  <si>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</si>
  <si>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</si>
  <si>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</si>
  <si>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</si>
  <si>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</si>
  <si>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</si>
  <si>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</si>
  <si>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</si>
  <si>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</si>
  <si>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</si>
  <si>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</si>
  <si>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</si>
  <si>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</si>
  <si>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</si>
  <si>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</si>
  <si>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</si>
  <si>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</si>
  <si>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</si>
  <si>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</si>
  <si>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</si>
  <si>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</si>
  <si>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</si>
  <si>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</si>
  <si>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</si>
  <si>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</si>
  <si>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</si>
  <si>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</si>
  <si>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</si>
  <si>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</si>
  <si>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</si>
  <si>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</si>
  <si>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</si>
  <si>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</si>
  <si>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</si>
  <si>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</si>
  <si>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</si>
  <si>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</si>
  <si>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</si>
  <si>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</si>
  <si>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</si>
  <si>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</si>
  <si>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</si>
  <si>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</si>
  <si>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</si>
  <si>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</si>
  <si>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</si>
  <si>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</si>
  <si>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</si>
  <si>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</si>
  <si>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</si>
  <si>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</si>
  <si>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</si>
  <si>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</si>
  <si>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</si>
  <si>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</si>
  <si>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</si>
  <si>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</si>
  <si>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</si>
  <si>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</si>
  <si>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</si>
  <si>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</si>
  <si>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</si>
  <si>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</si>
  <si>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</si>
  <si>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</si>
  <si>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</si>
  <si>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</si>
  <si>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</si>
  <si>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</si>
  <si>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</si>
  <si>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</si>
  <si>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</si>
  <si>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</si>
  <si>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</si>
  <si>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</si>
  <si>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</si>
  <si>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</si>
  <si>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</si>
  <si>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</si>
  <si>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</si>
  <si>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</si>
  <si>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</si>
  <si>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</si>
  <si>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</si>
  <si>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</si>
  <si>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</si>
  <si>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</si>
  <si>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</si>
  <si>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</si>
  <si>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</si>
  <si>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</si>
  <si>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</si>
  <si>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</si>
  <si>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</si>
  <si>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</si>
  <si>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</si>
  <si>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</si>
  <si>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</si>
  <si>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</si>
  <si>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</si>
  <si>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</si>
  <si>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</si>
  <si>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</si>
  <si>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</si>
  <si>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</si>
  <si>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</si>
  <si>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</si>
  <si>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</si>
  <si>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</si>
  <si>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</si>
  <si>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</si>
  <si>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</si>
  <si>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</si>
  <si>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</si>
  <si>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</si>
  <si>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</si>
  <si>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</si>
  <si>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</si>
  <si>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</si>
  <si>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</si>
  <si>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</si>
  <si>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</si>
  <si>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</si>
  <si>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</si>
  <si>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</si>
  <si>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</si>
  <si>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</si>
  <si>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</si>
  <si>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</si>
  <si>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</si>
  <si>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</si>
  <si>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</si>
  <si>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</si>
  <si>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</si>
  <si>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</si>
  <si>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</si>
  <si>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</si>
  <si>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</si>
  <si>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</si>
  <si>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</si>
  <si>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</si>
  <si>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</si>
  <si>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</si>
  <si>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</si>
  <si>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</si>
  <si>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</si>
  <si>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</si>
  <si>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</si>
  <si>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</si>
  <si>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</si>
  <si>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</si>
  <si>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</si>
  <si>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</si>
  <si>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</si>
  <si>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</si>
  <si>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</si>
  <si>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</si>
  <si>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</si>
  <si>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</si>
  <si>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</si>
  <si>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</si>
  <si>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</si>
  <si>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</si>
  <si>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</si>
  <si>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</si>
  <si>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</si>
  <si>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</si>
  <si>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</si>
  <si>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</si>
  <si>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</si>
  <si>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</si>
  <si>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</si>
  <si>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</si>
  <si>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</si>
  <si>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</si>
  <si>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</si>
  <si>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</si>
  <si>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</si>
  <si>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</si>
  <si>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</si>
  <si>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</si>
  <si>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</si>
  <si>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</si>
  <si>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</si>
  <si>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</si>
  <si>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</si>
  <si>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</si>
  <si>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</si>
  <si>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</si>
  <si>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</si>
  <si>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</si>
  <si>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</si>
  <si>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</si>
  <si>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</si>
  <si>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</si>
  <si>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</si>
  <si>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</si>
  <si>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</si>
  <si>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</si>
  <si>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</si>
  <si>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</si>
  <si>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</si>
  <si>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</si>
  <si>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</si>
  <si>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</si>
  <si>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</si>
  <si>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</si>
  <si>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</si>
  <si>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</si>
  <si>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</si>
  <si>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</si>
  <si>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</si>
  <si>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</si>
  <si>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</si>
  <si>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</si>
  <si>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</si>
  <si>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</si>
  <si>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</si>
  <si>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</si>
  <si>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</si>
  <si>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</si>
  <si>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</si>
  <si>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</si>
  <si>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</si>
  <si>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</si>
  <si>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</si>
  <si>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</si>
  <si>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</si>
  <si>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</si>
  <si>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</si>
  <si>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</si>
  <si>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</si>
  <si>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</si>
  <si>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</si>
  <si>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</si>
  <si>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</si>
  <si>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</si>
  <si>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</si>
  <si>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</si>
  <si>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</si>
  <si>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</si>
  <si>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</si>
  <si>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</si>
  <si>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</si>
  <si>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</si>
  <si>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</si>
  <si>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</si>
  <si>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</si>
  <si>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</si>
  <si>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</si>
  <si>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</si>
  <si>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</si>
  <si>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</si>
  <si>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</si>
  <si>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</si>
  <si>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</si>
  <si>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</si>
  <si>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</si>
  <si>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</si>
  <si>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</si>
  <si>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</si>
  <si>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</si>
  <si>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</si>
  <si>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</si>
  <si>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</si>
  <si>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</si>
  <si>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</si>
  <si>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</si>
  <si>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</si>
  <si>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</si>
  <si>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</si>
  <si>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</si>
  <si>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</si>
  <si>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</si>
  <si>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</si>
  <si>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</si>
  <si>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</si>
  <si>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</si>
  <si>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</si>
  <si>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</si>
  <si>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</si>
  <si>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</si>
  <si>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</si>
  <si>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</si>
  <si>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</si>
  <si>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</si>
  <si>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</si>
  <si>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</si>
  <si>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</si>
  <si>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</si>
  <si>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</si>
  <si>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</si>
  <si>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</si>
  <si>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</si>
  <si>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</si>
  <si>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</si>
  <si>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</si>
  <si>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</si>
  <si>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</si>
  <si>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</si>
  <si>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</si>
  <si>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</si>
  <si>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</si>
  <si>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</si>
  <si>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</si>
  <si>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</si>
  <si>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</si>
  <si>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</si>
  <si>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</si>
  <si>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</si>
  <si>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</si>
  <si>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</si>
  <si>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</si>
  <si>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</si>
  <si>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</si>
  <si>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</si>
  <si>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</si>
  <si>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</si>
  <si>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</si>
  <si>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</si>
  <si>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</si>
  <si>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</si>
  <si>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</si>
  <si>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</si>
  <si>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</si>
  <si>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</si>
  <si>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</si>
  <si>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</si>
  <si>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</si>
  <si>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</si>
  <si>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</si>
  <si>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</si>
  <si>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</si>
  <si>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</si>
  <si>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</si>
  <si>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</si>
  <si>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</si>
  <si>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</si>
  <si>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</si>
  <si>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</si>
  <si>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</si>
  <si>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</si>
  <si>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</si>
  <si>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</si>
  <si>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</si>
  <si>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</si>
  <si>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</si>
  <si>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</si>
  <si>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</si>
  <si>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</si>
  <si>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</si>
  <si>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</si>
  <si>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</si>
  <si>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</si>
  <si>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</si>
  <si>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</si>
  <si>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</si>
  <si>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</si>
  <si>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</si>
  <si>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</si>
  <si>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</si>
  <si>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</si>
  <si>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</si>
  <si>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</si>
  <si>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</si>
  <si>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</si>
  <si>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</si>
  <si>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</si>
  <si>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</si>
  <si>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</si>
  <si>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</si>
  <si>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</si>
  <si>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</si>
  <si>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</si>
  <si>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</si>
  <si>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</si>
  <si>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</si>
  <si>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</si>
  <si>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</si>
  <si>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</si>
  <si>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</si>
  <si>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</si>
  <si>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</si>
  <si>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</si>
  <si>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</si>
  <si>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</si>
  <si>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</si>
  <si>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</si>
  <si>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</si>
  <si>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</si>
  <si>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</si>
  <si>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</si>
  <si>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</si>
  <si>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</si>
  <si>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</si>
  <si>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</si>
  <si>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</si>
  <si>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</si>
  <si>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</si>
  <si>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</si>
  <si>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</si>
  <si>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</si>
  <si>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</si>
  <si>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</si>
  <si>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</si>
  <si>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</si>
  <si>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</si>
  <si>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</si>
  <si>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</si>
  <si>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</si>
  <si>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</si>
  <si>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</si>
  <si>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</si>
  <si>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</si>
  <si>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</si>
  <si>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</si>
  <si>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</si>
  <si>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</si>
  <si>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</si>
  <si>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</si>
  <si>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</si>
  <si>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</si>
  <si>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</si>
  <si>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</si>
  <si>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</si>
  <si>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</si>
  <si>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</si>
  <si>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</si>
  <si>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</si>
  <si>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</si>
  <si>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</si>
  <si>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</si>
  <si>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</si>
  <si>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</si>
  <si>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</si>
  <si>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</si>
  <si>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</si>
  <si>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</si>
  <si>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</si>
  <si>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</si>
  <si>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</si>
  <si>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</si>
  <si>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</si>
  <si>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</si>
  <si>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</si>
  <si>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</si>
  <si>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</si>
  <si>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</si>
  <si>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</si>
  <si>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</si>
  <si>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</si>
  <si>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</si>
  <si>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</si>
  <si>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</si>
  <si>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</si>
  <si>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</si>
  <si>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</si>
  <si>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</si>
  <si>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</si>
  <si>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</si>
  <si>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</si>
  <si>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</si>
  <si>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</si>
  <si>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</si>
  <si>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</si>
  <si>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</si>
  <si>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</si>
  <si>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</si>
  <si>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</si>
  <si>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</si>
  <si>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</si>
  <si>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</si>
  <si>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</si>
  <si>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</si>
  <si>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</si>
  <si>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</si>
  <si>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</si>
  <si>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</si>
  <si>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</si>
  <si>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</si>
  <si>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</si>
  <si>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</si>
  <si>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</si>
  <si>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</si>
  <si>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</si>
  <si>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</si>
  <si>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</si>
  <si>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</si>
  <si>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</si>
  <si>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</si>
  <si>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</si>
  <si>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</si>
  <si>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</si>
  <si>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</si>
  <si>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</si>
  <si>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</si>
  <si>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</si>
  <si>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</si>
  <si>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</si>
  <si>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</si>
  <si>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</si>
  <si>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</si>
  <si>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</si>
  <si>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</si>
  <si>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</si>
  <si>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</si>
  <si>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</si>
  <si>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</si>
  <si>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</si>
  <si>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</si>
  <si>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</si>
  <si>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</si>
  <si>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</si>
  <si>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</si>
  <si>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</si>
  <si>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</si>
  <si>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</si>
  <si>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</si>
  <si>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</si>
  <si>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</si>
  <si>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</si>
  <si>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</si>
  <si>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</si>
  <si>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</si>
  <si>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</si>
  <si>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</si>
  <si>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</si>
  <si>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</si>
  <si>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</si>
  <si>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</si>
  <si>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</si>
  <si>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</si>
  <si>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</si>
  <si>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</si>
  <si>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</si>
  <si>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</si>
  <si>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</si>
  <si>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</si>
  <si>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</si>
  <si>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</si>
  <si>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</si>
  <si>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</si>
  <si>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</si>
  <si>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</si>
  <si>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</si>
  <si>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</si>
  <si>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</si>
  <si>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</si>
  <si>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</si>
  <si>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</si>
  <si>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</si>
  <si>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</si>
  <si>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</si>
  <si>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</si>
  <si>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</si>
  <si>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</si>
  <si>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</si>
  <si>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</si>
  <si>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</si>
  <si>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</si>
  <si>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</si>
  <si>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</si>
  <si>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</si>
  <si>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</si>
  <si>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</si>
  <si>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</si>
  <si>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</si>
  <si>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</si>
  <si>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</si>
  <si>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</si>
  <si>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</si>
  <si>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</si>
  <si>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</si>
  <si>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</si>
  <si>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</si>
  <si>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</si>
  <si>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</si>
  <si>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</si>
  <si>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</si>
  <si>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</si>
  <si>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</si>
  <si>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</si>
  <si>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</si>
  <si>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</si>
  <si>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</si>
  <si>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</si>
  <si>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</si>
  <si>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</si>
  <si>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</si>
  <si>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</si>
  <si>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</si>
  <si>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</si>
  <si>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</si>
  <si>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</si>
  <si>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</si>
  <si>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</si>
  <si>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</si>
  <si>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</si>
  <si>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</si>
  <si>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</si>
  <si>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</si>
  <si>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</si>
  <si>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</si>
  <si>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</si>
  <si>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</si>
  <si>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</si>
  <si>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</si>
  <si>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</si>
  <si>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</si>
  <si>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</si>
  <si>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</si>
  <si>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</si>
  <si>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</si>
  <si>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</si>
  <si>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</si>
  <si>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</si>
  <si>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</si>
  <si>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</si>
  <si>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</si>
  <si>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</si>
  <si>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</si>
  <si>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</si>
  <si>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</si>
  <si>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</si>
  <si>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</si>
  <si>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</si>
  <si>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</si>
  <si>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</si>
  <si>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</si>
  <si>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</si>
  <si>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</si>
  <si>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</si>
  <si>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</si>
  <si>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</si>
  <si>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</si>
  <si>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</si>
  <si>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</si>
  <si>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</si>
  <si>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</si>
  <si>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</si>
  <si>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</si>
  <si>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</si>
  <si>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</si>
  <si>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</si>
  <si>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</si>
  <si>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</si>
  <si>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</si>
  <si>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</si>
  <si>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</si>
  <si>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</si>
  <si>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</si>
  <si>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</si>
  <si>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</si>
  <si>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</si>
  <si>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</si>
  <si>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</si>
  <si>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</si>
  <si>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</si>
  <si>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</si>
  <si>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</si>
  <si>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</si>
  <si>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</si>
  <si>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</si>
  <si>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</si>
  <si>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</si>
  <si>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</si>
  <si>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</si>
  <si>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</si>
  <si>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</si>
  <si>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</si>
  <si>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</si>
  <si>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</si>
  <si>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</si>
  <si>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</si>
  <si>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</si>
  <si>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</si>
  <si>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</si>
  <si>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</si>
  <si>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</si>
  <si>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</si>
  <si>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</si>
  <si>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</si>
  <si>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</si>
  <si>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</si>
  <si>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</si>
  <si>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</si>
  <si>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</si>
  <si>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</si>
  <si>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</si>
  <si>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</si>
  <si>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</si>
  <si>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</si>
  <si>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</si>
  <si>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</si>
  <si>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</si>
  <si>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</si>
  <si>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</si>
  <si>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</si>
  <si>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NOUT-kuvbur</t>
  </si>
  <si>
    <t>Км(2)_грс</t>
  </si>
  <si>
    <t>Пм8.2</t>
  </si>
  <si>
    <t>Пм8.3</t>
  </si>
  <si>
    <t>Пм8.4</t>
  </si>
  <si>
    <t>19157,91 м?</t>
  </si>
  <si>
    <t>21091,89 м?</t>
  </si>
  <si>
    <t>данный лист</t>
  </si>
  <si>
    <t>Вертикальный стержень</t>
  </si>
  <si>
    <t>Горизонтальный стержень</t>
  </si>
  <si>
    <t>Кп1</t>
  </si>
  <si>
    <t>Каркас Кп1</t>
  </si>
  <si>
    <t>Кп2</t>
  </si>
  <si>
    <t>Каркас Кп2</t>
  </si>
  <si>
    <t>Кп3</t>
  </si>
  <si>
    <t>Каркас Кп3</t>
  </si>
  <si>
    <t>Кп4</t>
  </si>
  <si>
    <t>Каркас Кп4</t>
  </si>
  <si>
    <t>Кп5</t>
  </si>
  <si>
    <t>Каркас Кп5</t>
  </si>
  <si>
    <t>Марка элемента</t>
  </si>
  <si>
    <t>Бетон В30, F75, W4</t>
  </si>
  <si>
    <t>периметр, мм</t>
  </si>
  <si>
    <t>Площадь, кв.м</t>
  </si>
  <si>
    <t>Толщина плиты, мм</t>
  </si>
  <si>
    <t>Плита перекрытия Пм1.1</t>
  </si>
  <si>
    <t>Фон нижняя сетка</t>
  </si>
  <si>
    <t>П-шка по торцам</t>
  </si>
  <si>
    <t>Фон верхяя сетка</t>
  </si>
  <si>
    <t>П-шка доп</t>
  </si>
  <si>
    <t>доп</t>
  </si>
  <si>
    <t xml:space="preserve">Гобр доп по краям </t>
  </si>
  <si>
    <t xml:space="preserve">Z-обр в перепадах </t>
  </si>
  <si>
    <t>Продольная в перепадах</t>
  </si>
  <si>
    <t>Продольная в плитах доп</t>
  </si>
  <si>
    <t>Хомут в перепадах</t>
  </si>
  <si>
    <t>выпуски под лест</t>
  </si>
  <si>
    <t>Хомут на 120</t>
  </si>
  <si>
    <t>Хомут на 290</t>
  </si>
  <si>
    <t>Доп под каналом</t>
  </si>
  <si>
    <t>PC0002-da-rogojin</t>
  </si>
  <si>
    <t>Спец (Пм1.1).xlsm</t>
  </si>
  <si>
    <t>Импорт книги закончен</t>
  </si>
  <si>
    <t xml:space="preserve"> 1 Из архикада плиты</t>
  </si>
  <si>
    <t>Изделия_спец.И</t>
  </si>
  <si>
    <t>Пм1.1_кж</t>
  </si>
  <si>
    <t>Пм1.1_спец</t>
  </si>
  <si>
    <t>Очистка ВСЕХ листов</t>
  </si>
  <si>
    <t>DEL</t>
  </si>
  <si>
    <t>Удалено 2 листов</t>
  </si>
  <si>
    <t>_кж</t>
  </si>
  <si>
    <t>_норм</t>
  </si>
  <si>
    <t>Пм1.1_норм</t>
  </si>
  <si>
    <t>D:\Рогожин ДА\prog\YandexDisk\Работа\material-specification\list\Спец_Пм1.1_кж_10.pdf</t>
  </si>
  <si>
    <t>PDF</t>
  </si>
  <si>
    <t>Данные отсутвуют</t>
  </si>
  <si>
    <t>Примечание</t>
  </si>
  <si>
    <t>Каркас поддерживающий Кр1</t>
  </si>
  <si>
    <t>МН1</t>
  </si>
  <si>
    <t>Изделие закладное МН1</t>
  </si>
  <si>
    <t>250х250</t>
  </si>
  <si>
    <t>ГОСТ 30245-2012</t>
  </si>
  <si>
    <t>Геометрические параметры подпорных стен, мм</t>
  </si>
  <si>
    <t>Объемы грунта</t>
  </si>
  <si>
    <r>
      <t>Длина стены,</t>
    </r>
    <r>
      <rPr>
        <b/>
        <sz val="11"/>
        <color theme="1"/>
        <rFont val="ISOCPEUR"/>
        <family val="2"/>
        <charset val="204"/>
      </rPr>
      <t xml:space="preserve"> L</t>
    </r>
  </si>
  <si>
    <r>
      <t xml:space="preserve">Высота стены, </t>
    </r>
    <r>
      <rPr>
        <b/>
        <sz val="11"/>
        <color theme="1"/>
        <rFont val="ISOCPEUR"/>
        <family val="2"/>
        <charset val="204"/>
      </rPr>
      <t>H</t>
    </r>
  </si>
  <si>
    <r>
      <t xml:space="preserve">Толщина стены, </t>
    </r>
    <r>
      <rPr>
        <b/>
        <sz val="11"/>
        <color theme="1"/>
        <rFont val="ISOCPEUR"/>
        <family val="2"/>
        <charset val="204"/>
      </rPr>
      <t>а</t>
    </r>
  </si>
  <si>
    <r>
      <t xml:space="preserve">Ширина подошвы, </t>
    </r>
    <r>
      <rPr>
        <b/>
        <sz val="11"/>
        <color theme="1"/>
        <rFont val="ISOCPEUR"/>
        <family val="2"/>
        <charset val="204"/>
      </rPr>
      <t>B</t>
    </r>
  </si>
  <si>
    <r>
      <t xml:space="preserve">Вылет консоли, </t>
    </r>
    <r>
      <rPr>
        <b/>
        <sz val="11"/>
        <color theme="1"/>
        <rFont val="ISOCPEUR"/>
        <family val="2"/>
        <charset val="204"/>
      </rPr>
      <t>t</t>
    </r>
  </si>
  <si>
    <r>
      <t xml:space="preserve">Опорная часть подошвы, </t>
    </r>
    <r>
      <rPr>
        <b/>
        <sz val="11"/>
        <color theme="1"/>
        <rFont val="ISOCPEUR"/>
        <family val="2"/>
        <charset val="204"/>
      </rPr>
      <t>b</t>
    </r>
  </si>
  <si>
    <r>
      <t xml:space="preserve">Толщина подошвы, </t>
    </r>
    <r>
      <rPr>
        <b/>
        <sz val="11"/>
        <color theme="1"/>
        <rFont val="ISOCPEUR"/>
        <family val="2"/>
        <charset val="204"/>
      </rPr>
      <t>h</t>
    </r>
  </si>
  <si>
    <r>
      <t xml:space="preserve">Ø горизонт. арм-ры стены, </t>
    </r>
    <r>
      <rPr>
        <b/>
        <sz val="11"/>
        <color theme="1"/>
        <rFont val="ISOCPEUR"/>
        <family val="2"/>
        <charset val="204"/>
      </rPr>
      <t>x</t>
    </r>
  </si>
  <si>
    <r>
      <t xml:space="preserve">шаг горизонт. арм-ры стены, </t>
    </r>
    <r>
      <rPr>
        <b/>
        <sz val="11"/>
        <color theme="1"/>
        <rFont val="ISOCPEUR"/>
        <family val="2"/>
        <charset val="204"/>
      </rPr>
      <t>xx</t>
    </r>
  </si>
  <si>
    <r>
      <t xml:space="preserve">Øвертик. арм-ры стены, </t>
    </r>
    <r>
      <rPr>
        <b/>
        <sz val="11"/>
        <color theme="1"/>
        <rFont val="ISOCPEUR"/>
        <family val="2"/>
        <charset val="204"/>
      </rPr>
      <t>y</t>
    </r>
  </si>
  <si>
    <r>
      <t xml:space="preserve">шаг вертик. арм-ры стены, </t>
    </r>
    <r>
      <rPr>
        <b/>
        <sz val="11"/>
        <color theme="1"/>
        <rFont val="ISOCPEUR"/>
        <family val="2"/>
        <charset val="204"/>
      </rPr>
      <t>yy</t>
    </r>
  </si>
  <si>
    <r>
      <t>Ø поперечн. раб. арм-ры подошвы,</t>
    </r>
    <r>
      <rPr>
        <b/>
        <sz val="11"/>
        <color theme="1"/>
        <rFont val="ISOCPEUR"/>
        <family val="2"/>
        <charset val="204"/>
      </rPr>
      <t xml:space="preserve"> z</t>
    </r>
  </si>
  <si>
    <r>
      <t xml:space="preserve">шаг поперечн. раб. арм-ры подошвы, </t>
    </r>
    <r>
      <rPr>
        <b/>
        <sz val="11"/>
        <color theme="1"/>
        <rFont val="ISOCPEUR"/>
        <family val="2"/>
        <charset val="204"/>
      </rPr>
      <t>zz</t>
    </r>
  </si>
  <si>
    <r>
      <t xml:space="preserve">Ø продол. раб. арм-ры подошвы, </t>
    </r>
    <r>
      <rPr>
        <b/>
        <sz val="11"/>
        <color theme="1"/>
        <rFont val="ISOCPEUR"/>
        <family val="2"/>
        <charset val="204"/>
      </rPr>
      <t>с</t>
    </r>
  </si>
  <si>
    <r>
      <t xml:space="preserve">шаг продол. раб. арм-ры подошвы, </t>
    </r>
    <r>
      <rPr>
        <b/>
        <sz val="11"/>
        <color theme="1"/>
        <rFont val="ISOCPEUR"/>
        <family val="2"/>
        <charset val="204"/>
      </rPr>
      <t>сс</t>
    </r>
  </si>
  <si>
    <t>количество стен</t>
  </si>
  <si>
    <t>δн</t>
  </si>
  <si>
    <t>δв</t>
  </si>
  <si>
    <t>а</t>
  </si>
  <si>
    <t>в</t>
  </si>
  <si>
    <t>h</t>
  </si>
  <si>
    <t>V</t>
  </si>
  <si>
    <t>вытесненный (объем к-ции+дренаж)</t>
  </si>
  <si>
    <t>обратная засыпка</t>
  </si>
  <si>
    <t>Плолщадь дренажа щебня</t>
  </si>
  <si>
    <t>Щебень фр.3-25, м3</t>
  </si>
  <si>
    <t>Плолщадь дренажа песка</t>
  </si>
  <si>
    <t>Песок</t>
  </si>
  <si>
    <t>Прокладка Вилатерм, пм</t>
  </si>
  <si>
    <t>Пенополистерол, м3</t>
  </si>
  <si>
    <t>Арм. Ø20 А500С, шаг 300 L=300</t>
  </si>
  <si>
    <t>Труба Ø33х2 L=320</t>
  </si>
  <si>
    <t>Труба Ø100 БНТ, пм</t>
  </si>
  <si>
    <t>Битум</t>
  </si>
  <si>
    <t>Пс8.5.1</t>
  </si>
  <si>
    <t>Котлован</t>
  </si>
  <si>
    <t>дренаж</t>
  </si>
  <si>
    <t>Пс8.5.2</t>
  </si>
  <si>
    <t>Пс8.5.3</t>
  </si>
  <si>
    <t>Пс8.5.4</t>
  </si>
  <si>
    <t>Пс8.5.5</t>
  </si>
  <si>
    <t>Пс8.4.1</t>
  </si>
  <si>
    <t>Пс8.4.2</t>
  </si>
  <si>
    <t>Пс8.4.3</t>
  </si>
  <si>
    <t>Пс8.3.1</t>
  </si>
  <si>
    <t>Пс8.3.2</t>
  </si>
  <si>
    <t>Пс8.3.3</t>
  </si>
  <si>
    <t>Пс8.6.1</t>
  </si>
  <si>
    <t>Пс8.6.2</t>
  </si>
  <si>
    <t>Пс8.2.1</t>
  </si>
  <si>
    <t>Пс8.2.2</t>
  </si>
  <si>
    <t>Пс8.7.1</t>
  </si>
  <si>
    <t>Пс8.7.2</t>
  </si>
  <si>
    <t>Пс8.7.3</t>
  </si>
  <si>
    <t>Пс8.7.4</t>
  </si>
  <si>
    <t>Пс8.7.5</t>
  </si>
  <si>
    <t>Пс8.7.6</t>
  </si>
  <si>
    <t>Пс8.7.7</t>
  </si>
  <si>
    <t>Пс8.7.8</t>
  </si>
  <si>
    <t>ИТОГО:</t>
  </si>
  <si>
    <t>Бетон В25</t>
  </si>
  <si>
    <t>Бетон кл. В7,5 (подготовка)</t>
  </si>
  <si>
    <t>Бетон кл. В25 W6 F150</t>
  </si>
  <si>
    <t>ГОСТ 8267-93</t>
  </si>
  <si>
    <t>Щебень (д600; фр.5-20) НЕ ТРЕБ</t>
  </si>
  <si>
    <t>ГОСТ 8736-93</t>
  </si>
  <si>
    <t>Песок НЕ ТРЕБ</t>
  </si>
  <si>
    <t>ГОСТ 6465-76</t>
  </si>
  <si>
    <t>Эмаль ПФ-115</t>
  </si>
  <si>
    <t>"ГИДРОЗО"</t>
  </si>
  <si>
    <t>"Стармекс Сил"</t>
  </si>
  <si>
    <t>ГОСТ 15588-2014</t>
  </si>
  <si>
    <t>Пенополистирол t=20мм</t>
  </si>
  <si>
    <t>Прокладка Вилатерм</t>
  </si>
  <si>
    <t>ГОСТ 1839-80</t>
  </si>
  <si>
    <t>БНТ 100 L=200</t>
  </si>
  <si>
    <t>ГОСТ 10704-91</t>
  </si>
  <si>
    <t>Сейсмика</t>
  </si>
  <si>
    <t xml:space="preserve"> Ø20 А500С, L=300</t>
  </si>
  <si>
    <t>Монолитная подпорная стена Пс8.3.3</t>
  </si>
  <si>
    <t>БНТ 100L=200</t>
  </si>
  <si>
    <t>Монолитная подпорная стена Пс8.4.1</t>
  </si>
  <si>
    <t>БНТ 100 L=150 НЕ ТРЕБ</t>
  </si>
  <si>
    <t>Монолитная подпорная стена Пс8.4.2</t>
  </si>
  <si>
    <t>БНТ 100 L=150</t>
  </si>
  <si>
    <t>Монолитная подпорная стена Пс8.4.3</t>
  </si>
  <si>
    <t>Т1</t>
  </si>
  <si>
    <t>Щебень (д600; фр.5-20)</t>
  </si>
  <si>
    <t>Монолитная подпорная стена Пс8.5.1</t>
  </si>
  <si>
    <t>БНТ 100  L=200 НЕ ТРЕБ</t>
  </si>
  <si>
    <t>Монолитная подпорная стена Пс8.5.2</t>
  </si>
  <si>
    <t xml:space="preserve">Щебень (д600; фр.5-20) </t>
  </si>
  <si>
    <t xml:space="preserve">Песок </t>
  </si>
  <si>
    <t>Монолитная подпорная стена Пс8.5.3</t>
  </si>
  <si>
    <t>Монолитная подпорная стена Пс8.5.4</t>
  </si>
  <si>
    <t>Монолитная подпорная стена Пс8.5.5</t>
  </si>
  <si>
    <t>БНТ 100 L=200 НЕ ТРЕБ</t>
  </si>
  <si>
    <t>хомут</t>
  </si>
  <si>
    <t>Шаг</t>
  </si>
  <si>
    <t>Бетон В25, м3</t>
  </si>
  <si>
    <t>Подготовка бетон. В7,5</t>
  </si>
  <si>
    <r>
      <t xml:space="preserve">Длина стержней , </t>
    </r>
    <r>
      <rPr>
        <b/>
        <sz val="11"/>
        <color theme="1"/>
        <rFont val="Calibri"/>
        <family val="2"/>
        <charset val="204"/>
        <scheme val="minor"/>
      </rPr>
      <t>l на 1 слой</t>
    </r>
  </si>
  <si>
    <t>Количество каркасов</t>
  </si>
  <si>
    <t>Количество углов поворота</t>
  </si>
  <si>
    <r>
      <t>Длина стены,</t>
    </r>
    <r>
      <rPr>
        <b/>
        <sz val="11"/>
        <color theme="1"/>
        <rFont val="Calibri"/>
        <family val="2"/>
        <charset val="204"/>
        <scheme val="minor"/>
      </rPr>
      <t xml:space="preserve"> L</t>
    </r>
  </si>
  <si>
    <r>
      <t xml:space="preserve">Высота стены, </t>
    </r>
    <r>
      <rPr>
        <b/>
        <sz val="11"/>
        <color theme="1"/>
        <rFont val="Calibri"/>
        <family val="2"/>
        <charset val="204"/>
        <scheme val="minor"/>
      </rPr>
      <t>H</t>
    </r>
  </si>
  <si>
    <r>
      <t xml:space="preserve">Толщина стены, </t>
    </r>
    <r>
      <rPr>
        <b/>
        <sz val="11"/>
        <color theme="1"/>
        <rFont val="Calibri"/>
        <family val="2"/>
        <charset val="204"/>
        <scheme val="minor"/>
      </rPr>
      <t>а</t>
    </r>
  </si>
  <si>
    <r>
      <t xml:space="preserve">Ширина подошвы, </t>
    </r>
    <r>
      <rPr>
        <b/>
        <sz val="11"/>
        <color theme="1"/>
        <rFont val="Calibri"/>
        <family val="2"/>
        <charset val="204"/>
        <scheme val="minor"/>
      </rPr>
      <t>B</t>
    </r>
  </si>
  <si>
    <r>
      <t xml:space="preserve">Вылет консоли, </t>
    </r>
    <r>
      <rPr>
        <b/>
        <sz val="11"/>
        <color theme="1"/>
        <rFont val="Calibri"/>
        <family val="2"/>
        <charset val="204"/>
        <scheme val="minor"/>
      </rPr>
      <t>t</t>
    </r>
  </si>
  <si>
    <r>
      <t xml:space="preserve">Опорная часть подошвы, </t>
    </r>
    <r>
      <rPr>
        <b/>
        <sz val="11"/>
        <color theme="1"/>
        <rFont val="Calibri"/>
        <family val="2"/>
        <charset val="204"/>
        <scheme val="minor"/>
      </rPr>
      <t>b</t>
    </r>
  </si>
  <si>
    <r>
      <t xml:space="preserve">Толщина подошвы, </t>
    </r>
    <r>
      <rPr>
        <b/>
        <sz val="11"/>
        <color theme="1"/>
        <rFont val="Calibri"/>
        <family val="2"/>
        <charset val="204"/>
        <scheme val="minor"/>
      </rPr>
      <t>h</t>
    </r>
  </si>
  <si>
    <r>
      <t xml:space="preserve">Ø горизонт. арм-ры стены, </t>
    </r>
    <r>
      <rPr>
        <b/>
        <sz val="11"/>
        <color theme="1"/>
        <rFont val="Calibri"/>
        <family val="2"/>
        <charset val="204"/>
        <scheme val="minor"/>
      </rPr>
      <t>x</t>
    </r>
  </si>
  <si>
    <r>
      <t xml:space="preserve">шаг горизонт. арм-ры стены, </t>
    </r>
    <r>
      <rPr>
        <b/>
        <sz val="11"/>
        <color theme="1"/>
        <rFont val="Calibri"/>
        <family val="2"/>
        <charset val="204"/>
        <scheme val="minor"/>
      </rPr>
      <t>xx</t>
    </r>
  </si>
  <si>
    <r>
      <t xml:space="preserve">Øвертик. арм-ры стены, </t>
    </r>
    <r>
      <rPr>
        <b/>
        <sz val="11"/>
        <color theme="1"/>
        <rFont val="Calibri"/>
        <family val="2"/>
        <charset val="204"/>
        <scheme val="minor"/>
      </rPr>
      <t>y</t>
    </r>
  </si>
  <si>
    <r>
      <t xml:space="preserve">шаг вертик. арм-ры стены, </t>
    </r>
    <r>
      <rPr>
        <b/>
        <sz val="11"/>
        <color theme="1"/>
        <rFont val="Calibri"/>
        <family val="2"/>
        <charset val="204"/>
        <scheme val="minor"/>
      </rPr>
      <t>yy</t>
    </r>
  </si>
  <si>
    <r>
      <t>Ø поперечн. раб. арм-ры подошвы,</t>
    </r>
    <r>
      <rPr>
        <b/>
        <sz val="11"/>
        <color theme="1"/>
        <rFont val="Calibri"/>
        <family val="2"/>
        <charset val="204"/>
        <scheme val="minor"/>
      </rPr>
      <t xml:space="preserve"> z</t>
    </r>
  </si>
  <si>
    <r>
      <t xml:space="preserve">шаг поперечн. раб. арм-ры подошвы, </t>
    </r>
    <r>
      <rPr>
        <b/>
        <sz val="11"/>
        <color theme="1"/>
        <rFont val="Calibri"/>
        <family val="2"/>
        <charset val="204"/>
        <scheme val="minor"/>
      </rPr>
      <t>zz</t>
    </r>
  </si>
  <si>
    <r>
      <t xml:space="preserve">Ø продол. раб. арм-ры подошвы, </t>
    </r>
    <r>
      <rPr>
        <b/>
        <sz val="11"/>
        <color theme="1"/>
        <rFont val="Calibri"/>
        <family val="2"/>
        <charset val="204"/>
        <scheme val="minor"/>
      </rPr>
      <t>с</t>
    </r>
  </si>
  <si>
    <r>
      <t xml:space="preserve">шаг продол. раб. арм-ры подошвы, </t>
    </r>
    <r>
      <rPr>
        <b/>
        <sz val="11"/>
        <color theme="1"/>
        <rFont val="Calibri"/>
        <family val="2"/>
        <charset val="204"/>
        <scheme val="minor"/>
      </rPr>
      <t>сс</t>
    </r>
  </si>
  <si>
    <t>Защ.слой</t>
  </si>
  <si>
    <t>Нахлест</t>
  </si>
  <si>
    <t>Класс бетона</t>
  </si>
  <si>
    <r>
      <t>К</t>
    </r>
    <r>
      <rPr>
        <sz val="9"/>
        <color theme="1"/>
        <rFont val="Calibri"/>
        <family val="2"/>
        <charset val="204"/>
        <scheme val="minor"/>
      </rPr>
      <t>сейсм</t>
    </r>
  </si>
  <si>
    <t>Ед. стержень</t>
  </si>
  <si>
    <t>В25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</si>
  <si>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</si>
  <si>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</si>
  <si>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</si>
  <si>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</si>
  <si>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</si>
  <si>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</si>
  <si>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</si>
  <si>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</si>
  <si>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</si>
  <si>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</si>
  <si>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</si>
  <si>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</si>
  <si>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С-образная попер. В подошве</t>
  </si>
  <si>
    <t>Спец-Пс(Поликлиника).xlsm</t>
  </si>
  <si>
    <t xml:space="preserve"> 1 Изделия_спец.И</t>
  </si>
  <si>
    <t>Входные площадки_об</t>
  </si>
  <si>
    <t>Исх.Таблица из архикада</t>
  </si>
  <si>
    <t>Пс8.2_спец</t>
  </si>
  <si>
    <t>Пс8.3_грс</t>
  </si>
  <si>
    <t>Пс8.3_кж</t>
  </si>
  <si>
    <t>Пс8.3_спец</t>
  </si>
  <si>
    <t>Пс8.4_грс</t>
  </si>
  <si>
    <t>Пс8.4_кж</t>
  </si>
  <si>
    <t>Пс8.4_спец</t>
  </si>
  <si>
    <t>Пс8.5_грс</t>
  </si>
  <si>
    <t>Пс8.5_кж</t>
  </si>
  <si>
    <t>Пс8.5_спец</t>
  </si>
  <si>
    <t>Пс8.6_спец</t>
  </si>
  <si>
    <t>Пс8.7_спец</t>
  </si>
  <si>
    <t>Пс9.2_грс</t>
  </si>
  <si>
    <t>Пс9.2_кж</t>
  </si>
  <si>
    <t>Пс9.2_об</t>
  </si>
  <si>
    <t>Пс9.3_грс</t>
  </si>
  <si>
    <t>Пс9.3_кж</t>
  </si>
  <si>
    <t>Пс9.3_об</t>
  </si>
  <si>
    <t>Пс9.4_грс</t>
  </si>
  <si>
    <t>Пс9.4_кж</t>
  </si>
  <si>
    <t>Пс9.4_об</t>
  </si>
  <si>
    <t>Пс9.5_гр</t>
  </si>
  <si>
    <t>Пс9.5_грс</t>
  </si>
  <si>
    <t>Пс9.5_кж</t>
  </si>
  <si>
    <t>Пс9.5_об</t>
  </si>
  <si>
    <t>Пс9.6_грс</t>
  </si>
  <si>
    <t>Пс9.6_кж</t>
  </si>
  <si>
    <t>Пс9.6_об</t>
  </si>
  <si>
    <t>Пс9.7_грс</t>
  </si>
  <si>
    <t>Пс9.7_кж</t>
  </si>
  <si>
    <t>Пс9.7_об</t>
  </si>
  <si>
    <t>Таблица из архикада</t>
  </si>
  <si>
    <t>Удалено 26 листов</t>
  </si>
  <si>
    <t>Изделия арматурные</t>
  </si>
  <si>
    <t>Всего</t>
  </si>
  <si>
    <t>Объём бетона, куб.м.</t>
  </si>
  <si>
    <t xml:space="preserve"> </t>
  </si>
  <si>
    <t>Арматура класса</t>
  </si>
  <si>
    <t>⌀10</t>
  </si>
  <si>
    <t>⌀6</t>
  </si>
  <si>
    <t>⌀8</t>
  </si>
  <si>
    <t>Кр1, на все</t>
  </si>
  <si>
    <t>Пс8.7.1, на все</t>
  </si>
  <si>
    <t>Пс8.7.2, на все</t>
  </si>
  <si>
    <t>Пс8.7.3, на все</t>
  </si>
  <si>
    <t>Пс8.7.4, на все</t>
  </si>
  <si>
    <t>Пс8.7.5, на все</t>
  </si>
  <si>
    <t>Пс8.7.6, на все</t>
  </si>
  <si>
    <t>Пс8.7.7, на все</t>
  </si>
  <si>
    <t>Пс8.7.8, на все</t>
  </si>
  <si>
    <t>Итого</t>
  </si>
  <si>
    <t>Пс8.7_кж</t>
  </si>
  <si>
    <t>19 2 11/ 14 54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</si>
</sst>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4"/>
      <color theme="1"/>
      <name val="ISOCPEUR"/>
      <family val="2"/>
      <charset val="204"/>
    </font>
    <font>
      <b/>
      <sz val="11"/>
      <color theme="1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74">
    <xf numFmtId="0" fontId="0" fillId="0" borderId="0" xfId="0"/>
    <xf numFmtId="0" fontId="0" fillId="0" borderId="0" xfId="0" applyBorder="1"/>
    <xf numFmtId="0" fontId="20" fillId="0" borderId="1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3" fillId="33" borderId="18" xfId="0" applyFont="1" applyFill="1" applyBorder="1" applyAlignment="1">
      <alignment horizontal="center" vertical="center" wrapText="1"/>
    </xf>
    <xf numFmtId="0" fontId="23" fillId="33" borderId="16" xfId="0" applyFont="1" applyFill="1" applyBorder="1" applyAlignment="1">
      <alignment horizontal="center" vertical="center" wrapText="1"/>
    </xf>
    <xf numFmtId="0" fontId="23" fillId="33" borderId="19" xfId="0" applyFont="1" applyFill="1" applyBorder="1" applyAlignment="1">
      <alignment horizontal="center" vertical="center" wrapText="1"/>
    </xf>
    <xf numFmtId="0" fontId="23" fillId="34" borderId="27" xfId="0" applyFont="1" applyFill="1" applyBorder="1" applyAlignment="1">
      <alignment horizontal="center" vertical="center" wrapText="1"/>
    </xf>
    <xf numFmtId="0" fontId="23" fillId="35" borderId="18" xfId="0" applyFont="1" applyFill="1" applyBorder="1" applyAlignment="1">
      <alignment horizontal="center" vertical="center" wrapText="1"/>
    </xf>
    <xf numFmtId="0" fontId="23" fillId="35" borderId="16" xfId="0" applyFont="1" applyFill="1" applyBorder="1" applyAlignment="1">
      <alignment horizontal="center" vertical="center" wrapText="1"/>
    </xf>
    <xf numFmtId="0" fontId="23" fillId="35" borderId="19" xfId="0" applyFont="1" applyFill="1" applyBorder="1" applyAlignment="1">
      <alignment horizontal="center" vertical="center" wrapText="1"/>
    </xf>
    <xf numFmtId="0" fontId="23" fillId="36" borderId="16" xfId="0" applyFont="1" applyFill="1" applyBorder="1" applyAlignment="1">
      <alignment horizontal="center" vertical="center" wrapText="1"/>
    </xf>
    <xf numFmtId="0" fontId="23" fillId="33" borderId="11" xfId="0" applyFont="1" applyFill="1" applyBorder="1" applyAlignment="1">
      <alignment horizontal="center" vertical="center" wrapText="1"/>
    </xf>
    <xf numFmtId="0" fontId="23" fillId="37" borderId="16" xfId="0" applyFont="1" applyFill="1" applyBorder="1" applyAlignment="1">
      <alignment horizontal="center" vertical="center" wrapText="1"/>
    </xf>
    <xf numFmtId="0" fontId="23" fillId="37" borderId="11" xfId="0" applyFont="1" applyFill="1" applyBorder="1" applyAlignment="1">
      <alignment horizontal="center" vertical="center" wrapText="1"/>
    </xf>
    <xf numFmtId="0" fontId="23" fillId="38" borderId="16" xfId="0" applyFont="1" applyFill="1" applyBorder="1" applyAlignment="1">
      <alignment horizontal="center" vertical="center" wrapText="1"/>
    </xf>
    <xf numFmtId="0" fontId="23" fillId="38" borderId="11" xfId="0" applyFont="1" applyFill="1" applyBorder="1" applyAlignment="1">
      <alignment horizontal="center" vertical="center" wrapText="1"/>
    </xf>
    <xf numFmtId="0" fontId="23" fillId="39" borderId="18" xfId="0" applyFont="1" applyFill="1" applyBorder="1" applyAlignment="1">
      <alignment horizontal="center" vertical="center" wrapText="1"/>
    </xf>
    <xf numFmtId="0" fontId="23" fillId="39" borderId="16" xfId="0" applyFont="1" applyFill="1" applyBorder="1" applyAlignment="1">
      <alignment horizontal="center" vertical="center" wrapText="1"/>
    </xf>
    <xf numFmtId="0" fontId="23" fillId="39" borderId="19" xfId="0" applyFont="1" applyFill="1" applyBorder="1" applyAlignment="1">
      <alignment horizontal="center" vertical="center" wrapText="1"/>
    </xf>
    <xf numFmtId="0" fontId="23" fillId="40" borderId="16" xfId="0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0" xfId="0" applyFont="1" applyFill="1" applyBorder="1" applyAlignment="1">
      <alignment horizontal="center" vertical="center" wrapText="1"/>
    </xf>
    <xf numFmtId="0" fontId="23" fillId="0" borderId="11" xfId="0" applyFont="1" applyFill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center" vertical="center" wrapText="1"/>
    </xf>
    <xf numFmtId="0" fontId="23" fillId="0" borderId="16" xfId="0" applyFont="1" applyFill="1" applyBorder="1" applyAlignment="1">
      <alignment horizontal="center" vertical="center" wrapText="1"/>
    </xf>
    <xf numFmtId="0" fontId="0" fillId="0" borderId="0" xfId="0" applyBorder="1"/>
    <xf numFmtId="0" fontId="23" fillId="0" borderId="18" xfId="0" applyFont="1" applyFill="1" applyBorder="1" applyAlignment="1">
      <alignment horizontal="center" vertical="center" wrapText="1"/>
    </xf>
    <xf numFmtId="0" fontId="23" fillId="0" borderId="16" xfId="0" applyFont="1" applyFill="1" applyBorder="1" applyAlignment="1">
      <alignment horizontal="center" vertical="center" wrapText="1"/>
    </xf>
    <xf numFmtId="0" fontId="23" fillId="36" borderId="11" xfId="0" applyFont="1" applyFill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0" fillId="0" borderId="0" xfId="0" applyAlignment="1"/>
    <xf numFmtId="0" fontId="20" fillId="0" borderId="32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6" fillId="0" borderId="16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6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wrapText="1"/>
    </xf>
    <xf numFmtId="0" fontId="20" fillId="0" borderId="32" xfId="0" applyFont="1" applyBorder="1"/>
    <xf numFmtId="0" fontId="20" fillId="0" borderId="34" xfId="0" applyFont="1" applyBorder="1" applyAlignment="1">
      <alignment horizontal="center" vertical="center"/>
    </xf>
    <xf numFmtId="0" fontId="20" fillId="0" borderId="21" xfId="19" applyFont="1" applyFill="1" applyBorder="1" applyAlignment="1">
      <alignment horizontal="center" vertical="center"/>
    </xf>
    <xf numFmtId="0" fontId="20" fillId="41" borderId="21" xfId="0" applyFont="1" applyFill="1" applyBorder="1" applyAlignment="1">
      <alignment horizontal="center" vertical="center"/>
    </xf>
    <xf numFmtId="0" fontId="20" fillId="0" borderId="21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42" borderId="0" xfId="0" applyNumberFormat="1" applyFill="1"/>
    <xf numFmtId="2" fontId="0" fillId="43" borderId="0" xfId="0" applyNumberFormat="1" applyFill="1"/>
    <xf numFmtId="1" fontId="7" fillId="3" borderId="0" xfId="7" applyNumberFormat="1"/>
    <xf numFmtId="1" fontId="0" fillId="0" borderId="0" xfId="0" applyNumberFormat="1"/>
    <xf numFmtId="0" fontId="0" fillId="42" borderId="0" xfId="0" applyFill="1"/>
    <xf numFmtId="0" fontId="20" fillId="0" borderId="3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0" fillId="0" borderId="36" xfId="0" applyBorder="1"/>
    <xf numFmtId="0" fontId="20" fillId="0" borderId="37" xfId="0" applyFont="1" applyBorder="1"/>
    <xf numFmtId="0" fontId="20" fillId="41" borderId="16" xfId="0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horizontal="center" vertical="center"/>
    </xf>
    <xf numFmtId="0" fontId="20" fillId="0" borderId="38" xfId="0" applyFont="1" applyFill="1" applyBorder="1" applyAlignment="1">
      <alignment horizontal="center" vertical="center"/>
    </xf>
    <xf numFmtId="0" fontId="0" fillId="0" borderId="38" xfId="0" applyBorder="1"/>
    <xf numFmtId="2" fontId="0" fillId="42" borderId="38" xfId="0" applyNumberFormat="1" applyFill="1" applyBorder="1"/>
    <xf numFmtId="2" fontId="0" fillId="43" borderId="38" xfId="0" applyNumberFormat="1" applyFill="1" applyBorder="1"/>
    <xf numFmtId="1" fontId="7" fillId="3" borderId="38" xfId="7" applyNumberFormat="1" applyBorder="1"/>
    <xf numFmtId="1" fontId="0" fillId="0" borderId="38" xfId="0" applyNumberFormat="1" applyBorder="1"/>
    <xf numFmtId="0" fontId="0" fillId="42" borderId="38" xfId="0" applyFill="1" applyBorder="1"/>
    <xf numFmtId="0" fontId="20" fillId="0" borderId="39" xfId="0" applyFont="1" applyBorder="1"/>
    <xf numFmtId="0" fontId="20" fillId="0" borderId="40" xfId="0" applyFont="1" applyBorder="1"/>
    <xf numFmtId="0" fontId="20" fillId="0" borderId="41" xfId="0" applyFont="1" applyBorder="1"/>
    <xf numFmtId="0" fontId="20" fillId="0" borderId="36" xfId="0" applyFont="1" applyFill="1" applyBorder="1" applyAlignment="1">
      <alignment horizontal="center" vertical="center"/>
    </xf>
    <xf numFmtId="2" fontId="0" fillId="42" borderId="36" xfId="0" applyNumberFormat="1" applyFill="1" applyBorder="1"/>
    <xf numFmtId="2" fontId="0" fillId="43" borderId="36" xfId="0" applyNumberFormat="1" applyFill="1" applyBorder="1"/>
    <xf numFmtId="1" fontId="7" fillId="3" borderId="36" xfId="7" applyNumberFormat="1" applyBorder="1"/>
    <xf numFmtId="1" fontId="0" fillId="0" borderId="36" xfId="0" applyNumberFormat="1" applyBorder="1"/>
    <xf numFmtId="0" fontId="0" fillId="42" borderId="36" xfId="0" applyFill="1" applyBorder="1"/>
    <xf numFmtId="0" fontId="20" fillId="0" borderId="0" xfId="0" applyFont="1" applyBorder="1"/>
    <xf numFmtId="0" fontId="20" fillId="0" borderId="0" xfId="0" applyFont="1" applyBorder="1" applyAlignment="1">
      <alignment horizontal="center" vertical="center"/>
    </xf>
    <xf numFmtId="0" fontId="20" fillId="41" borderId="0" xfId="0" applyFont="1" applyFill="1" applyBorder="1" applyAlignment="1">
      <alignment horizontal="center" vertical="center"/>
    </xf>
    <xf numFmtId="1" fontId="0" fillId="0" borderId="0" xfId="0" applyNumberFormat="1" applyBorder="1"/>
    <xf numFmtId="0" fontId="0" fillId="0" borderId="0" xfId="0" applyFill="1" applyBorder="1"/>
    <xf numFmtId="0" fontId="16" fillId="0" borderId="0" xfId="0" applyFont="1" applyAlignment="1">
      <alignment horizontal="right"/>
    </xf>
    <xf numFmtId="1" fontId="16" fillId="42" borderId="0" xfId="0" applyNumberFormat="1" applyFont="1" applyFill="1"/>
    <xf numFmtId="1" fontId="28" fillId="0" borderId="0" xfId="0" applyNumberFormat="1" applyFont="1" applyFill="1"/>
    <xf numFmtId="1" fontId="16" fillId="0" borderId="0" xfId="0" applyNumberFormat="1" applyFont="1" applyFill="1"/>
    <xf numFmtId="2" fontId="0" fillId="0" borderId="0" xfId="0" applyNumberFormat="1"/>
    <xf numFmtId="2" fontId="16" fillId="42" borderId="0" xfId="0" applyNumberFormat="1" applyFont="1" applyFill="1"/>
    <xf numFmtId="0" fontId="23" fillId="33" borderId="10" xfId="0" applyFont="1" applyFill="1" applyBorder="1" applyAlignment="1">
      <alignment horizontal="center" vertical="center" wrapText="1"/>
    </xf>
    <xf numFmtId="0" fontId="23" fillId="33" borderId="12" xfId="0" applyFont="1" applyFill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23" fillId="44" borderId="29" xfId="0" applyFont="1" applyFill="1" applyBorder="1" applyAlignment="1">
      <alignment horizontal="center" vertical="center" wrapText="1"/>
    </xf>
    <xf numFmtId="0" fontId="23" fillId="44" borderId="30" xfId="0" applyFont="1" applyFill="1" applyBorder="1" applyAlignment="1">
      <alignment horizontal="center" vertical="center" wrapText="1"/>
    </xf>
    <xf numFmtId="0" fontId="23" fillId="45" borderId="16" xfId="0" applyFont="1" applyFill="1" applyBorder="1" applyAlignment="1">
      <alignment horizontal="center" vertical="center" wrapText="1"/>
    </xf>
    <xf numFmtId="0" fontId="1" fillId="42" borderId="32" xfId="19" applyFont="1" applyFill="1" applyBorder="1" applyAlignment="1">
      <alignment horizontal="left"/>
    </xf>
    <xf numFmtId="0" fontId="1" fillId="42" borderId="16" xfId="0" applyFont="1" applyFill="1" applyBorder="1"/>
    <xf numFmtId="0" fontId="0" fillId="42" borderId="16" xfId="0" applyFill="1" applyBorder="1"/>
    <xf numFmtId="0" fontId="0" fillId="0" borderId="16" xfId="0" applyBorder="1"/>
    <xf numFmtId="1" fontId="0" fillId="44" borderId="16" xfId="0" applyNumberFormat="1" applyFill="1" applyBorder="1"/>
    <xf numFmtId="0" fontId="0" fillId="44" borderId="28" xfId="0" applyFill="1" applyBorder="1"/>
    <xf numFmtId="2" fontId="0" fillId="0" borderId="35" xfId="0" applyNumberFormat="1" applyBorder="1"/>
    <xf numFmtId="0" fontId="0" fillId="46" borderId="16" xfId="0" applyFill="1" applyBorder="1"/>
    <xf numFmtId="0" fontId="0" fillId="0" borderId="28" xfId="0" applyBorder="1"/>
    <xf numFmtId="0" fontId="0" fillId="0" borderId="32" xfId="0" applyBorder="1"/>
    <xf numFmtId="0" fontId="0" fillId="0" borderId="21" xfId="0" applyBorder="1"/>
    <xf numFmtId="0" fontId="0" fillId="44" borderId="16" xfId="0" applyFill="1" applyBorder="1"/>
    <xf numFmtId="0" fontId="0" fillId="0" borderId="35" xfId="0" applyBorder="1"/>
    <xf numFmtId="0" fontId="0" fillId="0" borderId="0" xfId="0" applyAlignment="1">
      <alignment vertical="center"/>
    </xf>
    <xf numFmtId="0" fontId="23" fillId="34" borderId="45" xfId="0" applyFont="1" applyFill="1" applyBorder="1" applyAlignment="1">
      <alignment horizontal="center" vertical="center" wrapText="1"/>
    </xf>
    <xf numFmtId="0" fontId="0" fillId="0" borderId="29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23" fillId="0" borderId="17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center" vertical="center" wrapText="1"/>
    </xf>
    <xf numFmtId="0" fontId="23" fillId="0" borderId="44" xfId="0" applyFont="1" applyFill="1" applyBorder="1" applyAlignment="1">
      <alignment horizontal="center" vertical="center" wrapText="1"/>
    </xf>
    <xf numFmtId="0" fontId="23" fillId="44" borderId="22" xfId="0" applyFont="1" applyFill="1" applyBorder="1" applyAlignment="1">
      <alignment horizontal="center" vertical="center" wrapText="1"/>
    </xf>
    <xf numFmtId="0" fontId="23" fillId="44" borderId="44" xfId="0" applyFont="1" applyFill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42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35" xfId="0" applyBorder="1" applyAlignment="1"/>
    <xf numFmtId="0" fontId="0" fillId="0" borderId="16" xfId="0" applyBorder="1" applyAlignment="1"/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/>
    <xf numFmtId="0" fontId="23" fillId="0" borderId="25" xfId="0" applyFont="1" applyFill="1" applyBorder="1" applyAlignment="1">
      <alignment horizontal="center" vertical="center" wrapText="1"/>
    </xf>
    <xf numFmtId="0" fontId="23" fillId="0" borderId="26" xfId="0" applyFont="1" applyFill="1" applyBorder="1" applyAlignment="1">
      <alignment horizontal="center" vertical="center" wrapText="1"/>
    </xf>
    <xf numFmtId="0" fontId="25" fillId="0" borderId="31" xfId="0" applyFont="1" applyBorder="1" applyAlignment="1">
      <alignment horizontal="center"/>
    </xf>
    <xf numFmtId="0" fontId="0" fillId="0" borderId="0" xfId="0" applyAlignment="1"/>
    <xf numFmtId="0" fontId="23" fillId="0" borderId="15" xfId="0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horizontal="center" vertical="center" wrapText="1"/>
    </xf>
    <xf numFmtId="0" fontId="23" fillId="0" borderId="16" xfId="0" applyFont="1" applyFill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46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15" xfId="0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horizontal="center" vertical="center" shrinkToFit="1"/>
    </xf>
    <xf numFmtId="0" fontId="23" fillId="0" borderId="16" xfId="0" applyFont="1" applyFill="1" applyBorder="1" applyAlignment="1">
      <alignment horizontal="center" vertical="center" shrinkToFit="1"/>
    </xf>
    <xf numFmtId="0" fontId="30" fillId="0" borderId="10" xfId="0" applyFont="1" applyFill="1" applyBorder="1" applyAlignment="1">
      <alignment horizontal="center" vertical="center" wrapText="1"/>
    </xf>
    <xf numFmtId="0" fontId="30" fillId="0" borderId="11" xfId="0" applyFont="1" applyFill="1" applyBorder="1" applyAlignment="1">
      <alignment horizontal="center" vertical="center" shrinkToFi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shrinkToFit="1"/>
    </xf>
    <xf numFmtId="0" fontId="23" fillId="0" borderId="28" xfId="0" applyFont="1" applyFill="1" applyBorder="1" applyAlignment="1">
      <alignment horizontal="center" vertical="center" shrinkToFit="1"/>
    </xf>
    <xf numFmtId="0" fontId="30" fillId="47" borderId="47" xfId="0" applyFont="1" applyFill="1" applyBorder="1" applyAlignment="1">
      <alignment horizontal="center" vertical="center" shrinkToFit="1"/>
    </xf>
    <xf numFmtId="0" fontId="23" fillId="48" borderId="12" xfId="0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horizontal="center" vertical="center" textRotation="90" wrapText="1"/>
    </xf>
    <xf numFmtId="0" fontId="23" fillId="0" borderId="16" xfId="0" applyFont="1" applyFill="1" applyBorder="1" applyAlignment="1">
      <alignment horizontal="center" vertical="center" textRotation="90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08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mpimport/706&#1057;&#1087;&#1077;&#1094;-&#1055;&#1089;(&#1055;&#1086;&#1083;&#1080;&#1082;&#1083;&#1080;&#1085;&#1080;&#1082;&#107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mpimport/706&#1057;&#1087;&#1077;&#1094;%20(&#1055;&#1084;1.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с8.7_спец"/>
      <sheetName val="Пс8.6_спец"/>
      <sheetName val="Пс8.5_спец"/>
      <sheetName val="Пс8.4_спец"/>
      <sheetName val="Пс8.3_спец"/>
      <sheetName val="Пс8.2_спец"/>
      <sheetName val=" 1 Изделия_спец.И"/>
      <sheetName val="Таблица из архикада"/>
      <sheetName val="!System"/>
      <sheetName val="Исх.Таблица из архикада"/>
      <sheetName val="Входные площадки_об"/>
      <sheetName val="Пс9.5_гр"/>
      <sheetName val="Пс9.3_об"/>
      <sheetName val="Пс9.3_грс"/>
      <sheetName val="Пс9.3_кж"/>
      <sheetName val="Пс9.4_об"/>
      <sheetName val="Пс9.4_грс"/>
      <sheetName val="Пс9.4_кж"/>
      <sheetName val="Пс9.5_об"/>
      <sheetName val="Пс9.5_грс"/>
      <sheetName val="Пс9.5_кж"/>
      <sheetName val="Пс9.2_об"/>
      <sheetName val="Пс9.2_грс"/>
      <sheetName val="Пс9.2_кж"/>
      <sheetName val="Пс9.7_об"/>
      <sheetName val="Пс9.7_грс"/>
      <sheetName val="Пс9.7_кж"/>
      <sheetName val="Пс9.6_об"/>
      <sheetName val="Пс9.6_грс"/>
      <sheetName val="Пс9.6_кж"/>
      <sheetName val="Пс8.4_кж"/>
      <sheetName val="Пс8.3_кж"/>
      <sheetName val="Пс8.5_кж"/>
      <sheetName val="Пс8.3_грс"/>
      <sheetName val="Пс8.4_грс"/>
      <sheetName val="Пс8.5_гр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Гориз. В стене</v>
          </cell>
          <cell r="E4">
            <v>14</v>
          </cell>
          <cell r="F4">
            <v>2.2000000000000002</v>
          </cell>
          <cell r="G4">
            <v>0.5</v>
          </cell>
          <cell r="H4">
            <v>4470</v>
          </cell>
          <cell r="I4">
            <v>12</v>
          </cell>
        </row>
        <row r="5">
          <cell r="C5" t="str">
            <v>П-шка в стене верт</v>
          </cell>
          <cell r="E5">
            <v>23</v>
          </cell>
          <cell r="H5">
            <v>1290</v>
          </cell>
          <cell r="I5">
            <v>12</v>
          </cell>
        </row>
        <row r="6">
          <cell r="C6" t="str">
            <v>П-шка в стене гориз.</v>
          </cell>
          <cell r="E6">
            <v>12</v>
          </cell>
          <cell r="H6">
            <v>1310</v>
          </cell>
          <cell r="I6">
            <v>12</v>
          </cell>
        </row>
        <row r="7">
          <cell r="C7" t="str">
            <v>Вертик. В стене</v>
          </cell>
          <cell r="E7">
            <v>46</v>
          </cell>
          <cell r="H7">
            <v>1625</v>
          </cell>
          <cell r="I7">
            <v>12</v>
          </cell>
        </row>
        <row r="8">
          <cell r="C8" t="str">
            <v>Шпилька</v>
          </cell>
          <cell r="E8">
            <v>37</v>
          </cell>
          <cell r="H8">
            <v>270</v>
          </cell>
          <cell r="I8">
            <v>6</v>
          </cell>
        </row>
        <row r="9">
          <cell r="C9" t="str">
            <v>Поперечная в подошве</v>
          </cell>
          <cell r="E9">
            <v>23</v>
          </cell>
          <cell r="H9">
            <v>750</v>
          </cell>
          <cell r="I9">
            <v>12</v>
          </cell>
        </row>
        <row r="10">
          <cell r="C10" t="str">
            <v>Продольная в подошве</v>
          </cell>
          <cell r="E10">
            <v>8</v>
          </cell>
          <cell r="H10">
            <v>4470</v>
          </cell>
          <cell r="I10">
            <v>12</v>
          </cell>
        </row>
        <row r="12">
          <cell r="C12" t="str">
            <v>П-шка в продол.сеч.</v>
          </cell>
          <cell r="E12">
            <v>8</v>
          </cell>
          <cell r="H12">
            <v>1390</v>
          </cell>
          <cell r="I12">
            <v>12</v>
          </cell>
        </row>
        <row r="16">
          <cell r="C16" t="str">
            <v>С-образная попер. В подошве</v>
          </cell>
          <cell r="E16">
            <v>23</v>
          </cell>
          <cell r="H16">
            <v>1210</v>
          </cell>
          <cell r="I16">
            <v>12</v>
          </cell>
        </row>
        <row r="23">
          <cell r="C23" t="str">
            <v>Гориз. В стене</v>
          </cell>
          <cell r="E23">
            <v>28</v>
          </cell>
          <cell r="F23">
            <v>4.1999999999999993</v>
          </cell>
          <cell r="G23">
            <v>0.9</v>
          </cell>
          <cell r="H23">
            <v>2950</v>
          </cell>
          <cell r="I23">
            <v>12</v>
          </cell>
          <cell r="L23">
            <v>12</v>
          </cell>
        </row>
        <row r="24">
          <cell r="C24" t="str">
            <v>П-шка в стене верт</v>
          </cell>
          <cell r="E24">
            <v>30</v>
          </cell>
          <cell r="H24">
            <v>1490</v>
          </cell>
          <cell r="I24">
            <v>14</v>
          </cell>
        </row>
        <row r="25">
          <cell r="C25" t="str">
            <v>П-шка в стене гориз.</v>
          </cell>
          <cell r="E25">
            <v>28</v>
          </cell>
          <cell r="H25">
            <v>1310</v>
          </cell>
          <cell r="I25">
            <v>12</v>
          </cell>
        </row>
        <row r="26">
          <cell r="C26" t="str">
            <v>Вертик. В стене</v>
          </cell>
          <cell r="E26">
            <v>60</v>
          </cell>
          <cell r="H26">
            <v>3255</v>
          </cell>
          <cell r="I26">
            <v>14</v>
          </cell>
        </row>
        <row r="27">
          <cell r="C27" t="str">
            <v>Шпилька</v>
          </cell>
          <cell r="E27">
            <v>106</v>
          </cell>
          <cell r="H27">
            <v>270</v>
          </cell>
          <cell r="I27">
            <v>6</v>
          </cell>
        </row>
        <row r="28">
          <cell r="C28" t="str">
            <v>Поперечная в подошве</v>
          </cell>
          <cell r="E28">
            <v>23</v>
          </cell>
          <cell r="H28">
            <v>2750</v>
          </cell>
          <cell r="I28">
            <v>16</v>
          </cell>
        </row>
        <row r="29">
          <cell r="C29" t="str">
            <v>Продольная в подошве</v>
          </cell>
          <cell r="E29">
            <v>28</v>
          </cell>
          <cell r="H29">
            <v>2950</v>
          </cell>
          <cell r="I29">
            <v>12</v>
          </cell>
        </row>
        <row r="30">
          <cell r="C30" t="str">
            <v>П-шка в поперечном сеч.</v>
          </cell>
          <cell r="E30">
            <v>60</v>
          </cell>
          <cell r="H30">
            <v>1790</v>
          </cell>
          <cell r="I30">
            <v>16</v>
          </cell>
        </row>
        <row r="31">
          <cell r="C31" t="str">
            <v>П-шка в продол.сеч.</v>
          </cell>
          <cell r="E31">
            <v>28</v>
          </cell>
          <cell r="H31">
            <v>1390</v>
          </cell>
          <cell r="I31">
            <v>12</v>
          </cell>
        </row>
        <row r="42">
          <cell r="C42" t="str">
            <v>Гориз. В стене</v>
          </cell>
          <cell r="E42">
            <v>1</v>
          </cell>
          <cell r="F42">
            <v>13.8</v>
          </cell>
          <cell r="G42">
            <v>3</v>
          </cell>
          <cell r="H42">
            <v>154600</v>
          </cell>
          <cell r="I42">
            <v>12</v>
          </cell>
          <cell r="L42">
            <v>34</v>
          </cell>
        </row>
        <row r="43">
          <cell r="C43" t="str">
            <v>П-шка в стене верт</v>
          </cell>
          <cell r="E43">
            <v>100</v>
          </cell>
          <cell r="H43">
            <v>1490</v>
          </cell>
          <cell r="I43">
            <v>14</v>
          </cell>
        </row>
        <row r="44">
          <cell r="C44" t="str">
            <v>П-шка в стене гориз.</v>
          </cell>
          <cell r="E44">
            <v>28</v>
          </cell>
          <cell r="H44">
            <v>1310</v>
          </cell>
          <cell r="I44">
            <v>12</v>
          </cell>
        </row>
        <row r="45">
          <cell r="C45" t="str">
            <v>Вертик. В стене</v>
          </cell>
          <cell r="E45">
            <v>200</v>
          </cell>
          <cell r="H45">
            <v>3255</v>
          </cell>
          <cell r="I45">
            <v>14</v>
          </cell>
        </row>
        <row r="46">
          <cell r="C46" t="str">
            <v>Шпилька</v>
          </cell>
          <cell r="E46">
            <v>351</v>
          </cell>
          <cell r="H46">
            <v>270</v>
          </cell>
          <cell r="I46">
            <v>6</v>
          </cell>
        </row>
        <row r="47">
          <cell r="C47" t="str">
            <v>Поперечная в подошве</v>
          </cell>
          <cell r="E47">
            <v>200</v>
          </cell>
          <cell r="H47">
            <v>2750</v>
          </cell>
          <cell r="I47">
            <v>16</v>
          </cell>
        </row>
        <row r="48">
          <cell r="C48" t="str">
            <v>Продольная в подошве</v>
          </cell>
          <cell r="E48">
            <v>1</v>
          </cell>
          <cell r="H48">
            <v>160300</v>
          </cell>
          <cell r="I48">
            <v>12</v>
          </cell>
        </row>
        <row r="49">
          <cell r="C49" t="str">
            <v>П-шка в поперечном сеч.</v>
          </cell>
          <cell r="E49">
            <v>200</v>
          </cell>
          <cell r="H49">
            <v>1790</v>
          </cell>
          <cell r="I49">
            <v>16</v>
          </cell>
        </row>
        <row r="50">
          <cell r="C50" t="str">
            <v>П-шка в продол.сеч.</v>
          </cell>
          <cell r="E50">
            <v>28</v>
          </cell>
          <cell r="H50">
            <v>1390</v>
          </cell>
          <cell r="I50">
            <v>12</v>
          </cell>
        </row>
        <row r="61">
          <cell r="C61" t="str">
            <v>Гориз. В стене</v>
          </cell>
          <cell r="E61">
            <v>28</v>
          </cell>
          <cell r="F61">
            <v>4.5</v>
          </cell>
          <cell r="G61">
            <v>1</v>
          </cell>
          <cell r="H61">
            <v>3150</v>
          </cell>
          <cell r="I61">
            <v>12</v>
          </cell>
          <cell r="L61">
            <v>12</v>
          </cell>
        </row>
        <row r="62">
          <cell r="C62" t="str">
            <v>П-шка в стене верт</v>
          </cell>
          <cell r="E62">
            <v>32</v>
          </cell>
          <cell r="H62">
            <v>1490</v>
          </cell>
          <cell r="I62">
            <v>14</v>
          </cell>
        </row>
        <row r="63">
          <cell r="C63" t="str">
            <v>П-шка в стене гориз.</v>
          </cell>
          <cell r="E63">
            <v>28</v>
          </cell>
          <cell r="H63">
            <v>1310</v>
          </cell>
          <cell r="I63">
            <v>12</v>
          </cell>
        </row>
        <row r="64">
          <cell r="C64" t="str">
            <v>Вертик. В стене</v>
          </cell>
          <cell r="E64">
            <v>64</v>
          </cell>
          <cell r="H64">
            <v>3255</v>
          </cell>
          <cell r="I64">
            <v>14</v>
          </cell>
        </row>
        <row r="65">
          <cell r="C65" t="str">
            <v>Шпилька</v>
          </cell>
          <cell r="E65">
            <v>113</v>
          </cell>
          <cell r="H65">
            <v>270</v>
          </cell>
          <cell r="I65">
            <v>6</v>
          </cell>
        </row>
        <row r="66">
          <cell r="C66" t="str">
            <v>Поперечная в подошве</v>
          </cell>
          <cell r="E66">
            <v>64</v>
          </cell>
          <cell r="H66">
            <v>2750</v>
          </cell>
          <cell r="I66">
            <v>16</v>
          </cell>
        </row>
        <row r="67">
          <cell r="C67" t="str">
            <v>Продольная в подошве</v>
          </cell>
          <cell r="E67">
            <v>28</v>
          </cell>
          <cell r="H67">
            <v>3150</v>
          </cell>
          <cell r="I67">
            <v>12</v>
          </cell>
        </row>
        <row r="68">
          <cell r="C68" t="str">
            <v>П-шка в поперечном сеч.</v>
          </cell>
          <cell r="E68">
            <v>64</v>
          </cell>
          <cell r="H68">
            <v>1790</v>
          </cell>
          <cell r="I68">
            <v>16</v>
          </cell>
        </row>
        <row r="69">
          <cell r="C69" t="str">
            <v>П-шка в продол.сеч.</v>
          </cell>
          <cell r="E69">
            <v>28</v>
          </cell>
          <cell r="H69">
            <v>1390</v>
          </cell>
          <cell r="I69">
            <v>12</v>
          </cell>
        </row>
        <row r="80">
          <cell r="C80" t="str">
            <v>Гориз. В стене</v>
          </cell>
          <cell r="E80">
            <v>13</v>
          </cell>
          <cell r="F80">
            <v>2.7</v>
          </cell>
          <cell r="G80">
            <v>0.6</v>
          </cell>
          <cell r="H80">
            <v>5630</v>
          </cell>
          <cell r="I80">
            <v>12</v>
          </cell>
        </row>
        <row r="81">
          <cell r="C81" t="str">
            <v>П-шка в стене верт</v>
          </cell>
          <cell r="E81">
            <v>29</v>
          </cell>
          <cell r="H81">
            <v>1290</v>
          </cell>
          <cell r="I81">
            <v>12</v>
          </cell>
        </row>
        <row r="82">
          <cell r="C82" t="str">
            <v>П-шка в стене гориз.</v>
          </cell>
          <cell r="E82">
            <v>12</v>
          </cell>
          <cell r="H82">
            <v>1310</v>
          </cell>
          <cell r="I82">
            <v>12</v>
          </cell>
        </row>
        <row r="83">
          <cell r="C83" t="str">
            <v>Вертик. В стене</v>
          </cell>
          <cell r="E83">
            <v>58</v>
          </cell>
          <cell r="H83">
            <v>1625</v>
          </cell>
          <cell r="I83">
            <v>12</v>
          </cell>
        </row>
        <row r="84">
          <cell r="C84" t="str">
            <v>Шпилька</v>
          </cell>
          <cell r="E84">
            <v>85</v>
          </cell>
          <cell r="H84">
            <v>270</v>
          </cell>
          <cell r="I84">
            <v>6</v>
          </cell>
        </row>
        <row r="85">
          <cell r="C85" t="str">
            <v>Поперечная в подошве</v>
          </cell>
          <cell r="E85">
            <v>29</v>
          </cell>
          <cell r="H85">
            <v>750</v>
          </cell>
          <cell r="I85">
            <v>12</v>
          </cell>
        </row>
        <row r="86">
          <cell r="C86" t="str">
            <v>Продольная в подошве</v>
          </cell>
          <cell r="E86">
            <v>8</v>
          </cell>
          <cell r="H86">
            <v>5630</v>
          </cell>
          <cell r="I86">
            <v>12</v>
          </cell>
        </row>
        <row r="88">
          <cell r="C88" t="str">
            <v>П-шка в продол.сеч.</v>
          </cell>
          <cell r="E88">
            <v>8</v>
          </cell>
          <cell r="H88">
            <v>1390</v>
          </cell>
          <cell r="I88">
            <v>12</v>
          </cell>
        </row>
        <row r="92">
          <cell r="C92" t="str">
            <v>С-образная попер. В подошве</v>
          </cell>
          <cell r="E92">
            <v>29</v>
          </cell>
          <cell r="H92">
            <v>1220</v>
          </cell>
          <cell r="I92">
            <v>12</v>
          </cell>
        </row>
        <row r="98">
          <cell r="E98">
            <v>1</v>
          </cell>
          <cell r="F98">
            <v>3</v>
          </cell>
          <cell r="G98">
            <v>0.9</v>
          </cell>
          <cell r="H98">
            <v>59040</v>
          </cell>
          <cell r="I98">
            <v>10</v>
          </cell>
        </row>
        <row r="100">
          <cell r="E100">
            <v>12</v>
          </cell>
          <cell r="H100">
            <v>1070</v>
          </cell>
          <cell r="I100">
            <v>10</v>
          </cell>
        </row>
        <row r="101">
          <cell r="E101">
            <v>94</v>
          </cell>
          <cell r="H101">
            <v>1595</v>
          </cell>
          <cell r="I101">
            <v>10</v>
          </cell>
        </row>
        <row r="102">
          <cell r="E102">
            <v>133</v>
          </cell>
          <cell r="H102">
            <v>220</v>
          </cell>
          <cell r="I102">
            <v>6</v>
          </cell>
        </row>
        <row r="103">
          <cell r="E103">
            <v>47</v>
          </cell>
          <cell r="H103">
            <v>700</v>
          </cell>
          <cell r="I103">
            <v>10</v>
          </cell>
        </row>
        <row r="104">
          <cell r="E104">
            <v>1</v>
          </cell>
          <cell r="H104">
            <v>40810</v>
          </cell>
          <cell r="I104">
            <v>10</v>
          </cell>
        </row>
        <row r="105">
          <cell r="H105">
            <v>1120</v>
          </cell>
          <cell r="I105">
            <v>10</v>
          </cell>
        </row>
        <row r="106">
          <cell r="C106" t="str">
            <v>П-шка в продол.сеч.</v>
          </cell>
          <cell r="E106">
            <v>8</v>
          </cell>
          <cell r="H106">
            <v>1100</v>
          </cell>
          <cell r="I106">
            <v>10</v>
          </cell>
        </row>
        <row r="117">
          <cell r="E117">
            <v>1</v>
          </cell>
          <cell r="F117">
            <v>3.5</v>
          </cell>
          <cell r="G117">
            <v>1</v>
          </cell>
          <cell r="H117">
            <v>68150</v>
          </cell>
          <cell r="I117">
            <v>10</v>
          </cell>
        </row>
        <row r="119">
          <cell r="E119">
            <v>16</v>
          </cell>
          <cell r="H119">
            <v>1070</v>
          </cell>
          <cell r="I119">
            <v>10</v>
          </cell>
        </row>
        <row r="120">
          <cell r="C120" t="str">
            <v>Вертик. В стене</v>
          </cell>
          <cell r="E120">
            <v>74</v>
          </cell>
          <cell r="H120">
            <v>2095</v>
          </cell>
          <cell r="I120">
            <v>10</v>
          </cell>
        </row>
        <row r="121">
          <cell r="E121">
            <v>154</v>
          </cell>
          <cell r="H121">
            <v>220</v>
          </cell>
          <cell r="I121">
            <v>6</v>
          </cell>
        </row>
        <row r="122">
          <cell r="E122">
            <v>37</v>
          </cell>
          <cell r="H122">
            <v>1050</v>
          </cell>
          <cell r="I122">
            <v>10</v>
          </cell>
        </row>
        <row r="123">
          <cell r="E123">
            <v>1</v>
          </cell>
          <cell r="H123">
            <v>47560</v>
          </cell>
          <cell r="I123">
            <v>10</v>
          </cell>
        </row>
        <row r="125">
          <cell r="E125">
            <v>12</v>
          </cell>
          <cell r="H125">
            <v>1100</v>
          </cell>
          <cell r="I125">
            <v>10</v>
          </cell>
        </row>
        <row r="129">
          <cell r="C129" t="str">
            <v>С-образная попер. В подошве</v>
          </cell>
          <cell r="E129">
            <v>37</v>
          </cell>
          <cell r="H129">
            <v>1320</v>
          </cell>
          <cell r="I129">
            <v>10</v>
          </cell>
        </row>
        <row r="136">
          <cell r="C136" t="str">
            <v>Гориз. В стене</v>
          </cell>
          <cell r="E136">
            <v>1</v>
          </cell>
          <cell r="F136">
            <v>5</v>
          </cell>
          <cell r="G136">
            <v>1.5</v>
          </cell>
          <cell r="H136">
            <v>98810</v>
          </cell>
        </row>
        <row r="138">
          <cell r="C138" t="str">
            <v>П-шка в стене гориз.</v>
          </cell>
          <cell r="E138">
            <v>16</v>
          </cell>
          <cell r="H138">
            <v>1070</v>
          </cell>
        </row>
        <row r="139">
          <cell r="C139" t="str">
            <v>Вертик. В стене</v>
          </cell>
          <cell r="E139">
            <v>110</v>
          </cell>
          <cell r="H139">
            <v>2095</v>
          </cell>
        </row>
        <row r="140">
          <cell r="C140" t="str">
            <v>Шпилька</v>
          </cell>
          <cell r="E140">
            <v>226</v>
          </cell>
          <cell r="H140">
            <v>220</v>
          </cell>
        </row>
        <row r="141">
          <cell r="C141" t="str">
            <v>Поперечная в подошве</v>
          </cell>
          <cell r="E141">
            <v>55</v>
          </cell>
          <cell r="H141">
            <v>1050</v>
          </cell>
        </row>
        <row r="142">
          <cell r="C142" t="str">
            <v>Продольная в подошве</v>
          </cell>
          <cell r="E142">
            <v>1</v>
          </cell>
          <cell r="H142">
            <v>68520</v>
          </cell>
        </row>
        <row r="144">
          <cell r="C144" t="str">
            <v>П-шка в продол.сеч.</v>
          </cell>
          <cell r="E144">
            <v>12</v>
          </cell>
          <cell r="H144">
            <v>1100</v>
          </cell>
        </row>
        <row r="148">
          <cell r="C148" t="str">
            <v>С-образная попер. В подошве</v>
          </cell>
          <cell r="E148">
            <v>55</v>
          </cell>
          <cell r="H148">
            <v>1320</v>
          </cell>
          <cell r="I148">
            <v>10</v>
          </cell>
        </row>
        <row r="193">
          <cell r="C193" t="str">
            <v>Гориз. В стене</v>
          </cell>
          <cell r="E193">
            <v>1</v>
          </cell>
          <cell r="F193">
            <v>9.5</v>
          </cell>
          <cell r="G193">
            <v>2.2000000000000002</v>
          </cell>
          <cell r="H193">
            <v>107250</v>
          </cell>
          <cell r="I193">
            <v>10</v>
          </cell>
        </row>
        <row r="194">
          <cell r="C194" t="str">
            <v>П-шка в стене верт</v>
          </cell>
          <cell r="E194">
            <v>59</v>
          </cell>
          <cell r="H194">
            <v>1290</v>
          </cell>
          <cell r="I194">
            <v>12</v>
          </cell>
        </row>
        <row r="195">
          <cell r="C195" t="str">
            <v>П-шка в стене гориз.</v>
          </cell>
          <cell r="E195">
            <v>16</v>
          </cell>
          <cell r="H195">
            <v>1120</v>
          </cell>
          <cell r="I195">
            <v>10</v>
          </cell>
        </row>
        <row r="196">
          <cell r="C196" t="str">
            <v>Вертик. В стене</v>
          </cell>
          <cell r="E196">
            <v>118</v>
          </cell>
          <cell r="H196">
            <v>2075</v>
          </cell>
          <cell r="I196">
            <v>12</v>
          </cell>
        </row>
        <row r="197">
          <cell r="C197" t="str">
            <v>Шпилька</v>
          </cell>
          <cell r="E197">
            <v>246</v>
          </cell>
          <cell r="H197">
            <v>270</v>
          </cell>
          <cell r="I197">
            <v>6</v>
          </cell>
        </row>
        <row r="198">
          <cell r="C198" t="str">
            <v>Поперечная в подошве</v>
          </cell>
          <cell r="E198">
            <v>59</v>
          </cell>
          <cell r="H198">
            <v>1550</v>
          </cell>
          <cell r="I198">
            <v>10</v>
          </cell>
        </row>
        <row r="199">
          <cell r="C199" t="str">
            <v>Продольная в подошве</v>
          </cell>
          <cell r="E199">
            <v>1</v>
          </cell>
          <cell r="H199">
            <v>107250</v>
          </cell>
          <cell r="I199">
            <v>10</v>
          </cell>
        </row>
        <row r="201">
          <cell r="C201" t="str">
            <v>П-шка в продол.сеч.</v>
          </cell>
          <cell r="E201">
            <v>16</v>
          </cell>
          <cell r="H201">
            <v>1200</v>
          </cell>
          <cell r="I201">
            <v>10</v>
          </cell>
        </row>
        <row r="205">
          <cell r="C205" t="str">
            <v>С-образная попер. В подошве</v>
          </cell>
          <cell r="E205">
            <v>59</v>
          </cell>
          <cell r="H205">
            <v>2020</v>
          </cell>
          <cell r="I205">
            <v>10</v>
          </cell>
        </row>
        <row r="212">
          <cell r="C212" t="str">
            <v>Гориз. В стене</v>
          </cell>
          <cell r="E212">
            <v>1</v>
          </cell>
          <cell r="F212">
            <v>1.9000000000000001</v>
          </cell>
          <cell r="G212">
            <v>0.6</v>
          </cell>
          <cell r="H212">
            <v>38570</v>
          </cell>
        </row>
        <row r="214">
          <cell r="C214" t="str">
            <v>П-шка в стене гориз.</v>
          </cell>
          <cell r="E214">
            <v>12</v>
          </cell>
          <cell r="H214">
            <v>1070</v>
          </cell>
          <cell r="I214">
            <v>10</v>
          </cell>
        </row>
        <row r="215">
          <cell r="C215" t="str">
            <v>Вертик. В стене</v>
          </cell>
          <cell r="E215">
            <v>60</v>
          </cell>
          <cell r="H215">
            <v>1595</v>
          </cell>
          <cell r="I215">
            <v>10</v>
          </cell>
        </row>
        <row r="216">
          <cell r="C216" t="str">
            <v>Шпилька</v>
          </cell>
          <cell r="E216">
            <v>86</v>
          </cell>
          <cell r="H216">
            <v>220</v>
          </cell>
          <cell r="I216">
            <v>6</v>
          </cell>
        </row>
        <row r="217">
          <cell r="C217" t="str">
            <v>Поперечная в подошве</v>
          </cell>
          <cell r="E217">
            <v>30</v>
          </cell>
          <cell r="H217">
            <v>700</v>
          </cell>
          <cell r="I217">
            <v>10</v>
          </cell>
        </row>
        <row r="218">
          <cell r="C218" t="str">
            <v>Продольная в подошве</v>
          </cell>
          <cell r="E218">
            <v>1</v>
          </cell>
          <cell r="H218">
            <v>27130</v>
          </cell>
          <cell r="I218">
            <v>10</v>
          </cell>
        </row>
        <row r="220">
          <cell r="C220" t="str">
            <v>П-шка в продол.сеч.</v>
          </cell>
          <cell r="E220">
            <v>8</v>
          </cell>
          <cell r="H220">
            <v>1100</v>
          </cell>
          <cell r="I220">
            <v>10</v>
          </cell>
        </row>
        <row r="224">
          <cell r="C224" t="str">
            <v>С-образная попер. В подошве</v>
          </cell>
          <cell r="E224">
            <v>30</v>
          </cell>
          <cell r="H224">
            <v>970</v>
          </cell>
          <cell r="I224">
            <v>10</v>
          </cell>
        </row>
        <row r="231">
          <cell r="C231" t="str">
            <v>Гориз. В стене</v>
          </cell>
          <cell r="E231">
            <v>1</v>
          </cell>
          <cell r="F231">
            <v>2.8000000000000003</v>
          </cell>
          <cell r="G231">
            <v>0.79999999999999993</v>
          </cell>
          <cell r="H231">
            <v>60900</v>
          </cell>
        </row>
        <row r="233">
          <cell r="C233" t="str">
            <v>П-шка в стене гориз.</v>
          </cell>
          <cell r="E233">
            <v>14</v>
          </cell>
          <cell r="H233">
            <v>1070</v>
          </cell>
          <cell r="I233">
            <v>10</v>
          </cell>
        </row>
        <row r="234">
          <cell r="C234" t="str">
            <v>Вертик. В стене</v>
          </cell>
          <cell r="E234">
            <v>82</v>
          </cell>
          <cell r="H234">
            <v>1795</v>
          </cell>
          <cell r="I234">
            <v>10</v>
          </cell>
        </row>
        <row r="235">
          <cell r="C235" t="str">
            <v>Шпилька</v>
          </cell>
          <cell r="E235">
            <v>137</v>
          </cell>
          <cell r="H235">
            <v>220</v>
          </cell>
          <cell r="I235">
            <v>6</v>
          </cell>
        </row>
        <row r="236">
          <cell r="C236" t="str">
            <v>Поперечная в подошве</v>
          </cell>
          <cell r="E236">
            <v>41</v>
          </cell>
          <cell r="H236">
            <v>700</v>
          </cell>
          <cell r="I236">
            <v>10</v>
          </cell>
        </row>
        <row r="237">
          <cell r="C237" t="str">
            <v>Продольная в подошве</v>
          </cell>
          <cell r="E237">
            <v>1</v>
          </cell>
          <cell r="H237">
            <v>35840</v>
          </cell>
          <cell r="I237">
            <v>10</v>
          </cell>
        </row>
        <row r="239">
          <cell r="C239" t="str">
            <v>П-шка в продол.сеч.</v>
          </cell>
          <cell r="E239">
            <v>8</v>
          </cell>
          <cell r="H239">
            <v>1100</v>
          </cell>
          <cell r="I239">
            <v>10</v>
          </cell>
        </row>
        <row r="243">
          <cell r="C243" t="str">
            <v>С-образная попер. В подошве</v>
          </cell>
          <cell r="E243">
            <v>41</v>
          </cell>
          <cell r="H243">
            <v>970</v>
          </cell>
          <cell r="I243">
            <v>10</v>
          </cell>
        </row>
        <row r="250">
          <cell r="C250" t="str">
            <v>Гориз. В стене</v>
          </cell>
          <cell r="E250">
            <v>11</v>
          </cell>
          <cell r="F250">
            <v>1.2000000000000002</v>
          </cell>
          <cell r="G250">
            <v>0.4</v>
          </cell>
          <cell r="H250">
            <v>3970</v>
          </cell>
        </row>
        <row r="252">
          <cell r="C252" t="str">
            <v>П-шка в стене гориз.</v>
          </cell>
          <cell r="E252">
            <v>10</v>
          </cell>
          <cell r="H252">
            <v>1070</v>
          </cell>
          <cell r="I252">
            <v>10</v>
          </cell>
        </row>
        <row r="253">
          <cell r="C253" t="str">
            <v>Вертик. В стене</v>
          </cell>
          <cell r="E253">
            <v>42</v>
          </cell>
          <cell r="H253">
            <v>1445</v>
          </cell>
          <cell r="I253">
            <v>10</v>
          </cell>
        </row>
        <row r="254">
          <cell r="C254" t="str">
            <v>Шпилька</v>
          </cell>
          <cell r="E254">
            <v>50</v>
          </cell>
          <cell r="H254">
            <v>220</v>
          </cell>
          <cell r="I254">
            <v>6</v>
          </cell>
        </row>
        <row r="255">
          <cell r="C255" t="str">
            <v>Поперечная в подошве</v>
          </cell>
          <cell r="E255">
            <v>21</v>
          </cell>
          <cell r="H255">
            <v>700</v>
          </cell>
          <cell r="I255">
            <v>10</v>
          </cell>
        </row>
        <row r="256">
          <cell r="C256" t="str">
            <v>Продольная в подошве</v>
          </cell>
          <cell r="E256">
            <v>9</v>
          </cell>
          <cell r="H256">
            <v>3970</v>
          </cell>
          <cell r="I256">
            <v>10</v>
          </cell>
        </row>
        <row r="258">
          <cell r="C258" t="str">
            <v>П-шка в продол.сеч.</v>
          </cell>
          <cell r="E258">
            <v>8</v>
          </cell>
          <cell r="H258">
            <v>1100</v>
          </cell>
          <cell r="I258">
            <v>10</v>
          </cell>
        </row>
        <row r="262">
          <cell r="C262" t="str">
            <v>С-образная попер. В подошве</v>
          </cell>
          <cell r="E262">
            <v>21</v>
          </cell>
          <cell r="H262">
            <v>970</v>
          </cell>
          <cell r="I262">
            <v>10</v>
          </cell>
        </row>
        <row r="269">
          <cell r="C269" t="str">
            <v>Гориз. В стене</v>
          </cell>
          <cell r="E269">
            <v>1</v>
          </cell>
          <cell r="F269">
            <v>2.4</v>
          </cell>
          <cell r="G269">
            <v>0.79999999999999993</v>
          </cell>
          <cell r="H269">
            <v>44260</v>
          </cell>
        </row>
        <row r="271">
          <cell r="C271" t="str">
            <v>П-шка в стене гориз.</v>
          </cell>
          <cell r="E271">
            <v>10</v>
          </cell>
          <cell r="H271">
            <v>1070</v>
          </cell>
          <cell r="I271">
            <v>10</v>
          </cell>
        </row>
        <row r="272">
          <cell r="C272" t="str">
            <v>Вертик. В стене</v>
          </cell>
          <cell r="E272">
            <v>80</v>
          </cell>
          <cell r="H272">
            <v>1445</v>
          </cell>
          <cell r="I272">
            <v>10</v>
          </cell>
        </row>
        <row r="273">
          <cell r="C273" t="str">
            <v>Шпилька</v>
          </cell>
          <cell r="E273">
            <v>99</v>
          </cell>
          <cell r="H273">
            <v>220</v>
          </cell>
          <cell r="I273">
            <v>6</v>
          </cell>
        </row>
        <row r="274">
          <cell r="C274" t="str">
            <v>Поперечная в подошве</v>
          </cell>
          <cell r="E274">
            <v>40</v>
          </cell>
          <cell r="H274">
            <v>700</v>
          </cell>
          <cell r="I274">
            <v>10</v>
          </cell>
        </row>
        <row r="275">
          <cell r="C275" t="str">
            <v>Продольная в подошве</v>
          </cell>
          <cell r="E275">
            <v>1</v>
          </cell>
          <cell r="H275">
            <v>35450</v>
          </cell>
          <cell r="I275">
            <v>10</v>
          </cell>
        </row>
        <row r="277">
          <cell r="C277" t="str">
            <v>П-шка в продол.сеч.</v>
          </cell>
          <cell r="E277">
            <v>8</v>
          </cell>
          <cell r="H277">
            <v>1100</v>
          </cell>
          <cell r="I277">
            <v>10</v>
          </cell>
        </row>
        <row r="281">
          <cell r="C281" t="str">
            <v>С-образная попер. В подошве</v>
          </cell>
          <cell r="E281">
            <v>40</v>
          </cell>
          <cell r="H281">
            <v>970</v>
          </cell>
          <cell r="I281">
            <v>10</v>
          </cell>
        </row>
        <row r="287">
          <cell r="O287">
            <v>6000</v>
          </cell>
        </row>
        <row r="288">
          <cell r="C288" t="str">
            <v>Гориз. В стене</v>
          </cell>
          <cell r="E288">
            <v>1</v>
          </cell>
          <cell r="F288">
            <v>6.6</v>
          </cell>
          <cell r="G288">
            <v>0.79999999999999993</v>
          </cell>
          <cell r="H288">
            <v>68970</v>
          </cell>
          <cell r="I288">
            <v>10</v>
          </cell>
        </row>
        <row r="289">
          <cell r="C289" t="str">
            <v>П-шка в стене верт</v>
          </cell>
          <cell r="E289">
            <v>30</v>
          </cell>
          <cell r="H289">
            <v>1300</v>
          </cell>
          <cell r="I289">
            <v>10</v>
          </cell>
        </row>
        <row r="290">
          <cell r="C290" t="str">
            <v>П-шка в стене гориз.</v>
          </cell>
          <cell r="E290">
            <v>20</v>
          </cell>
          <cell r="H290">
            <v>1320</v>
          </cell>
          <cell r="I290">
            <v>10</v>
          </cell>
        </row>
        <row r="291">
          <cell r="C291" t="str">
            <v>Вертик. В стене</v>
          </cell>
          <cell r="E291">
            <v>60</v>
          </cell>
          <cell r="H291">
            <v>2390</v>
          </cell>
          <cell r="I291">
            <v>10</v>
          </cell>
        </row>
        <row r="292">
          <cell r="C292" t="str">
            <v>Шпилька</v>
          </cell>
          <cell r="E292">
            <v>156</v>
          </cell>
          <cell r="H292">
            <v>470</v>
          </cell>
          <cell r="I292">
            <v>6</v>
          </cell>
        </row>
        <row r="293">
          <cell r="C293" t="str">
            <v>Поперечная в подошве</v>
          </cell>
          <cell r="E293">
            <v>30</v>
          </cell>
          <cell r="H293">
            <v>950</v>
          </cell>
          <cell r="I293">
            <v>10</v>
          </cell>
        </row>
        <row r="294">
          <cell r="C294" t="str">
            <v>Продольная в подошве</v>
          </cell>
          <cell r="E294">
            <v>1</v>
          </cell>
          <cell r="H294">
            <v>35450</v>
          </cell>
          <cell r="I294">
            <v>10</v>
          </cell>
        </row>
        <row r="296">
          <cell r="C296" t="str">
            <v>П-шка в продол.сеч.</v>
          </cell>
          <cell r="E296">
            <v>10</v>
          </cell>
          <cell r="H296">
            <v>1200</v>
          </cell>
          <cell r="I296">
            <v>10</v>
          </cell>
        </row>
        <row r="300">
          <cell r="C300" t="str">
            <v>С-образная попер. В подошве</v>
          </cell>
          <cell r="E300">
            <v>30</v>
          </cell>
          <cell r="H300">
            <v>1420</v>
          </cell>
          <cell r="I300">
            <v>10</v>
          </cell>
        </row>
        <row r="306">
          <cell r="O306">
            <v>8460</v>
          </cell>
        </row>
        <row r="307">
          <cell r="C307" t="str">
            <v>Гориз. В стене</v>
          </cell>
          <cell r="E307">
            <v>1</v>
          </cell>
          <cell r="F307">
            <v>14.5</v>
          </cell>
          <cell r="G307">
            <v>1.8</v>
          </cell>
          <cell r="H307">
            <v>135970</v>
          </cell>
          <cell r="I307">
            <v>10</v>
          </cell>
        </row>
        <row r="308">
          <cell r="C308" t="str">
            <v>П-шка в стене верт</v>
          </cell>
          <cell r="E308">
            <v>43</v>
          </cell>
          <cell r="H308">
            <v>1300</v>
          </cell>
          <cell r="I308">
            <v>10</v>
          </cell>
        </row>
        <row r="309">
          <cell r="C309" t="str">
            <v>П-шка в стене гориз.</v>
          </cell>
          <cell r="E309">
            <v>28</v>
          </cell>
          <cell r="H309">
            <v>1320</v>
          </cell>
          <cell r="I309">
            <v>10</v>
          </cell>
        </row>
        <row r="310">
          <cell r="C310" t="str">
            <v>Вертик. В стене</v>
          </cell>
          <cell r="E310">
            <v>86</v>
          </cell>
          <cell r="H310">
            <v>3240</v>
          </cell>
          <cell r="I310">
            <v>10</v>
          </cell>
        </row>
        <row r="311">
          <cell r="C311" t="str">
            <v>Шпилька</v>
          </cell>
          <cell r="E311">
            <v>314</v>
          </cell>
          <cell r="H311">
            <v>470</v>
          </cell>
          <cell r="I311">
            <v>6</v>
          </cell>
        </row>
        <row r="312">
          <cell r="C312" t="str">
            <v>Поперечная в подошве</v>
          </cell>
          <cell r="E312">
            <v>43</v>
          </cell>
          <cell r="H312">
            <v>1850</v>
          </cell>
          <cell r="I312">
            <v>10</v>
          </cell>
        </row>
        <row r="313">
          <cell r="C313" t="str">
            <v>Продольная в подошве</v>
          </cell>
          <cell r="E313">
            <v>1</v>
          </cell>
          <cell r="H313">
            <v>91880</v>
          </cell>
          <cell r="I313">
            <v>10</v>
          </cell>
        </row>
        <row r="314">
          <cell r="C314" t="str">
            <v>П-шка в поперечном сеч.</v>
          </cell>
          <cell r="E314">
            <v>0</v>
          </cell>
          <cell r="H314">
            <v>1220</v>
          </cell>
          <cell r="I314">
            <v>10</v>
          </cell>
        </row>
        <row r="315">
          <cell r="C315" t="str">
            <v>П-шка в продол.сеч.</v>
          </cell>
          <cell r="E315">
            <v>20</v>
          </cell>
          <cell r="H315">
            <v>1200</v>
          </cell>
          <cell r="I315">
            <v>10</v>
          </cell>
        </row>
        <row r="318">
          <cell r="C318" t="str">
            <v>Г-шка угловая</v>
          </cell>
          <cell r="E318">
            <v>30</v>
          </cell>
          <cell r="H318">
            <v>1000</v>
          </cell>
          <cell r="I318">
            <v>10</v>
          </cell>
        </row>
        <row r="319">
          <cell r="C319" t="str">
            <v>С-образная попер. В подошве</v>
          </cell>
          <cell r="E319">
            <v>43</v>
          </cell>
          <cell r="H319">
            <v>2320</v>
          </cell>
          <cell r="I319">
            <v>10</v>
          </cell>
        </row>
        <row r="325">
          <cell r="O325">
            <v>9300</v>
          </cell>
        </row>
        <row r="326">
          <cell r="C326" t="str">
            <v>Гориз. В стене</v>
          </cell>
          <cell r="E326">
            <v>1</v>
          </cell>
          <cell r="F326">
            <v>16.5</v>
          </cell>
          <cell r="G326">
            <v>2.2000000000000002</v>
          </cell>
          <cell r="H326">
            <v>149180</v>
          </cell>
          <cell r="I326">
            <v>10</v>
          </cell>
          <cell r="L326">
            <v>24</v>
          </cell>
        </row>
        <row r="327">
          <cell r="C327" t="str">
            <v>П-шка в стене верт</v>
          </cell>
          <cell r="E327">
            <v>47</v>
          </cell>
          <cell r="H327">
            <v>1300</v>
          </cell>
          <cell r="I327">
            <v>10</v>
          </cell>
        </row>
        <row r="328">
          <cell r="C328" t="str">
            <v>П-шка в стене гориз.</v>
          </cell>
          <cell r="E328">
            <v>28</v>
          </cell>
          <cell r="H328">
            <v>1320</v>
          </cell>
          <cell r="I328">
            <v>10</v>
          </cell>
        </row>
        <row r="329">
          <cell r="C329" t="str">
            <v>Вертик. В стене</v>
          </cell>
          <cell r="E329">
            <v>94</v>
          </cell>
          <cell r="H329">
            <v>3240</v>
          </cell>
          <cell r="I329">
            <v>10</v>
          </cell>
        </row>
        <row r="330">
          <cell r="C330" t="str">
            <v>Шпилька</v>
          </cell>
          <cell r="E330">
            <v>345</v>
          </cell>
          <cell r="H330">
            <v>470</v>
          </cell>
          <cell r="I330">
            <v>6</v>
          </cell>
        </row>
        <row r="331">
          <cell r="C331" t="str">
            <v>Поперечная в подошве</v>
          </cell>
          <cell r="E331">
            <v>47</v>
          </cell>
          <cell r="H331">
            <v>2050</v>
          </cell>
          <cell r="I331">
            <v>10</v>
          </cell>
        </row>
        <row r="332">
          <cell r="C332" t="str">
            <v>Продольная в подошве</v>
          </cell>
          <cell r="E332">
            <v>1</v>
          </cell>
          <cell r="H332">
            <v>111070</v>
          </cell>
          <cell r="I332">
            <v>10</v>
          </cell>
        </row>
        <row r="333">
          <cell r="C333" t="str">
            <v>П-шка в поперечном сеч.</v>
          </cell>
          <cell r="E333">
            <v>94</v>
          </cell>
          <cell r="H333">
            <v>1220</v>
          </cell>
          <cell r="I333">
            <v>10</v>
          </cell>
        </row>
        <row r="334">
          <cell r="C334" t="str">
            <v>П-шка в продол.сеч.</v>
          </cell>
          <cell r="E334">
            <v>22</v>
          </cell>
          <cell r="H334">
            <v>1200</v>
          </cell>
          <cell r="I334">
            <v>10</v>
          </cell>
        </row>
        <row r="344">
          <cell r="O344">
            <v>9800</v>
          </cell>
        </row>
        <row r="345">
          <cell r="C345" t="str">
            <v>Гориз. В стене</v>
          </cell>
          <cell r="E345">
            <v>1</v>
          </cell>
          <cell r="F345">
            <v>17.400000000000002</v>
          </cell>
          <cell r="G345">
            <v>2.3000000000000003</v>
          </cell>
          <cell r="H345">
            <v>157440</v>
          </cell>
          <cell r="I345">
            <v>10</v>
          </cell>
          <cell r="L345">
            <v>26</v>
          </cell>
        </row>
        <row r="346">
          <cell r="C346" t="str">
            <v>П-шка в стене верт</v>
          </cell>
          <cell r="E346">
            <v>49</v>
          </cell>
          <cell r="H346">
            <v>1300</v>
          </cell>
          <cell r="I346">
            <v>10</v>
          </cell>
        </row>
        <row r="347">
          <cell r="C347" t="str">
            <v>П-шка в стене гориз.</v>
          </cell>
          <cell r="E347">
            <v>28</v>
          </cell>
          <cell r="H347">
            <v>1320</v>
          </cell>
          <cell r="I347">
            <v>10</v>
          </cell>
        </row>
        <row r="348">
          <cell r="C348" t="str">
            <v>Вертик. В стене</v>
          </cell>
          <cell r="E348">
            <v>98</v>
          </cell>
          <cell r="H348">
            <v>3240</v>
          </cell>
          <cell r="I348">
            <v>10</v>
          </cell>
        </row>
        <row r="349">
          <cell r="C349" t="str">
            <v>Шпилька</v>
          </cell>
          <cell r="E349">
            <v>364</v>
          </cell>
          <cell r="H349">
            <v>470</v>
          </cell>
          <cell r="I349">
            <v>6</v>
          </cell>
        </row>
        <row r="350">
          <cell r="C350" t="str">
            <v>Поперечная в подошве</v>
          </cell>
          <cell r="E350">
            <v>49</v>
          </cell>
          <cell r="H350">
            <v>2050</v>
          </cell>
          <cell r="I350">
            <v>10</v>
          </cell>
        </row>
        <row r="351">
          <cell r="C351" t="str">
            <v>Продольная в подошве</v>
          </cell>
          <cell r="E351">
            <v>1</v>
          </cell>
          <cell r="H351">
            <v>116440</v>
          </cell>
          <cell r="I351">
            <v>10</v>
          </cell>
        </row>
        <row r="352">
          <cell r="C352" t="str">
            <v>П-шка в поперечном сеч.</v>
          </cell>
          <cell r="E352">
            <v>98</v>
          </cell>
          <cell r="H352">
            <v>1220</v>
          </cell>
          <cell r="I352">
            <v>10</v>
          </cell>
        </row>
        <row r="353">
          <cell r="C353" t="str">
            <v>П-шка в продол.сеч.</v>
          </cell>
          <cell r="E353">
            <v>22</v>
          </cell>
          <cell r="H353">
            <v>1200</v>
          </cell>
          <cell r="I353">
            <v>10</v>
          </cell>
        </row>
        <row r="356">
          <cell r="C356" t="str">
            <v>Г-шка угловая</v>
          </cell>
          <cell r="E356">
            <v>30</v>
          </cell>
          <cell r="H356">
            <v>1000</v>
          </cell>
          <cell r="I356">
            <v>10</v>
          </cell>
        </row>
        <row r="363">
          <cell r="O363">
            <v>3300</v>
          </cell>
        </row>
        <row r="364">
          <cell r="C364" t="str">
            <v>Гориз. В стене</v>
          </cell>
          <cell r="E364">
            <v>30</v>
          </cell>
          <cell r="F364">
            <v>5.8999999999999995</v>
          </cell>
          <cell r="G364">
            <v>0.79999999999999993</v>
          </cell>
          <cell r="H364">
            <v>3250</v>
          </cell>
          <cell r="I364">
            <v>10</v>
          </cell>
          <cell r="L364">
            <v>10</v>
          </cell>
        </row>
        <row r="365">
          <cell r="C365" t="str">
            <v>П-шка в стене верт</v>
          </cell>
          <cell r="E365">
            <v>17</v>
          </cell>
          <cell r="H365">
            <v>1300</v>
          </cell>
          <cell r="I365">
            <v>10</v>
          </cell>
        </row>
        <row r="366">
          <cell r="C366" t="str">
            <v>П-шка в стене гориз.</v>
          </cell>
          <cell r="E366">
            <v>28</v>
          </cell>
          <cell r="H366">
            <v>1320</v>
          </cell>
          <cell r="I366">
            <v>10</v>
          </cell>
        </row>
        <row r="367">
          <cell r="C367" t="str">
            <v>Вертик. В стене</v>
          </cell>
          <cell r="E367">
            <v>34</v>
          </cell>
          <cell r="H367">
            <v>3240</v>
          </cell>
          <cell r="I367">
            <v>10</v>
          </cell>
        </row>
        <row r="368">
          <cell r="C368" t="str">
            <v>Шпилька</v>
          </cell>
          <cell r="E368">
            <v>123</v>
          </cell>
          <cell r="H368">
            <v>470</v>
          </cell>
          <cell r="I368">
            <v>6</v>
          </cell>
        </row>
        <row r="369">
          <cell r="C369" t="str">
            <v>Поперечная в подошве</v>
          </cell>
          <cell r="E369">
            <v>17</v>
          </cell>
          <cell r="H369">
            <v>2050</v>
          </cell>
          <cell r="I369">
            <v>10</v>
          </cell>
        </row>
        <row r="370">
          <cell r="C370" t="str">
            <v>Продольная в подошве</v>
          </cell>
          <cell r="E370">
            <v>22</v>
          </cell>
          <cell r="H370">
            <v>3250</v>
          </cell>
          <cell r="I370">
            <v>10</v>
          </cell>
        </row>
        <row r="371">
          <cell r="C371" t="str">
            <v>П-шка в поперечном сеч.</v>
          </cell>
          <cell r="E371">
            <v>34</v>
          </cell>
          <cell r="H371">
            <v>1220</v>
          </cell>
          <cell r="I371">
            <v>10</v>
          </cell>
        </row>
        <row r="372">
          <cell r="C372" t="str">
            <v>П-шка в продол.сеч.</v>
          </cell>
          <cell r="E372">
            <v>22</v>
          </cell>
          <cell r="H372">
            <v>1200</v>
          </cell>
          <cell r="I372">
            <v>10</v>
          </cell>
        </row>
        <row r="382">
          <cell r="O382">
            <v>3300</v>
          </cell>
        </row>
        <row r="383">
          <cell r="C383" t="str">
            <v>Гориз. В стене</v>
          </cell>
          <cell r="E383">
            <v>19</v>
          </cell>
          <cell r="F383">
            <v>3.4</v>
          </cell>
          <cell r="G383">
            <v>0.4</v>
          </cell>
          <cell r="H383">
            <v>3250</v>
          </cell>
          <cell r="I383">
            <v>10</v>
          </cell>
        </row>
        <row r="384">
          <cell r="C384" t="str">
            <v>П-шка в стене верт</v>
          </cell>
          <cell r="E384">
            <v>17</v>
          </cell>
          <cell r="H384">
            <v>1300</v>
          </cell>
          <cell r="I384">
            <v>10</v>
          </cell>
        </row>
        <row r="385">
          <cell r="C385" t="str">
            <v>П-шка в стене гориз.</v>
          </cell>
          <cell r="E385">
            <v>18</v>
          </cell>
          <cell r="H385">
            <v>1320</v>
          </cell>
          <cell r="I385">
            <v>10</v>
          </cell>
        </row>
        <row r="386">
          <cell r="C386" t="str">
            <v>Вертик. В стене</v>
          </cell>
          <cell r="E386">
            <v>34</v>
          </cell>
          <cell r="H386">
            <v>2170</v>
          </cell>
          <cell r="I386">
            <v>10</v>
          </cell>
        </row>
        <row r="387">
          <cell r="C387" t="str">
            <v>Шпилька</v>
          </cell>
          <cell r="E387">
            <v>77</v>
          </cell>
          <cell r="H387">
            <v>470</v>
          </cell>
          <cell r="I387">
            <v>6</v>
          </cell>
        </row>
        <row r="388">
          <cell r="C388" t="str">
            <v>Поперечная в подошве</v>
          </cell>
          <cell r="E388">
            <v>17</v>
          </cell>
          <cell r="H388">
            <v>950</v>
          </cell>
          <cell r="I388">
            <v>10</v>
          </cell>
        </row>
        <row r="389">
          <cell r="C389" t="str">
            <v>Продольная в подошве</v>
          </cell>
          <cell r="E389">
            <v>10</v>
          </cell>
          <cell r="H389">
            <v>3250</v>
          </cell>
          <cell r="I389">
            <v>10</v>
          </cell>
        </row>
        <row r="391">
          <cell r="C391" t="str">
            <v>П-шка в продол.сеч.</v>
          </cell>
          <cell r="E391">
            <v>10</v>
          </cell>
          <cell r="H391">
            <v>1200</v>
          </cell>
          <cell r="I391">
            <v>10</v>
          </cell>
        </row>
        <row r="395">
          <cell r="C395" t="str">
            <v>С-образная попер. В подошве</v>
          </cell>
          <cell r="E395">
            <v>17</v>
          </cell>
          <cell r="H395">
            <v>1420</v>
          </cell>
          <cell r="I395">
            <v>10</v>
          </cell>
        </row>
        <row r="401">
          <cell r="O401">
            <v>3300</v>
          </cell>
        </row>
        <row r="402">
          <cell r="C402" t="str">
            <v>Гориз. В стене</v>
          </cell>
          <cell r="E402">
            <v>19</v>
          </cell>
          <cell r="F402">
            <v>3.4</v>
          </cell>
          <cell r="G402">
            <v>0.4</v>
          </cell>
          <cell r="H402">
            <v>3250</v>
          </cell>
          <cell r="I402">
            <v>10</v>
          </cell>
        </row>
        <row r="403">
          <cell r="C403" t="str">
            <v>П-шка в стене верт</v>
          </cell>
          <cell r="E403">
            <v>17</v>
          </cell>
          <cell r="H403">
            <v>1300</v>
          </cell>
          <cell r="I403">
            <v>10</v>
          </cell>
        </row>
        <row r="404">
          <cell r="C404" t="str">
            <v>П-шка в стене гориз.</v>
          </cell>
          <cell r="E404">
            <v>18</v>
          </cell>
          <cell r="H404">
            <v>1320</v>
          </cell>
          <cell r="I404">
            <v>10</v>
          </cell>
        </row>
        <row r="405">
          <cell r="C405" t="str">
            <v>Вертик. В стене</v>
          </cell>
          <cell r="E405">
            <v>34</v>
          </cell>
          <cell r="H405">
            <v>2170</v>
          </cell>
          <cell r="I405">
            <v>10</v>
          </cell>
        </row>
        <row r="406">
          <cell r="C406" t="str">
            <v>Шпилька</v>
          </cell>
          <cell r="E406">
            <v>77</v>
          </cell>
          <cell r="H406">
            <v>470</v>
          </cell>
          <cell r="I406">
            <v>6</v>
          </cell>
        </row>
        <row r="407">
          <cell r="C407" t="str">
            <v>Поперечная в подошве</v>
          </cell>
          <cell r="E407">
            <v>17</v>
          </cell>
          <cell r="H407">
            <v>950</v>
          </cell>
          <cell r="I407">
            <v>10</v>
          </cell>
        </row>
        <row r="408">
          <cell r="C408" t="str">
            <v>Продольная в подошве</v>
          </cell>
          <cell r="E408">
            <v>10</v>
          </cell>
          <cell r="H408">
            <v>3250</v>
          </cell>
          <cell r="I408">
            <v>10</v>
          </cell>
        </row>
        <row r="410">
          <cell r="C410" t="str">
            <v>П-шка в продол.сеч.</v>
          </cell>
          <cell r="E410">
            <v>10</v>
          </cell>
          <cell r="H410">
            <v>1200</v>
          </cell>
          <cell r="I410">
            <v>10</v>
          </cell>
        </row>
        <row r="414">
          <cell r="C414" t="str">
            <v>С-образная попер. В подошве</v>
          </cell>
          <cell r="E414">
            <v>17</v>
          </cell>
          <cell r="H414">
            <v>1420</v>
          </cell>
          <cell r="I414">
            <v>10</v>
          </cell>
        </row>
        <row r="420">
          <cell r="O420">
            <v>3520</v>
          </cell>
        </row>
        <row r="421">
          <cell r="C421" t="str">
            <v>Гориз. В стене</v>
          </cell>
          <cell r="E421">
            <v>21</v>
          </cell>
          <cell r="F421">
            <v>3.9</v>
          </cell>
          <cell r="G421">
            <v>0.5</v>
          </cell>
          <cell r="H421">
            <v>3470</v>
          </cell>
          <cell r="I421">
            <v>10</v>
          </cell>
        </row>
        <row r="422">
          <cell r="C422" t="str">
            <v>П-шка в стене верт</v>
          </cell>
          <cell r="E422">
            <v>18</v>
          </cell>
          <cell r="H422">
            <v>1300</v>
          </cell>
          <cell r="I422">
            <v>10</v>
          </cell>
        </row>
        <row r="423">
          <cell r="C423" t="str">
            <v>П-шка в стене гориз.</v>
          </cell>
          <cell r="E423">
            <v>20</v>
          </cell>
          <cell r="H423">
            <v>1320</v>
          </cell>
          <cell r="I423">
            <v>10</v>
          </cell>
        </row>
        <row r="424">
          <cell r="C424" t="str">
            <v>Вертик. В стене</v>
          </cell>
          <cell r="E424">
            <v>36</v>
          </cell>
          <cell r="H424">
            <v>2390</v>
          </cell>
          <cell r="I424">
            <v>10</v>
          </cell>
        </row>
        <row r="425">
          <cell r="C425" t="str">
            <v>Шпилька</v>
          </cell>
          <cell r="E425">
            <v>92</v>
          </cell>
          <cell r="H425">
            <v>470</v>
          </cell>
          <cell r="I425">
            <v>6</v>
          </cell>
        </row>
        <row r="426">
          <cell r="C426" t="str">
            <v>Поперечная в подошве</v>
          </cell>
          <cell r="E426">
            <v>18</v>
          </cell>
          <cell r="H426">
            <v>950</v>
          </cell>
          <cell r="I426">
            <v>10</v>
          </cell>
        </row>
        <row r="427">
          <cell r="C427" t="str">
            <v>Продольная в подошве</v>
          </cell>
          <cell r="E427">
            <v>10</v>
          </cell>
          <cell r="H427">
            <v>3470</v>
          </cell>
          <cell r="I427">
            <v>10</v>
          </cell>
        </row>
        <row r="429">
          <cell r="C429" t="str">
            <v>П-шка в продол.сеч.</v>
          </cell>
          <cell r="E429">
            <v>10</v>
          </cell>
          <cell r="H429">
            <v>1200</v>
          </cell>
          <cell r="I429">
            <v>10</v>
          </cell>
        </row>
        <row r="433">
          <cell r="C433" t="str">
            <v>С-образная попер. В подошве</v>
          </cell>
          <cell r="E433">
            <v>18</v>
          </cell>
          <cell r="H433">
            <v>1420</v>
          </cell>
          <cell r="I433">
            <v>10</v>
          </cell>
        </row>
      </sheetData>
      <sheetData sheetId="10" refreshError="1"/>
      <sheetData sheetId="11">
        <row r="3">
          <cell r="A3" t="str">
            <v>Пс8.5.1</v>
          </cell>
          <cell r="B3">
            <v>4520</v>
          </cell>
          <cell r="C3">
            <v>1150</v>
          </cell>
          <cell r="D3">
            <v>200</v>
          </cell>
          <cell r="E3">
            <v>800</v>
          </cell>
          <cell r="F3">
            <v>300</v>
          </cell>
          <cell r="G3">
            <v>300</v>
          </cell>
          <cell r="H3">
            <v>300</v>
          </cell>
          <cell r="I3">
            <v>12</v>
          </cell>
          <cell r="J3">
            <v>200</v>
          </cell>
          <cell r="K3">
            <v>12</v>
          </cell>
          <cell r="L3">
            <v>200</v>
          </cell>
          <cell r="M3">
            <v>12</v>
          </cell>
          <cell r="N3">
            <v>200</v>
          </cell>
          <cell r="O3">
            <v>12</v>
          </cell>
          <cell r="P3">
            <v>200</v>
          </cell>
          <cell r="AI3">
            <v>0</v>
          </cell>
          <cell r="AJ3">
            <v>2.2999999999999998</v>
          </cell>
          <cell r="AK3">
            <v>9.3999999999999986E-3</v>
          </cell>
          <cell r="AL3">
            <v>4</v>
          </cell>
          <cell r="AM3">
            <v>4</v>
          </cell>
          <cell r="AO3">
            <v>14.943999999999999</v>
          </cell>
        </row>
        <row r="4">
          <cell r="A4" t="str">
            <v>Пс8.5.2</v>
          </cell>
          <cell r="B4">
            <v>3000</v>
          </cell>
          <cell r="C4">
            <v>2700</v>
          </cell>
          <cell r="D4">
            <v>200</v>
          </cell>
          <cell r="E4">
            <v>2800</v>
          </cell>
          <cell r="F4">
            <v>300</v>
          </cell>
          <cell r="G4">
            <v>2300</v>
          </cell>
          <cell r="H4">
            <v>300</v>
          </cell>
          <cell r="I4">
            <v>12</v>
          </cell>
          <cell r="J4">
            <v>200</v>
          </cell>
          <cell r="K4">
            <v>14</v>
          </cell>
          <cell r="L4">
            <v>100</v>
          </cell>
          <cell r="M4">
            <v>16</v>
          </cell>
          <cell r="N4">
            <v>100</v>
          </cell>
          <cell r="O4">
            <v>12</v>
          </cell>
          <cell r="P4">
            <v>200</v>
          </cell>
          <cell r="AG4">
            <v>0</v>
          </cell>
          <cell r="AI4">
            <v>0</v>
          </cell>
          <cell r="AJ4">
            <v>5.4</v>
          </cell>
          <cell r="AK4">
            <v>2.76E-2</v>
          </cell>
          <cell r="AL4">
            <v>9</v>
          </cell>
          <cell r="AM4">
            <v>9</v>
          </cell>
          <cell r="AO4">
            <v>25.68</v>
          </cell>
        </row>
        <row r="5">
          <cell r="A5" t="str">
            <v>Пс8.5.3</v>
          </cell>
          <cell r="B5">
            <v>10000</v>
          </cell>
          <cell r="C5">
            <v>2700</v>
          </cell>
          <cell r="D5">
            <v>200</v>
          </cell>
          <cell r="E5">
            <v>2800</v>
          </cell>
          <cell r="F5">
            <v>300</v>
          </cell>
          <cell r="G5">
            <v>2300</v>
          </cell>
          <cell r="H5">
            <v>300</v>
          </cell>
          <cell r="I5">
            <v>12</v>
          </cell>
          <cell r="J5">
            <v>200</v>
          </cell>
          <cell r="K5">
            <v>14</v>
          </cell>
          <cell r="L5">
            <v>100</v>
          </cell>
          <cell r="M5">
            <v>16</v>
          </cell>
          <cell r="N5">
            <v>100</v>
          </cell>
          <cell r="O5">
            <v>12</v>
          </cell>
          <cell r="P5">
            <v>200</v>
          </cell>
          <cell r="AG5">
            <v>14.000000000000002</v>
          </cell>
          <cell r="AI5">
            <v>13.5</v>
          </cell>
          <cell r="AJ5">
            <v>27</v>
          </cell>
          <cell r="AK5">
            <v>0.13800000000000001</v>
          </cell>
          <cell r="AL5">
            <v>45</v>
          </cell>
          <cell r="AM5">
            <v>45</v>
          </cell>
          <cell r="AO5">
            <v>373.40000000000003</v>
          </cell>
        </row>
        <row r="6">
          <cell r="A6" t="str">
            <v>Пс8.5.4</v>
          </cell>
          <cell r="B6">
            <v>3200</v>
          </cell>
          <cell r="C6">
            <v>2700</v>
          </cell>
          <cell r="D6">
            <v>200</v>
          </cell>
          <cell r="E6">
            <v>2800</v>
          </cell>
          <cell r="F6">
            <v>300</v>
          </cell>
          <cell r="G6">
            <v>2300</v>
          </cell>
          <cell r="H6">
            <v>300</v>
          </cell>
          <cell r="I6">
            <v>12</v>
          </cell>
          <cell r="J6">
            <v>200</v>
          </cell>
          <cell r="K6">
            <v>14</v>
          </cell>
          <cell r="L6">
            <v>100</v>
          </cell>
          <cell r="M6">
            <v>16</v>
          </cell>
          <cell r="N6">
            <v>100</v>
          </cell>
          <cell r="O6">
            <v>12</v>
          </cell>
          <cell r="P6">
            <v>200</v>
          </cell>
          <cell r="AG6">
            <v>0</v>
          </cell>
          <cell r="AI6">
            <v>0</v>
          </cell>
          <cell r="AJ6">
            <v>5.4</v>
          </cell>
          <cell r="AK6">
            <v>2.76E-2</v>
          </cell>
          <cell r="AL6">
            <v>9</v>
          </cell>
          <cell r="AM6">
            <v>9</v>
          </cell>
          <cell r="AO6">
            <v>26.64</v>
          </cell>
        </row>
        <row r="7">
          <cell r="A7" t="str">
            <v>Пс8.5.5</v>
          </cell>
          <cell r="B7">
            <v>5680</v>
          </cell>
          <cell r="C7">
            <v>1150</v>
          </cell>
          <cell r="D7">
            <v>200</v>
          </cell>
          <cell r="E7">
            <v>800</v>
          </cell>
          <cell r="F7">
            <v>300</v>
          </cell>
          <cell r="G7">
            <v>300</v>
          </cell>
          <cell r="H7">
            <v>300</v>
          </cell>
          <cell r="I7">
            <v>12</v>
          </cell>
          <cell r="J7">
            <v>200</v>
          </cell>
          <cell r="K7">
            <v>12</v>
          </cell>
          <cell r="L7">
            <v>200</v>
          </cell>
          <cell r="M7">
            <v>12</v>
          </cell>
          <cell r="N7">
            <v>200</v>
          </cell>
          <cell r="O7">
            <v>12</v>
          </cell>
          <cell r="P7">
            <v>200</v>
          </cell>
          <cell r="AG7">
            <v>0</v>
          </cell>
          <cell r="AI7">
            <v>0</v>
          </cell>
          <cell r="AJ7">
            <v>2.2999999999999998</v>
          </cell>
          <cell r="AL7">
            <v>4</v>
          </cell>
          <cell r="AM7">
            <v>4</v>
          </cell>
          <cell r="AO7">
            <v>27.516799999999996</v>
          </cell>
        </row>
        <row r="8">
          <cell r="A8" t="str">
            <v>Пс8.4.1</v>
          </cell>
          <cell r="B8">
            <v>9245</v>
          </cell>
          <cell r="C8">
            <v>1100</v>
          </cell>
          <cell r="D8">
            <v>150</v>
          </cell>
          <cell r="E8">
            <v>750</v>
          </cell>
          <cell r="F8">
            <v>300</v>
          </cell>
          <cell r="G8">
            <v>300</v>
          </cell>
          <cell r="H8">
            <v>200</v>
          </cell>
          <cell r="I8">
            <v>10</v>
          </cell>
          <cell r="J8">
            <v>200</v>
          </cell>
          <cell r="K8">
            <v>10</v>
          </cell>
          <cell r="L8">
            <v>200</v>
          </cell>
          <cell r="M8">
            <v>10</v>
          </cell>
          <cell r="N8">
            <v>200</v>
          </cell>
          <cell r="O8">
            <v>10</v>
          </cell>
          <cell r="P8">
            <v>200</v>
          </cell>
          <cell r="AJ8">
            <v>2.2000000000000002</v>
          </cell>
          <cell r="AK8">
            <v>6.3E-3</v>
          </cell>
          <cell r="AL8">
            <v>4</v>
          </cell>
          <cell r="AM8">
            <v>4</v>
          </cell>
        </row>
        <row r="9">
          <cell r="A9" t="str">
            <v>Пс8.4.2</v>
          </cell>
          <cell r="B9">
            <v>7400</v>
          </cell>
          <cell r="C9">
            <v>1600</v>
          </cell>
          <cell r="D9">
            <v>150</v>
          </cell>
          <cell r="E9">
            <v>1100</v>
          </cell>
          <cell r="F9">
            <v>300</v>
          </cell>
          <cell r="G9">
            <v>650</v>
          </cell>
          <cell r="H9">
            <v>200</v>
          </cell>
          <cell r="I9">
            <v>10</v>
          </cell>
          <cell r="J9">
            <v>200</v>
          </cell>
          <cell r="K9">
            <v>10</v>
          </cell>
          <cell r="L9">
            <v>200</v>
          </cell>
          <cell r="M9">
            <v>10</v>
          </cell>
          <cell r="N9">
            <v>200</v>
          </cell>
          <cell r="O9">
            <v>10</v>
          </cell>
          <cell r="P9">
            <v>200</v>
          </cell>
          <cell r="AJ9">
            <v>3.2</v>
          </cell>
          <cell r="AK9">
            <v>9.1999999999999998E-3</v>
          </cell>
          <cell r="AL9">
            <v>6</v>
          </cell>
          <cell r="AM9">
            <v>6</v>
          </cell>
        </row>
        <row r="10">
          <cell r="A10" t="str">
            <v>Пс8.4.3</v>
          </cell>
          <cell r="B10">
            <v>10830</v>
          </cell>
          <cell r="C10">
            <v>1600</v>
          </cell>
          <cell r="D10">
            <v>150</v>
          </cell>
          <cell r="E10">
            <v>1100</v>
          </cell>
          <cell r="F10">
            <v>300</v>
          </cell>
          <cell r="G10">
            <v>650</v>
          </cell>
          <cell r="H10">
            <v>200</v>
          </cell>
          <cell r="I10">
            <v>10</v>
          </cell>
          <cell r="J10">
            <v>200</v>
          </cell>
          <cell r="K10">
            <v>10</v>
          </cell>
          <cell r="L10">
            <v>200</v>
          </cell>
          <cell r="M10">
            <v>10</v>
          </cell>
          <cell r="N10">
            <v>200</v>
          </cell>
          <cell r="O10">
            <v>10</v>
          </cell>
          <cell r="P10">
            <v>200</v>
          </cell>
          <cell r="AG10">
            <v>0</v>
          </cell>
          <cell r="AI10">
            <v>0</v>
          </cell>
          <cell r="AJ10">
            <v>3.2</v>
          </cell>
          <cell r="AK10">
            <v>9.1999999999999998E-3</v>
          </cell>
          <cell r="AL10">
            <v>6</v>
          </cell>
          <cell r="AM10">
            <v>6</v>
          </cell>
        </row>
        <row r="11">
          <cell r="A11" t="str">
            <v>Пс8.3.1</v>
          </cell>
          <cell r="B11">
            <v>7470</v>
          </cell>
          <cell r="C11">
            <v>1400</v>
          </cell>
          <cell r="D11">
            <v>200</v>
          </cell>
          <cell r="E11">
            <v>1100</v>
          </cell>
          <cell r="F11">
            <v>300</v>
          </cell>
          <cell r="G11">
            <v>600</v>
          </cell>
          <cell r="H11">
            <v>300</v>
          </cell>
          <cell r="I11">
            <v>10</v>
          </cell>
          <cell r="J11">
            <v>200</v>
          </cell>
          <cell r="K11">
            <v>10</v>
          </cell>
          <cell r="L11">
            <v>200</v>
          </cell>
          <cell r="M11">
            <v>10</v>
          </cell>
          <cell r="N11">
            <v>200</v>
          </cell>
          <cell r="O11">
            <v>10</v>
          </cell>
          <cell r="P11">
            <v>200</v>
          </cell>
          <cell r="AO11">
            <v>127.4136</v>
          </cell>
        </row>
        <row r="12">
          <cell r="A12" t="str">
            <v>Пс8.3.2</v>
          </cell>
          <cell r="B12">
            <v>12000</v>
          </cell>
          <cell r="C12">
            <v>1600</v>
          </cell>
          <cell r="D12">
            <v>200</v>
          </cell>
          <cell r="E12">
            <v>1600</v>
          </cell>
          <cell r="F12">
            <v>300</v>
          </cell>
          <cell r="G12">
            <v>1100</v>
          </cell>
          <cell r="H12">
            <v>300</v>
          </cell>
          <cell r="I12">
            <v>10</v>
          </cell>
          <cell r="J12">
            <v>200</v>
          </cell>
          <cell r="K12">
            <v>12</v>
          </cell>
          <cell r="L12">
            <v>200</v>
          </cell>
          <cell r="M12">
            <v>10</v>
          </cell>
          <cell r="N12">
            <v>200</v>
          </cell>
          <cell r="O12">
            <v>10</v>
          </cell>
          <cell r="P12">
            <v>200</v>
          </cell>
          <cell r="AJ12">
            <v>3.2</v>
          </cell>
          <cell r="AO12">
            <v>115.92</v>
          </cell>
        </row>
        <row r="13">
          <cell r="A13" t="str">
            <v>Пс8.3.3</v>
          </cell>
          <cell r="B13">
            <v>11800</v>
          </cell>
          <cell r="C13">
            <v>1600</v>
          </cell>
          <cell r="D13">
            <v>200</v>
          </cell>
          <cell r="E13">
            <v>1600</v>
          </cell>
          <cell r="F13">
            <v>300</v>
          </cell>
          <cell r="G13">
            <v>1100</v>
          </cell>
          <cell r="H13">
            <v>300</v>
          </cell>
          <cell r="I13">
            <v>10</v>
          </cell>
          <cell r="J13">
            <v>200</v>
          </cell>
          <cell r="K13">
            <v>12</v>
          </cell>
          <cell r="L13">
            <v>200</v>
          </cell>
          <cell r="M13">
            <v>10</v>
          </cell>
          <cell r="N13">
            <v>200</v>
          </cell>
          <cell r="O13">
            <v>10</v>
          </cell>
          <cell r="P13">
            <v>200</v>
          </cell>
          <cell r="AG13">
            <v>0</v>
          </cell>
          <cell r="AI13">
            <v>0</v>
          </cell>
          <cell r="AJ13">
            <v>3.2</v>
          </cell>
          <cell r="AK13">
            <v>1.6E-2</v>
          </cell>
          <cell r="AL13">
            <v>6</v>
          </cell>
          <cell r="AM13">
            <v>6</v>
          </cell>
          <cell r="AO13">
            <v>114.004</v>
          </cell>
        </row>
        <row r="14">
          <cell r="A14" t="str">
            <v>Пс8.6.1</v>
          </cell>
          <cell r="B14">
            <v>6000</v>
          </cell>
          <cell r="C14">
            <v>1100</v>
          </cell>
          <cell r="D14">
            <v>150</v>
          </cell>
          <cell r="E14">
            <v>750</v>
          </cell>
          <cell r="F14">
            <v>300</v>
          </cell>
          <cell r="G14">
            <v>300</v>
          </cell>
          <cell r="H14">
            <v>200</v>
          </cell>
          <cell r="I14">
            <v>10</v>
          </cell>
          <cell r="J14">
            <v>200</v>
          </cell>
          <cell r="K14">
            <v>10</v>
          </cell>
          <cell r="L14">
            <v>200</v>
          </cell>
          <cell r="M14">
            <v>10</v>
          </cell>
          <cell r="N14">
            <v>200</v>
          </cell>
          <cell r="O14">
            <v>10</v>
          </cell>
          <cell r="P14">
            <v>200</v>
          </cell>
          <cell r="AG14">
            <v>0</v>
          </cell>
          <cell r="AI14">
            <v>0</v>
          </cell>
          <cell r="AJ14">
            <v>2.2000000000000002</v>
          </cell>
          <cell r="AK14">
            <v>6.3E-3</v>
          </cell>
          <cell r="AO14">
            <v>22.080000000000002</v>
          </cell>
        </row>
        <row r="15">
          <cell r="A15" t="str">
            <v>Пс8.6.2</v>
          </cell>
          <cell r="B15">
            <v>8100</v>
          </cell>
          <cell r="C15">
            <v>1300</v>
          </cell>
          <cell r="D15">
            <v>150</v>
          </cell>
          <cell r="E15">
            <v>750</v>
          </cell>
          <cell r="F15">
            <v>300</v>
          </cell>
          <cell r="G15">
            <v>300</v>
          </cell>
          <cell r="H15">
            <v>200</v>
          </cell>
          <cell r="I15">
            <v>10</v>
          </cell>
          <cell r="J15">
            <v>200</v>
          </cell>
          <cell r="K15">
            <v>10</v>
          </cell>
          <cell r="L15">
            <v>200</v>
          </cell>
          <cell r="M15">
            <v>10</v>
          </cell>
          <cell r="N15">
            <v>200</v>
          </cell>
          <cell r="O15">
            <v>10</v>
          </cell>
          <cell r="P15">
            <v>200</v>
          </cell>
          <cell r="AJ15">
            <v>2.6</v>
          </cell>
          <cell r="AK15">
            <v>6.8999999999999999E-3</v>
          </cell>
          <cell r="AO15">
            <v>30.999000000000002</v>
          </cell>
        </row>
        <row r="16">
          <cell r="A16" t="str">
            <v>Пс8.2.1</v>
          </cell>
          <cell r="B16">
            <v>4020</v>
          </cell>
          <cell r="C16">
            <v>950</v>
          </cell>
          <cell r="D16">
            <v>150</v>
          </cell>
          <cell r="E16">
            <v>750</v>
          </cell>
          <cell r="F16">
            <v>300</v>
          </cell>
          <cell r="G16">
            <v>300</v>
          </cell>
          <cell r="H16">
            <v>200</v>
          </cell>
          <cell r="I16">
            <v>10</v>
          </cell>
          <cell r="J16">
            <v>200</v>
          </cell>
          <cell r="K16">
            <v>10</v>
          </cell>
          <cell r="L16">
            <v>200</v>
          </cell>
          <cell r="M16">
            <v>10</v>
          </cell>
          <cell r="N16">
            <v>200</v>
          </cell>
          <cell r="O16">
            <v>10</v>
          </cell>
          <cell r="P16">
            <v>200</v>
          </cell>
          <cell r="AG16">
            <v>0</v>
          </cell>
          <cell r="AI16">
            <v>0</v>
          </cell>
          <cell r="AJ16">
            <v>1.9</v>
          </cell>
          <cell r="AK16">
            <v>5.8499999999999993E-3</v>
          </cell>
          <cell r="AO16">
            <v>24.781800000000004</v>
          </cell>
        </row>
        <row r="17">
          <cell r="A17" t="str">
            <v>Пс8.2.2</v>
          </cell>
          <cell r="B17">
            <v>8000</v>
          </cell>
          <cell r="C17">
            <v>950</v>
          </cell>
          <cell r="D17">
            <v>150</v>
          </cell>
          <cell r="E17">
            <v>750</v>
          </cell>
          <cell r="F17">
            <v>300</v>
          </cell>
          <cell r="G17">
            <v>300</v>
          </cell>
          <cell r="H17">
            <v>200</v>
          </cell>
          <cell r="I17">
            <v>10</v>
          </cell>
          <cell r="J17">
            <v>200</v>
          </cell>
          <cell r="K17">
            <v>10</v>
          </cell>
          <cell r="L17">
            <v>200</v>
          </cell>
          <cell r="M17">
            <v>10</v>
          </cell>
          <cell r="N17">
            <v>200</v>
          </cell>
          <cell r="O17">
            <v>10</v>
          </cell>
          <cell r="P17">
            <v>200</v>
          </cell>
          <cell r="AG17">
            <v>0</v>
          </cell>
          <cell r="AI17">
            <v>0</v>
          </cell>
          <cell r="AJ17">
            <v>1.9</v>
          </cell>
          <cell r="AK17">
            <v>5.8499999999999993E-3</v>
          </cell>
          <cell r="AO17">
            <v>49.02</v>
          </cell>
        </row>
        <row r="18">
          <cell r="A18" t="str">
            <v>Пс8.7.1</v>
          </cell>
          <cell r="B18">
            <v>6000</v>
          </cell>
          <cell r="C18">
            <v>2000</v>
          </cell>
          <cell r="D18">
            <v>400</v>
          </cell>
          <cell r="E18">
            <v>1000</v>
          </cell>
          <cell r="F18">
            <v>300</v>
          </cell>
          <cell r="G18">
            <v>300</v>
          </cell>
          <cell r="H18">
            <v>300</v>
          </cell>
          <cell r="I18">
            <v>10</v>
          </cell>
          <cell r="J18">
            <v>200</v>
          </cell>
          <cell r="K18">
            <v>10</v>
          </cell>
          <cell r="L18">
            <v>200</v>
          </cell>
          <cell r="M18">
            <v>10</v>
          </cell>
          <cell r="N18">
            <v>200</v>
          </cell>
          <cell r="O18">
            <v>10</v>
          </cell>
          <cell r="P18">
            <v>200</v>
          </cell>
          <cell r="AG18">
            <v>0</v>
          </cell>
          <cell r="AI18">
            <v>0</v>
          </cell>
          <cell r="AJ18">
            <v>4</v>
          </cell>
          <cell r="AK18">
            <v>2.1999999999999999E-2</v>
          </cell>
          <cell r="AL18">
            <v>7</v>
          </cell>
          <cell r="AM18">
            <v>7</v>
          </cell>
          <cell r="AO18">
            <v>24.6</v>
          </cell>
        </row>
        <row r="19">
          <cell r="A19" t="str">
            <v>Пс8.7.2</v>
          </cell>
          <cell r="B19">
            <v>8460</v>
          </cell>
          <cell r="C19">
            <v>2850</v>
          </cell>
          <cell r="D19">
            <v>400</v>
          </cell>
          <cell r="E19">
            <v>1900</v>
          </cell>
          <cell r="F19">
            <v>300</v>
          </cell>
          <cell r="G19">
            <v>1200</v>
          </cell>
          <cell r="H19">
            <v>300</v>
          </cell>
          <cell r="I19">
            <v>10</v>
          </cell>
          <cell r="J19">
            <v>200</v>
          </cell>
          <cell r="K19">
            <v>10</v>
          </cell>
          <cell r="L19">
            <v>200</v>
          </cell>
          <cell r="M19">
            <v>10</v>
          </cell>
          <cell r="N19">
            <v>200</v>
          </cell>
          <cell r="O19">
            <v>10</v>
          </cell>
          <cell r="P19">
            <v>200</v>
          </cell>
          <cell r="AG19">
            <v>0</v>
          </cell>
          <cell r="AI19">
            <v>0</v>
          </cell>
          <cell r="AJ19">
            <v>5.7</v>
          </cell>
          <cell r="AK19">
            <v>3.4199999999999994E-2</v>
          </cell>
          <cell r="AL19">
            <v>10</v>
          </cell>
          <cell r="AM19">
            <v>10</v>
          </cell>
          <cell r="AO19">
            <v>46.823999999999998</v>
          </cell>
        </row>
        <row r="20">
          <cell r="A20" t="str">
            <v>Пс8.7.3</v>
          </cell>
          <cell r="B20">
            <v>9300</v>
          </cell>
          <cell r="C20">
            <v>2850</v>
          </cell>
          <cell r="D20">
            <v>400</v>
          </cell>
          <cell r="E20">
            <v>2100</v>
          </cell>
          <cell r="F20">
            <v>300</v>
          </cell>
          <cell r="G20">
            <v>1400</v>
          </cell>
          <cell r="H20">
            <v>300</v>
          </cell>
          <cell r="I20">
            <v>10</v>
          </cell>
          <cell r="J20">
            <v>200</v>
          </cell>
          <cell r="K20">
            <v>10</v>
          </cell>
          <cell r="L20">
            <v>200</v>
          </cell>
          <cell r="M20">
            <v>10</v>
          </cell>
          <cell r="N20">
            <v>200</v>
          </cell>
          <cell r="O20">
            <v>10</v>
          </cell>
          <cell r="P20">
            <v>200</v>
          </cell>
          <cell r="AG20">
            <v>0</v>
          </cell>
          <cell r="AI20">
            <v>0</v>
          </cell>
          <cell r="AJ20">
            <v>5.7</v>
          </cell>
          <cell r="AK20">
            <v>3.5400000000000001E-2</v>
          </cell>
          <cell r="AL20">
            <v>10</v>
          </cell>
          <cell r="AM20">
            <v>10</v>
          </cell>
          <cell r="AO20">
            <v>64.5</v>
          </cell>
        </row>
        <row r="21">
          <cell r="A21" t="str">
            <v>Пс8.7.4</v>
          </cell>
          <cell r="B21">
            <v>9800</v>
          </cell>
          <cell r="C21">
            <v>2850</v>
          </cell>
          <cell r="D21">
            <v>400</v>
          </cell>
          <cell r="E21">
            <v>2100</v>
          </cell>
          <cell r="F21">
            <v>300</v>
          </cell>
          <cell r="G21">
            <v>1400</v>
          </cell>
          <cell r="H21">
            <v>300</v>
          </cell>
          <cell r="I21">
            <v>10</v>
          </cell>
          <cell r="J21">
            <v>200</v>
          </cell>
          <cell r="K21">
            <v>10</v>
          </cell>
          <cell r="L21">
            <v>200</v>
          </cell>
          <cell r="M21">
            <v>10</v>
          </cell>
          <cell r="N21">
            <v>200</v>
          </cell>
          <cell r="O21">
            <v>10</v>
          </cell>
          <cell r="P21">
            <v>200</v>
          </cell>
          <cell r="AG21">
            <v>0</v>
          </cell>
          <cell r="AI21">
            <v>0</v>
          </cell>
          <cell r="AJ21">
            <v>5.7</v>
          </cell>
          <cell r="AK21">
            <v>3.5400000000000001E-2</v>
          </cell>
          <cell r="AL21">
            <v>10</v>
          </cell>
          <cell r="AM21">
            <v>10</v>
          </cell>
          <cell r="AO21">
            <v>67.900000000000006</v>
          </cell>
        </row>
        <row r="22">
          <cell r="A22" t="str">
            <v>Пс8.7.5</v>
          </cell>
          <cell r="B22">
            <v>3300</v>
          </cell>
          <cell r="C22">
            <v>2850</v>
          </cell>
          <cell r="D22">
            <v>400</v>
          </cell>
          <cell r="E22">
            <v>2100</v>
          </cell>
          <cell r="F22">
            <v>300</v>
          </cell>
          <cell r="G22">
            <v>1400</v>
          </cell>
          <cell r="H22">
            <v>300</v>
          </cell>
          <cell r="I22">
            <v>10</v>
          </cell>
          <cell r="J22">
            <v>200</v>
          </cell>
          <cell r="K22">
            <v>10</v>
          </cell>
          <cell r="L22">
            <v>200</v>
          </cell>
          <cell r="M22">
            <v>10</v>
          </cell>
          <cell r="N22">
            <v>200</v>
          </cell>
          <cell r="O22">
            <v>10</v>
          </cell>
          <cell r="P22">
            <v>200</v>
          </cell>
          <cell r="AG22">
            <v>0</v>
          </cell>
          <cell r="AI22">
            <v>0</v>
          </cell>
          <cell r="AJ22">
            <v>5.7</v>
          </cell>
          <cell r="AK22">
            <v>3.5400000000000001E-2</v>
          </cell>
          <cell r="AL22">
            <v>10</v>
          </cell>
          <cell r="AM22">
            <v>10</v>
          </cell>
          <cell r="AO22">
            <v>23.699999999999996</v>
          </cell>
        </row>
        <row r="23">
          <cell r="A23" t="str">
            <v>Пс8.7.6</v>
          </cell>
          <cell r="B23">
            <v>3300</v>
          </cell>
          <cell r="C23">
            <v>1780</v>
          </cell>
          <cell r="D23">
            <v>400</v>
          </cell>
          <cell r="E23">
            <v>1000</v>
          </cell>
          <cell r="F23">
            <v>300</v>
          </cell>
          <cell r="G23">
            <v>300</v>
          </cell>
          <cell r="H23">
            <v>300</v>
          </cell>
          <cell r="I23">
            <v>10</v>
          </cell>
          <cell r="J23">
            <v>200</v>
          </cell>
          <cell r="K23">
            <v>10</v>
          </cell>
          <cell r="L23">
            <v>200</v>
          </cell>
          <cell r="M23">
            <v>10</v>
          </cell>
          <cell r="N23">
            <v>200</v>
          </cell>
          <cell r="O23">
            <v>10</v>
          </cell>
          <cell r="P23">
            <v>200</v>
          </cell>
          <cell r="AG23">
            <v>0</v>
          </cell>
          <cell r="AI23">
            <v>0</v>
          </cell>
          <cell r="AJ23">
            <v>3.56</v>
          </cell>
          <cell r="AK23">
            <v>2.0240000000000001E-2</v>
          </cell>
          <cell r="AL23">
            <v>6</v>
          </cell>
          <cell r="AM23">
            <v>6</v>
          </cell>
          <cell r="AO23">
            <v>18.288</v>
          </cell>
        </row>
        <row r="24">
          <cell r="A24" t="str">
            <v>Пс8.7.7</v>
          </cell>
          <cell r="B24">
            <v>3300</v>
          </cell>
          <cell r="C24">
            <v>1780</v>
          </cell>
          <cell r="D24">
            <v>400</v>
          </cell>
          <cell r="E24">
            <v>1000</v>
          </cell>
          <cell r="F24">
            <v>300</v>
          </cell>
          <cell r="G24">
            <v>300</v>
          </cell>
          <cell r="H24">
            <v>300</v>
          </cell>
          <cell r="I24">
            <v>10</v>
          </cell>
          <cell r="J24">
            <v>200</v>
          </cell>
          <cell r="K24">
            <v>10</v>
          </cell>
          <cell r="L24">
            <v>200</v>
          </cell>
          <cell r="M24">
            <v>10</v>
          </cell>
          <cell r="N24">
            <v>200</v>
          </cell>
          <cell r="O24">
            <v>10</v>
          </cell>
          <cell r="P24">
            <v>200</v>
          </cell>
          <cell r="AG24">
            <v>0</v>
          </cell>
          <cell r="AI24">
            <v>0</v>
          </cell>
          <cell r="AJ24">
            <v>3.56</v>
          </cell>
          <cell r="AK24">
            <v>2.0240000000000001E-2</v>
          </cell>
          <cell r="AL24">
            <v>6</v>
          </cell>
          <cell r="AM24">
            <v>6</v>
          </cell>
          <cell r="AO24">
            <v>21.257999999999999</v>
          </cell>
        </row>
        <row r="25">
          <cell r="A25" t="str">
            <v>Пс8.7.8</v>
          </cell>
          <cell r="B25">
            <v>3520</v>
          </cell>
          <cell r="C25">
            <v>2000</v>
          </cell>
          <cell r="D25">
            <v>400</v>
          </cell>
          <cell r="E25">
            <v>1000</v>
          </cell>
          <cell r="F25">
            <v>300</v>
          </cell>
          <cell r="G25">
            <v>300</v>
          </cell>
          <cell r="H25">
            <v>300</v>
          </cell>
          <cell r="I25">
            <v>10</v>
          </cell>
          <cell r="J25">
            <v>200</v>
          </cell>
          <cell r="K25">
            <v>10</v>
          </cell>
          <cell r="L25">
            <v>200</v>
          </cell>
          <cell r="M25">
            <v>10</v>
          </cell>
          <cell r="N25">
            <v>200</v>
          </cell>
          <cell r="O25">
            <v>10</v>
          </cell>
          <cell r="P25">
            <v>200</v>
          </cell>
          <cell r="AG25">
            <v>0</v>
          </cell>
          <cell r="AI25">
            <v>0</v>
          </cell>
          <cell r="AJ25">
            <v>4</v>
          </cell>
          <cell r="AK25">
            <v>2.1999999999999999E-2</v>
          </cell>
          <cell r="AL25">
            <v>7</v>
          </cell>
          <cell r="AM25">
            <v>7</v>
          </cell>
          <cell r="AO25">
            <v>27.352</v>
          </cell>
        </row>
      </sheetData>
      <sheetData sheetId="12" refreshError="1"/>
      <sheetData sheetId="13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 refreshError="1"/>
      <sheetData sheetId="27"/>
      <sheetData sheetId="28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Лог|"/>
      <sheetName val="|Содержание|"/>
      <sheetName val="Пм1.1_спец"/>
      <sheetName val="Изделия_спец.И"/>
      <sheetName val=" 1 Из архикада плиты"/>
      <sheetName val="Пм1.1_кж"/>
      <sheetName val="!System"/>
    </sheetNames>
    <sheetDataSet>
      <sheetData sheetId="0" refreshError="1"/>
      <sheetData sheetId="1" refreshError="1"/>
      <sheetData sheetId="2" refreshError="1"/>
      <sheetData sheetId="3">
        <row r="5">
          <cell r="B5" t="str">
            <v>Кр1</v>
          </cell>
          <cell r="C5" t="str">
            <v>данный лист</v>
          </cell>
          <cell r="D5" t="str">
            <v>Каркас Кр1</v>
          </cell>
        </row>
        <row r="10">
          <cell r="B10" t="str">
            <v>Кп1</v>
          </cell>
          <cell r="C10" t="str">
            <v>данный лист</v>
          </cell>
          <cell r="D10" t="str">
            <v>Каркас Кп1</v>
          </cell>
        </row>
        <row r="15">
          <cell r="B15" t="str">
            <v>Кп2</v>
          </cell>
          <cell r="C15" t="str">
            <v>данный лист</v>
          </cell>
          <cell r="D15" t="str">
            <v>Каркас Кп2</v>
          </cell>
        </row>
        <row r="20">
          <cell r="B20" t="str">
            <v>Кп3</v>
          </cell>
          <cell r="C20" t="str">
            <v>данный лист</v>
          </cell>
          <cell r="D20" t="str">
            <v>Каркас Кп3</v>
          </cell>
        </row>
        <row r="25">
          <cell r="B25" t="str">
            <v>Кп4</v>
          </cell>
          <cell r="C25" t="str">
            <v>данный лист</v>
          </cell>
          <cell r="D25" t="str">
            <v>Каркас Кп4</v>
          </cell>
        </row>
        <row r="30">
          <cell r="B30" t="str">
            <v>Кп5</v>
          </cell>
          <cell r="C30" t="str">
            <v>данный лист</v>
          </cell>
          <cell r="D30" t="str">
            <v>Каркас Кп5</v>
          </cell>
        </row>
      </sheetData>
      <sheetData sheetId="4">
        <row r="3">
          <cell r="A3" t="str">
            <v>Пм1.1</v>
          </cell>
        </row>
      </sheetData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КЖ_сист ЖБ Плиты" growShrinkType="overwriteClear" fillFormulas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2"/>
  <sheetViews>
    <sheetView workbookViewId="0"/>
  </sheetViews>
  <sheetFormatPr defaultRowHeight="15" x14ac:dyDescent="0.25"/>
  <cols>
    <col min="1" max="5" width="36.7109375" style="11" customWidth="1"/>
    <col min="6" max="6" width="9.140625" style="11"/>
    <col min="7" max="7" width="8.7109375" style="11" customWidth="1"/>
    <col min="8" max="8" width="15.7109375" style="11" customWidth="1"/>
    <col min="9" max="22" width="10.7109375" style="11" customWidth="1"/>
    <col min="23" max="16384" width="9.140625" style="44"/>
  </cols>
  <sheetData>
    <row r="1" spans="1:22" s="9" customFormat="1" ht="27.95" customHeight="1" x14ac:dyDescent="0.25">
      <c r="A1" s="10" t="s">
        <v>45</v>
      </c>
      <c r="B1" s="10" t="s">
        <v>46</v>
      </c>
      <c r="C1" s="10" t="s">
        <v>28</v>
      </c>
      <c r="D1" s="10" t="s">
        <v>29</v>
      </c>
      <c r="E1" s="10" t="s">
        <v>30</v>
      </c>
      <c r="F1" s="10"/>
      <c r="G1" s="10" t="s">
        <v>47</v>
      </c>
      <c r="H1" s="10" t="s">
        <v>48</v>
      </c>
      <c r="I1" s="10" t="s">
        <v>49</v>
      </c>
      <c r="J1" s="10" t="s">
        <v>50</v>
      </c>
      <c r="K1" s="10" t="s">
        <v>51</v>
      </c>
      <c r="L1" s="10" t="s">
        <v>52</v>
      </c>
      <c r="M1" s="10" t="s">
        <v>53</v>
      </c>
      <c r="N1" s="10" t="s">
        <v>54</v>
      </c>
      <c r="O1" s="10" t="s">
        <v>55</v>
      </c>
      <c r="P1" s="10" t="s">
        <v>56</v>
      </c>
      <c r="Q1" s="10" t="s">
        <v>57</v>
      </c>
      <c r="R1" s="10" t="s">
        <v>58</v>
      </c>
      <c r="S1" s="10" t="s">
        <v>59</v>
      </c>
      <c r="T1" s="10" t="s">
        <v>60</v>
      </c>
      <c r="U1" s="10" t="s">
        <v>61</v>
      </c>
      <c r="V1" s="10" t="s">
        <v>63</v>
      </c>
    </row>
    <row r="2" spans="1:22" x14ac:dyDescent="0.25">
      <c r="D2" s="12" t="s">
        <v>2737</v>
      </c>
      <c r="G2" s="11">
        <v>1</v>
      </c>
      <c r="H2" s="11" t="s">
        <v>64</v>
      </c>
      <c r="I2" s="11" t="b">
        <v>0</v>
      </c>
      <c r="J2" s="11" t="b">
        <v>0</v>
      </c>
      <c r="K2" s="11" t="b">
        <v>0</v>
      </c>
      <c r="L2" s="11" t="b">
        <v>0</v>
      </c>
      <c r="M2" s="11" t="b">
        <v>1</v>
      </c>
      <c r="N2" s="11" t="b">
        <v>0</v>
      </c>
      <c r="O2" s="11" t="b">
        <v>1</v>
      </c>
      <c r="P2" s="11" t="b">
        <v>1</v>
      </c>
      <c r="Q2" s="11" t="b">
        <v>0</v>
      </c>
      <c r="R2" s="11" t="b">
        <v>0</v>
      </c>
      <c r="S2" s="11" t="b">
        <v>1</v>
      </c>
      <c r="T2" s="11" t="b">
        <v>0</v>
      </c>
      <c r="U2" s="11" t="b">
        <v>0</v>
      </c>
      <c r="V2" s="11" t="b">
        <v>0</v>
      </c>
    </row>
    <row r="3" spans="1:22" x14ac:dyDescent="0.25">
      <c r="C3" s="12" t="s">
        <v>2897</v>
      </c>
      <c r="G3" s="11">
        <v>1</v>
      </c>
      <c r="H3" s="11" t="s">
        <v>64</v>
      </c>
      <c r="I3" s="11" t="b">
        <v>0</v>
      </c>
      <c r="J3" s="11" t="b">
        <v>0</v>
      </c>
      <c r="K3" s="11" t="b">
        <v>0</v>
      </c>
      <c r="L3" s="11" t="b">
        <v>0</v>
      </c>
      <c r="M3" s="11" t="b">
        <v>1</v>
      </c>
      <c r="N3" s="11" t="b">
        <v>0</v>
      </c>
      <c r="O3" s="11" t="b">
        <v>1</v>
      </c>
      <c r="P3" s="11" t="b">
        <v>1</v>
      </c>
      <c r="Q3" s="11" t="b">
        <v>0</v>
      </c>
      <c r="R3" s="11" t="b">
        <v>0</v>
      </c>
      <c r="S3" s="11" t="b">
        <v>1</v>
      </c>
      <c r="T3" s="11" t="b">
        <v>0</v>
      </c>
      <c r="U3" s="11" t="b">
        <v>0</v>
      </c>
      <c r="V3" s="11" t="b">
        <v>0</v>
      </c>
    </row>
    <row r="4" spans="1:22" x14ac:dyDescent="0.25">
      <c r="E4" s="12" t="s">
        <v>92</v>
      </c>
      <c r="G4" s="11">
        <v>1</v>
      </c>
      <c r="H4" s="11" t="s">
        <v>64</v>
      </c>
      <c r="I4" s="11" t="b">
        <v>0</v>
      </c>
      <c r="J4" s="11" t="b">
        <v>0</v>
      </c>
      <c r="K4" s="11" t="b">
        <v>0</v>
      </c>
      <c r="L4" s="11" t="b">
        <v>0</v>
      </c>
      <c r="M4" s="11" t="b">
        <v>1</v>
      </c>
      <c r="N4" s="11" t="b">
        <v>0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1</v>
      </c>
      <c r="T4" s="11" t="b">
        <v>0</v>
      </c>
      <c r="U4" s="11" t="b">
        <v>0</v>
      </c>
      <c r="V4" s="11" t="b">
        <v>0</v>
      </c>
    </row>
    <row r="5" spans="1:22" x14ac:dyDescent="0.25">
      <c r="D5" s="12" t="s">
        <v>136</v>
      </c>
      <c r="G5" s="11">
        <v>1</v>
      </c>
      <c r="H5" s="11" t="s">
        <v>64</v>
      </c>
      <c r="I5" s="11" t="b">
        <v>0</v>
      </c>
      <c r="J5" s="11" t="b">
        <v>0</v>
      </c>
      <c r="K5" s="11" t="b">
        <v>0</v>
      </c>
      <c r="L5" s="11" t="b">
        <v>0</v>
      </c>
      <c r="M5" s="11" t="b">
        <v>1</v>
      </c>
      <c r="N5" s="11" t="b">
        <v>0</v>
      </c>
      <c r="O5" s="11" t="b">
        <v>1</v>
      </c>
      <c r="P5" s="11" t="b">
        <v>1</v>
      </c>
      <c r="Q5" s="11" t="b">
        <v>0</v>
      </c>
      <c r="R5" s="11" t="b">
        <v>0</v>
      </c>
      <c r="S5" s="11" t="b">
        <v>1</v>
      </c>
      <c r="T5" s="11" t="b">
        <v>0</v>
      </c>
      <c r="U5" s="11" t="b">
        <v>0</v>
      </c>
      <c r="V5" s="11" t="b">
        <v>0</v>
      </c>
    </row>
    <row r="6" spans="1:22" x14ac:dyDescent="0.25">
      <c r="D6" s="12" t="s">
        <v>304</v>
      </c>
      <c r="G6" s="11">
        <v>1</v>
      </c>
      <c r="H6" s="11" t="s">
        <v>64</v>
      </c>
      <c r="I6" s="11" t="b">
        <v>0</v>
      </c>
      <c r="J6" s="11" t="b">
        <v>0</v>
      </c>
      <c r="K6" s="11" t="b">
        <v>0</v>
      </c>
      <c r="L6" s="11" t="b">
        <v>0</v>
      </c>
      <c r="M6" s="11" t="b">
        <v>1</v>
      </c>
      <c r="N6" s="11" t="b">
        <v>0</v>
      </c>
      <c r="O6" s="11" t="b">
        <v>1</v>
      </c>
      <c r="P6" s="11" t="b">
        <v>1</v>
      </c>
      <c r="Q6" s="11" t="b">
        <v>0</v>
      </c>
      <c r="R6" s="11" t="b">
        <v>0</v>
      </c>
      <c r="S6" s="11" t="b">
        <v>1</v>
      </c>
      <c r="T6" s="11" t="b">
        <v>0</v>
      </c>
      <c r="U6" s="11" t="b">
        <v>0</v>
      </c>
      <c r="V6" s="11" t="b">
        <v>0</v>
      </c>
    </row>
    <row r="7" spans="1:22" x14ac:dyDescent="0.25">
      <c r="C7" s="12" t="s">
        <v>2738</v>
      </c>
      <c r="G7" s="11">
        <v>1</v>
      </c>
      <c r="H7" s="11" t="s">
        <v>64</v>
      </c>
      <c r="I7" s="11" t="b">
        <v>0</v>
      </c>
      <c r="J7" s="11" t="b">
        <v>0</v>
      </c>
      <c r="K7" s="11" t="b">
        <v>0</v>
      </c>
      <c r="L7" s="11" t="b">
        <v>0</v>
      </c>
      <c r="M7" s="11" t="b">
        <v>1</v>
      </c>
      <c r="N7" s="11" t="b">
        <v>0</v>
      </c>
      <c r="O7" s="11" t="b">
        <v>1</v>
      </c>
      <c r="P7" s="11" t="b">
        <v>1</v>
      </c>
      <c r="Q7" s="11" t="b">
        <v>0</v>
      </c>
      <c r="R7" s="11" t="b">
        <v>0</v>
      </c>
      <c r="S7" s="11" t="b">
        <v>1</v>
      </c>
      <c r="T7" s="11" t="b">
        <v>0</v>
      </c>
      <c r="U7" s="11" t="b">
        <v>0</v>
      </c>
      <c r="V7" s="11" t="b">
        <v>0</v>
      </c>
    </row>
    <row r="8" spans="1:22" x14ac:dyDescent="0.25">
      <c r="D8" s="12" t="s">
        <v>2899</v>
      </c>
      <c r="G8" s="11">
        <v>1</v>
      </c>
      <c r="H8" s="11" t="s">
        <v>64</v>
      </c>
      <c r="I8" s="11" t="b">
        <v>0</v>
      </c>
      <c r="J8" s="11" t="b">
        <v>0</v>
      </c>
      <c r="K8" s="11" t="b">
        <v>0</v>
      </c>
      <c r="L8" s="11" t="b">
        <v>0</v>
      </c>
      <c r="M8" s="11" t="b">
        <v>1</v>
      </c>
      <c r="N8" s="11" t="b">
        <v>0</v>
      </c>
      <c r="O8" s="11" t="b">
        <v>1</v>
      </c>
      <c r="P8" s="11" t="b">
        <v>1</v>
      </c>
      <c r="Q8" s="11" t="b">
        <v>0</v>
      </c>
      <c r="R8" s="11" t="b">
        <v>0</v>
      </c>
      <c r="S8" s="11" t="b">
        <v>1</v>
      </c>
      <c r="T8" s="11" t="b">
        <v>0</v>
      </c>
      <c r="U8" s="11" t="b">
        <v>0</v>
      </c>
      <c r="V8" s="11" t="b">
        <v>0</v>
      </c>
    </row>
    <row r="9" spans="1:22" x14ac:dyDescent="0.25">
      <c r="E9" s="12" t="s">
        <v>305</v>
      </c>
      <c r="G9" s="11">
        <v>1</v>
      </c>
      <c r="H9" s="11" t="s">
        <v>64</v>
      </c>
      <c r="I9" s="11" t="b">
        <v>0</v>
      </c>
      <c r="J9" s="11" t="b">
        <v>0</v>
      </c>
      <c r="K9" s="11" t="b">
        <v>0</v>
      </c>
      <c r="L9" s="11" t="b">
        <v>0</v>
      </c>
      <c r="M9" s="11" t="b">
        <v>1</v>
      </c>
      <c r="N9" s="11" t="b">
        <v>0</v>
      </c>
      <c r="O9" s="11" t="b">
        <v>1</v>
      </c>
      <c r="P9" s="11" t="b">
        <v>1</v>
      </c>
      <c r="Q9" s="11" t="b">
        <v>0</v>
      </c>
      <c r="R9" s="11" t="b">
        <v>0</v>
      </c>
      <c r="S9" s="11" t="b">
        <v>1</v>
      </c>
      <c r="T9" s="11" t="b">
        <v>0</v>
      </c>
      <c r="U9" s="11" t="b">
        <v>0</v>
      </c>
      <c r="V9" s="11" t="b">
        <v>0</v>
      </c>
    </row>
    <row r="10" spans="1:22" x14ac:dyDescent="0.25">
      <c r="E10" s="12" t="s">
        <v>306</v>
      </c>
      <c r="G10" s="11">
        <v>1</v>
      </c>
      <c r="H10" s="11" t="s">
        <v>64</v>
      </c>
      <c r="I10" s="11" t="b">
        <v>0</v>
      </c>
      <c r="J10" s="11" t="b">
        <v>0</v>
      </c>
      <c r="K10" s="11" t="b">
        <v>0</v>
      </c>
      <c r="L10" s="11" t="b">
        <v>0</v>
      </c>
      <c r="M10" s="11" t="b">
        <v>1</v>
      </c>
      <c r="N10" s="11" t="b">
        <v>0</v>
      </c>
      <c r="O10" s="11" t="b">
        <v>1</v>
      </c>
      <c r="P10" s="11" t="b">
        <v>1</v>
      </c>
      <c r="Q10" s="11" t="b">
        <v>0</v>
      </c>
      <c r="R10" s="11" t="b">
        <v>0</v>
      </c>
      <c r="S10" s="11" t="b">
        <v>1</v>
      </c>
      <c r="T10" s="11" t="b">
        <v>0</v>
      </c>
      <c r="U10" s="11" t="b">
        <v>0</v>
      </c>
      <c r="V10" s="11" t="b">
        <v>0</v>
      </c>
    </row>
    <row r="11" spans="1:22" x14ac:dyDescent="0.25">
      <c r="E11" s="12" t="s">
        <v>2740</v>
      </c>
      <c r="G11" s="11">
        <v>1</v>
      </c>
      <c r="H11" s="11" t="s">
        <v>64</v>
      </c>
      <c r="I11" s="11" t="b">
        <v>0</v>
      </c>
      <c r="J11" s="11" t="b">
        <v>0</v>
      </c>
      <c r="K11" s="11" t="b">
        <v>0</v>
      </c>
      <c r="L11" s="11" t="b">
        <v>0</v>
      </c>
      <c r="M11" s="11" t="b">
        <v>1</v>
      </c>
      <c r="N11" s="11" t="b">
        <v>0</v>
      </c>
      <c r="O11" s="11" t="b">
        <v>1</v>
      </c>
      <c r="P11" s="11" t="b">
        <v>1</v>
      </c>
      <c r="Q11" s="11" t="b">
        <v>0</v>
      </c>
      <c r="R11" s="11" t="b">
        <v>0</v>
      </c>
      <c r="S11" s="11" t="b">
        <v>1</v>
      </c>
      <c r="T11" s="11" t="b">
        <v>0</v>
      </c>
      <c r="U11" s="11" t="b">
        <v>0</v>
      </c>
      <c r="V11" s="11" t="b">
        <v>0</v>
      </c>
    </row>
    <row r="12" spans="1:22" x14ac:dyDescent="0.25">
      <c r="E12" s="12" t="s">
        <v>2900</v>
      </c>
      <c r="G12" s="11">
        <v>1</v>
      </c>
      <c r="H12" s="11" t="s">
        <v>64</v>
      </c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1</v>
      </c>
      <c r="N12" s="11" t="b">
        <v>0</v>
      </c>
      <c r="O12" s="11" t="b">
        <v>1</v>
      </c>
      <c r="P12" s="11" t="b">
        <v>1</v>
      </c>
      <c r="Q12" s="11" t="b">
        <v>0</v>
      </c>
      <c r="R12" s="11" t="b">
        <v>0</v>
      </c>
      <c r="S12" s="11" t="b">
        <v>1</v>
      </c>
      <c r="T12" s="11" t="b">
        <v>0</v>
      </c>
      <c r="U12" s="11" t="b">
        <v>0</v>
      </c>
      <c r="V12" s="11" t="b">
        <v>0</v>
      </c>
    </row>
    <row r="13" spans="1:22" x14ac:dyDescent="0.25">
      <c r="E13" s="12" t="s">
        <v>2903</v>
      </c>
      <c r="G13" s="11">
        <v>1</v>
      </c>
      <c r="H13" s="11" t="s">
        <v>64</v>
      </c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1</v>
      </c>
      <c r="N13" s="11" t="b">
        <v>0</v>
      </c>
      <c r="O13" s="11" t="b">
        <v>1</v>
      </c>
      <c r="P13" s="11" t="b">
        <v>1</v>
      </c>
      <c r="Q13" s="11" t="b">
        <v>0</v>
      </c>
      <c r="R13" s="11" t="b">
        <v>0</v>
      </c>
      <c r="S13" s="11" t="b">
        <v>1</v>
      </c>
      <c r="T13" s="11" t="b">
        <v>0</v>
      </c>
      <c r="U13" s="11" t="b">
        <v>0</v>
      </c>
      <c r="V13" s="11" t="b">
        <v>0</v>
      </c>
    </row>
    <row r="14" spans="1:22" x14ac:dyDescent="0.25">
      <c r="E14" s="12" t="s">
        <v>2906</v>
      </c>
      <c r="G14" s="11">
        <v>1</v>
      </c>
      <c r="H14" s="11" t="s">
        <v>64</v>
      </c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1</v>
      </c>
      <c r="N14" s="11" t="b">
        <v>0</v>
      </c>
      <c r="O14" s="11" t="b">
        <v>1</v>
      </c>
      <c r="P14" s="11" t="b">
        <v>1</v>
      </c>
      <c r="Q14" s="11" t="b">
        <v>0</v>
      </c>
      <c r="R14" s="11" t="b">
        <v>0</v>
      </c>
      <c r="S14" s="11" t="b">
        <v>1</v>
      </c>
      <c r="T14" s="11" t="b">
        <v>0</v>
      </c>
      <c r="U14" s="11" t="b">
        <v>0</v>
      </c>
      <c r="V14" s="11" t="b">
        <v>0</v>
      </c>
    </row>
    <row r="15" spans="1:22" x14ac:dyDescent="0.25">
      <c r="E15" s="12" t="s">
        <v>2909</v>
      </c>
      <c r="G15" s="11">
        <v>1</v>
      </c>
      <c r="H15" s="11" t="s">
        <v>64</v>
      </c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1</v>
      </c>
      <c r="N15" s="11" t="b">
        <v>0</v>
      </c>
      <c r="O15" s="11" t="b">
        <v>1</v>
      </c>
      <c r="P15" s="11" t="b">
        <v>1</v>
      </c>
      <c r="Q15" s="11" t="b">
        <v>0</v>
      </c>
      <c r="R15" s="11" t="b">
        <v>0</v>
      </c>
      <c r="S15" s="11" t="b">
        <v>1</v>
      </c>
      <c r="T15" s="11" t="b">
        <v>0</v>
      </c>
      <c r="U15" s="11" t="b">
        <v>0</v>
      </c>
      <c r="V15" s="11" t="b">
        <v>0</v>
      </c>
    </row>
    <row r="16" spans="1:22" x14ac:dyDescent="0.25">
      <c r="E16" s="12" t="s">
        <v>2910</v>
      </c>
      <c r="G16" s="11">
        <v>1</v>
      </c>
      <c r="H16" s="11" t="s">
        <v>64</v>
      </c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1</v>
      </c>
      <c r="N16" s="11" t="b">
        <v>0</v>
      </c>
      <c r="O16" s="11" t="b">
        <v>1</v>
      </c>
      <c r="P16" s="11" t="b">
        <v>1</v>
      </c>
      <c r="Q16" s="11" t="b">
        <v>0</v>
      </c>
      <c r="R16" s="11" t="b">
        <v>0</v>
      </c>
      <c r="S16" s="11" t="b">
        <v>1</v>
      </c>
      <c r="T16" s="11" t="b">
        <v>0</v>
      </c>
      <c r="U16" s="11" t="b">
        <v>0</v>
      </c>
      <c r="V16" s="11" t="b">
        <v>0</v>
      </c>
    </row>
    <row r="17" spans="1:22" x14ac:dyDescent="0.25">
      <c r="E17" s="12" t="s">
        <v>2911</v>
      </c>
      <c r="G17" s="11">
        <v>1</v>
      </c>
      <c r="H17" s="11" t="s">
        <v>64</v>
      </c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1</v>
      </c>
      <c r="N17" s="11" t="b">
        <v>0</v>
      </c>
      <c r="O17" s="11" t="b">
        <v>1</v>
      </c>
      <c r="P17" s="11" t="b">
        <v>1</v>
      </c>
      <c r="Q17" s="11" t="b">
        <v>0</v>
      </c>
      <c r="R17" s="11" t="b">
        <v>0</v>
      </c>
      <c r="S17" s="11" t="b">
        <v>1</v>
      </c>
      <c r="T17" s="11" t="b">
        <v>0</v>
      </c>
      <c r="U17" s="11" t="b">
        <v>0</v>
      </c>
      <c r="V17" s="11" t="b">
        <v>0</v>
      </c>
    </row>
    <row r="18" spans="1:22" x14ac:dyDescent="0.25">
      <c r="D18" s="12" t="s">
        <v>2931</v>
      </c>
      <c r="G18" s="11">
        <v>1</v>
      </c>
      <c r="H18" s="11" t="s">
        <v>64</v>
      </c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1</v>
      </c>
      <c r="N18" s="11" t="b">
        <v>0</v>
      </c>
      <c r="O18" s="11" t="b">
        <v>1</v>
      </c>
      <c r="P18" s="11" t="b">
        <v>1</v>
      </c>
      <c r="Q18" s="11" t="b">
        <v>0</v>
      </c>
      <c r="R18" s="11" t="b">
        <v>0</v>
      </c>
      <c r="S18" s="11" t="b">
        <v>1</v>
      </c>
      <c r="T18" s="11" t="b">
        <v>0</v>
      </c>
      <c r="U18" s="11" t="b">
        <v>0</v>
      </c>
      <c r="V18" s="11" t="b">
        <v>0</v>
      </c>
    </row>
    <row r="19" spans="1:22" x14ac:dyDescent="0.25">
      <c r="D19" s="12" t="s">
        <v>2951</v>
      </c>
      <c r="G19" s="11">
        <v>1</v>
      </c>
      <c r="H19" s="11" t="s">
        <v>2952</v>
      </c>
      <c r="I19" s="11" t="b">
        <v>0</v>
      </c>
      <c r="J19" s="11" t="b">
        <v>0</v>
      </c>
      <c r="K19" s="11" t="b">
        <v>0</v>
      </c>
      <c r="L19" s="11" t="b">
        <v>0</v>
      </c>
      <c r="M19" s="11" t="b">
        <v>1</v>
      </c>
      <c r="N19" s="11" t="b">
        <v>0</v>
      </c>
      <c r="O19" s="11" t="b">
        <v>1</v>
      </c>
      <c r="P19" s="11" t="b">
        <v>1</v>
      </c>
      <c r="Q19" s="11" t="b">
        <v>0</v>
      </c>
      <c r="R19" s="11" t="b">
        <v>0</v>
      </c>
      <c r="S19" s="11" t="b">
        <v>1</v>
      </c>
      <c r="T19" s="11" t="b">
        <v>0</v>
      </c>
      <c r="U19" s="11" t="b">
        <v>0</v>
      </c>
      <c r="V19" s="11" t="b">
        <v>0</v>
      </c>
    </row>
    <row r="20" spans="1:22" x14ac:dyDescent="0.25">
      <c r="B20" s="12" t="s">
        <v>2693</v>
      </c>
    </row>
    <row r="21" spans="1:22" x14ac:dyDescent="0.25">
      <c r="A21" s="12" t="s">
        <v>44</v>
      </c>
    </row>
    <row r="22" spans="1:22" x14ac:dyDescent="0.25">
      <c r="A22" s="12" t="s">
        <v>33</v>
      </c>
    </row>
  </sheetData>
  <sortState ref="A2:V22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D2" location="' 1 Из архикада плиты'!D4" display="' 1 Из архикада плиты'!D4"/>
    <hyperlink ref="C3" location="' 1 Изделия_спец.И'!C3" display="' 1 Изделия_спец.И'!C3"/>
    <hyperlink ref="B20" location="'!System'!B2" display="'!System'!B2"/>
    <hyperlink ref="A21" location="'|Лог|'!A1" display="'|Лог|'!A1"/>
    <hyperlink ref="A22" location="'|Содержание|'!A1" display="'|Содержание|'!A1"/>
    <hyperlink ref="E4" location="'Ведомость отделки_правила'!E3" display="'Ведомость отделки_правила'!E3"/>
    <hyperlink ref="D5" location="'Ведомость отделки_разб'!D4" display="'Ведомость отделки_разб'!D4"/>
    <hyperlink ref="D6" location="'Из архикада плиты'!D4" display="'Из архикада плиты'!D4"/>
    <hyperlink ref="C7" location="'Изделия_спец.И'!C3" display="'Изделия_спец.И'!C3"/>
    <hyperlink ref="D8" location="'Исх.Таблица из архикада'!D4" display="'Исх.Таблица из архикада'!D4"/>
    <hyperlink ref="E9" location="'Км(2)_спец'!E3" display="'Км(2)_спец'!E3"/>
    <hyperlink ref="E10" location="'Км1234_спец'!E3" display="'Км1234_спец'!E3"/>
    <hyperlink ref="E11" location="'Пм1.1_спец'!E3" display="'Пм1.1_спец'!E3"/>
    <hyperlink ref="E12" location="'Пс8.2_спец'!E3" display="'Пс8.2_спец'!E3"/>
    <hyperlink ref="E13" location="'Пс8.3_спец'!E3" display="'Пс8.3_спец'!E3"/>
    <hyperlink ref="E14" location="'Пс8.4_спец'!E3" display="'Пс8.4_спец'!E3"/>
    <hyperlink ref="E15" location="'Пс8.5_спец'!E3" display="'Пс8.5_спец'!E3"/>
    <hyperlink ref="E16" location="'Пс8.6_спец'!E3" display="'Пс8.6_спец'!E3"/>
    <hyperlink ref="D19" location="'Пс8.7_кж'!D4" display="'Пс8.7_кж'!D4"/>
    <hyperlink ref="E17" location="'Пс8.7_спец'!E3" display="'Пс8.7_спец'!E3"/>
    <hyperlink ref="D18" location="'Таблица из архикада'!D4" display="'Таблица из архикада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>
    <tabColor rgb="FF000000"/>
  </sheetPr>
  <dimension ref="A1:AI482"/>
  <sheetViews>
    <sheetView topLeftCell="A143" zoomScale="85" zoomScaleNormal="85" workbookViewId="0">
      <selection activeCell="N154" sqref="N154"/>
    </sheetView>
  </sheetViews>
  <sheetFormatPr defaultRowHeight="15" x14ac:dyDescent="0.25"/>
  <cols>
    <col min="1" max="1" width="14.28515625" customWidth="1"/>
    <col min="3" max="3" width="36.140625" customWidth="1"/>
    <col min="4" max="4" width="9.140625" customWidth="1"/>
    <col min="8" max="8" width="10.42578125" customWidth="1"/>
    <col min="11" max="11" width="22.85546875" customWidth="1"/>
    <col min="12" max="14" width="11" customWidth="1"/>
    <col min="31" max="31" width="10.7109375" customWidth="1"/>
    <col min="32" max="32" width="10.85546875" customWidth="1"/>
  </cols>
  <sheetData>
    <row r="1" spans="1:35" ht="15.75" thickBot="1" x14ac:dyDescent="0.3"/>
    <row r="2" spans="1:35" ht="91.5" thickTop="1" thickBot="1" x14ac:dyDescent="0.3">
      <c r="A2" s="133" t="s">
        <v>159</v>
      </c>
      <c r="B2" s="135" t="s">
        <v>160</v>
      </c>
      <c r="C2" s="135" t="s">
        <v>2750</v>
      </c>
      <c r="D2" s="135" t="s">
        <v>2856</v>
      </c>
      <c r="E2" s="138" t="s">
        <v>163</v>
      </c>
      <c r="F2" s="135" t="s">
        <v>2857</v>
      </c>
      <c r="G2" s="135" t="s">
        <v>2858</v>
      </c>
      <c r="H2" s="140" t="s">
        <v>166</v>
      </c>
      <c r="I2" s="141"/>
      <c r="J2" s="142"/>
      <c r="K2" s="143" t="s">
        <v>2859</v>
      </c>
      <c r="L2" s="143" t="s">
        <v>2860</v>
      </c>
      <c r="M2" s="146" t="s">
        <v>2861</v>
      </c>
      <c r="N2" s="107" t="s">
        <v>2714</v>
      </c>
      <c r="O2" s="108" t="s">
        <v>2862</v>
      </c>
      <c r="P2" s="109" t="s">
        <v>2863</v>
      </c>
      <c r="Q2" s="109" t="s">
        <v>2864</v>
      </c>
      <c r="R2" s="109" t="s">
        <v>2865</v>
      </c>
      <c r="S2" s="109" t="s">
        <v>2866</v>
      </c>
      <c r="T2" s="109" t="s">
        <v>2867</v>
      </c>
      <c r="U2" s="109" t="s">
        <v>2868</v>
      </c>
      <c r="V2" s="109" t="s">
        <v>2869</v>
      </c>
      <c r="W2" s="109" t="s">
        <v>2870</v>
      </c>
      <c r="X2" s="109" t="s">
        <v>2871</v>
      </c>
      <c r="Y2" s="109" t="s">
        <v>2872</v>
      </c>
      <c r="Z2" s="109" t="s">
        <v>2873</v>
      </c>
      <c r="AA2" s="109" t="s">
        <v>2874</v>
      </c>
      <c r="AB2" s="109" t="s">
        <v>2875</v>
      </c>
      <c r="AC2" s="110" t="s">
        <v>2876</v>
      </c>
      <c r="AD2" s="111" t="s">
        <v>2877</v>
      </c>
      <c r="AE2" s="143" t="s">
        <v>180</v>
      </c>
      <c r="AF2" s="131" t="s">
        <v>2878</v>
      </c>
      <c r="AG2" s="111" t="s">
        <v>2879</v>
      </c>
      <c r="AH2" s="111" t="s">
        <v>2880</v>
      </c>
      <c r="AI2" s="112" t="s">
        <v>2881</v>
      </c>
    </row>
    <row r="3" spans="1:35" ht="17.25" thickTop="1" thickBot="1" x14ac:dyDescent="0.3">
      <c r="A3" s="134"/>
      <c r="B3" s="136"/>
      <c r="C3" s="136"/>
      <c r="D3" s="137"/>
      <c r="E3" s="139"/>
      <c r="F3" s="137"/>
      <c r="G3" s="137"/>
      <c r="H3" s="113" t="s">
        <v>170</v>
      </c>
      <c r="I3" s="114" t="s">
        <v>171</v>
      </c>
      <c r="J3" s="115" t="s">
        <v>172</v>
      </c>
      <c r="K3" s="144"/>
      <c r="L3" s="145"/>
      <c r="M3" s="147"/>
      <c r="N3" s="116" t="str">
        <f>'[1]Исх.Таблица из архикада'!A3</f>
        <v>Пс8.5.1</v>
      </c>
      <c r="O3" s="116">
        <f>'[1]Исх.Таблица из архикада'!B3</f>
        <v>4520</v>
      </c>
      <c r="P3" s="116">
        <f>'[1]Исх.Таблица из архикада'!C3</f>
        <v>1150</v>
      </c>
      <c r="Q3" s="116">
        <f>'[1]Исх.Таблица из архикада'!D3</f>
        <v>200</v>
      </c>
      <c r="R3" s="116">
        <f>'[1]Исх.Таблица из архикада'!E3</f>
        <v>800</v>
      </c>
      <c r="S3" s="116">
        <f>'[1]Исх.Таблица из архикада'!F3</f>
        <v>300</v>
      </c>
      <c r="T3" s="116">
        <f>'[1]Исх.Таблица из архикада'!G3</f>
        <v>300</v>
      </c>
      <c r="U3" s="116">
        <f>'[1]Исх.Таблица из архикада'!H3</f>
        <v>300</v>
      </c>
      <c r="V3" s="116">
        <f>'[1]Исх.Таблица из архикада'!I3</f>
        <v>12</v>
      </c>
      <c r="W3" s="116">
        <f>'[1]Исх.Таблица из архикада'!J3</f>
        <v>200</v>
      </c>
      <c r="X3" s="116">
        <f>'[1]Исх.Таблица из архикада'!K3</f>
        <v>12</v>
      </c>
      <c r="Y3" s="116">
        <f>'[1]Исх.Таблица из архикада'!L3</f>
        <v>200</v>
      </c>
      <c r="Z3" s="116">
        <f>'[1]Исх.Таблица из архикада'!M3</f>
        <v>12</v>
      </c>
      <c r="AA3" s="116">
        <f>'[1]Исх.Таблица из архикада'!N3</f>
        <v>200</v>
      </c>
      <c r="AB3" s="116">
        <f>'[1]Исх.Таблица из архикада'!O3</f>
        <v>12</v>
      </c>
      <c r="AC3" s="116">
        <f>'[1]Исх.Таблица из архикада'!P3</f>
        <v>200</v>
      </c>
      <c r="AD3" s="117">
        <v>40</v>
      </c>
      <c r="AE3" s="145"/>
      <c r="AF3" s="132"/>
      <c r="AG3" s="118" t="s">
        <v>2882</v>
      </c>
      <c r="AH3" s="118">
        <v>1</v>
      </c>
      <c r="AI3">
        <v>6000</v>
      </c>
    </row>
    <row r="4" spans="1:35" ht="17.25" thickTop="1" thickBot="1" x14ac:dyDescent="0.3">
      <c r="A4" s="119" t="str">
        <f>N3</f>
        <v>Пс8.5.1</v>
      </c>
      <c r="B4" s="119">
        <v>1</v>
      </c>
      <c r="C4" s="46" t="s">
        <v>2883</v>
      </c>
      <c r="D4" s="119">
        <f>W4</f>
        <v>200</v>
      </c>
      <c r="E4" s="120">
        <f>IF(O4&lt;=5700, ROUNDUP(P4*2/W4+2,0), 1)</f>
        <v>14</v>
      </c>
      <c r="F4" s="119">
        <f>ROUNDUP(((O4*R4*U4)*0.000000001+(O4*P4*Q4)*0.000000001),1)</f>
        <v>2.2000000000000002</v>
      </c>
      <c r="G4" s="119">
        <f>ROUNDUP((0.1*(R4+200)*(O4)*0.000001),1)</f>
        <v>0.5</v>
      </c>
      <c r="H4" s="120">
        <f>IF(O4&lt;=5700, O4-50, K4)</f>
        <v>4470</v>
      </c>
      <c r="I4" s="121">
        <f>V4</f>
        <v>12</v>
      </c>
      <c r="J4" s="46" t="s">
        <v>2</v>
      </c>
      <c r="K4" s="122">
        <f>Арм_ПоПлощади(O4*P4,W4,AF4,$AI$3)</f>
        <v>31270</v>
      </c>
      <c r="L4" s="123">
        <f>IF(R4&lt;=2000,(0),(ROUNDUP(O4*R4*0.000001/1+SQRT(O4*R4*0.000001),0)))</f>
        <v>0</v>
      </c>
      <c r="M4" s="124">
        <v>0</v>
      </c>
      <c r="N4" s="125" t="str">
        <f>N3</f>
        <v>Пс8.5.1</v>
      </c>
      <c r="O4" s="125">
        <f t="shared" ref="O4:AD16" si="0">O3</f>
        <v>4520</v>
      </c>
      <c r="P4" s="125">
        <f t="shared" si="0"/>
        <v>1150</v>
      </c>
      <c r="Q4" s="125">
        <f t="shared" si="0"/>
        <v>200</v>
      </c>
      <c r="R4" s="125">
        <f t="shared" si="0"/>
        <v>800</v>
      </c>
      <c r="S4" s="125">
        <f t="shared" si="0"/>
        <v>300</v>
      </c>
      <c r="T4" s="125">
        <f t="shared" si="0"/>
        <v>300</v>
      </c>
      <c r="U4" s="125">
        <f t="shared" si="0"/>
        <v>300</v>
      </c>
      <c r="V4" s="125">
        <f t="shared" si="0"/>
        <v>12</v>
      </c>
      <c r="W4" s="125">
        <f t="shared" si="0"/>
        <v>200</v>
      </c>
      <c r="X4" s="125">
        <f t="shared" si="0"/>
        <v>12</v>
      </c>
      <c r="Y4" s="125">
        <f t="shared" si="0"/>
        <v>200</v>
      </c>
      <c r="Z4" s="125">
        <f t="shared" si="0"/>
        <v>12</v>
      </c>
      <c r="AA4" s="125">
        <f t="shared" si="0"/>
        <v>200</v>
      </c>
      <c r="AB4" s="125">
        <f t="shared" si="0"/>
        <v>12</v>
      </c>
      <c r="AC4" s="125">
        <f t="shared" si="0"/>
        <v>200</v>
      </c>
      <c r="AD4" s="119">
        <v>40</v>
      </c>
      <c r="AE4" s="126">
        <f>Арм_Анкеровка(I4,J4,$AG$3,$AH$3)</f>
        <v>500</v>
      </c>
      <c r="AF4" s="66">
        <f>Арм_Нахлёст(I4,J4,$AG$3,$AH$3)</f>
        <v>600</v>
      </c>
      <c r="AG4" s="66" t="str">
        <f>AG3</f>
        <v>В25</v>
      </c>
      <c r="AH4" s="66">
        <f>AH3</f>
        <v>1</v>
      </c>
    </row>
    <row r="5" spans="1:35" ht="17.25" thickTop="1" thickBot="1" x14ac:dyDescent="0.3">
      <c r="A5" s="119" t="str">
        <f>A4</f>
        <v>Пс8.5.1</v>
      </c>
      <c r="B5" s="119">
        <v>2</v>
      </c>
      <c r="C5" s="46" t="s">
        <v>2884</v>
      </c>
      <c r="D5" s="119">
        <f>Y4</f>
        <v>200</v>
      </c>
      <c r="E5" s="127">
        <f>ROUNDUP(O5/Y5,0)</f>
        <v>23</v>
      </c>
      <c r="F5" s="119"/>
      <c r="G5" s="119"/>
      <c r="H5" s="127">
        <f>Арм_Элемент_П(AF5, (Q5-2*AD5), I5, J5)</f>
        <v>1290</v>
      </c>
      <c r="I5" s="121">
        <f>X5</f>
        <v>12</v>
      </c>
      <c r="J5" s="46" t="s">
        <v>2</v>
      </c>
      <c r="K5" s="128"/>
      <c r="L5" s="119"/>
      <c r="M5" s="124">
        <f t="shared" ref="M5:N16" si="1">M4</f>
        <v>0</v>
      </c>
      <c r="N5" s="125" t="str">
        <f t="shared" si="1"/>
        <v>Пс8.5.1</v>
      </c>
      <c r="O5" s="125">
        <f t="shared" si="0"/>
        <v>4520</v>
      </c>
      <c r="P5" s="125">
        <f t="shared" si="0"/>
        <v>1150</v>
      </c>
      <c r="Q5" s="125">
        <f t="shared" si="0"/>
        <v>200</v>
      </c>
      <c r="R5" s="125">
        <f t="shared" si="0"/>
        <v>800</v>
      </c>
      <c r="S5" s="125">
        <f t="shared" si="0"/>
        <v>300</v>
      </c>
      <c r="T5" s="125">
        <f t="shared" si="0"/>
        <v>300</v>
      </c>
      <c r="U5" s="125">
        <f t="shared" si="0"/>
        <v>300</v>
      </c>
      <c r="V5" s="125">
        <f t="shared" si="0"/>
        <v>12</v>
      </c>
      <c r="W5" s="125">
        <f t="shared" si="0"/>
        <v>200</v>
      </c>
      <c r="X5" s="125">
        <f t="shared" si="0"/>
        <v>12</v>
      </c>
      <c r="Y5" s="125">
        <f t="shared" si="0"/>
        <v>200</v>
      </c>
      <c r="Z5" s="125">
        <f t="shared" si="0"/>
        <v>12</v>
      </c>
      <c r="AA5" s="125">
        <f t="shared" si="0"/>
        <v>200</v>
      </c>
      <c r="AB5" s="125">
        <f t="shared" si="0"/>
        <v>12</v>
      </c>
      <c r="AC5" s="125">
        <f t="shared" si="0"/>
        <v>200</v>
      </c>
      <c r="AD5" s="119">
        <v>40</v>
      </c>
      <c r="AE5" s="126">
        <f t="shared" ref="AE5:AE15" si="2">Арм_Анкеровка(I5,J5,$AG$3,$AH$3)</f>
        <v>500</v>
      </c>
      <c r="AF5" s="66">
        <f t="shared" ref="AF5:AF15" si="3">Арм_Нахлёст(I5,J5,$AG$3,$AH$3)</f>
        <v>600</v>
      </c>
      <c r="AG5" s="66" t="str">
        <f t="shared" ref="AG5:AH16" si="4">AG4</f>
        <v>В25</v>
      </c>
      <c r="AH5" s="66">
        <f t="shared" si="4"/>
        <v>1</v>
      </c>
    </row>
    <row r="6" spans="1:35" ht="17.25" thickTop="1" thickBot="1" x14ac:dyDescent="0.3">
      <c r="A6" s="119" t="str">
        <f t="shared" ref="A6:A16" si="5">A5</f>
        <v>Пс8.5.1</v>
      </c>
      <c r="B6" s="119">
        <v>3</v>
      </c>
      <c r="C6" s="46" t="s">
        <v>2885</v>
      </c>
      <c r="D6" s="119">
        <f>W6</f>
        <v>200</v>
      </c>
      <c r="E6" s="127">
        <f>MROUND(2*P6/D6,2)</f>
        <v>12</v>
      </c>
      <c r="F6" s="119"/>
      <c r="G6" s="119"/>
      <c r="H6" s="127">
        <f>Арм_Элемент_П(AF6, (Q6-2*AD6), I6, J6)</f>
        <v>1310</v>
      </c>
      <c r="I6" s="121">
        <f>V6</f>
        <v>12</v>
      </c>
      <c r="J6" s="46" t="s">
        <v>2</v>
      </c>
      <c r="K6" s="128"/>
      <c r="L6" s="119"/>
      <c r="M6" s="124">
        <f t="shared" si="1"/>
        <v>0</v>
      </c>
      <c r="N6" s="125" t="str">
        <f t="shared" si="1"/>
        <v>Пс8.5.1</v>
      </c>
      <c r="O6" s="125">
        <f t="shared" si="0"/>
        <v>4520</v>
      </c>
      <c r="P6" s="125">
        <f t="shared" si="0"/>
        <v>1150</v>
      </c>
      <c r="Q6" s="125">
        <f t="shared" si="0"/>
        <v>200</v>
      </c>
      <c r="R6" s="125">
        <f t="shared" si="0"/>
        <v>800</v>
      </c>
      <c r="S6" s="125">
        <f t="shared" si="0"/>
        <v>300</v>
      </c>
      <c r="T6" s="125">
        <f t="shared" si="0"/>
        <v>300</v>
      </c>
      <c r="U6" s="125">
        <f t="shared" si="0"/>
        <v>300</v>
      </c>
      <c r="V6" s="125">
        <f t="shared" si="0"/>
        <v>12</v>
      </c>
      <c r="W6" s="125">
        <f t="shared" si="0"/>
        <v>200</v>
      </c>
      <c r="X6" s="125">
        <f t="shared" si="0"/>
        <v>12</v>
      </c>
      <c r="Y6" s="125">
        <f t="shared" si="0"/>
        <v>200</v>
      </c>
      <c r="Z6" s="125">
        <f t="shared" si="0"/>
        <v>12</v>
      </c>
      <c r="AA6" s="125">
        <f t="shared" si="0"/>
        <v>200</v>
      </c>
      <c r="AB6" s="125">
        <f t="shared" si="0"/>
        <v>12</v>
      </c>
      <c r="AC6" s="125">
        <f t="shared" si="0"/>
        <v>200</v>
      </c>
      <c r="AD6" s="119">
        <v>30</v>
      </c>
      <c r="AE6" s="126">
        <f t="shared" si="2"/>
        <v>500</v>
      </c>
      <c r="AF6" s="66">
        <f t="shared" si="3"/>
        <v>600</v>
      </c>
      <c r="AG6" s="66" t="str">
        <f t="shared" si="4"/>
        <v>В25</v>
      </c>
      <c r="AH6" s="66">
        <f t="shared" si="4"/>
        <v>1</v>
      </c>
    </row>
    <row r="7" spans="1:35" ht="17.25" thickTop="1" thickBot="1" x14ac:dyDescent="0.3">
      <c r="A7" s="119" t="str">
        <f t="shared" si="5"/>
        <v>Пс8.5.1</v>
      </c>
      <c r="B7" s="119">
        <v>4</v>
      </c>
      <c r="C7" s="46" t="s">
        <v>2886</v>
      </c>
      <c r="D7" s="119">
        <f>Y7</f>
        <v>200</v>
      </c>
      <c r="E7" s="127">
        <f>ROUNDUP(O7/Y7,0)*2</f>
        <v>46</v>
      </c>
      <c r="F7" s="119"/>
      <c r="G7" s="119"/>
      <c r="H7" s="127">
        <f>IF(P7&lt;=3000,(IF(Q7&lt;=150,(P7-25+AE7+Q7-(35+V7)),(P7-25+AE7))),(P7-25))</f>
        <v>1625</v>
      </c>
      <c r="I7" s="121">
        <f>X7</f>
        <v>12</v>
      </c>
      <c r="J7" s="46" t="s">
        <v>2</v>
      </c>
      <c r="K7" s="128"/>
      <c r="L7" s="119"/>
      <c r="M7" s="124">
        <f t="shared" si="1"/>
        <v>0</v>
      </c>
      <c r="N7" s="125" t="str">
        <f t="shared" si="1"/>
        <v>Пс8.5.1</v>
      </c>
      <c r="O7" s="125">
        <f t="shared" si="0"/>
        <v>4520</v>
      </c>
      <c r="P7" s="125">
        <f t="shared" si="0"/>
        <v>1150</v>
      </c>
      <c r="Q7" s="125">
        <f t="shared" si="0"/>
        <v>200</v>
      </c>
      <c r="R7" s="125">
        <f t="shared" si="0"/>
        <v>800</v>
      </c>
      <c r="S7" s="125">
        <f t="shared" si="0"/>
        <v>300</v>
      </c>
      <c r="T7" s="125">
        <f t="shared" si="0"/>
        <v>300</v>
      </c>
      <c r="U7" s="125">
        <f t="shared" si="0"/>
        <v>300</v>
      </c>
      <c r="V7" s="125">
        <f t="shared" si="0"/>
        <v>12</v>
      </c>
      <c r="W7" s="125">
        <f t="shared" si="0"/>
        <v>200</v>
      </c>
      <c r="X7" s="125">
        <f t="shared" si="0"/>
        <v>12</v>
      </c>
      <c r="Y7" s="125">
        <f t="shared" si="0"/>
        <v>200</v>
      </c>
      <c r="Z7" s="125">
        <f t="shared" si="0"/>
        <v>12</v>
      </c>
      <c r="AA7" s="125">
        <f t="shared" si="0"/>
        <v>200</v>
      </c>
      <c r="AB7" s="125">
        <f t="shared" si="0"/>
        <v>12</v>
      </c>
      <c r="AC7" s="125">
        <f t="shared" si="0"/>
        <v>200</v>
      </c>
      <c r="AD7" s="119">
        <v>40</v>
      </c>
      <c r="AE7" s="126">
        <f t="shared" si="2"/>
        <v>500</v>
      </c>
      <c r="AF7" s="66">
        <f t="shared" si="3"/>
        <v>600</v>
      </c>
      <c r="AG7" s="66" t="str">
        <f t="shared" si="4"/>
        <v>В25</v>
      </c>
      <c r="AH7" s="66">
        <f t="shared" si="4"/>
        <v>1</v>
      </c>
    </row>
    <row r="8" spans="1:35" ht="17.25" thickTop="1" thickBot="1" x14ac:dyDescent="0.3">
      <c r="A8" s="119" t="str">
        <f t="shared" si="5"/>
        <v>Пс8.5.1</v>
      </c>
      <c r="B8" s="119">
        <v>5</v>
      </c>
      <c r="C8" s="46" t="s">
        <v>2887</v>
      </c>
      <c r="D8" s="119">
        <v>400</v>
      </c>
      <c r="E8" s="127">
        <f>ROUNDUP((7*(O8*P8/1000000)),0)</f>
        <v>37</v>
      </c>
      <c r="F8" s="119"/>
      <c r="G8" s="119"/>
      <c r="H8" s="127">
        <f>Q8-AD8*2+150</f>
        <v>270</v>
      </c>
      <c r="I8" s="121">
        <v>6</v>
      </c>
      <c r="J8" s="46" t="s">
        <v>2</v>
      </c>
      <c r="K8" s="128"/>
      <c r="L8" s="119"/>
      <c r="M8" s="124">
        <f t="shared" si="1"/>
        <v>0</v>
      </c>
      <c r="N8" s="125" t="str">
        <f t="shared" si="1"/>
        <v>Пс8.5.1</v>
      </c>
      <c r="O8" s="125">
        <f t="shared" si="0"/>
        <v>4520</v>
      </c>
      <c r="P8" s="125">
        <f t="shared" si="0"/>
        <v>1150</v>
      </c>
      <c r="Q8" s="125">
        <f t="shared" si="0"/>
        <v>200</v>
      </c>
      <c r="R8" s="125">
        <f t="shared" si="0"/>
        <v>800</v>
      </c>
      <c r="S8" s="125">
        <f t="shared" si="0"/>
        <v>300</v>
      </c>
      <c r="T8" s="125">
        <f t="shared" si="0"/>
        <v>300</v>
      </c>
      <c r="U8" s="125">
        <f t="shared" si="0"/>
        <v>300</v>
      </c>
      <c r="V8" s="125">
        <f t="shared" si="0"/>
        <v>12</v>
      </c>
      <c r="W8" s="125">
        <f t="shared" si="0"/>
        <v>200</v>
      </c>
      <c r="X8" s="125">
        <f t="shared" si="0"/>
        <v>12</v>
      </c>
      <c r="Y8" s="125">
        <f t="shared" si="0"/>
        <v>200</v>
      </c>
      <c r="Z8" s="125">
        <f t="shared" si="0"/>
        <v>12</v>
      </c>
      <c r="AA8" s="125">
        <f t="shared" si="0"/>
        <v>200</v>
      </c>
      <c r="AB8" s="125">
        <f t="shared" si="0"/>
        <v>12</v>
      </c>
      <c r="AC8" s="125">
        <f t="shared" si="0"/>
        <v>200</v>
      </c>
      <c r="AD8" s="119">
        <f t="shared" si="0"/>
        <v>40</v>
      </c>
      <c r="AE8" s="126">
        <f t="shared" si="2"/>
        <v>250</v>
      </c>
      <c r="AF8" s="66">
        <f t="shared" si="3"/>
        <v>300</v>
      </c>
      <c r="AG8" s="66" t="str">
        <f t="shared" si="4"/>
        <v>В25</v>
      </c>
      <c r="AH8" s="66">
        <f t="shared" si="4"/>
        <v>1</v>
      </c>
    </row>
    <row r="9" spans="1:35" ht="17.25" thickTop="1" thickBot="1" x14ac:dyDescent="0.3">
      <c r="A9" s="119" t="str">
        <f t="shared" si="5"/>
        <v>Пс8.5.1</v>
      </c>
      <c r="B9" s="119">
        <v>6</v>
      </c>
      <c r="C9" s="46" t="s">
        <v>2888</v>
      </c>
      <c r="D9" s="119">
        <f>AA9</f>
        <v>200</v>
      </c>
      <c r="E9" s="127">
        <f>IF(R9&lt;=2000,(ROUNDUP(O9/D9,0)),(ROUNDUP(O9/D9,0)))</f>
        <v>23</v>
      </c>
      <c r="F9" s="119"/>
      <c r="G9" s="119"/>
      <c r="H9" s="127">
        <f>R9-50</f>
        <v>750</v>
      </c>
      <c r="I9" s="121">
        <f>Z9</f>
        <v>12</v>
      </c>
      <c r="J9" s="46" t="s">
        <v>2</v>
      </c>
      <c r="K9" s="128"/>
      <c r="L9" s="119"/>
      <c r="M9" s="124">
        <f t="shared" si="1"/>
        <v>0</v>
      </c>
      <c r="N9" s="125" t="str">
        <f t="shared" si="1"/>
        <v>Пс8.5.1</v>
      </c>
      <c r="O9" s="125">
        <f t="shared" si="0"/>
        <v>4520</v>
      </c>
      <c r="P9" s="125">
        <f t="shared" si="0"/>
        <v>1150</v>
      </c>
      <c r="Q9" s="125">
        <f t="shared" si="0"/>
        <v>200</v>
      </c>
      <c r="R9" s="125">
        <f t="shared" si="0"/>
        <v>800</v>
      </c>
      <c r="S9" s="125">
        <f t="shared" si="0"/>
        <v>300</v>
      </c>
      <c r="T9" s="125">
        <f t="shared" si="0"/>
        <v>300</v>
      </c>
      <c r="U9" s="125">
        <f t="shared" si="0"/>
        <v>300</v>
      </c>
      <c r="V9" s="125">
        <f t="shared" si="0"/>
        <v>12</v>
      </c>
      <c r="W9" s="125">
        <f t="shared" si="0"/>
        <v>200</v>
      </c>
      <c r="X9" s="125">
        <f t="shared" si="0"/>
        <v>12</v>
      </c>
      <c r="Y9" s="125">
        <f t="shared" si="0"/>
        <v>200</v>
      </c>
      <c r="Z9" s="125">
        <f t="shared" si="0"/>
        <v>12</v>
      </c>
      <c r="AA9" s="125">
        <f t="shared" si="0"/>
        <v>200</v>
      </c>
      <c r="AB9" s="125">
        <f t="shared" si="0"/>
        <v>12</v>
      </c>
      <c r="AC9" s="125">
        <f t="shared" si="0"/>
        <v>200</v>
      </c>
      <c r="AD9" s="119">
        <f t="shared" si="0"/>
        <v>40</v>
      </c>
      <c r="AE9" s="126">
        <f t="shared" si="2"/>
        <v>500</v>
      </c>
      <c r="AF9" s="66">
        <f t="shared" si="3"/>
        <v>600</v>
      </c>
      <c r="AG9" s="66" t="str">
        <f t="shared" si="4"/>
        <v>В25</v>
      </c>
      <c r="AH9" s="66">
        <f t="shared" si="4"/>
        <v>1</v>
      </c>
    </row>
    <row r="10" spans="1:35" ht="17.25" thickTop="1" thickBot="1" x14ac:dyDescent="0.3">
      <c r="A10" s="119" t="str">
        <f t="shared" si="5"/>
        <v>Пс8.5.1</v>
      </c>
      <c r="B10" s="119">
        <v>7</v>
      </c>
      <c r="C10" s="46" t="s">
        <v>2889</v>
      </c>
      <c r="D10" s="119">
        <f>AC10</f>
        <v>200</v>
      </c>
      <c r="E10" s="120">
        <f>IF(O10&lt;=5700, ROUNDUP((R10/AC10)*2,0), 1)</f>
        <v>8</v>
      </c>
      <c r="F10" s="119"/>
      <c r="G10" s="119"/>
      <c r="H10" s="120">
        <f>IF(O10&lt;=5700, O10-50, K10)</f>
        <v>4470</v>
      </c>
      <c r="I10" s="121">
        <f>AB10</f>
        <v>12</v>
      </c>
      <c r="J10" s="46" t="s">
        <v>2</v>
      </c>
      <c r="K10" s="122">
        <f>Арм_ПоПлощади(O10*R10,AC10,AF10,$AI$3)</f>
        <v>22390</v>
      </c>
      <c r="L10" s="119"/>
      <c r="M10" s="124">
        <f t="shared" si="1"/>
        <v>0</v>
      </c>
      <c r="N10" s="125" t="str">
        <f t="shared" si="1"/>
        <v>Пс8.5.1</v>
      </c>
      <c r="O10" s="125">
        <f t="shared" si="0"/>
        <v>4520</v>
      </c>
      <c r="P10" s="125">
        <f t="shared" si="0"/>
        <v>1150</v>
      </c>
      <c r="Q10" s="125">
        <f t="shared" si="0"/>
        <v>200</v>
      </c>
      <c r="R10" s="125">
        <f t="shared" si="0"/>
        <v>800</v>
      </c>
      <c r="S10" s="125">
        <f t="shared" si="0"/>
        <v>300</v>
      </c>
      <c r="T10" s="125">
        <f t="shared" si="0"/>
        <v>300</v>
      </c>
      <c r="U10" s="125">
        <f t="shared" si="0"/>
        <v>300</v>
      </c>
      <c r="V10" s="125">
        <f t="shared" si="0"/>
        <v>12</v>
      </c>
      <c r="W10" s="125">
        <f t="shared" si="0"/>
        <v>200</v>
      </c>
      <c r="X10" s="125">
        <f t="shared" si="0"/>
        <v>12</v>
      </c>
      <c r="Y10" s="125">
        <f t="shared" si="0"/>
        <v>200</v>
      </c>
      <c r="Z10" s="125">
        <f t="shared" si="0"/>
        <v>12</v>
      </c>
      <c r="AA10" s="125">
        <f t="shared" si="0"/>
        <v>200</v>
      </c>
      <c r="AB10" s="125">
        <f t="shared" si="0"/>
        <v>12</v>
      </c>
      <c r="AC10" s="125">
        <f t="shared" si="0"/>
        <v>200</v>
      </c>
      <c r="AD10" s="119">
        <f t="shared" si="0"/>
        <v>40</v>
      </c>
      <c r="AE10" s="126">
        <f t="shared" si="2"/>
        <v>500</v>
      </c>
      <c r="AF10" s="66">
        <f t="shared" si="3"/>
        <v>600</v>
      </c>
      <c r="AG10" s="66" t="str">
        <f t="shared" si="4"/>
        <v>В25</v>
      </c>
      <c r="AH10" s="66">
        <f t="shared" si="4"/>
        <v>1</v>
      </c>
    </row>
    <row r="11" spans="1:35" ht="17.25" thickTop="1" thickBot="1" x14ac:dyDescent="0.3">
      <c r="A11" s="119" t="str">
        <f t="shared" si="5"/>
        <v>Пс8.5.1</v>
      </c>
      <c r="B11" s="119">
        <v>8</v>
      </c>
      <c r="C11" s="46" t="s">
        <v>2890</v>
      </c>
      <c r="D11" s="119">
        <f>AA11</f>
        <v>200</v>
      </c>
      <c r="E11" s="127">
        <f>IF(E16=0, (ROUNDUP(O11/D11,0)*2), 0)</f>
        <v>0</v>
      </c>
      <c r="F11" s="119"/>
      <c r="G11" s="119"/>
      <c r="H11" s="127">
        <f>Арм_Элемент_П(AF11, (U11-2*AD11), I11, J11)</f>
        <v>1390</v>
      </c>
      <c r="I11" s="121">
        <f>Z11</f>
        <v>12</v>
      </c>
      <c r="J11" s="46" t="s">
        <v>2</v>
      </c>
      <c r="K11" s="128"/>
      <c r="L11" s="119"/>
      <c r="M11" s="124">
        <f t="shared" si="1"/>
        <v>0</v>
      </c>
      <c r="N11" s="125" t="str">
        <f t="shared" si="1"/>
        <v>Пс8.5.1</v>
      </c>
      <c r="O11" s="125">
        <f t="shared" si="0"/>
        <v>4520</v>
      </c>
      <c r="P11" s="125">
        <f t="shared" si="0"/>
        <v>1150</v>
      </c>
      <c r="Q11" s="125">
        <f t="shared" si="0"/>
        <v>200</v>
      </c>
      <c r="R11" s="125">
        <f t="shared" si="0"/>
        <v>800</v>
      </c>
      <c r="S11" s="125">
        <f t="shared" si="0"/>
        <v>300</v>
      </c>
      <c r="T11" s="125">
        <f t="shared" si="0"/>
        <v>300</v>
      </c>
      <c r="U11" s="125">
        <f t="shared" si="0"/>
        <v>300</v>
      </c>
      <c r="V11" s="125">
        <f t="shared" si="0"/>
        <v>12</v>
      </c>
      <c r="W11" s="125">
        <f t="shared" si="0"/>
        <v>200</v>
      </c>
      <c r="X11" s="125">
        <f t="shared" si="0"/>
        <v>12</v>
      </c>
      <c r="Y11" s="125">
        <f t="shared" si="0"/>
        <v>200</v>
      </c>
      <c r="Z11" s="125">
        <f t="shared" si="0"/>
        <v>12</v>
      </c>
      <c r="AA11" s="125">
        <f t="shared" si="0"/>
        <v>200</v>
      </c>
      <c r="AB11" s="125">
        <f t="shared" si="0"/>
        <v>12</v>
      </c>
      <c r="AC11" s="125">
        <f t="shared" si="0"/>
        <v>200</v>
      </c>
      <c r="AD11" s="119">
        <f t="shared" si="0"/>
        <v>40</v>
      </c>
      <c r="AE11" s="126">
        <f t="shared" si="2"/>
        <v>500</v>
      </c>
      <c r="AF11" s="66">
        <f t="shared" si="3"/>
        <v>600</v>
      </c>
      <c r="AG11" s="66" t="str">
        <f t="shared" si="4"/>
        <v>В25</v>
      </c>
      <c r="AH11" s="66">
        <f t="shared" si="4"/>
        <v>1</v>
      </c>
    </row>
    <row r="12" spans="1:35" ht="17.25" thickTop="1" thickBot="1" x14ac:dyDescent="0.3">
      <c r="A12" s="119" t="str">
        <f t="shared" si="5"/>
        <v>Пс8.5.1</v>
      </c>
      <c r="B12" s="119">
        <v>9</v>
      </c>
      <c r="C12" s="46" t="s">
        <v>2891</v>
      </c>
      <c r="D12" s="119">
        <f>AC12</f>
        <v>200</v>
      </c>
      <c r="E12" s="127">
        <f>ROUNDUP(2*R12/AC12,0)</f>
        <v>8</v>
      </c>
      <c r="F12" s="119"/>
      <c r="G12" s="119"/>
      <c r="H12" s="127">
        <f>Арм_Элемент_П(AF12, (U12-2*AD12), I12, J12)</f>
        <v>1390</v>
      </c>
      <c r="I12" s="121">
        <f>AB12</f>
        <v>12</v>
      </c>
      <c r="J12" s="46" t="s">
        <v>2</v>
      </c>
      <c r="K12" s="128"/>
      <c r="L12" s="119"/>
      <c r="M12" s="124">
        <f t="shared" si="1"/>
        <v>0</v>
      </c>
      <c r="N12" s="125" t="str">
        <f t="shared" si="1"/>
        <v>Пс8.5.1</v>
      </c>
      <c r="O12" s="125">
        <f t="shared" si="0"/>
        <v>4520</v>
      </c>
      <c r="P12" s="125">
        <f t="shared" si="0"/>
        <v>1150</v>
      </c>
      <c r="Q12" s="125">
        <f t="shared" si="0"/>
        <v>200</v>
      </c>
      <c r="R12" s="125">
        <f t="shared" si="0"/>
        <v>800</v>
      </c>
      <c r="S12" s="125">
        <f t="shared" si="0"/>
        <v>300</v>
      </c>
      <c r="T12" s="125">
        <f t="shared" si="0"/>
        <v>300</v>
      </c>
      <c r="U12" s="125">
        <f t="shared" si="0"/>
        <v>300</v>
      </c>
      <c r="V12" s="125">
        <f t="shared" si="0"/>
        <v>12</v>
      </c>
      <c r="W12" s="125">
        <f t="shared" si="0"/>
        <v>200</v>
      </c>
      <c r="X12" s="125">
        <f t="shared" si="0"/>
        <v>12</v>
      </c>
      <c r="Y12" s="125">
        <f t="shared" si="0"/>
        <v>200</v>
      </c>
      <c r="Z12" s="125">
        <f t="shared" si="0"/>
        <v>12</v>
      </c>
      <c r="AA12" s="125">
        <f t="shared" si="0"/>
        <v>200</v>
      </c>
      <c r="AB12" s="125">
        <f t="shared" si="0"/>
        <v>12</v>
      </c>
      <c r="AC12" s="125">
        <f t="shared" si="0"/>
        <v>200</v>
      </c>
      <c r="AD12" s="119">
        <f t="shared" si="0"/>
        <v>40</v>
      </c>
      <c r="AE12" s="126">
        <f t="shared" si="2"/>
        <v>500</v>
      </c>
      <c r="AF12" s="66">
        <f t="shared" si="3"/>
        <v>600</v>
      </c>
      <c r="AG12" s="66" t="str">
        <f t="shared" si="4"/>
        <v>В25</v>
      </c>
      <c r="AH12" s="66">
        <f t="shared" si="4"/>
        <v>1</v>
      </c>
    </row>
    <row r="13" spans="1:35" ht="37.5" customHeight="1" thickTop="1" thickBot="1" x14ac:dyDescent="0.3">
      <c r="A13" s="119" t="str">
        <f t="shared" si="5"/>
        <v>Пс8.5.1</v>
      </c>
      <c r="B13" s="119">
        <v>10</v>
      </c>
      <c r="C13" s="46" t="s">
        <v>2892</v>
      </c>
      <c r="D13" s="119">
        <f>Y13</f>
        <v>200</v>
      </c>
      <c r="E13" s="127">
        <f>ROUNDUP((IF(P13&lt;=3000,0,O13/Y13)),0)</f>
        <v>0</v>
      </c>
      <c r="F13" s="119"/>
      <c r="G13" s="119"/>
      <c r="H13" s="127">
        <f>IF(E13=0, 0, (Арм_Элемент_Г(AF13*2,AE13, I13, J13)))</f>
        <v>0</v>
      </c>
      <c r="I13" s="121">
        <f>X13</f>
        <v>12</v>
      </c>
      <c r="J13" s="46" t="s">
        <v>2</v>
      </c>
      <c r="K13" s="128"/>
      <c r="L13" s="119"/>
      <c r="M13" s="124">
        <f t="shared" si="1"/>
        <v>0</v>
      </c>
      <c r="N13" s="125" t="str">
        <f t="shared" si="1"/>
        <v>Пс8.5.1</v>
      </c>
      <c r="O13" s="125">
        <f t="shared" si="0"/>
        <v>4520</v>
      </c>
      <c r="P13" s="125">
        <f t="shared" si="0"/>
        <v>1150</v>
      </c>
      <c r="Q13" s="125">
        <f t="shared" si="0"/>
        <v>200</v>
      </c>
      <c r="R13" s="125">
        <f t="shared" si="0"/>
        <v>800</v>
      </c>
      <c r="S13" s="125">
        <f t="shared" si="0"/>
        <v>300</v>
      </c>
      <c r="T13" s="125">
        <f t="shared" si="0"/>
        <v>300</v>
      </c>
      <c r="U13" s="125">
        <f t="shared" si="0"/>
        <v>300</v>
      </c>
      <c r="V13" s="125">
        <f t="shared" si="0"/>
        <v>12</v>
      </c>
      <c r="W13" s="125">
        <f t="shared" si="0"/>
        <v>200</v>
      </c>
      <c r="X13" s="125">
        <f t="shared" si="0"/>
        <v>12</v>
      </c>
      <c r="Y13" s="125">
        <f t="shared" si="0"/>
        <v>200</v>
      </c>
      <c r="Z13" s="125">
        <f t="shared" si="0"/>
        <v>12</v>
      </c>
      <c r="AA13" s="125">
        <f t="shared" si="0"/>
        <v>200</v>
      </c>
      <c r="AB13" s="125">
        <f t="shared" si="0"/>
        <v>12</v>
      </c>
      <c r="AC13" s="125">
        <f t="shared" si="0"/>
        <v>200</v>
      </c>
      <c r="AD13" s="119">
        <f t="shared" si="0"/>
        <v>40</v>
      </c>
      <c r="AE13" s="126">
        <f t="shared" si="2"/>
        <v>500</v>
      </c>
      <c r="AF13" s="66">
        <f t="shared" si="3"/>
        <v>600</v>
      </c>
      <c r="AG13" s="66" t="str">
        <f t="shared" si="4"/>
        <v>В25</v>
      </c>
      <c r="AH13" s="66">
        <f t="shared" si="4"/>
        <v>1</v>
      </c>
    </row>
    <row r="14" spans="1:35" ht="33" thickTop="1" thickBot="1" x14ac:dyDescent="0.3">
      <c r="A14" s="119" t="str">
        <f t="shared" si="5"/>
        <v>Пс8.5.1</v>
      </c>
      <c r="B14" s="119">
        <v>11</v>
      </c>
      <c r="C14" s="46" t="s">
        <v>2893</v>
      </c>
      <c r="D14" s="119">
        <f>Y14</f>
        <v>200</v>
      </c>
      <c r="E14" s="127">
        <f>ROUNDUP((IF(P14&lt;=3000,0,O14/Y14)),0)</f>
        <v>0</v>
      </c>
      <c r="F14" s="119"/>
      <c r="G14" s="119"/>
      <c r="H14" s="127">
        <f>IF(E14=0, 0, (Арм_Элемент_Г(AF14,AE14, I14, J14)))</f>
        <v>0</v>
      </c>
      <c r="I14" s="121">
        <f>X14</f>
        <v>12</v>
      </c>
      <c r="J14" s="46" t="s">
        <v>2</v>
      </c>
      <c r="K14" s="128"/>
      <c r="L14" s="119"/>
      <c r="M14" s="124">
        <f t="shared" si="1"/>
        <v>0</v>
      </c>
      <c r="N14" s="125" t="str">
        <f t="shared" si="1"/>
        <v>Пс8.5.1</v>
      </c>
      <c r="O14" s="125">
        <f t="shared" si="0"/>
        <v>4520</v>
      </c>
      <c r="P14" s="125">
        <f t="shared" si="0"/>
        <v>1150</v>
      </c>
      <c r="Q14" s="125">
        <f t="shared" si="0"/>
        <v>200</v>
      </c>
      <c r="R14" s="125">
        <f t="shared" si="0"/>
        <v>800</v>
      </c>
      <c r="S14" s="125">
        <f t="shared" si="0"/>
        <v>300</v>
      </c>
      <c r="T14" s="125">
        <f t="shared" si="0"/>
        <v>300</v>
      </c>
      <c r="U14" s="125">
        <f t="shared" si="0"/>
        <v>300</v>
      </c>
      <c r="V14" s="125">
        <f t="shared" si="0"/>
        <v>12</v>
      </c>
      <c r="W14" s="125">
        <f t="shared" si="0"/>
        <v>200</v>
      </c>
      <c r="X14" s="125">
        <f t="shared" si="0"/>
        <v>12</v>
      </c>
      <c r="Y14" s="125">
        <f t="shared" si="0"/>
        <v>200</v>
      </c>
      <c r="Z14" s="125">
        <f t="shared" si="0"/>
        <v>12</v>
      </c>
      <c r="AA14" s="125">
        <f t="shared" si="0"/>
        <v>200</v>
      </c>
      <c r="AB14" s="125">
        <f t="shared" si="0"/>
        <v>12</v>
      </c>
      <c r="AC14" s="125">
        <f t="shared" si="0"/>
        <v>200</v>
      </c>
      <c r="AD14" s="119">
        <f t="shared" si="0"/>
        <v>40</v>
      </c>
      <c r="AE14" s="126">
        <f t="shared" si="2"/>
        <v>500</v>
      </c>
      <c r="AF14" s="66">
        <f t="shared" si="3"/>
        <v>600</v>
      </c>
      <c r="AG14" s="66" t="str">
        <f t="shared" si="4"/>
        <v>В25</v>
      </c>
      <c r="AH14" s="66">
        <f t="shared" si="4"/>
        <v>1</v>
      </c>
    </row>
    <row r="15" spans="1:35" ht="17.25" thickTop="1" thickBot="1" x14ac:dyDescent="0.3">
      <c r="A15" s="119" t="str">
        <f t="shared" si="5"/>
        <v>Пс8.5.1</v>
      </c>
      <c r="B15" s="119">
        <v>12</v>
      </c>
      <c r="C15" s="46" t="s">
        <v>2894</v>
      </c>
      <c r="D15" s="119">
        <f>W14</f>
        <v>200</v>
      </c>
      <c r="E15" s="127">
        <f>IF(M15=0, 0, M15*2*ROUNDUP((P15/W15),0))</f>
        <v>0</v>
      </c>
      <c r="F15" s="119"/>
      <c r="G15" s="119"/>
      <c r="H15" s="127">
        <f>IF(M15=0, 0, AF15*2)</f>
        <v>0</v>
      </c>
      <c r="I15" s="121">
        <f>V15</f>
        <v>12</v>
      </c>
      <c r="J15" s="46" t="s">
        <v>2</v>
      </c>
      <c r="K15" s="128"/>
      <c r="L15" s="119"/>
      <c r="M15" s="124">
        <f t="shared" si="1"/>
        <v>0</v>
      </c>
      <c r="N15" s="125" t="str">
        <f t="shared" si="1"/>
        <v>Пс8.5.1</v>
      </c>
      <c r="O15" s="125">
        <f t="shared" si="0"/>
        <v>4520</v>
      </c>
      <c r="P15" s="125">
        <f t="shared" si="0"/>
        <v>1150</v>
      </c>
      <c r="Q15" s="125">
        <f t="shared" si="0"/>
        <v>200</v>
      </c>
      <c r="R15" s="125">
        <f t="shared" si="0"/>
        <v>800</v>
      </c>
      <c r="S15" s="125">
        <f t="shared" si="0"/>
        <v>300</v>
      </c>
      <c r="T15" s="125">
        <f t="shared" si="0"/>
        <v>300</v>
      </c>
      <c r="U15" s="125">
        <f t="shared" si="0"/>
        <v>300</v>
      </c>
      <c r="V15" s="125">
        <f t="shared" si="0"/>
        <v>12</v>
      </c>
      <c r="W15" s="125">
        <f t="shared" si="0"/>
        <v>200</v>
      </c>
      <c r="X15" s="125">
        <f t="shared" si="0"/>
        <v>12</v>
      </c>
      <c r="Y15" s="125">
        <f t="shared" si="0"/>
        <v>200</v>
      </c>
      <c r="Z15" s="125">
        <f t="shared" si="0"/>
        <v>12</v>
      </c>
      <c r="AA15" s="125">
        <f t="shared" si="0"/>
        <v>200</v>
      </c>
      <c r="AB15" s="125">
        <f t="shared" si="0"/>
        <v>12</v>
      </c>
      <c r="AC15" s="125">
        <f t="shared" si="0"/>
        <v>200</v>
      </c>
      <c r="AD15" s="119">
        <f t="shared" si="0"/>
        <v>40</v>
      </c>
      <c r="AE15" s="126">
        <f t="shared" si="2"/>
        <v>500</v>
      </c>
      <c r="AF15" s="66">
        <f t="shared" si="3"/>
        <v>600</v>
      </c>
      <c r="AG15" s="66" t="str">
        <f t="shared" si="4"/>
        <v>В25</v>
      </c>
      <c r="AH15" s="66">
        <f t="shared" si="4"/>
        <v>1</v>
      </c>
    </row>
    <row r="16" spans="1:35" ht="17.25" thickTop="1" thickBot="1" x14ac:dyDescent="0.3">
      <c r="A16" s="119" t="str">
        <f t="shared" si="5"/>
        <v>Пс8.5.1</v>
      </c>
      <c r="B16" s="119">
        <v>13</v>
      </c>
      <c r="C16" s="46" t="s">
        <v>2895</v>
      </c>
      <c r="D16" s="119">
        <f>W15</f>
        <v>200</v>
      </c>
      <c r="E16" s="127">
        <f>IF(R16&lt;=2000,(ROUNDUP(O16/D16,0)),(0))</f>
        <v>23</v>
      </c>
      <c r="F16" s="119"/>
      <c r="G16" s="119"/>
      <c r="H16" s="127">
        <f>IF(R16&lt;=2000,(ROUNDUP(R16-2*40+2*(U16-40-AB16/2-AB16), -1)),(0))</f>
        <v>1210</v>
      </c>
      <c r="I16" s="121">
        <f>V16</f>
        <v>12</v>
      </c>
      <c r="J16" s="46" t="s">
        <v>2</v>
      </c>
      <c r="K16" s="128"/>
      <c r="L16" s="119"/>
      <c r="M16" s="124">
        <f t="shared" si="1"/>
        <v>0</v>
      </c>
      <c r="N16" s="125" t="str">
        <f t="shared" si="1"/>
        <v>Пс8.5.1</v>
      </c>
      <c r="O16" s="125">
        <f t="shared" si="0"/>
        <v>4520</v>
      </c>
      <c r="P16" s="125">
        <f t="shared" si="0"/>
        <v>1150</v>
      </c>
      <c r="Q16" s="125">
        <f t="shared" si="0"/>
        <v>200</v>
      </c>
      <c r="R16" s="125">
        <f t="shared" si="0"/>
        <v>800</v>
      </c>
      <c r="S16" s="125">
        <f t="shared" si="0"/>
        <v>300</v>
      </c>
      <c r="T16" s="125">
        <f t="shared" si="0"/>
        <v>300</v>
      </c>
      <c r="U16" s="125">
        <f t="shared" si="0"/>
        <v>300</v>
      </c>
      <c r="V16" s="125">
        <f t="shared" si="0"/>
        <v>12</v>
      </c>
      <c r="W16" s="125">
        <f t="shared" si="0"/>
        <v>200</v>
      </c>
      <c r="X16" s="125">
        <f t="shared" si="0"/>
        <v>12</v>
      </c>
      <c r="Y16" s="125">
        <f t="shared" si="0"/>
        <v>200</v>
      </c>
      <c r="Z16" s="125">
        <f t="shared" si="0"/>
        <v>12</v>
      </c>
      <c r="AA16" s="125">
        <f t="shared" si="0"/>
        <v>200</v>
      </c>
      <c r="AB16" s="125">
        <f t="shared" si="0"/>
        <v>12</v>
      </c>
      <c r="AC16" s="125">
        <f t="shared" si="0"/>
        <v>200</v>
      </c>
      <c r="AD16" s="119">
        <f t="shared" si="0"/>
        <v>40</v>
      </c>
      <c r="AE16" s="126">
        <f t="shared" ref="AE16" si="6">Арм_Анкеровка(I16,J16,$AG$3,$AH$3)</f>
        <v>500</v>
      </c>
      <c r="AF16" s="66">
        <f t="shared" ref="AF16" si="7">Арм_Нахлёст(I16,J16,$AG$3,$AH$3)</f>
        <v>600</v>
      </c>
      <c r="AG16" s="66" t="str">
        <f t="shared" si="4"/>
        <v>В25</v>
      </c>
      <c r="AH16" s="66">
        <f t="shared" si="4"/>
        <v>1</v>
      </c>
    </row>
    <row r="17" spans="1:35" ht="15.75" thickTop="1" x14ac:dyDescent="0.25"/>
    <row r="20" spans="1:35" ht="15.75" thickBot="1" x14ac:dyDescent="0.3"/>
    <row r="21" spans="1:35" ht="91.5" thickTop="1" thickBot="1" x14ac:dyDescent="0.3">
      <c r="A21" s="133" t="s">
        <v>159</v>
      </c>
      <c r="B21" s="135" t="s">
        <v>160</v>
      </c>
      <c r="C21" s="135" t="s">
        <v>2750</v>
      </c>
      <c r="D21" s="135" t="s">
        <v>2856</v>
      </c>
      <c r="E21" s="138" t="s">
        <v>163</v>
      </c>
      <c r="F21" s="135" t="s">
        <v>2857</v>
      </c>
      <c r="G21" s="135" t="s">
        <v>2858</v>
      </c>
      <c r="H21" s="140" t="s">
        <v>166</v>
      </c>
      <c r="I21" s="141"/>
      <c r="J21" s="142"/>
      <c r="K21" s="143" t="s">
        <v>2859</v>
      </c>
      <c r="L21" s="143" t="s">
        <v>2860</v>
      </c>
      <c r="M21" s="146" t="s">
        <v>2861</v>
      </c>
      <c r="N21" s="107" t="s">
        <v>2714</v>
      </c>
      <c r="O21" s="108" t="s">
        <v>2862</v>
      </c>
      <c r="P21" s="109" t="s">
        <v>2863</v>
      </c>
      <c r="Q21" s="109" t="s">
        <v>2864</v>
      </c>
      <c r="R21" s="109" t="s">
        <v>2865</v>
      </c>
      <c r="S21" s="109" t="s">
        <v>2866</v>
      </c>
      <c r="T21" s="109" t="s">
        <v>2867</v>
      </c>
      <c r="U21" s="109" t="s">
        <v>2868</v>
      </c>
      <c r="V21" s="109" t="s">
        <v>2869</v>
      </c>
      <c r="W21" s="109" t="s">
        <v>2870</v>
      </c>
      <c r="X21" s="109" t="s">
        <v>2871</v>
      </c>
      <c r="Y21" s="109" t="s">
        <v>2872</v>
      </c>
      <c r="Z21" s="109" t="s">
        <v>2873</v>
      </c>
      <c r="AA21" s="109" t="s">
        <v>2874</v>
      </c>
      <c r="AB21" s="109" t="s">
        <v>2875</v>
      </c>
      <c r="AC21" s="110" t="s">
        <v>2876</v>
      </c>
      <c r="AD21" s="111" t="s">
        <v>2877</v>
      </c>
      <c r="AE21" s="143" t="s">
        <v>180</v>
      </c>
      <c r="AF21" s="131" t="s">
        <v>2878</v>
      </c>
      <c r="AG21" s="111" t="s">
        <v>2879</v>
      </c>
      <c r="AH21" s="111" t="s">
        <v>2880</v>
      </c>
      <c r="AI21" s="112" t="s">
        <v>2881</v>
      </c>
    </row>
    <row r="22" spans="1:35" ht="17.25" thickTop="1" thickBot="1" x14ac:dyDescent="0.3">
      <c r="A22" s="134"/>
      <c r="B22" s="136"/>
      <c r="C22" s="136"/>
      <c r="D22" s="137"/>
      <c r="E22" s="139"/>
      <c r="F22" s="137"/>
      <c r="G22" s="137"/>
      <c r="H22" s="113" t="s">
        <v>170</v>
      </c>
      <c r="I22" s="114" t="s">
        <v>171</v>
      </c>
      <c r="J22" s="115" t="s">
        <v>172</v>
      </c>
      <c r="K22" s="144"/>
      <c r="L22" s="145"/>
      <c r="M22" s="147"/>
      <c r="N22" s="116" t="str">
        <f>'[1]Исх.Таблица из архикада'!A4</f>
        <v>Пс8.5.2</v>
      </c>
      <c r="O22" s="116">
        <f>'[1]Исх.Таблица из архикада'!B4</f>
        <v>3000</v>
      </c>
      <c r="P22" s="116">
        <f>'[1]Исх.Таблица из архикада'!C4</f>
        <v>2700</v>
      </c>
      <c r="Q22" s="116">
        <f>'[1]Исх.Таблица из архикада'!D4</f>
        <v>200</v>
      </c>
      <c r="R22" s="116">
        <f>'[1]Исх.Таблица из архикада'!E4</f>
        <v>2800</v>
      </c>
      <c r="S22" s="116">
        <f>'[1]Исх.Таблица из архикада'!F4</f>
        <v>300</v>
      </c>
      <c r="T22" s="116">
        <f>'[1]Исх.Таблица из архикада'!G4</f>
        <v>2300</v>
      </c>
      <c r="U22" s="116">
        <f>'[1]Исх.Таблица из архикада'!H4</f>
        <v>300</v>
      </c>
      <c r="V22" s="116">
        <f>'[1]Исх.Таблица из архикада'!I4</f>
        <v>12</v>
      </c>
      <c r="W22" s="116">
        <f>'[1]Исх.Таблица из архикада'!J4</f>
        <v>200</v>
      </c>
      <c r="X22" s="116">
        <f>'[1]Исх.Таблица из архикада'!K4</f>
        <v>14</v>
      </c>
      <c r="Y22" s="116">
        <f>'[1]Исх.Таблица из архикада'!L4</f>
        <v>100</v>
      </c>
      <c r="Z22" s="116">
        <f>'[1]Исх.Таблица из архикада'!M4</f>
        <v>16</v>
      </c>
      <c r="AA22" s="116">
        <f>'[1]Исх.Таблица из архикада'!N4</f>
        <v>100</v>
      </c>
      <c r="AB22" s="116">
        <f>'[1]Исх.Таблица из архикада'!O4</f>
        <v>12</v>
      </c>
      <c r="AC22" s="116">
        <f>'[1]Исх.Таблица из архикада'!P4</f>
        <v>200</v>
      </c>
      <c r="AD22" s="117">
        <v>40</v>
      </c>
      <c r="AE22" s="145"/>
      <c r="AF22" s="132"/>
      <c r="AG22" s="118" t="s">
        <v>2882</v>
      </c>
      <c r="AH22" s="118">
        <v>1</v>
      </c>
      <c r="AI22">
        <v>6000</v>
      </c>
    </row>
    <row r="23" spans="1:35" ht="17.25" thickTop="1" thickBot="1" x14ac:dyDescent="0.3">
      <c r="A23" s="119" t="str">
        <f>N22</f>
        <v>Пс8.5.2</v>
      </c>
      <c r="B23" s="119">
        <v>1</v>
      </c>
      <c r="C23" s="46" t="s">
        <v>2883</v>
      </c>
      <c r="D23" s="119">
        <f>W23</f>
        <v>200</v>
      </c>
      <c r="E23" s="120">
        <f>IF(O23&lt;=5700, ROUNDUP(P23*2/W23+1,0), 1)</f>
        <v>28</v>
      </c>
      <c r="F23" s="119">
        <f>ROUNDUP(((O23*R23*U23)*0.000000001+(O23*P23*Q23)*0.000000001),1)</f>
        <v>4.1999999999999993</v>
      </c>
      <c r="G23" s="119">
        <f>ROUNDUP((0.1*(R23+200)*(O23)*0.000001),1)</f>
        <v>0.9</v>
      </c>
      <c r="H23" s="120">
        <f>IF(O23&lt;=5700, O23-50, K23)</f>
        <v>2950</v>
      </c>
      <c r="I23" s="121">
        <f>V23</f>
        <v>12</v>
      </c>
      <c r="J23" s="46" t="s">
        <v>2</v>
      </c>
      <c r="K23" s="122">
        <f>Арм_ПоПлощади(O23*P23,W23,AF23,$AI$3)</f>
        <v>48150</v>
      </c>
      <c r="L23" s="123">
        <f>IF(R23&lt;=2000,(0),(ROUNDUP(O23*R23*0.000001/1+SQRT(O23*R23*0.000001),0)))</f>
        <v>12</v>
      </c>
      <c r="M23" s="124">
        <v>0</v>
      </c>
      <c r="N23" s="125" t="str">
        <f>N22</f>
        <v>Пс8.5.2</v>
      </c>
      <c r="O23" s="125">
        <f t="shared" ref="O23:AD35" si="8">O22</f>
        <v>3000</v>
      </c>
      <c r="P23" s="125">
        <f t="shared" si="8"/>
        <v>2700</v>
      </c>
      <c r="Q23" s="125">
        <f t="shared" si="8"/>
        <v>200</v>
      </c>
      <c r="R23" s="125">
        <f t="shared" si="8"/>
        <v>2800</v>
      </c>
      <c r="S23" s="125">
        <f t="shared" si="8"/>
        <v>300</v>
      </c>
      <c r="T23" s="125">
        <f t="shared" si="8"/>
        <v>2300</v>
      </c>
      <c r="U23" s="125">
        <f t="shared" si="8"/>
        <v>300</v>
      </c>
      <c r="V23" s="125">
        <f t="shared" si="8"/>
        <v>12</v>
      </c>
      <c r="W23" s="125">
        <f t="shared" si="8"/>
        <v>200</v>
      </c>
      <c r="X23" s="125">
        <f t="shared" si="8"/>
        <v>14</v>
      </c>
      <c r="Y23" s="125">
        <f t="shared" si="8"/>
        <v>100</v>
      </c>
      <c r="Z23" s="125">
        <f t="shared" si="8"/>
        <v>16</v>
      </c>
      <c r="AA23" s="125">
        <f t="shared" si="8"/>
        <v>100</v>
      </c>
      <c r="AB23" s="125">
        <f t="shared" si="8"/>
        <v>12</v>
      </c>
      <c r="AC23" s="125">
        <f t="shared" si="8"/>
        <v>200</v>
      </c>
      <c r="AD23" s="119">
        <f t="shared" si="8"/>
        <v>40</v>
      </c>
      <c r="AE23" s="126">
        <f>Арм_Анкеровка(I23,J23,$AG$3,$AH$3)</f>
        <v>500</v>
      </c>
      <c r="AF23" s="66">
        <f>Арм_Нахлёст(I23,J23,$AG$3,$AH$3)</f>
        <v>600</v>
      </c>
      <c r="AG23" s="66" t="str">
        <f>AG22</f>
        <v>В25</v>
      </c>
      <c r="AH23" s="66">
        <f>AH22</f>
        <v>1</v>
      </c>
    </row>
    <row r="24" spans="1:35" ht="17.25" thickTop="1" thickBot="1" x14ac:dyDescent="0.3">
      <c r="A24" s="119" t="str">
        <f>A23</f>
        <v>Пс8.5.2</v>
      </c>
      <c r="B24" s="119">
        <v>2</v>
      </c>
      <c r="C24" s="46" t="s">
        <v>2884</v>
      </c>
      <c r="D24" s="119">
        <f>Y23</f>
        <v>100</v>
      </c>
      <c r="E24" s="127">
        <f>ROUNDUP(O24/Y24,0)</f>
        <v>30</v>
      </c>
      <c r="F24" s="119"/>
      <c r="G24" s="119"/>
      <c r="H24" s="127">
        <f>Арм_Элемент_П(AF24, (Q24-2*AD24), I24, J24)</f>
        <v>1490</v>
      </c>
      <c r="I24" s="121">
        <f>X24</f>
        <v>14</v>
      </c>
      <c r="J24" s="46" t="s">
        <v>2</v>
      </c>
      <c r="K24" s="128"/>
      <c r="L24" s="119"/>
      <c r="M24" s="124">
        <f t="shared" ref="M24:N35" si="9">M23</f>
        <v>0</v>
      </c>
      <c r="N24" s="125" t="str">
        <f t="shared" si="9"/>
        <v>Пс8.5.2</v>
      </c>
      <c r="O24" s="125">
        <f t="shared" si="8"/>
        <v>3000</v>
      </c>
      <c r="P24" s="125">
        <f t="shared" si="8"/>
        <v>2700</v>
      </c>
      <c r="Q24" s="125">
        <f t="shared" si="8"/>
        <v>200</v>
      </c>
      <c r="R24" s="125">
        <f t="shared" si="8"/>
        <v>2800</v>
      </c>
      <c r="S24" s="125">
        <f t="shared" si="8"/>
        <v>300</v>
      </c>
      <c r="T24" s="125">
        <f t="shared" si="8"/>
        <v>2300</v>
      </c>
      <c r="U24" s="125">
        <f t="shared" si="8"/>
        <v>300</v>
      </c>
      <c r="V24" s="125">
        <f t="shared" si="8"/>
        <v>12</v>
      </c>
      <c r="W24" s="125">
        <f t="shared" si="8"/>
        <v>200</v>
      </c>
      <c r="X24" s="125">
        <f t="shared" si="8"/>
        <v>14</v>
      </c>
      <c r="Y24" s="125">
        <f t="shared" si="8"/>
        <v>100</v>
      </c>
      <c r="Z24" s="125">
        <f t="shared" si="8"/>
        <v>16</v>
      </c>
      <c r="AA24" s="125">
        <f t="shared" si="8"/>
        <v>100</v>
      </c>
      <c r="AB24" s="125">
        <f t="shared" si="8"/>
        <v>12</v>
      </c>
      <c r="AC24" s="125">
        <f t="shared" si="8"/>
        <v>200</v>
      </c>
      <c r="AD24" s="119">
        <f t="shared" si="8"/>
        <v>40</v>
      </c>
      <c r="AE24" s="126">
        <f t="shared" ref="AE24:AE35" si="10">Арм_Анкеровка(I24,J24,$AG$3,$AH$3)</f>
        <v>580</v>
      </c>
      <c r="AF24" s="66">
        <f t="shared" ref="AF24:AF35" si="11">Арм_Нахлёст(I24,J24,$AG$3,$AH$3)</f>
        <v>700</v>
      </c>
      <c r="AG24" s="66" t="str">
        <f t="shared" ref="AG24:AH35" si="12">AG23</f>
        <v>В25</v>
      </c>
      <c r="AH24" s="66">
        <f t="shared" si="12"/>
        <v>1</v>
      </c>
    </row>
    <row r="25" spans="1:35" ht="17.25" thickTop="1" thickBot="1" x14ac:dyDescent="0.3">
      <c r="A25" s="119" t="str">
        <f t="shared" ref="A25:A34" si="13">A24</f>
        <v>Пс8.5.2</v>
      </c>
      <c r="B25" s="119">
        <v>3</v>
      </c>
      <c r="C25" s="46" t="s">
        <v>2885</v>
      </c>
      <c r="D25" s="119">
        <f>W25</f>
        <v>200</v>
      </c>
      <c r="E25" s="127">
        <f>MROUND(2*P25/D25,2)</f>
        <v>28</v>
      </c>
      <c r="F25" s="119"/>
      <c r="G25" s="119"/>
      <c r="H25" s="127">
        <f>Арм_Элемент_П(AF25, (Q25-2*AD25), I25, J25)</f>
        <v>1310</v>
      </c>
      <c r="I25" s="121">
        <f>V25</f>
        <v>12</v>
      </c>
      <c r="J25" s="46" t="s">
        <v>2</v>
      </c>
      <c r="K25" s="128"/>
      <c r="L25" s="119"/>
      <c r="M25" s="124">
        <f t="shared" si="9"/>
        <v>0</v>
      </c>
      <c r="N25" s="125" t="str">
        <f t="shared" si="9"/>
        <v>Пс8.5.2</v>
      </c>
      <c r="O25" s="125">
        <f t="shared" si="8"/>
        <v>3000</v>
      </c>
      <c r="P25" s="125">
        <f t="shared" si="8"/>
        <v>2700</v>
      </c>
      <c r="Q25" s="125">
        <f t="shared" si="8"/>
        <v>200</v>
      </c>
      <c r="R25" s="125">
        <f t="shared" si="8"/>
        <v>2800</v>
      </c>
      <c r="S25" s="125">
        <f t="shared" si="8"/>
        <v>300</v>
      </c>
      <c r="T25" s="125">
        <f t="shared" si="8"/>
        <v>2300</v>
      </c>
      <c r="U25" s="125">
        <f t="shared" si="8"/>
        <v>300</v>
      </c>
      <c r="V25" s="125">
        <f t="shared" si="8"/>
        <v>12</v>
      </c>
      <c r="W25" s="125">
        <f t="shared" si="8"/>
        <v>200</v>
      </c>
      <c r="X25" s="125">
        <f t="shared" si="8"/>
        <v>14</v>
      </c>
      <c r="Y25" s="125">
        <f t="shared" si="8"/>
        <v>100</v>
      </c>
      <c r="Z25" s="125">
        <f t="shared" si="8"/>
        <v>16</v>
      </c>
      <c r="AA25" s="125">
        <f t="shared" si="8"/>
        <v>100</v>
      </c>
      <c r="AB25" s="125">
        <f t="shared" si="8"/>
        <v>12</v>
      </c>
      <c r="AC25" s="125">
        <f t="shared" si="8"/>
        <v>200</v>
      </c>
      <c r="AD25" s="119">
        <v>30</v>
      </c>
      <c r="AE25" s="126">
        <f t="shared" si="10"/>
        <v>500</v>
      </c>
      <c r="AF25" s="66">
        <f t="shared" si="11"/>
        <v>600</v>
      </c>
      <c r="AG25" s="66" t="str">
        <f t="shared" si="12"/>
        <v>В25</v>
      </c>
      <c r="AH25" s="66">
        <f t="shared" si="12"/>
        <v>1</v>
      </c>
    </row>
    <row r="26" spans="1:35" ht="17.25" thickTop="1" thickBot="1" x14ac:dyDescent="0.3">
      <c r="A26" s="119" t="str">
        <f t="shared" si="13"/>
        <v>Пс8.5.2</v>
      </c>
      <c r="B26" s="119">
        <v>4</v>
      </c>
      <c r="C26" s="46" t="s">
        <v>2886</v>
      </c>
      <c r="D26" s="119">
        <f>Y26</f>
        <v>100</v>
      </c>
      <c r="E26" s="127">
        <f>IF(P26&gt;3000,(0),(ROUNDUP(O26/Y26,0)*2))</f>
        <v>60</v>
      </c>
      <c r="F26" s="119"/>
      <c r="G26" s="119"/>
      <c r="H26" s="127">
        <f>IF(P26&lt;=3000,(IF(Q26&lt;=150,(P26-25+AE26+Q26-(35+V26)),(P26-25+AE26))),(P26-25))</f>
        <v>3255</v>
      </c>
      <c r="I26" s="121">
        <f>X26</f>
        <v>14</v>
      </c>
      <c r="J26" s="46" t="s">
        <v>2</v>
      </c>
      <c r="K26" s="128"/>
      <c r="L26" s="119"/>
      <c r="M26" s="124">
        <f t="shared" si="9"/>
        <v>0</v>
      </c>
      <c r="N26" s="125" t="str">
        <f t="shared" si="9"/>
        <v>Пс8.5.2</v>
      </c>
      <c r="O26" s="125">
        <f t="shared" si="8"/>
        <v>3000</v>
      </c>
      <c r="P26" s="125">
        <f t="shared" si="8"/>
        <v>2700</v>
      </c>
      <c r="Q26" s="125">
        <f t="shared" si="8"/>
        <v>200</v>
      </c>
      <c r="R26" s="125">
        <f t="shared" si="8"/>
        <v>2800</v>
      </c>
      <c r="S26" s="125">
        <f t="shared" si="8"/>
        <v>300</v>
      </c>
      <c r="T26" s="125">
        <f t="shared" si="8"/>
        <v>2300</v>
      </c>
      <c r="U26" s="125">
        <f t="shared" si="8"/>
        <v>300</v>
      </c>
      <c r="V26" s="125">
        <f t="shared" si="8"/>
        <v>12</v>
      </c>
      <c r="W26" s="125">
        <f t="shared" si="8"/>
        <v>200</v>
      </c>
      <c r="X26" s="125">
        <f t="shared" si="8"/>
        <v>14</v>
      </c>
      <c r="Y26" s="125">
        <f t="shared" si="8"/>
        <v>100</v>
      </c>
      <c r="Z26" s="125">
        <f t="shared" si="8"/>
        <v>16</v>
      </c>
      <c r="AA26" s="125">
        <f t="shared" si="8"/>
        <v>100</v>
      </c>
      <c r="AB26" s="125">
        <f t="shared" si="8"/>
        <v>12</v>
      </c>
      <c r="AC26" s="125">
        <f t="shared" si="8"/>
        <v>200</v>
      </c>
      <c r="AD26" s="119">
        <v>40</v>
      </c>
      <c r="AE26" s="126">
        <f t="shared" si="10"/>
        <v>580</v>
      </c>
      <c r="AF26" s="66">
        <f t="shared" si="11"/>
        <v>700</v>
      </c>
      <c r="AG26" s="66" t="str">
        <f t="shared" si="12"/>
        <v>В25</v>
      </c>
      <c r="AH26" s="66">
        <f t="shared" si="12"/>
        <v>1</v>
      </c>
    </row>
    <row r="27" spans="1:35" ht="17.25" thickTop="1" thickBot="1" x14ac:dyDescent="0.3">
      <c r="A27" s="119" t="str">
        <f t="shared" si="13"/>
        <v>Пс8.5.2</v>
      </c>
      <c r="B27" s="119">
        <v>5</v>
      </c>
      <c r="C27" s="46" t="s">
        <v>2887</v>
      </c>
      <c r="D27" s="119">
        <v>400</v>
      </c>
      <c r="E27" s="127">
        <f>ROUNDUP((13*(O27*P27/1000000)),0)</f>
        <v>106</v>
      </c>
      <c r="F27" s="119"/>
      <c r="G27" s="119"/>
      <c r="H27" s="127">
        <f>Q27-AD27*2+150</f>
        <v>270</v>
      </c>
      <c r="I27" s="121">
        <v>6</v>
      </c>
      <c r="J27" s="46" t="s">
        <v>2</v>
      </c>
      <c r="K27" s="128"/>
      <c r="L27" s="119"/>
      <c r="M27" s="124">
        <f t="shared" si="9"/>
        <v>0</v>
      </c>
      <c r="N27" s="125" t="str">
        <f t="shared" si="9"/>
        <v>Пс8.5.2</v>
      </c>
      <c r="O27" s="125">
        <f t="shared" si="8"/>
        <v>3000</v>
      </c>
      <c r="P27" s="125">
        <f t="shared" si="8"/>
        <v>2700</v>
      </c>
      <c r="Q27" s="125">
        <f t="shared" si="8"/>
        <v>200</v>
      </c>
      <c r="R27" s="125">
        <f t="shared" si="8"/>
        <v>2800</v>
      </c>
      <c r="S27" s="125">
        <f t="shared" si="8"/>
        <v>300</v>
      </c>
      <c r="T27" s="125">
        <f t="shared" si="8"/>
        <v>2300</v>
      </c>
      <c r="U27" s="125">
        <f t="shared" si="8"/>
        <v>300</v>
      </c>
      <c r="V27" s="125">
        <f t="shared" si="8"/>
        <v>12</v>
      </c>
      <c r="W27" s="125">
        <f t="shared" si="8"/>
        <v>200</v>
      </c>
      <c r="X27" s="125">
        <f t="shared" si="8"/>
        <v>14</v>
      </c>
      <c r="Y27" s="125">
        <f t="shared" si="8"/>
        <v>100</v>
      </c>
      <c r="Z27" s="125">
        <f t="shared" si="8"/>
        <v>16</v>
      </c>
      <c r="AA27" s="125">
        <f t="shared" si="8"/>
        <v>100</v>
      </c>
      <c r="AB27" s="125">
        <f t="shared" si="8"/>
        <v>12</v>
      </c>
      <c r="AC27" s="125">
        <f t="shared" si="8"/>
        <v>200</v>
      </c>
      <c r="AD27" s="119">
        <f t="shared" si="8"/>
        <v>40</v>
      </c>
      <c r="AE27" s="126">
        <f t="shared" si="10"/>
        <v>250</v>
      </c>
      <c r="AF27" s="66">
        <f t="shared" si="11"/>
        <v>300</v>
      </c>
      <c r="AG27" s="66" t="str">
        <f t="shared" si="12"/>
        <v>В25</v>
      </c>
      <c r="AH27" s="66">
        <f t="shared" si="12"/>
        <v>1</v>
      </c>
    </row>
    <row r="28" spans="1:35" ht="17.25" thickTop="1" thickBot="1" x14ac:dyDescent="0.3">
      <c r="A28" s="119" t="str">
        <f t="shared" si="13"/>
        <v>Пс8.5.2</v>
      </c>
      <c r="B28" s="119">
        <v>6</v>
      </c>
      <c r="C28" s="46" t="s">
        <v>2888</v>
      </c>
      <c r="D28" s="119">
        <f>AA28</f>
        <v>100</v>
      </c>
      <c r="E28" s="127">
        <f>IF(R9&lt;=2000,(ROUNDUP(O9/D9,0)),(ROUNDUP(O9/D9,0)*2))</f>
        <v>23</v>
      </c>
      <c r="F28" s="119"/>
      <c r="G28" s="119"/>
      <c r="H28" s="127">
        <f>R28-50</f>
        <v>2750</v>
      </c>
      <c r="I28" s="121">
        <f>Z28</f>
        <v>16</v>
      </c>
      <c r="J28" s="46" t="s">
        <v>2</v>
      </c>
      <c r="K28" s="128"/>
      <c r="L28" s="119"/>
      <c r="M28" s="124">
        <f t="shared" si="9"/>
        <v>0</v>
      </c>
      <c r="N28" s="125" t="str">
        <f t="shared" si="9"/>
        <v>Пс8.5.2</v>
      </c>
      <c r="O28" s="125">
        <f t="shared" si="8"/>
        <v>3000</v>
      </c>
      <c r="P28" s="125">
        <f t="shared" si="8"/>
        <v>2700</v>
      </c>
      <c r="Q28" s="125">
        <f t="shared" si="8"/>
        <v>200</v>
      </c>
      <c r="R28" s="125">
        <f t="shared" si="8"/>
        <v>2800</v>
      </c>
      <c r="S28" s="125">
        <f t="shared" si="8"/>
        <v>300</v>
      </c>
      <c r="T28" s="125">
        <f t="shared" si="8"/>
        <v>2300</v>
      </c>
      <c r="U28" s="125">
        <f t="shared" si="8"/>
        <v>300</v>
      </c>
      <c r="V28" s="125">
        <f t="shared" si="8"/>
        <v>12</v>
      </c>
      <c r="W28" s="125">
        <f t="shared" si="8"/>
        <v>200</v>
      </c>
      <c r="X28" s="125">
        <f t="shared" si="8"/>
        <v>14</v>
      </c>
      <c r="Y28" s="125">
        <f t="shared" si="8"/>
        <v>100</v>
      </c>
      <c r="Z28" s="125">
        <f t="shared" si="8"/>
        <v>16</v>
      </c>
      <c r="AA28" s="125">
        <f t="shared" si="8"/>
        <v>100</v>
      </c>
      <c r="AB28" s="125">
        <f t="shared" si="8"/>
        <v>12</v>
      </c>
      <c r="AC28" s="125">
        <f t="shared" si="8"/>
        <v>200</v>
      </c>
      <c r="AD28" s="119">
        <f t="shared" si="8"/>
        <v>40</v>
      </c>
      <c r="AE28" s="126">
        <f t="shared" si="10"/>
        <v>665</v>
      </c>
      <c r="AF28" s="66">
        <f t="shared" si="11"/>
        <v>795</v>
      </c>
      <c r="AG28" s="66" t="str">
        <f t="shared" si="12"/>
        <v>В25</v>
      </c>
      <c r="AH28" s="66">
        <f t="shared" si="12"/>
        <v>1</v>
      </c>
    </row>
    <row r="29" spans="1:35" ht="17.25" thickTop="1" thickBot="1" x14ac:dyDescent="0.3">
      <c r="A29" s="119" t="str">
        <f t="shared" si="13"/>
        <v>Пс8.5.2</v>
      </c>
      <c r="B29" s="119">
        <v>7</v>
      </c>
      <c r="C29" s="46" t="s">
        <v>2889</v>
      </c>
      <c r="D29" s="119">
        <f>AC29</f>
        <v>200</v>
      </c>
      <c r="E29" s="120">
        <f>IF(O29&lt;=5700, ROUNDUP((R29/AC29)*2,0), 1)</f>
        <v>28</v>
      </c>
      <c r="F29" s="119"/>
      <c r="G29" s="119"/>
      <c r="H29" s="120">
        <f>IF(O29&lt;=5700, O29-50, K29)</f>
        <v>2950</v>
      </c>
      <c r="I29" s="121">
        <f>AB29</f>
        <v>12</v>
      </c>
      <c r="J29" s="46" t="s">
        <v>2</v>
      </c>
      <c r="K29" s="122">
        <f>Арм_ПоПлощади(O29*R29,AC29,AF29,$AI$3)</f>
        <v>49700</v>
      </c>
      <c r="L29" s="119"/>
      <c r="M29" s="124">
        <f t="shared" si="9"/>
        <v>0</v>
      </c>
      <c r="N29" s="125" t="str">
        <f t="shared" si="9"/>
        <v>Пс8.5.2</v>
      </c>
      <c r="O29" s="125">
        <f t="shared" si="8"/>
        <v>3000</v>
      </c>
      <c r="P29" s="125">
        <f t="shared" si="8"/>
        <v>2700</v>
      </c>
      <c r="Q29" s="125">
        <f t="shared" si="8"/>
        <v>200</v>
      </c>
      <c r="R29" s="125">
        <f t="shared" si="8"/>
        <v>2800</v>
      </c>
      <c r="S29" s="125">
        <f t="shared" si="8"/>
        <v>300</v>
      </c>
      <c r="T29" s="125">
        <f t="shared" si="8"/>
        <v>2300</v>
      </c>
      <c r="U29" s="125">
        <f t="shared" si="8"/>
        <v>300</v>
      </c>
      <c r="V29" s="125">
        <f t="shared" si="8"/>
        <v>12</v>
      </c>
      <c r="W29" s="125">
        <f t="shared" si="8"/>
        <v>200</v>
      </c>
      <c r="X29" s="125">
        <f t="shared" si="8"/>
        <v>14</v>
      </c>
      <c r="Y29" s="125">
        <f t="shared" si="8"/>
        <v>100</v>
      </c>
      <c r="Z29" s="125">
        <f t="shared" si="8"/>
        <v>16</v>
      </c>
      <c r="AA29" s="125">
        <f t="shared" si="8"/>
        <v>100</v>
      </c>
      <c r="AB29" s="125">
        <f t="shared" si="8"/>
        <v>12</v>
      </c>
      <c r="AC29" s="125">
        <f t="shared" si="8"/>
        <v>200</v>
      </c>
      <c r="AD29" s="119">
        <f t="shared" si="8"/>
        <v>40</v>
      </c>
      <c r="AE29" s="126">
        <f t="shared" si="10"/>
        <v>500</v>
      </c>
      <c r="AF29" s="66">
        <f t="shared" si="11"/>
        <v>600</v>
      </c>
      <c r="AG29" s="66" t="str">
        <f t="shared" si="12"/>
        <v>В25</v>
      </c>
      <c r="AH29" s="66">
        <f t="shared" si="12"/>
        <v>1</v>
      </c>
    </row>
    <row r="30" spans="1:35" ht="17.25" thickTop="1" thickBot="1" x14ac:dyDescent="0.3">
      <c r="A30" s="119" t="str">
        <f t="shared" si="13"/>
        <v>Пс8.5.2</v>
      </c>
      <c r="B30" s="119">
        <v>8</v>
      </c>
      <c r="C30" s="46" t="s">
        <v>2890</v>
      </c>
      <c r="D30" s="119">
        <f>AA30</f>
        <v>100</v>
      </c>
      <c r="E30" s="127">
        <f>IF(E35=0, (ROUNDUP(O30/D30,0)*2), 0)</f>
        <v>60</v>
      </c>
      <c r="F30" s="119"/>
      <c r="G30" s="119"/>
      <c r="H30" s="127">
        <f>Арм_Элемент_П(AF30, (U30-2*AD30), I30, J30)</f>
        <v>1790</v>
      </c>
      <c r="I30" s="121">
        <f>Z30</f>
        <v>16</v>
      </c>
      <c r="J30" s="46" t="s">
        <v>2</v>
      </c>
      <c r="K30" s="128"/>
      <c r="L30" s="119"/>
      <c r="M30" s="124">
        <f t="shared" si="9"/>
        <v>0</v>
      </c>
      <c r="N30" s="125" t="str">
        <f t="shared" si="9"/>
        <v>Пс8.5.2</v>
      </c>
      <c r="O30" s="125">
        <f t="shared" si="8"/>
        <v>3000</v>
      </c>
      <c r="P30" s="125">
        <f t="shared" si="8"/>
        <v>2700</v>
      </c>
      <c r="Q30" s="125">
        <f t="shared" si="8"/>
        <v>200</v>
      </c>
      <c r="R30" s="125">
        <f t="shared" si="8"/>
        <v>2800</v>
      </c>
      <c r="S30" s="125">
        <f t="shared" si="8"/>
        <v>300</v>
      </c>
      <c r="T30" s="125">
        <f t="shared" si="8"/>
        <v>2300</v>
      </c>
      <c r="U30" s="125">
        <f t="shared" si="8"/>
        <v>300</v>
      </c>
      <c r="V30" s="125">
        <f t="shared" si="8"/>
        <v>12</v>
      </c>
      <c r="W30" s="125">
        <f t="shared" si="8"/>
        <v>200</v>
      </c>
      <c r="X30" s="125">
        <f t="shared" si="8"/>
        <v>14</v>
      </c>
      <c r="Y30" s="125">
        <f t="shared" si="8"/>
        <v>100</v>
      </c>
      <c r="Z30" s="125">
        <f t="shared" si="8"/>
        <v>16</v>
      </c>
      <c r="AA30" s="125">
        <f t="shared" si="8"/>
        <v>100</v>
      </c>
      <c r="AB30" s="125">
        <f t="shared" si="8"/>
        <v>12</v>
      </c>
      <c r="AC30" s="125">
        <f t="shared" si="8"/>
        <v>200</v>
      </c>
      <c r="AD30" s="119">
        <v>30</v>
      </c>
      <c r="AE30" s="126">
        <f t="shared" si="10"/>
        <v>665</v>
      </c>
      <c r="AF30" s="66">
        <f t="shared" si="11"/>
        <v>795</v>
      </c>
      <c r="AG30" s="66" t="str">
        <f t="shared" si="12"/>
        <v>В25</v>
      </c>
      <c r="AH30" s="66">
        <f t="shared" si="12"/>
        <v>1</v>
      </c>
    </row>
    <row r="31" spans="1:35" ht="17.25" thickTop="1" thickBot="1" x14ac:dyDescent="0.3">
      <c r="A31" s="119" t="str">
        <f t="shared" si="13"/>
        <v>Пс8.5.2</v>
      </c>
      <c r="B31" s="119">
        <v>9</v>
      </c>
      <c r="C31" s="46" t="s">
        <v>2891</v>
      </c>
      <c r="D31" s="119">
        <f>AC31</f>
        <v>200</v>
      </c>
      <c r="E31" s="127">
        <f>ROUNDUP(2*R31/AC31,0)</f>
        <v>28</v>
      </c>
      <c r="F31" s="119"/>
      <c r="G31" s="119"/>
      <c r="H31" s="127">
        <f>Арм_Элемент_П(AF31, (U31-2*AD31), I31, J31)</f>
        <v>1390</v>
      </c>
      <c r="I31" s="121">
        <f>AB31</f>
        <v>12</v>
      </c>
      <c r="J31" s="46" t="s">
        <v>2</v>
      </c>
      <c r="K31" s="128"/>
      <c r="L31" s="119"/>
      <c r="M31" s="124">
        <f t="shared" si="9"/>
        <v>0</v>
      </c>
      <c r="N31" s="125" t="str">
        <f t="shared" si="9"/>
        <v>Пс8.5.2</v>
      </c>
      <c r="O31" s="125">
        <f t="shared" si="8"/>
        <v>3000</v>
      </c>
      <c r="P31" s="125">
        <f t="shared" si="8"/>
        <v>2700</v>
      </c>
      <c r="Q31" s="125">
        <f t="shared" si="8"/>
        <v>200</v>
      </c>
      <c r="R31" s="125">
        <f t="shared" si="8"/>
        <v>2800</v>
      </c>
      <c r="S31" s="125">
        <f t="shared" si="8"/>
        <v>300</v>
      </c>
      <c r="T31" s="125">
        <f t="shared" si="8"/>
        <v>2300</v>
      </c>
      <c r="U31" s="125">
        <f t="shared" si="8"/>
        <v>300</v>
      </c>
      <c r="V31" s="125">
        <f t="shared" si="8"/>
        <v>12</v>
      </c>
      <c r="W31" s="125">
        <f t="shared" si="8"/>
        <v>200</v>
      </c>
      <c r="X31" s="125">
        <f t="shared" si="8"/>
        <v>14</v>
      </c>
      <c r="Y31" s="125">
        <f t="shared" si="8"/>
        <v>100</v>
      </c>
      <c r="Z31" s="125">
        <f t="shared" si="8"/>
        <v>16</v>
      </c>
      <c r="AA31" s="125">
        <f t="shared" si="8"/>
        <v>100</v>
      </c>
      <c r="AB31" s="125">
        <f t="shared" si="8"/>
        <v>12</v>
      </c>
      <c r="AC31" s="125">
        <f t="shared" si="8"/>
        <v>200</v>
      </c>
      <c r="AD31" s="119">
        <v>40</v>
      </c>
      <c r="AE31" s="126">
        <f t="shared" si="10"/>
        <v>500</v>
      </c>
      <c r="AF31" s="66">
        <f t="shared" si="11"/>
        <v>600</v>
      </c>
      <c r="AG31" s="66" t="str">
        <f t="shared" si="12"/>
        <v>В25</v>
      </c>
      <c r="AH31" s="66">
        <f t="shared" si="12"/>
        <v>1</v>
      </c>
    </row>
    <row r="32" spans="1:35" ht="33" thickTop="1" thickBot="1" x14ac:dyDescent="0.3">
      <c r="A32" s="119" t="str">
        <f t="shared" si="13"/>
        <v>Пс8.5.2</v>
      </c>
      <c r="B32" s="119">
        <v>10</v>
      </c>
      <c r="C32" s="46" t="s">
        <v>2892</v>
      </c>
      <c r="D32" s="119">
        <f>Y32</f>
        <v>100</v>
      </c>
      <c r="E32" s="127">
        <f>ROUNDUP((IF(P32&lt;=3000,0,O32/Y32)),0)</f>
        <v>0</v>
      </c>
      <c r="F32" s="119"/>
      <c r="G32" s="119"/>
      <c r="H32" s="127">
        <f>IF(E32=0, 0, (Арм_Элемент_Г(AF32*2,AE32, I32, J32)))</f>
        <v>0</v>
      </c>
      <c r="I32" s="121">
        <f>X32</f>
        <v>14</v>
      </c>
      <c r="J32" s="46" t="s">
        <v>2</v>
      </c>
      <c r="K32" s="128"/>
      <c r="L32" s="119"/>
      <c r="M32" s="124">
        <f t="shared" si="9"/>
        <v>0</v>
      </c>
      <c r="N32" s="125" t="str">
        <f t="shared" si="9"/>
        <v>Пс8.5.2</v>
      </c>
      <c r="O32" s="125">
        <f t="shared" si="8"/>
        <v>3000</v>
      </c>
      <c r="P32" s="125">
        <f t="shared" si="8"/>
        <v>2700</v>
      </c>
      <c r="Q32" s="125">
        <f t="shared" si="8"/>
        <v>200</v>
      </c>
      <c r="R32" s="125">
        <f t="shared" si="8"/>
        <v>2800</v>
      </c>
      <c r="S32" s="125">
        <f t="shared" si="8"/>
        <v>300</v>
      </c>
      <c r="T32" s="125">
        <f t="shared" si="8"/>
        <v>2300</v>
      </c>
      <c r="U32" s="125">
        <f t="shared" si="8"/>
        <v>300</v>
      </c>
      <c r="V32" s="125">
        <f t="shared" si="8"/>
        <v>12</v>
      </c>
      <c r="W32" s="125">
        <f t="shared" si="8"/>
        <v>200</v>
      </c>
      <c r="X32" s="125">
        <f t="shared" si="8"/>
        <v>14</v>
      </c>
      <c r="Y32" s="125">
        <f t="shared" si="8"/>
        <v>100</v>
      </c>
      <c r="Z32" s="125">
        <f t="shared" si="8"/>
        <v>16</v>
      </c>
      <c r="AA32" s="125">
        <f t="shared" si="8"/>
        <v>100</v>
      </c>
      <c r="AB32" s="125">
        <f t="shared" si="8"/>
        <v>12</v>
      </c>
      <c r="AC32" s="125">
        <f t="shared" si="8"/>
        <v>200</v>
      </c>
      <c r="AD32" s="119">
        <f t="shared" si="8"/>
        <v>40</v>
      </c>
      <c r="AE32" s="126">
        <f t="shared" si="10"/>
        <v>580</v>
      </c>
      <c r="AF32" s="66">
        <f t="shared" si="11"/>
        <v>700</v>
      </c>
      <c r="AG32" s="66" t="str">
        <f t="shared" si="12"/>
        <v>В25</v>
      </c>
      <c r="AH32" s="66">
        <f t="shared" si="12"/>
        <v>1</v>
      </c>
    </row>
    <row r="33" spans="1:35" ht="33" thickTop="1" thickBot="1" x14ac:dyDescent="0.3">
      <c r="A33" s="119" t="str">
        <f t="shared" si="13"/>
        <v>Пс8.5.2</v>
      </c>
      <c r="B33" s="119">
        <v>11</v>
      </c>
      <c r="C33" s="46" t="s">
        <v>2893</v>
      </c>
      <c r="D33" s="119">
        <f>Y33</f>
        <v>100</v>
      </c>
      <c r="E33" s="127">
        <f>ROUNDUP((IF(P33&lt;=3000,0,O33/Y33)),0)</f>
        <v>0</v>
      </c>
      <c r="F33" s="119"/>
      <c r="G33" s="119"/>
      <c r="H33" s="127">
        <f>IF(E33=0, 0, (Арм_Элемент_Г(AF33,AE33, I33, J33)))</f>
        <v>0</v>
      </c>
      <c r="I33" s="121">
        <f>X33</f>
        <v>14</v>
      </c>
      <c r="J33" s="46" t="s">
        <v>2</v>
      </c>
      <c r="K33" s="128"/>
      <c r="L33" s="119"/>
      <c r="M33" s="124">
        <f t="shared" si="9"/>
        <v>0</v>
      </c>
      <c r="N33" s="125" t="str">
        <f t="shared" si="9"/>
        <v>Пс8.5.2</v>
      </c>
      <c r="O33" s="125">
        <f t="shared" si="8"/>
        <v>3000</v>
      </c>
      <c r="P33" s="125">
        <f t="shared" si="8"/>
        <v>2700</v>
      </c>
      <c r="Q33" s="125">
        <f t="shared" si="8"/>
        <v>200</v>
      </c>
      <c r="R33" s="125">
        <f t="shared" si="8"/>
        <v>2800</v>
      </c>
      <c r="S33" s="125">
        <f t="shared" si="8"/>
        <v>300</v>
      </c>
      <c r="T33" s="125">
        <f t="shared" si="8"/>
        <v>2300</v>
      </c>
      <c r="U33" s="125">
        <f t="shared" si="8"/>
        <v>300</v>
      </c>
      <c r="V33" s="125">
        <f t="shared" si="8"/>
        <v>12</v>
      </c>
      <c r="W33" s="125">
        <f t="shared" si="8"/>
        <v>200</v>
      </c>
      <c r="X33" s="125">
        <f t="shared" si="8"/>
        <v>14</v>
      </c>
      <c r="Y33" s="125">
        <f t="shared" si="8"/>
        <v>100</v>
      </c>
      <c r="Z33" s="125">
        <f t="shared" si="8"/>
        <v>16</v>
      </c>
      <c r="AA33" s="125">
        <f t="shared" si="8"/>
        <v>100</v>
      </c>
      <c r="AB33" s="125">
        <f t="shared" si="8"/>
        <v>12</v>
      </c>
      <c r="AC33" s="125">
        <f t="shared" si="8"/>
        <v>200</v>
      </c>
      <c r="AD33" s="119">
        <f t="shared" si="8"/>
        <v>40</v>
      </c>
      <c r="AE33" s="126">
        <f t="shared" si="10"/>
        <v>580</v>
      </c>
      <c r="AF33" s="66">
        <f t="shared" si="11"/>
        <v>700</v>
      </c>
      <c r="AG33" s="66" t="str">
        <f t="shared" si="12"/>
        <v>В25</v>
      </c>
      <c r="AH33" s="66">
        <f t="shared" si="12"/>
        <v>1</v>
      </c>
    </row>
    <row r="34" spans="1:35" ht="17.25" thickTop="1" thickBot="1" x14ac:dyDescent="0.3">
      <c r="A34" s="119" t="str">
        <f t="shared" si="13"/>
        <v>Пс8.5.2</v>
      </c>
      <c r="B34" s="119">
        <v>12</v>
      </c>
      <c r="C34" s="46" t="s">
        <v>2894</v>
      </c>
      <c r="D34" s="119">
        <f>W33</f>
        <v>200</v>
      </c>
      <c r="E34" s="127">
        <f>IF(M34=0, 0, M34*2*ROUNDUP((P34/W34),0))</f>
        <v>0</v>
      </c>
      <c r="F34" s="119"/>
      <c r="G34" s="119"/>
      <c r="H34" s="127">
        <f>IF(M34=0, 0, AF34*2)</f>
        <v>0</v>
      </c>
      <c r="I34" s="121">
        <f>V34</f>
        <v>12</v>
      </c>
      <c r="J34" s="46" t="s">
        <v>2</v>
      </c>
      <c r="K34" s="128"/>
      <c r="L34" s="119"/>
      <c r="M34" s="124">
        <f t="shared" si="9"/>
        <v>0</v>
      </c>
      <c r="N34" s="125" t="str">
        <f t="shared" si="9"/>
        <v>Пс8.5.2</v>
      </c>
      <c r="O34" s="125">
        <f t="shared" si="8"/>
        <v>3000</v>
      </c>
      <c r="P34" s="125">
        <f t="shared" si="8"/>
        <v>2700</v>
      </c>
      <c r="Q34" s="125">
        <f t="shared" si="8"/>
        <v>200</v>
      </c>
      <c r="R34" s="125">
        <f t="shared" si="8"/>
        <v>2800</v>
      </c>
      <c r="S34" s="125">
        <f t="shared" si="8"/>
        <v>300</v>
      </c>
      <c r="T34" s="125">
        <f t="shared" si="8"/>
        <v>2300</v>
      </c>
      <c r="U34" s="125">
        <f t="shared" si="8"/>
        <v>300</v>
      </c>
      <c r="V34" s="125">
        <f t="shared" si="8"/>
        <v>12</v>
      </c>
      <c r="W34" s="125">
        <f t="shared" si="8"/>
        <v>200</v>
      </c>
      <c r="X34" s="125">
        <f t="shared" si="8"/>
        <v>14</v>
      </c>
      <c r="Y34" s="125">
        <f t="shared" si="8"/>
        <v>100</v>
      </c>
      <c r="Z34" s="125">
        <f t="shared" si="8"/>
        <v>16</v>
      </c>
      <c r="AA34" s="125">
        <f t="shared" si="8"/>
        <v>100</v>
      </c>
      <c r="AB34" s="125">
        <f t="shared" si="8"/>
        <v>12</v>
      </c>
      <c r="AC34" s="125">
        <f t="shared" si="8"/>
        <v>200</v>
      </c>
      <c r="AD34" s="119">
        <f t="shared" si="8"/>
        <v>40</v>
      </c>
      <c r="AE34" s="126">
        <f t="shared" si="10"/>
        <v>500</v>
      </c>
      <c r="AF34" s="66">
        <f t="shared" si="11"/>
        <v>600</v>
      </c>
      <c r="AG34" s="66" t="str">
        <f t="shared" si="12"/>
        <v>В25</v>
      </c>
      <c r="AH34" s="66">
        <f t="shared" si="12"/>
        <v>1</v>
      </c>
    </row>
    <row r="35" spans="1:35" ht="17.25" thickTop="1" thickBot="1" x14ac:dyDescent="0.3">
      <c r="A35" s="119" t="str">
        <f>A33</f>
        <v>Пс8.5.2</v>
      </c>
      <c r="B35" s="119">
        <v>13</v>
      </c>
      <c r="C35" s="46" t="s">
        <v>2895</v>
      </c>
      <c r="D35" s="119">
        <f>W34</f>
        <v>200</v>
      </c>
      <c r="E35" s="127">
        <f>IF(R35&lt;=2000,(ROUNDUP(O35/D35,0)),(0))</f>
        <v>0</v>
      </c>
      <c r="F35" s="119"/>
      <c r="G35" s="119"/>
      <c r="H35" s="127">
        <f>IF(R35&lt;=2000,(ROUNDUP(R35-2*40+2*(U35-40-AB35), -1)),(0))</f>
        <v>0</v>
      </c>
      <c r="I35" s="121">
        <f>V35</f>
        <v>12</v>
      </c>
      <c r="J35" s="46" t="s">
        <v>2</v>
      </c>
      <c r="K35" s="128"/>
      <c r="L35" s="119"/>
      <c r="M35" s="124">
        <f t="shared" si="9"/>
        <v>0</v>
      </c>
      <c r="N35" s="125" t="str">
        <f t="shared" si="9"/>
        <v>Пс8.5.2</v>
      </c>
      <c r="O35" s="125">
        <f t="shared" si="8"/>
        <v>3000</v>
      </c>
      <c r="P35" s="125">
        <f t="shared" si="8"/>
        <v>2700</v>
      </c>
      <c r="Q35" s="125">
        <f t="shared" si="8"/>
        <v>200</v>
      </c>
      <c r="R35" s="125">
        <f t="shared" si="8"/>
        <v>2800</v>
      </c>
      <c r="S35" s="125">
        <f t="shared" si="8"/>
        <v>300</v>
      </c>
      <c r="T35" s="125">
        <f t="shared" si="8"/>
        <v>2300</v>
      </c>
      <c r="U35" s="125">
        <f t="shared" si="8"/>
        <v>300</v>
      </c>
      <c r="V35" s="125">
        <f t="shared" si="8"/>
        <v>12</v>
      </c>
      <c r="W35" s="125">
        <f t="shared" si="8"/>
        <v>200</v>
      </c>
      <c r="X35" s="125">
        <f t="shared" si="8"/>
        <v>14</v>
      </c>
      <c r="Y35" s="125">
        <f t="shared" si="8"/>
        <v>100</v>
      </c>
      <c r="Z35" s="125">
        <f t="shared" si="8"/>
        <v>16</v>
      </c>
      <c r="AA35" s="125">
        <f t="shared" si="8"/>
        <v>100</v>
      </c>
      <c r="AB35" s="125">
        <f t="shared" si="8"/>
        <v>12</v>
      </c>
      <c r="AC35" s="125">
        <f t="shared" si="8"/>
        <v>200</v>
      </c>
      <c r="AD35" s="119">
        <f t="shared" si="8"/>
        <v>40</v>
      </c>
      <c r="AE35" s="126">
        <f t="shared" si="10"/>
        <v>500</v>
      </c>
      <c r="AF35" s="66">
        <f t="shared" si="11"/>
        <v>600</v>
      </c>
      <c r="AG35" s="66" t="str">
        <f t="shared" si="12"/>
        <v>В25</v>
      </c>
      <c r="AH35" s="66">
        <f t="shared" si="12"/>
        <v>1</v>
      </c>
    </row>
    <row r="36" spans="1:35" ht="15.75" thickTop="1" x14ac:dyDescent="0.25"/>
    <row r="39" spans="1:35" ht="15.75" thickBot="1" x14ac:dyDescent="0.3"/>
    <row r="40" spans="1:35" ht="91.5" thickTop="1" thickBot="1" x14ac:dyDescent="0.3">
      <c r="A40" s="133" t="s">
        <v>159</v>
      </c>
      <c r="B40" s="135" t="s">
        <v>160</v>
      </c>
      <c r="C40" s="135" t="s">
        <v>2750</v>
      </c>
      <c r="D40" s="135" t="s">
        <v>2856</v>
      </c>
      <c r="E40" s="138" t="s">
        <v>163</v>
      </c>
      <c r="F40" s="135" t="s">
        <v>2857</v>
      </c>
      <c r="G40" s="135" t="s">
        <v>2858</v>
      </c>
      <c r="H40" s="140" t="s">
        <v>166</v>
      </c>
      <c r="I40" s="141"/>
      <c r="J40" s="142"/>
      <c r="K40" s="143" t="s">
        <v>2859</v>
      </c>
      <c r="L40" s="143" t="s">
        <v>2860</v>
      </c>
      <c r="M40" s="146" t="s">
        <v>2861</v>
      </c>
      <c r="N40" s="107" t="s">
        <v>2714</v>
      </c>
      <c r="O40" s="108" t="s">
        <v>2862</v>
      </c>
      <c r="P40" s="109" t="s">
        <v>2863</v>
      </c>
      <c r="Q40" s="109" t="s">
        <v>2864</v>
      </c>
      <c r="R40" s="109" t="s">
        <v>2865</v>
      </c>
      <c r="S40" s="109" t="s">
        <v>2866</v>
      </c>
      <c r="T40" s="109" t="s">
        <v>2867</v>
      </c>
      <c r="U40" s="109" t="s">
        <v>2868</v>
      </c>
      <c r="V40" s="109" t="s">
        <v>2869</v>
      </c>
      <c r="W40" s="109" t="s">
        <v>2870</v>
      </c>
      <c r="X40" s="109" t="s">
        <v>2871</v>
      </c>
      <c r="Y40" s="109" t="s">
        <v>2872</v>
      </c>
      <c r="Z40" s="109" t="s">
        <v>2873</v>
      </c>
      <c r="AA40" s="109" t="s">
        <v>2874</v>
      </c>
      <c r="AB40" s="109" t="s">
        <v>2875</v>
      </c>
      <c r="AC40" s="110" t="s">
        <v>2876</v>
      </c>
      <c r="AD40" s="111" t="s">
        <v>2877</v>
      </c>
      <c r="AE40" s="143" t="s">
        <v>180</v>
      </c>
      <c r="AF40" s="131" t="s">
        <v>2878</v>
      </c>
      <c r="AG40" s="111" t="s">
        <v>2879</v>
      </c>
      <c r="AH40" s="111" t="s">
        <v>2880</v>
      </c>
      <c r="AI40" s="112" t="s">
        <v>2881</v>
      </c>
    </row>
    <row r="41" spans="1:35" ht="17.25" thickTop="1" thickBot="1" x14ac:dyDescent="0.3">
      <c r="A41" s="134"/>
      <c r="B41" s="136"/>
      <c r="C41" s="136"/>
      <c r="D41" s="137"/>
      <c r="E41" s="139"/>
      <c r="F41" s="137"/>
      <c r="G41" s="137"/>
      <c r="H41" s="113" t="s">
        <v>170</v>
      </c>
      <c r="I41" s="114" t="s">
        <v>171</v>
      </c>
      <c r="J41" s="115" t="s">
        <v>172</v>
      </c>
      <c r="K41" s="144"/>
      <c r="L41" s="145"/>
      <c r="M41" s="147"/>
      <c r="N41" s="116" t="str">
        <f>'[1]Исх.Таблица из архикада'!A5</f>
        <v>Пс8.5.3</v>
      </c>
      <c r="O41" s="116">
        <f>'[1]Исх.Таблица из архикада'!B5</f>
        <v>10000</v>
      </c>
      <c r="P41" s="116">
        <f>'[1]Исх.Таблица из архикада'!C5</f>
        <v>2700</v>
      </c>
      <c r="Q41" s="116">
        <f>'[1]Исх.Таблица из архикада'!D5</f>
        <v>200</v>
      </c>
      <c r="R41" s="116">
        <f>'[1]Исх.Таблица из архикада'!E5</f>
        <v>2800</v>
      </c>
      <c r="S41" s="116">
        <f>'[1]Исх.Таблица из архикада'!F5</f>
        <v>300</v>
      </c>
      <c r="T41" s="116">
        <f>'[1]Исх.Таблица из архикада'!G5</f>
        <v>2300</v>
      </c>
      <c r="U41" s="116">
        <f>'[1]Исх.Таблица из архикада'!H5</f>
        <v>300</v>
      </c>
      <c r="V41" s="116">
        <f>'[1]Исх.Таблица из архикада'!I5</f>
        <v>12</v>
      </c>
      <c r="W41" s="116">
        <f>'[1]Исх.Таблица из архикада'!J5</f>
        <v>200</v>
      </c>
      <c r="X41" s="116">
        <f>'[1]Исх.Таблица из архикада'!K5</f>
        <v>14</v>
      </c>
      <c r="Y41" s="116">
        <f>'[1]Исх.Таблица из архикада'!L5</f>
        <v>100</v>
      </c>
      <c r="Z41" s="116">
        <f>'[1]Исх.Таблица из архикада'!M5</f>
        <v>16</v>
      </c>
      <c r="AA41" s="116">
        <f>'[1]Исх.Таблица из архикада'!N5</f>
        <v>100</v>
      </c>
      <c r="AB41" s="116">
        <f>'[1]Исх.Таблица из архикада'!O5</f>
        <v>12</v>
      </c>
      <c r="AC41" s="116">
        <f>'[1]Исх.Таблица из архикада'!P5</f>
        <v>200</v>
      </c>
      <c r="AD41" s="117">
        <v>40</v>
      </c>
      <c r="AE41" s="145"/>
      <c r="AF41" s="132"/>
      <c r="AG41" s="118" t="s">
        <v>2882</v>
      </c>
      <c r="AH41" s="118">
        <v>1</v>
      </c>
      <c r="AI41">
        <v>6000</v>
      </c>
    </row>
    <row r="42" spans="1:35" ht="17.25" thickTop="1" thickBot="1" x14ac:dyDescent="0.3">
      <c r="A42" s="119" t="str">
        <f>N41</f>
        <v>Пс8.5.3</v>
      </c>
      <c r="B42" s="119">
        <v>1</v>
      </c>
      <c r="C42" s="46" t="s">
        <v>2883</v>
      </c>
      <c r="D42" s="119">
        <f>W42</f>
        <v>200</v>
      </c>
      <c r="E42" s="120">
        <f>IF(O42&lt;=5700, ROUNDUP(P42*2/W42+1,0), 1)</f>
        <v>1</v>
      </c>
      <c r="F42" s="119">
        <f>ROUNDUP(((O42*R42*U42)*0.000000001+(O42*P42*Q42)*0.000000001),1)</f>
        <v>13.8</v>
      </c>
      <c r="G42" s="119">
        <f>ROUNDUP((0.1*(R42+200)*(O42)*0.000001),1)</f>
        <v>3</v>
      </c>
      <c r="H42" s="120">
        <f>IF(O42&lt;=5700, O42-50, K42)</f>
        <v>154600</v>
      </c>
      <c r="I42" s="121">
        <f>V42</f>
        <v>12</v>
      </c>
      <c r="J42" s="46" t="s">
        <v>2</v>
      </c>
      <c r="K42" s="122">
        <f>Арм_ПоПлощади(O42*P42,W42,AF42,$AI$3)</f>
        <v>154600</v>
      </c>
      <c r="L42" s="123">
        <f>IF(R42&lt;=2000,(0),(ROUNDUP(O42*R42*0.000001/1+SQRT(O42*R42*0.000001),0)))</f>
        <v>34</v>
      </c>
      <c r="M42" s="124">
        <v>0</v>
      </c>
      <c r="N42" s="125" t="str">
        <f>N41</f>
        <v>Пс8.5.3</v>
      </c>
      <c r="O42" s="125">
        <f t="shared" ref="O42:AD42" si="14">O41</f>
        <v>10000</v>
      </c>
      <c r="P42" s="125">
        <f t="shared" si="14"/>
        <v>2700</v>
      </c>
      <c r="Q42" s="125">
        <f t="shared" si="14"/>
        <v>200</v>
      </c>
      <c r="R42" s="125">
        <f t="shared" si="14"/>
        <v>2800</v>
      </c>
      <c r="S42" s="125">
        <f t="shared" si="14"/>
        <v>300</v>
      </c>
      <c r="T42" s="125">
        <f t="shared" si="14"/>
        <v>2300</v>
      </c>
      <c r="U42" s="125">
        <f t="shared" si="14"/>
        <v>300</v>
      </c>
      <c r="V42" s="125">
        <f t="shared" si="14"/>
        <v>12</v>
      </c>
      <c r="W42" s="125">
        <f t="shared" si="14"/>
        <v>200</v>
      </c>
      <c r="X42" s="125">
        <f t="shared" si="14"/>
        <v>14</v>
      </c>
      <c r="Y42" s="125">
        <f t="shared" si="14"/>
        <v>100</v>
      </c>
      <c r="Z42" s="125">
        <f t="shared" si="14"/>
        <v>16</v>
      </c>
      <c r="AA42" s="125">
        <f t="shared" si="14"/>
        <v>100</v>
      </c>
      <c r="AB42" s="125">
        <f t="shared" si="14"/>
        <v>12</v>
      </c>
      <c r="AC42" s="125">
        <f t="shared" si="14"/>
        <v>200</v>
      </c>
      <c r="AD42" s="119">
        <f t="shared" si="14"/>
        <v>40</v>
      </c>
      <c r="AE42" s="126">
        <f>Арм_Анкеровка(I42,J42,$AG$3,$AH$3)</f>
        <v>500</v>
      </c>
      <c r="AF42" s="66">
        <f>Арм_Нахлёст(I42,J42,$AG$3,$AH$3)</f>
        <v>600</v>
      </c>
      <c r="AG42" s="66" t="str">
        <f>AG41</f>
        <v>В25</v>
      </c>
      <c r="AH42" s="66">
        <f>AH41</f>
        <v>1</v>
      </c>
    </row>
    <row r="43" spans="1:35" ht="17.25" thickTop="1" thickBot="1" x14ac:dyDescent="0.3">
      <c r="A43" s="119" t="str">
        <f>A42</f>
        <v>Пс8.5.3</v>
      </c>
      <c r="B43" s="119">
        <v>2</v>
      </c>
      <c r="C43" s="46" t="s">
        <v>2884</v>
      </c>
      <c r="D43" s="119">
        <f>Y42</f>
        <v>100</v>
      </c>
      <c r="E43" s="127">
        <f>ROUNDUP(O43/Y43,0)</f>
        <v>100</v>
      </c>
      <c r="F43" s="119"/>
      <c r="G43" s="119"/>
      <c r="H43" s="127">
        <f>Арм_Элемент_П(AF43, (Q43-2*AD43), I43, J43)</f>
        <v>1490</v>
      </c>
      <c r="I43" s="121">
        <f>X43</f>
        <v>14</v>
      </c>
      <c r="J43" s="46" t="s">
        <v>2</v>
      </c>
      <c r="K43" s="128"/>
      <c r="L43" s="119"/>
      <c r="M43" s="124">
        <f t="shared" ref="M43:AD54" si="15">M42</f>
        <v>0</v>
      </c>
      <c r="N43" s="125" t="str">
        <f t="shared" si="15"/>
        <v>Пс8.5.3</v>
      </c>
      <c r="O43" s="125">
        <f t="shared" si="15"/>
        <v>10000</v>
      </c>
      <c r="P43" s="125">
        <f t="shared" si="15"/>
        <v>2700</v>
      </c>
      <c r="Q43" s="125">
        <f t="shared" si="15"/>
        <v>200</v>
      </c>
      <c r="R43" s="125">
        <f t="shared" si="15"/>
        <v>2800</v>
      </c>
      <c r="S43" s="125">
        <f t="shared" si="15"/>
        <v>300</v>
      </c>
      <c r="T43" s="125">
        <f t="shared" si="15"/>
        <v>2300</v>
      </c>
      <c r="U43" s="125">
        <f t="shared" si="15"/>
        <v>300</v>
      </c>
      <c r="V43" s="125">
        <f t="shared" si="15"/>
        <v>12</v>
      </c>
      <c r="W43" s="125">
        <f t="shared" si="15"/>
        <v>200</v>
      </c>
      <c r="X43" s="125">
        <f t="shared" si="15"/>
        <v>14</v>
      </c>
      <c r="Y43" s="125">
        <f t="shared" si="15"/>
        <v>100</v>
      </c>
      <c r="Z43" s="125">
        <f t="shared" si="15"/>
        <v>16</v>
      </c>
      <c r="AA43" s="125">
        <f t="shared" si="15"/>
        <v>100</v>
      </c>
      <c r="AB43" s="125">
        <f t="shared" si="15"/>
        <v>12</v>
      </c>
      <c r="AC43" s="125">
        <f t="shared" si="15"/>
        <v>200</v>
      </c>
      <c r="AD43" s="119">
        <f t="shared" si="15"/>
        <v>40</v>
      </c>
      <c r="AE43" s="126">
        <f t="shared" ref="AE43:AE54" si="16">Арм_Анкеровка(I43,J43,$AG$3,$AH$3)</f>
        <v>580</v>
      </c>
      <c r="AF43" s="66">
        <f t="shared" ref="AF43:AF54" si="17">Арм_Нахлёст(I43,J43,$AG$3,$AH$3)</f>
        <v>700</v>
      </c>
      <c r="AG43" s="66" t="str">
        <f t="shared" ref="AG43:AH54" si="18">AG42</f>
        <v>В25</v>
      </c>
      <c r="AH43" s="66">
        <f t="shared" si="18"/>
        <v>1</v>
      </c>
    </row>
    <row r="44" spans="1:35" ht="17.25" thickTop="1" thickBot="1" x14ac:dyDescent="0.3">
      <c r="A44" s="119" t="str">
        <f t="shared" ref="A44:A54" si="19">A43</f>
        <v>Пс8.5.3</v>
      </c>
      <c r="B44" s="119">
        <v>3</v>
      </c>
      <c r="C44" s="46" t="s">
        <v>2885</v>
      </c>
      <c r="D44" s="119">
        <f>W44</f>
        <v>200</v>
      </c>
      <c r="E44" s="127">
        <f>MROUND(2*P44/D44,2)</f>
        <v>28</v>
      </c>
      <c r="F44" s="119"/>
      <c r="G44" s="119"/>
      <c r="H44" s="127">
        <f>Арм_Элемент_П(AF44, (Q44-2*AD44), I44, J44)</f>
        <v>1310</v>
      </c>
      <c r="I44" s="121">
        <f>V44</f>
        <v>12</v>
      </c>
      <c r="J44" s="46" t="s">
        <v>2</v>
      </c>
      <c r="K44" s="128"/>
      <c r="L44" s="119"/>
      <c r="M44" s="124">
        <f t="shared" si="15"/>
        <v>0</v>
      </c>
      <c r="N44" s="125" t="str">
        <f t="shared" si="15"/>
        <v>Пс8.5.3</v>
      </c>
      <c r="O44" s="125">
        <f t="shared" si="15"/>
        <v>10000</v>
      </c>
      <c r="P44" s="125">
        <f t="shared" si="15"/>
        <v>2700</v>
      </c>
      <c r="Q44" s="125">
        <f t="shared" si="15"/>
        <v>200</v>
      </c>
      <c r="R44" s="125">
        <f t="shared" si="15"/>
        <v>2800</v>
      </c>
      <c r="S44" s="125">
        <f t="shared" si="15"/>
        <v>300</v>
      </c>
      <c r="T44" s="125">
        <f t="shared" si="15"/>
        <v>2300</v>
      </c>
      <c r="U44" s="125">
        <f t="shared" si="15"/>
        <v>300</v>
      </c>
      <c r="V44" s="125">
        <f t="shared" si="15"/>
        <v>12</v>
      </c>
      <c r="W44" s="125">
        <f t="shared" si="15"/>
        <v>200</v>
      </c>
      <c r="X44" s="125">
        <f t="shared" si="15"/>
        <v>14</v>
      </c>
      <c r="Y44" s="125">
        <f t="shared" si="15"/>
        <v>100</v>
      </c>
      <c r="Z44" s="125">
        <f t="shared" si="15"/>
        <v>16</v>
      </c>
      <c r="AA44" s="125">
        <f t="shared" si="15"/>
        <v>100</v>
      </c>
      <c r="AB44" s="125">
        <f t="shared" si="15"/>
        <v>12</v>
      </c>
      <c r="AC44" s="125">
        <f t="shared" si="15"/>
        <v>200</v>
      </c>
      <c r="AD44" s="119">
        <v>30</v>
      </c>
      <c r="AE44" s="126">
        <f t="shared" si="16"/>
        <v>500</v>
      </c>
      <c r="AF44" s="66">
        <f t="shared" si="17"/>
        <v>600</v>
      </c>
      <c r="AG44" s="66" t="str">
        <f t="shared" si="18"/>
        <v>В25</v>
      </c>
      <c r="AH44" s="66">
        <f t="shared" si="18"/>
        <v>1</v>
      </c>
    </row>
    <row r="45" spans="1:35" ht="17.25" thickTop="1" thickBot="1" x14ac:dyDescent="0.3">
      <c r="A45" s="119" t="str">
        <f t="shared" si="19"/>
        <v>Пс8.5.3</v>
      </c>
      <c r="B45" s="119">
        <v>4</v>
      </c>
      <c r="C45" s="46" t="s">
        <v>2886</v>
      </c>
      <c r="D45" s="119">
        <f>Y45</f>
        <v>100</v>
      </c>
      <c r="E45" s="127">
        <f>ROUNDUP(O45/Y45,0)*2</f>
        <v>200</v>
      </c>
      <c r="F45" s="119"/>
      <c r="G45" s="119"/>
      <c r="H45" s="127">
        <f>IF(P45&lt;=3000,(IF(Q45&lt;=150,(P45-25+AE45+Q45-(35+V45)),(P45-25+AE45))),(P45-25))</f>
        <v>3255</v>
      </c>
      <c r="I45" s="121">
        <f>X45</f>
        <v>14</v>
      </c>
      <c r="J45" s="46" t="s">
        <v>2</v>
      </c>
      <c r="K45" s="128"/>
      <c r="L45" s="119"/>
      <c r="M45" s="124">
        <f t="shared" si="15"/>
        <v>0</v>
      </c>
      <c r="N45" s="125" t="str">
        <f t="shared" si="15"/>
        <v>Пс8.5.3</v>
      </c>
      <c r="O45" s="125">
        <f t="shared" si="15"/>
        <v>10000</v>
      </c>
      <c r="P45" s="125">
        <f t="shared" si="15"/>
        <v>2700</v>
      </c>
      <c r="Q45" s="125">
        <f t="shared" si="15"/>
        <v>200</v>
      </c>
      <c r="R45" s="125">
        <f t="shared" si="15"/>
        <v>2800</v>
      </c>
      <c r="S45" s="125">
        <f t="shared" si="15"/>
        <v>300</v>
      </c>
      <c r="T45" s="125">
        <f t="shared" si="15"/>
        <v>2300</v>
      </c>
      <c r="U45" s="125">
        <f t="shared" si="15"/>
        <v>300</v>
      </c>
      <c r="V45" s="125">
        <f t="shared" si="15"/>
        <v>12</v>
      </c>
      <c r="W45" s="125">
        <f t="shared" si="15"/>
        <v>200</v>
      </c>
      <c r="X45" s="125">
        <f t="shared" si="15"/>
        <v>14</v>
      </c>
      <c r="Y45" s="125">
        <f t="shared" si="15"/>
        <v>100</v>
      </c>
      <c r="Z45" s="125">
        <f t="shared" si="15"/>
        <v>16</v>
      </c>
      <c r="AA45" s="125">
        <f t="shared" si="15"/>
        <v>100</v>
      </c>
      <c r="AB45" s="125">
        <f t="shared" si="15"/>
        <v>12</v>
      </c>
      <c r="AC45" s="125">
        <f t="shared" si="15"/>
        <v>200</v>
      </c>
      <c r="AD45" s="119">
        <v>40</v>
      </c>
      <c r="AE45" s="126">
        <f t="shared" si="16"/>
        <v>580</v>
      </c>
      <c r="AF45" s="66">
        <f t="shared" si="17"/>
        <v>700</v>
      </c>
      <c r="AG45" s="66" t="str">
        <f t="shared" si="18"/>
        <v>В25</v>
      </c>
      <c r="AH45" s="66">
        <f t="shared" si="18"/>
        <v>1</v>
      </c>
    </row>
    <row r="46" spans="1:35" ht="17.25" thickTop="1" thickBot="1" x14ac:dyDescent="0.3">
      <c r="A46" s="119" t="str">
        <f t="shared" si="19"/>
        <v>Пс8.5.3</v>
      </c>
      <c r="B46" s="119">
        <v>5</v>
      </c>
      <c r="C46" s="46" t="s">
        <v>2887</v>
      </c>
      <c r="D46" s="119">
        <v>400</v>
      </c>
      <c r="E46" s="127">
        <f>ROUNDUP((13*(O46*P46/1000000)),0)</f>
        <v>351</v>
      </c>
      <c r="F46" s="119"/>
      <c r="G46" s="119"/>
      <c r="H46" s="127">
        <f>Q46-AD46*2+150</f>
        <v>270</v>
      </c>
      <c r="I46" s="121">
        <v>6</v>
      </c>
      <c r="J46" s="46" t="s">
        <v>2</v>
      </c>
      <c r="K46" s="128"/>
      <c r="L46" s="119"/>
      <c r="M46" s="124">
        <f t="shared" si="15"/>
        <v>0</v>
      </c>
      <c r="N46" s="125" t="str">
        <f t="shared" si="15"/>
        <v>Пс8.5.3</v>
      </c>
      <c r="O46" s="125">
        <f t="shared" si="15"/>
        <v>10000</v>
      </c>
      <c r="P46" s="125">
        <f t="shared" si="15"/>
        <v>2700</v>
      </c>
      <c r="Q46" s="125">
        <f t="shared" si="15"/>
        <v>200</v>
      </c>
      <c r="R46" s="125">
        <f t="shared" si="15"/>
        <v>2800</v>
      </c>
      <c r="S46" s="125">
        <f t="shared" si="15"/>
        <v>300</v>
      </c>
      <c r="T46" s="125">
        <f t="shared" si="15"/>
        <v>2300</v>
      </c>
      <c r="U46" s="125">
        <f t="shared" si="15"/>
        <v>300</v>
      </c>
      <c r="V46" s="125">
        <f t="shared" si="15"/>
        <v>12</v>
      </c>
      <c r="W46" s="125">
        <f t="shared" si="15"/>
        <v>200</v>
      </c>
      <c r="X46" s="125">
        <f t="shared" si="15"/>
        <v>14</v>
      </c>
      <c r="Y46" s="125">
        <f t="shared" si="15"/>
        <v>100</v>
      </c>
      <c r="Z46" s="125">
        <f t="shared" si="15"/>
        <v>16</v>
      </c>
      <c r="AA46" s="125">
        <f t="shared" si="15"/>
        <v>100</v>
      </c>
      <c r="AB46" s="125">
        <f t="shared" si="15"/>
        <v>12</v>
      </c>
      <c r="AC46" s="125">
        <f t="shared" si="15"/>
        <v>200</v>
      </c>
      <c r="AD46" s="119">
        <f t="shared" si="15"/>
        <v>40</v>
      </c>
      <c r="AE46" s="126">
        <f t="shared" si="16"/>
        <v>250</v>
      </c>
      <c r="AF46" s="66">
        <f t="shared" si="17"/>
        <v>300</v>
      </c>
      <c r="AG46" s="66" t="str">
        <f t="shared" si="18"/>
        <v>В25</v>
      </c>
      <c r="AH46" s="66">
        <f t="shared" si="18"/>
        <v>1</v>
      </c>
    </row>
    <row r="47" spans="1:35" ht="17.25" thickTop="1" thickBot="1" x14ac:dyDescent="0.3">
      <c r="A47" s="119" t="str">
        <f t="shared" si="19"/>
        <v>Пс8.5.3</v>
      </c>
      <c r="B47" s="119">
        <v>6</v>
      </c>
      <c r="C47" s="46" t="s">
        <v>2888</v>
      </c>
      <c r="D47" s="119">
        <f>AA47</f>
        <v>100</v>
      </c>
      <c r="E47" s="127">
        <f>IF(R47&lt;=2000,(ROUNDUP(O47/D47,0)),(ROUNDUP(O47/D47,0)*2))</f>
        <v>200</v>
      </c>
      <c r="F47" s="119"/>
      <c r="G47" s="119"/>
      <c r="H47" s="127">
        <f>R47-50</f>
        <v>2750</v>
      </c>
      <c r="I47" s="121">
        <f>Z47</f>
        <v>16</v>
      </c>
      <c r="J47" s="46" t="s">
        <v>2</v>
      </c>
      <c r="K47" s="128"/>
      <c r="L47" s="119"/>
      <c r="M47" s="124">
        <f t="shared" si="15"/>
        <v>0</v>
      </c>
      <c r="N47" s="125" t="str">
        <f t="shared" si="15"/>
        <v>Пс8.5.3</v>
      </c>
      <c r="O47" s="125">
        <f t="shared" si="15"/>
        <v>10000</v>
      </c>
      <c r="P47" s="125">
        <f t="shared" si="15"/>
        <v>2700</v>
      </c>
      <c r="Q47" s="125">
        <f t="shared" si="15"/>
        <v>200</v>
      </c>
      <c r="R47" s="125">
        <f t="shared" si="15"/>
        <v>2800</v>
      </c>
      <c r="S47" s="125">
        <f t="shared" si="15"/>
        <v>300</v>
      </c>
      <c r="T47" s="125">
        <f t="shared" si="15"/>
        <v>2300</v>
      </c>
      <c r="U47" s="125">
        <f t="shared" si="15"/>
        <v>300</v>
      </c>
      <c r="V47" s="125">
        <f t="shared" si="15"/>
        <v>12</v>
      </c>
      <c r="W47" s="125">
        <f t="shared" si="15"/>
        <v>200</v>
      </c>
      <c r="X47" s="125">
        <f t="shared" si="15"/>
        <v>14</v>
      </c>
      <c r="Y47" s="125">
        <f t="shared" si="15"/>
        <v>100</v>
      </c>
      <c r="Z47" s="125">
        <f t="shared" si="15"/>
        <v>16</v>
      </c>
      <c r="AA47" s="125">
        <f t="shared" si="15"/>
        <v>100</v>
      </c>
      <c r="AB47" s="125">
        <f t="shared" si="15"/>
        <v>12</v>
      </c>
      <c r="AC47" s="125">
        <f t="shared" si="15"/>
        <v>200</v>
      </c>
      <c r="AD47" s="119">
        <f t="shared" si="15"/>
        <v>40</v>
      </c>
      <c r="AE47" s="126">
        <f t="shared" si="16"/>
        <v>665</v>
      </c>
      <c r="AF47" s="66">
        <f t="shared" si="17"/>
        <v>795</v>
      </c>
      <c r="AG47" s="66" t="str">
        <f t="shared" si="18"/>
        <v>В25</v>
      </c>
      <c r="AH47" s="66">
        <f t="shared" si="18"/>
        <v>1</v>
      </c>
    </row>
    <row r="48" spans="1:35" ht="17.25" thickTop="1" thickBot="1" x14ac:dyDescent="0.3">
      <c r="A48" s="119" t="str">
        <f t="shared" si="19"/>
        <v>Пс8.5.3</v>
      </c>
      <c r="B48" s="119">
        <v>7</v>
      </c>
      <c r="C48" s="46" t="s">
        <v>2889</v>
      </c>
      <c r="D48" s="119">
        <f>AC48</f>
        <v>200</v>
      </c>
      <c r="E48" s="120">
        <f>IF(O48&lt;=5700, ROUNDUP(R48*2/AC48,0), 1)</f>
        <v>1</v>
      </c>
      <c r="F48" s="119"/>
      <c r="G48" s="119"/>
      <c r="H48" s="120">
        <f>IF(O48&lt;=5700, O48-50, K48)</f>
        <v>160300</v>
      </c>
      <c r="I48" s="121">
        <f>AB48</f>
        <v>12</v>
      </c>
      <c r="J48" s="46" t="s">
        <v>2</v>
      </c>
      <c r="K48" s="122">
        <f>Арм_ПоПлощади(O48*R48,AC48,AF48,$AI$3)</f>
        <v>160300</v>
      </c>
      <c r="L48" s="119"/>
      <c r="M48" s="124">
        <f t="shared" si="15"/>
        <v>0</v>
      </c>
      <c r="N48" s="125" t="str">
        <f t="shared" si="15"/>
        <v>Пс8.5.3</v>
      </c>
      <c r="O48" s="125">
        <f t="shared" si="15"/>
        <v>10000</v>
      </c>
      <c r="P48" s="125">
        <f t="shared" si="15"/>
        <v>2700</v>
      </c>
      <c r="Q48" s="125">
        <f t="shared" si="15"/>
        <v>200</v>
      </c>
      <c r="R48" s="125">
        <f t="shared" si="15"/>
        <v>2800</v>
      </c>
      <c r="S48" s="125">
        <f t="shared" si="15"/>
        <v>300</v>
      </c>
      <c r="T48" s="125">
        <f t="shared" si="15"/>
        <v>2300</v>
      </c>
      <c r="U48" s="125">
        <f t="shared" si="15"/>
        <v>300</v>
      </c>
      <c r="V48" s="125">
        <f t="shared" si="15"/>
        <v>12</v>
      </c>
      <c r="W48" s="125">
        <f t="shared" si="15"/>
        <v>200</v>
      </c>
      <c r="X48" s="125">
        <f t="shared" si="15"/>
        <v>14</v>
      </c>
      <c r="Y48" s="125">
        <f t="shared" si="15"/>
        <v>100</v>
      </c>
      <c r="Z48" s="125">
        <f t="shared" si="15"/>
        <v>16</v>
      </c>
      <c r="AA48" s="125">
        <f t="shared" si="15"/>
        <v>100</v>
      </c>
      <c r="AB48" s="125">
        <f t="shared" si="15"/>
        <v>12</v>
      </c>
      <c r="AC48" s="125">
        <f t="shared" si="15"/>
        <v>200</v>
      </c>
      <c r="AD48" s="119">
        <f t="shared" si="15"/>
        <v>40</v>
      </c>
      <c r="AE48" s="126">
        <f t="shared" si="16"/>
        <v>500</v>
      </c>
      <c r="AF48" s="66">
        <f t="shared" si="17"/>
        <v>600</v>
      </c>
      <c r="AG48" s="66" t="str">
        <f t="shared" si="18"/>
        <v>В25</v>
      </c>
      <c r="AH48" s="66">
        <f t="shared" si="18"/>
        <v>1</v>
      </c>
    </row>
    <row r="49" spans="1:35" ht="17.25" thickTop="1" thickBot="1" x14ac:dyDescent="0.3">
      <c r="A49" s="119" t="str">
        <f t="shared" si="19"/>
        <v>Пс8.5.3</v>
      </c>
      <c r="B49" s="119">
        <v>8</v>
      </c>
      <c r="C49" s="46" t="s">
        <v>2890</v>
      </c>
      <c r="D49" s="119">
        <f>AA49</f>
        <v>100</v>
      </c>
      <c r="E49" s="127">
        <f>IF(E54=0, (ROUNDUP(O49/D49,0)*2), 0)</f>
        <v>200</v>
      </c>
      <c r="F49" s="119"/>
      <c r="G49" s="119"/>
      <c r="H49" s="127">
        <f>Арм_Элемент_П(AF49, (U49-2*AD49), I49, J49)</f>
        <v>1790</v>
      </c>
      <c r="I49" s="121">
        <f>Z49</f>
        <v>16</v>
      </c>
      <c r="J49" s="46" t="s">
        <v>2</v>
      </c>
      <c r="K49" s="128"/>
      <c r="L49" s="119"/>
      <c r="M49" s="124">
        <f t="shared" si="15"/>
        <v>0</v>
      </c>
      <c r="N49" s="125" t="str">
        <f t="shared" si="15"/>
        <v>Пс8.5.3</v>
      </c>
      <c r="O49" s="125">
        <f t="shared" si="15"/>
        <v>10000</v>
      </c>
      <c r="P49" s="125">
        <f t="shared" si="15"/>
        <v>2700</v>
      </c>
      <c r="Q49" s="125">
        <f t="shared" si="15"/>
        <v>200</v>
      </c>
      <c r="R49" s="125">
        <f t="shared" si="15"/>
        <v>2800</v>
      </c>
      <c r="S49" s="125">
        <f t="shared" si="15"/>
        <v>300</v>
      </c>
      <c r="T49" s="125">
        <f t="shared" si="15"/>
        <v>2300</v>
      </c>
      <c r="U49" s="125">
        <f t="shared" si="15"/>
        <v>300</v>
      </c>
      <c r="V49" s="125">
        <f t="shared" si="15"/>
        <v>12</v>
      </c>
      <c r="W49" s="125">
        <f t="shared" si="15"/>
        <v>200</v>
      </c>
      <c r="X49" s="125">
        <f t="shared" si="15"/>
        <v>14</v>
      </c>
      <c r="Y49" s="125">
        <f t="shared" si="15"/>
        <v>100</v>
      </c>
      <c r="Z49" s="125">
        <f t="shared" si="15"/>
        <v>16</v>
      </c>
      <c r="AA49" s="125">
        <f t="shared" si="15"/>
        <v>100</v>
      </c>
      <c r="AB49" s="125">
        <f t="shared" si="15"/>
        <v>12</v>
      </c>
      <c r="AC49" s="125">
        <f t="shared" si="15"/>
        <v>200</v>
      </c>
      <c r="AD49" s="119">
        <v>30</v>
      </c>
      <c r="AE49" s="126">
        <f t="shared" si="16"/>
        <v>665</v>
      </c>
      <c r="AF49" s="66">
        <f t="shared" si="17"/>
        <v>795</v>
      </c>
      <c r="AG49" s="66" t="str">
        <f t="shared" si="18"/>
        <v>В25</v>
      </c>
      <c r="AH49" s="66">
        <f t="shared" si="18"/>
        <v>1</v>
      </c>
    </row>
    <row r="50" spans="1:35" ht="17.25" thickTop="1" thickBot="1" x14ac:dyDescent="0.3">
      <c r="A50" s="119" t="str">
        <f t="shared" si="19"/>
        <v>Пс8.5.3</v>
      </c>
      <c r="B50" s="119">
        <v>9</v>
      </c>
      <c r="C50" s="46" t="s">
        <v>2891</v>
      </c>
      <c r="D50" s="119">
        <f>AC50</f>
        <v>200</v>
      </c>
      <c r="E50" s="127">
        <f>MROUND(2*R50/AC50,2)</f>
        <v>28</v>
      </c>
      <c r="F50" s="119"/>
      <c r="G50" s="119"/>
      <c r="H50" s="127">
        <f>Арм_Элемент_П(AF50, (U50-2*AD50), I50, J50)</f>
        <v>1390</v>
      </c>
      <c r="I50" s="121">
        <f>AB50</f>
        <v>12</v>
      </c>
      <c r="J50" s="46" t="s">
        <v>2</v>
      </c>
      <c r="K50" s="128"/>
      <c r="L50" s="119"/>
      <c r="M50" s="124">
        <f t="shared" si="15"/>
        <v>0</v>
      </c>
      <c r="N50" s="125" t="str">
        <f t="shared" si="15"/>
        <v>Пс8.5.3</v>
      </c>
      <c r="O50" s="125">
        <f t="shared" si="15"/>
        <v>10000</v>
      </c>
      <c r="P50" s="125">
        <f t="shared" si="15"/>
        <v>2700</v>
      </c>
      <c r="Q50" s="125">
        <f t="shared" si="15"/>
        <v>200</v>
      </c>
      <c r="R50" s="125">
        <f t="shared" si="15"/>
        <v>2800</v>
      </c>
      <c r="S50" s="125">
        <f t="shared" si="15"/>
        <v>300</v>
      </c>
      <c r="T50" s="125">
        <f t="shared" si="15"/>
        <v>2300</v>
      </c>
      <c r="U50" s="125">
        <f t="shared" si="15"/>
        <v>300</v>
      </c>
      <c r="V50" s="125">
        <f t="shared" si="15"/>
        <v>12</v>
      </c>
      <c r="W50" s="125">
        <f t="shared" si="15"/>
        <v>200</v>
      </c>
      <c r="X50" s="125">
        <f t="shared" si="15"/>
        <v>14</v>
      </c>
      <c r="Y50" s="125">
        <f t="shared" si="15"/>
        <v>100</v>
      </c>
      <c r="Z50" s="125">
        <f t="shared" si="15"/>
        <v>16</v>
      </c>
      <c r="AA50" s="125">
        <f t="shared" si="15"/>
        <v>100</v>
      </c>
      <c r="AB50" s="125">
        <f t="shared" si="15"/>
        <v>12</v>
      </c>
      <c r="AC50" s="125">
        <f t="shared" si="15"/>
        <v>200</v>
      </c>
      <c r="AD50" s="119">
        <v>40</v>
      </c>
      <c r="AE50" s="126">
        <f t="shared" si="16"/>
        <v>500</v>
      </c>
      <c r="AF50" s="66">
        <f t="shared" si="17"/>
        <v>600</v>
      </c>
      <c r="AG50" s="66" t="str">
        <f t="shared" si="18"/>
        <v>В25</v>
      </c>
      <c r="AH50" s="66">
        <f t="shared" si="18"/>
        <v>1</v>
      </c>
    </row>
    <row r="51" spans="1:35" ht="33" thickTop="1" thickBot="1" x14ac:dyDescent="0.3">
      <c r="A51" s="119" t="str">
        <f t="shared" si="19"/>
        <v>Пс8.5.3</v>
      </c>
      <c r="B51" s="119">
        <v>10</v>
      </c>
      <c r="C51" s="46" t="s">
        <v>2892</v>
      </c>
      <c r="D51" s="119">
        <f>Y51</f>
        <v>100</v>
      </c>
      <c r="E51" s="127">
        <f>ROUNDUP((IF(P51&lt;=3000,0,O51/Y51)),0)</f>
        <v>0</v>
      </c>
      <c r="F51" s="119"/>
      <c r="G51" s="119"/>
      <c r="H51" s="127">
        <f>IF(E51=0,0, (Арм_Округление(AE51+2*AF51)))</f>
        <v>0</v>
      </c>
      <c r="I51" s="121">
        <f>X51</f>
        <v>14</v>
      </c>
      <c r="J51" s="46" t="s">
        <v>2</v>
      </c>
      <c r="K51" s="128"/>
      <c r="L51" s="119"/>
      <c r="M51" s="124">
        <f t="shared" si="15"/>
        <v>0</v>
      </c>
      <c r="N51" s="125" t="str">
        <f t="shared" si="15"/>
        <v>Пс8.5.3</v>
      </c>
      <c r="O51" s="125">
        <f t="shared" si="15"/>
        <v>10000</v>
      </c>
      <c r="P51" s="125">
        <f t="shared" si="15"/>
        <v>2700</v>
      </c>
      <c r="Q51" s="125">
        <f t="shared" si="15"/>
        <v>200</v>
      </c>
      <c r="R51" s="125">
        <f t="shared" si="15"/>
        <v>2800</v>
      </c>
      <c r="S51" s="125">
        <f t="shared" si="15"/>
        <v>300</v>
      </c>
      <c r="T51" s="125">
        <f t="shared" si="15"/>
        <v>2300</v>
      </c>
      <c r="U51" s="125">
        <f t="shared" si="15"/>
        <v>300</v>
      </c>
      <c r="V51" s="125">
        <f t="shared" si="15"/>
        <v>12</v>
      </c>
      <c r="W51" s="125">
        <f t="shared" si="15"/>
        <v>200</v>
      </c>
      <c r="X51" s="125">
        <f t="shared" si="15"/>
        <v>14</v>
      </c>
      <c r="Y51" s="125">
        <f t="shared" si="15"/>
        <v>100</v>
      </c>
      <c r="Z51" s="125">
        <f t="shared" si="15"/>
        <v>16</v>
      </c>
      <c r="AA51" s="125">
        <f t="shared" si="15"/>
        <v>100</v>
      </c>
      <c r="AB51" s="125">
        <f t="shared" si="15"/>
        <v>12</v>
      </c>
      <c r="AC51" s="125">
        <f t="shared" si="15"/>
        <v>200</v>
      </c>
      <c r="AD51" s="119">
        <v>40</v>
      </c>
      <c r="AE51" s="126">
        <f t="shared" si="16"/>
        <v>580</v>
      </c>
      <c r="AF51" s="66">
        <f t="shared" si="17"/>
        <v>700</v>
      </c>
      <c r="AG51" s="66" t="str">
        <f t="shared" si="18"/>
        <v>В25</v>
      </c>
      <c r="AH51" s="66">
        <f t="shared" si="18"/>
        <v>1</v>
      </c>
    </row>
    <row r="52" spans="1:35" ht="33" thickTop="1" thickBot="1" x14ac:dyDescent="0.3">
      <c r="A52" s="119" t="str">
        <f t="shared" si="19"/>
        <v>Пс8.5.3</v>
      </c>
      <c r="B52" s="119">
        <v>11</v>
      </c>
      <c r="C52" s="46" t="s">
        <v>2893</v>
      </c>
      <c r="D52" s="119">
        <f>Y52</f>
        <v>100</v>
      </c>
      <c r="E52" s="127">
        <f>ROUNDUP((IF(P52&lt;=3000,0,O52/Y52)),0)</f>
        <v>0</v>
      </c>
      <c r="F52" s="119"/>
      <c r="G52" s="119"/>
      <c r="H52" s="127">
        <f>IF(E52=0,0, (Арм_Округление(AE52+AF52)))</f>
        <v>0</v>
      </c>
      <c r="I52" s="121">
        <f>X52</f>
        <v>14</v>
      </c>
      <c r="J52" s="46" t="s">
        <v>2</v>
      </c>
      <c r="K52" s="128"/>
      <c r="L52" s="119"/>
      <c r="M52" s="124">
        <f t="shared" si="15"/>
        <v>0</v>
      </c>
      <c r="N52" s="125" t="str">
        <f t="shared" si="15"/>
        <v>Пс8.5.3</v>
      </c>
      <c r="O52" s="125">
        <f t="shared" si="15"/>
        <v>10000</v>
      </c>
      <c r="P52" s="125">
        <f t="shared" si="15"/>
        <v>2700</v>
      </c>
      <c r="Q52" s="125">
        <f t="shared" si="15"/>
        <v>200</v>
      </c>
      <c r="R52" s="125">
        <f t="shared" si="15"/>
        <v>2800</v>
      </c>
      <c r="S52" s="125">
        <f t="shared" si="15"/>
        <v>300</v>
      </c>
      <c r="T52" s="125">
        <f t="shared" si="15"/>
        <v>2300</v>
      </c>
      <c r="U52" s="125">
        <f t="shared" si="15"/>
        <v>300</v>
      </c>
      <c r="V52" s="125">
        <f t="shared" si="15"/>
        <v>12</v>
      </c>
      <c r="W52" s="125">
        <f t="shared" si="15"/>
        <v>200</v>
      </c>
      <c r="X52" s="125">
        <f t="shared" si="15"/>
        <v>14</v>
      </c>
      <c r="Y52" s="125">
        <f t="shared" si="15"/>
        <v>100</v>
      </c>
      <c r="Z52" s="125">
        <f t="shared" si="15"/>
        <v>16</v>
      </c>
      <c r="AA52" s="125">
        <f t="shared" si="15"/>
        <v>100</v>
      </c>
      <c r="AB52" s="125">
        <f t="shared" si="15"/>
        <v>12</v>
      </c>
      <c r="AC52" s="125">
        <f t="shared" si="15"/>
        <v>200</v>
      </c>
      <c r="AD52" s="119">
        <f t="shared" si="15"/>
        <v>40</v>
      </c>
      <c r="AE52" s="126">
        <f t="shared" si="16"/>
        <v>580</v>
      </c>
      <c r="AF52" s="66">
        <f t="shared" si="17"/>
        <v>700</v>
      </c>
      <c r="AG52" s="66" t="str">
        <f t="shared" si="18"/>
        <v>В25</v>
      </c>
      <c r="AH52" s="66">
        <f t="shared" si="18"/>
        <v>1</v>
      </c>
    </row>
    <row r="53" spans="1:35" ht="17.25" thickTop="1" thickBot="1" x14ac:dyDescent="0.3">
      <c r="A53" s="119" t="str">
        <f t="shared" si="19"/>
        <v>Пс8.5.3</v>
      </c>
      <c r="B53" s="119">
        <v>12</v>
      </c>
      <c r="C53" s="46" t="s">
        <v>2894</v>
      </c>
      <c r="D53" s="119">
        <f>W52</f>
        <v>200</v>
      </c>
      <c r="E53" s="127">
        <f>IF(M53=0, 0, M53*2*ROUNDUP((P53/W53),0))</f>
        <v>0</v>
      </c>
      <c r="F53" s="119"/>
      <c r="G53" s="119"/>
      <c r="H53" s="127">
        <f>IF(M53=0, 0, AF53*2)</f>
        <v>0</v>
      </c>
      <c r="I53" s="121">
        <f>V53</f>
        <v>12</v>
      </c>
      <c r="J53" s="46" t="s">
        <v>2</v>
      </c>
      <c r="K53" s="128"/>
      <c r="L53" s="119"/>
      <c r="M53" s="124">
        <v>0</v>
      </c>
      <c r="N53" s="125" t="str">
        <f t="shared" si="15"/>
        <v>Пс8.5.3</v>
      </c>
      <c r="O53" s="125">
        <f t="shared" si="15"/>
        <v>10000</v>
      </c>
      <c r="P53" s="125">
        <f t="shared" si="15"/>
        <v>2700</v>
      </c>
      <c r="Q53" s="125">
        <f t="shared" si="15"/>
        <v>200</v>
      </c>
      <c r="R53" s="125">
        <f t="shared" si="15"/>
        <v>2800</v>
      </c>
      <c r="S53" s="125">
        <f t="shared" si="15"/>
        <v>300</v>
      </c>
      <c r="T53" s="125">
        <f t="shared" si="15"/>
        <v>2300</v>
      </c>
      <c r="U53" s="125">
        <f t="shared" si="15"/>
        <v>300</v>
      </c>
      <c r="V53" s="125">
        <f t="shared" si="15"/>
        <v>12</v>
      </c>
      <c r="W53" s="125">
        <f t="shared" si="15"/>
        <v>200</v>
      </c>
      <c r="X53" s="125">
        <f t="shared" si="15"/>
        <v>14</v>
      </c>
      <c r="Y53" s="125">
        <f t="shared" si="15"/>
        <v>100</v>
      </c>
      <c r="Z53" s="125">
        <f t="shared" si="15"/>
        <v>16</v>
      </c>
      <c r="AA53" s="125">
        <f t="shared" si="15"/>
        <v>100</v>
      </c>
      <c r="AB53" s="125">
        <f t="shared" si="15"/>
        <v>12</v>
      </c>
      <c r="AC53" s="125">
        <f t="shared" si="15"/>
        <v>200</v>
      </c>
      <c r="AD53" s="119">
        <f t="shared" si="15"/>
        <v>40</v>
      </c>
      <c r="AE53" s="126">
        <f t="shared" si="16"/>
        <v>500</v>
      </c>
      <c r="AF53" s="66">
        <f t="shared" si="17"/>
        <v>600</v>
      </c>
      <c r="AG53" s="66" t="str">
        <f t="shared" si="18"/>
        <v>В25</v>
      </c>
      <c r="AH53" s="66">
        <f t="shared" si="18"/>
        <v>1</v>
      </c>
    </row>
    <row r="54" spans="1:35" ht="17.25" thickTop="1" thickBot="1" x14ac:dyDescent="0.3">
      <c r="A54" s="119" t="str">
        <f t="shared" si="19"/>
        <v>Пс8.5.3</v>
      </c>
      <c r="B54" s="119">
        <v>13</v>
      </c>
      <c r="C54" s="46" t="s">
        <v>2895</v>
      </c>
      <c r="D54" s="119">
        <f>W53</f>
        <v>200</v>
      </c>
      <c r="E54" s="127">
        <f>IF(R54&lt;=2000,(ROUNDUP(O54/D54,0)),(0))</f>
        <v>0</v>
      </c>
      <c r="F54" s="119"/>
      <c r="G54" s="119"/>
      <c r="H54" s="127">
        <f>IF(R54&lt;=2000,(ROUNDUP(R54-2*40+2*(U54-40-AB54), -1)),(0))</f>
        <v>0</v>
      </c>
      <c r="I54" s="121">
        <f>V54</f>
        <v>12</v>
      </c>
      <c r="J54" s="46" t="s">
        <v>2</v>
      </c>
      <c r="K54" s="128"/>
      <c r="L54" s="119"/>
      <c r="M54" s="124">
        <f t="shared" ref="M54" si="20">M53</f>
        <v>0</v>
      </c>
      <c r="N54" s="125" t="str">
        <f t="shared" si="15"/>
        <v>Пс8.5.3</v>
      </c>
      <c r="O54" s="125">
        <f t="shared" si="15"/>
        <v>10000</v>
      </c>
      <c r="P54" s="125">
        <f t="shared" si="15"/>
        <v>2700</v>
      </c>
      <c r="Q54" s="125">
        <f t="shared" si="15"/>
        <v>200</v>
      </c>
      <c r="R54" s="125">
        <f t="shared" si="15"/>
        <v>2800</v>
      </c>
      <c r="S54" s="125">
        <f t="shared" si="15"/>
        <v>300</v>
      </c>
      <c r="T54" s="125">
        <f t="shared" si="15"/>
        <v>2300</v>
      </c>
      <c r="U54" s="125">
        <f t="shared" si="15"/>
        <v>300</v>
      </c>
      <c r="V54" s="125">
        <f t="shared" si="15"/>
        <v>12</v>
      </c>
      <c r="W54" s="125">
        <f t="shared" si="15"/>
        <v>200</v>
      </c>
      <c r="X54" s="125">
        <f t="shared" si="15"/>
        <v>14</v>
      </c>
      <c r="Y54" s="125">
        <f t="shared" si="15"/>
        <v>100</v>
      </c>
      <c r="Z54" s="125">
        <f t="shared" si="15"/>
        <v>16</v>
      </c>
      <c r="AA54" s="125">
        <f t="shared" si="15"/>
        <v>100</v>
      </c>
      <c r="AB54" s="125">
        <f t="shared" si="15"/>
        <v>12</v>
      </c>
      <c r="AC54" s="125">
        <f t="shared" si="15"/>
        <v>200</v>
      </c>
      <c r="AD54" s="119">
        <f t="shared" si="15"/>
        <v>40</v>
      </c>
      <c r="AE54" s="126">
        <f t="shared" si="16"/>
        <v>500</v>
      </c>
      <c r="AF54" s="66">
        <f t="shared" si="17"/>
        <v>600</v>
      </c>
      <c r="AG54" s="66" t="str">
        <f t="shared" si="18"/>
        <v>В25</v>
      </c>
      <c r="AH54" s="66">
        <f t="shared" si="18"/>
        <v>1</v>
      </c>
    </row>
    <row r="55" spans="1:35" ht="15.75" thickTop="1" x14ac:dyDescent="0.25"/>
    <row r="58" spans="1:35" ht="15.75" thickBot="1" x14ac:dyDescent="0.3"/>
    <row r="59" spans="1:35" ht="91.5" thickTop="1" thickBot="1" x14ac:dyDescent="0.3">
      <c r="A59" s="133" t="s">
        <v>159</v>
      </c>
      <c r="B59" s="135" t="s">
        <v>160</v>
      </c>
      <c r="C59" s="135" t="s">
        <v>2750</v>
      </c>
      <c r="D59" s="135" t="s">
        <v>2856</v>
      </c>
      <c r="E59" s="138" t="s">
        <v>163</v>
      </c>
      <c r="F59" s="135" t="s">
        <v>2857</v>
      </c>
      <c r="G59" s="135" t="s">
        <v>2858</v>
      </c>
      <c r="H59" s="140" t="s">
        <v>166</v>
      </c>
      <c r="I59" s="141"/>
      <c r="J59" s="142"/>
      <c r="K59" s="143" t="s">
        <v>2859</v>
      </c>
      <c r="L59" s="143" t="s">
        <v>2860</v>
      </c>
      <c r="M59" s="146" t="s">
        <v>2861</v>
      </c>
      <c r="N59" s="107" t="s">
        <v>2714</v>
      </c>
      <c r="O59" s="108" t="s">
        <v>2862</v>
      </c>
      <c r="P59" s="109" t="s">
        <v>2863</v>
      </c>
      <c r="Q59" s="109" t="s">
        <v>2864</v>
      </c>
      <c r="R59" s="109" t="s">
        <v>2865</v>
      </c>
      <c r="S59" s="109" t="s">
        <v>2866</v>
      </c>
      <c r="T59" s="109" t="s">
        <v>2867</v>
      </c>
      <c r="U59" s="109" t="s">
        <v>2868</v>
      </c>
      <c r="V59" s="109" t="s">
        <v>2869</v>
      </c>
      <c r="W59" s="109" t="s">
        <v>2870</v>
      </c>
      <c r="X59" s="109" t="s">
        <v>2871</v>
      </c>
      <c r="Y59" s="109" t="s">
        <v>2872</v>
      </c>
      <c r="Z59" s="109" t="s">
        <v>2873</v>
      </c>
      <c r="AA59" s="109" t="s">
        <v>2874</v>
      </c>
      <c r="AB59" s="109" t="s">
        <v>2875</v>
      </c>
      <c r="AC59" s="110" t="s">
        <v>2876</v>
      </c>
      <c r="AD59" s="111" t="s">
        <v>2877</v>
      </c>
      <c r="AE59" s="143" t="s">
        <v>180</v>
      </c>
      <c r="AF59" s="131" t="s">
        <v>2878</v>
      </c>
      <c r="AG59" s="111" t="s">
        <v>2879</v>
      </c>
      <c r="AH59" s="111" t="s">
        <v>2880</v>
      </c>
      <c r="AI59" s="112" t="s">
        <v>2881</v>
      </c>
    </row>
    <row r="60" spans="1:35" ht="17.25" thickTop="1" thickBot="1" x14ac:dyDescent="0.3">
      <c r="A60" s="134"/>
      <c r="B60" s="136"/>
      <c r="C60" s="136"/>
      <c r="D60" s="137"/>
      <c r="E60" s="139"/>
      <c r="F60" s="137"/>
      <c r="G60" s="137"/>
      <c r="H60" s="113" t="s">
        <v>170</v>
      </c>
      <c r="I60" s="114" t="s">
        <v>171</v>
      </c>
      <c r="J60" s="115" t="s">
        <v>172</v>
      </c>
      <c r="K60" s="144"/>
      <c r="L60" s="145"/>
      <c r="M60" s="147"/>
      <c r="N60" s="116" t="str">
        <f>'[1]Исх.Таблица из архикада'!A6</f>
        <v>Пс8.5.4</v>
      </c>
      <c r="O60" s="116">
        <f>'[1]Исх.Таблица из архикада'!B6</f>
        <v>3200</v>
      </c>
      <c r="P60" s="116">
        <f>'[1]Исх.Таблица из архикада'!C6</f>
        <v>2700</v>
      </c>
      <c r="Q60" s="116">
        <f>'[1]Исх.Таблица из архикада'!D6</f>
        <v>200</v>
      </c>
      <c r="R60" s="116">
        <f>'[1]Исх.Таблица из архикада'!E6</f>
        <v>2800</v>
      </c>
      <c r="S60" s="116">
        <f>'[1]Исх.Таблица из архикада'!F6</f>
        <v>300</v>
      </c>
      <c r="T60" s="116">
        <f>'[1]Исх.Таблица из архикада'!G6</f>
        <v>2300</v>
      </c>
      <c r="U60" s="116">
        <f>'[1]Исх.Таблица из архикада'!H6</f>
        <v>300</v>
      </c>
      <c r="V60" s="116">
        <f>'[1]Исх.Таблица из архикада'!I6</f>
        <v>12</v>
      </c>
      <c r="W60" s="116">
        <f>'[1]Исх.Таблица из архикада'!J6</f>
        <v>200</v>
      </c>
      <c r="X60" s="116">
        <f>'[1]Исх.Таблица из архикада'!K6</f>
        <v>14</v>
      </c>
      <c r="Y60" s="116">
        <f>'[1]Исх.Таблица из архикада'!L6</f>
        <v>100</v>
      </c>
      <c r="Z60" s="116">
        <f>'[1]Исх.Таблица из архикада'!M6</f>
        <v>16</v>
      </c>
      <c r="AA60" s="116">
        <f>'[1]Исх.Таблица из архикада'!N6</f>
        <v>100</v>
      </c>
      <c r="AB60" s="116">
        <f>'[1]Исх.Таблица из архикада'!O6</f>
        <v>12</v>
      </c>
      <c r="AC60" s="116">
        <f>'[1]Исх.Таблица из архикада'!P6</f>
        <v>200</v>
      </c>
      <c r="AD60" s="117">
        <v>40</v>
      </c>
      <c r="AE60" s="145"/>
      <c r="AF60" s="132"/>
      <c r="AG60" s="118" t="s">
        <v>2882</v>
      </c>
      <c r="AH60" s="118">
        <v>1</v>
      </c>
      <c r="AI60">
        <v>6000</v>
      </c>
    </row>
    <row r="61" spans="1:35" ht="17.25" thickTop="1" thickBot="1" x14ac:dyDescent="0.3">
      <c r="A61" s="119" t="str">
        <f>N60</f>
        <v>Пс8.5.4</v>
      </c>
      <c r="B61" s="119">
        <v>1</v>
      </c>
      <c r="C61" s="46" t="s">
        <v>2883</v>
      </c>
      <c r="D61" s="119">
        <f>W61</f>
        <v>200</v>
      </c>
      <c r="E61" s="120">
        <f>IF(O61&lt;=5700, ROUNDUP(P61*2/W61+1,0), 1)</f>
        <v>28</v>
      </c>
      <c r="F61" s="119">
        <f>ROUNDUP(((O61*R61*U61)*0.000000001+(O61*P61*Q61)*0.000000001),1)</f>
        <v>4.5</v>
      </c>
      <c r="G61" s="119">
        <f>ROUNDUP((0.1*(R61+200)*(O61)*0.000001),1)</f>
        <v>1</v>
      </c>
      <c r="H61" s="120">
        <f>IF(O61&lt;=5700, O61-50, K61)</f>
        <v>3150</v>
      </c>
      <c r="I61" s="121">
        <f>V61</f>
        <v>12</v>
      </c>
      <c r="J61" s="46" t="s">
        <v>2</v>
      </c>
      <c r="K61" s="122">
        <f>Арм_ПоПлощади(O61*P61,W61,AF61,$AI$3)</f>
        <v>50940</v>
      </c>
      <c r="L61" s="123">
        <f>ROUNDUP(O61*R61*0.000001/1+SQRT(O61*R61*0.000001),0)</f>
        <v>12</v>
      </c>
      <c r="M61" s="124">
        <v>0</v>
      </c>
      <c r="N61" s="125" t="str">
        <f>N60</f>
        <v>Пс8.5.4</v>
      </c>
      <c r="O61" s="125">
        <f t="shared" ref="O61:AD61" si="21">O60</f>
        <v>3200</v>
      </c>
      <c r="P61" s="125">
        <f t="shared" si="21"/>
        <v>2700</v>
      </c>
      <c r="Q61" s="125">
        <f t="shared" si="21"/>
        <v>200</v>
      </c>
      <c r="R61" s="125">
        <f t="shared" si="21"/>
        <v>2800</v>
      </c>
      <c r="S61" s="125">
        <f t="shared" si="21"/>
        <v>300</v>
      </c>
      <c r="T61" s="125">
        <f t="shared" si="21"/>
        <v>2300</v>
      </c>
      <c r="U61" s="125">
        <f t="shared" si="21"/>
        <v>300</v>
      </c>
      <c r="V61" s="125">
        <f t="shared" si="21"/>
        <v>12</v>
      </c>
      <c r="W61" s="125">
        <f t="shared" si="21"/>
        <v>200</v>
      </c>
      <c r="X61" s="125">
        <f t="shared" si="21"/>
        <v>14</v>
      </c>
      <c r="Y61" s="125">
        <f t="shared" si="21"/>
        <v>100</v>
      </c>
      <c r="Z61" s="125">
        <f t="shared" si="21"/>
        <v>16</v>
      </c>
      <c r="AA61" s="125">
        <f t="shared" si="21"/>
        <v>100</v>
      </c>
      <c r="AB61" s="125">
        <f t="shared" si="21"/>
        <v>12</v>
      </c>
      <c r="AC61" s="125">
        <f t="shared" si="21"/>
        <v>200</v>
      </c>
      <c r="AD61" s="119">
        <f t="shared" si="21"/>
        <v>40</v>
      </c>
      <c r="AE61" s="126">
        <f>Арм_Анкеровка(I61,J61,$AG$3,$AH$3)</f>
        <v>500</v>
      </c>
      <c r="AF61" s="66">
        <f>Арм_Нахлёст(I61,J61,$AG$3,$AH$3)</f>
        <v>600</v>
      </c>
      <c r="AG61" s="66" t="str">
        <f>AG60</f>
        <v>В25</v>
      </c>
      <c r="AH61" s="66">
        <f>AH60</f>
        <v>1</v>
      </c>
    </row>
    <row r="62" spans="1:35" ht="17.25" thickTop="1" thickBot="1" x14ac:dyDescent="0.3">
      <c r="A62" s="119" t="str">
        <f>A61</f>
        <v>Пс8.5.4</v>
      </c>
      <c r="B62" s="119">
        <v>2</v>
      </c>
      <c r="C62" s="46" t="s">
        <v>2884</v>
      </c>
      <c r="D62" s="119">
        <f>Y61</f>
        <v>100</v>
      </c>
      <c r="E62" s="127">
        <f>ROUNDUP(O62/Y62,0)</f>
        <v>32</v>
      </c>
      <c r="F62" s="119"/>
      <c r="G62" s="119"/>
      <c r="H62" s="127">
        <f>Арм_Элемент_П(AF62, (Q62-2*AD62), I62, J62)</f>
        <v>1490</v>
      </c>
      <c r="I62" s="121">
        <f>X62</f>
        <v>14</v>
      </c>
      <c r="J62" s="46" t="s">
        <v>2</v>
      </c>
      <c r="K62" s="128"/>
      <c r="L62" s="119"/>
      <c r="M62" s="124">
        <f t="shared" ref="M62:AD73" si="22">M61</f>
        <v>0</v>
      </c>
      <c r="N62" s="125" t="str">
        <f t="shared" si="22"/>
        <v>Пс8.5.4</v>
      </c>
      <c r="O62" s="125">
        <f t="shared" si="22"/>
        <v>3200</v>
      </c>
      <c r="P62" s="125">
        <f t="shared" si="22"/>
        <v>2700</v>
      </c>
      <c r="Q62" s="125">
        <f t="shared" si="22"/>
        <v>200</v>
      </c>
      <c r="R62" s="125">
        <f t="shared" si="22"/>
        <v>2800</v>
      </c>
      <c r="S62" s="125">
        <f t="shared" si="22"/>
        <v>300</v>
      </c>
      <c r="T62" s="125">
        <f t="shared" si="22"/>
        <v>2300</v>
      </c>
      <c r="U62" s="125">
        <f t="shared" si="22"/>
        <v>300</v>
      </c>
      <c r="V62" s="125">
        <f t="shared" si="22"/>
        <v>12</v>
      </c>
      <c r="W62" s="125">
        <f t="shared" si="22"/>
        <v>200</v>
      </c>
      <c r="X62" s="125">
        <f t="shared" si="22"/>
        <v>14</v>
      </c>
      <c r="Y62" s="125">
        <f t="shared" si="22"/>
        <v>100</v>
      </c>
      <c r="Z62" s="125">
        <f t="shared" si="22"/>
        <v>16</v>
      </c>
      <c r="AA62" s="125">
        <f t="shared" si="22"/>
        <v>100</v>
      </c>
      <c r="AB62" s="125">
        <f t="shared" si="22"/>
        <v>12</v>
      </c>
      <c r="AC62" s="125">
        <f t="shared" si="22"/>
        <v>200</v>
      </c>
      <c r="AD62" s="119">
        <f t="shared" si="22"/>
        <v>40</v>
      </c>
      <c r="AE62" s="126">
        <f t="shared" ref="AE62:AE73" si="23">Арм_Анкеровка(I62,J62,$AG$3,$AH$3)</f>
        <v>580</v>
      </c>
      <c r="AF62" s="66">
        <f t="shared" ref="AF62:AF73" si="24">Арм_Нахлёст(I62,J62,$AG$3,$AH$3)</f>
        <v>700</v>
      </c>
      <c r="AG62" s="66" t="str">
        <f t="shared" ref="AG62:AH73" si="25">AG61</f>
        <v>В25</v>
      </c>
      <c r="AH62" s="66">
        <f t="shared" si="25"/>
        <v>1</v>
      </c>
    </row>
    <row r="63" spans="1:35" ht="17.25" thickTop="1" thickBot="1" x14ac:dyDescent="0.3">
      <c r="A63" s="119" t="str">
        <f t="shared" ref="A63:A73" si="26">A62</f>
        <v>Пс8.5.4</v>
      </c>
      <c r="B63" s="119">
        <v>3</v>
      </c>
      <c r="C63" s="46" t="s">
        <v>2885</v>
      </c>
      <c r="D63" s="119">
        <f>W63</f>
        <v>200</v>
      </c>
      <c r="E63" s="127">
        <f>MROUND(2*P63/D63,2)</f>
        <v>28</v>
      </c>
      <c r="F63" s="119"/>
      <c r="G63" s="119"/>
      <c r="H63" s="127">
        <f>Арм_Элемент_П(AF63, (Q63-2*AD63), I63, J63)</f>
        <v>1310</v>
      </c>
      <c r="I63" s="121">
        <f>V63</f>
        <v>12</v>
      </c>
      <c r="J63" s="46" t="s">
        <v>2</v>
      </c>
      <c r="K63" s="128"/>
      <c r="L63" s="119"/>
      <c r="M63" s="124">
        <f t="shared" si="22"/>
        <v>0</v>
      </c>
      <c r="N63" s="125" t="str">
        <f t="shared" si="22"/>
        <v>Пс8.5.4</v>
      </c>
      <c r="O63" s="125">
        <f t="shared" si="22"/>
        <v>3200</v>
      </c>
      <c r="P63" s="125">
        <f t="shared" si="22"/>
        <v>2700</v>
      </c>
      <c r="Q63" s="125">
        <f t="shared" si="22"/>
        <v>200</v>
      </c>
      <c r="R63" s="125">
        <f t="shared" si="22"/>
        <v>2800</v>
      </c>
      <c r="S63" s="125">
        <f t="shared" si="22"/>
        <v>300</v>
      </c>
      <c r="T63" s="125">
        <f t="shared" si="22"/>
        <v>2300</v>
      </c>
      <c r="U63" s="125">
        <f t="shared" si="22"/>
        <v>300</v>
      </c>
      <c r="V63" s="125">
        <f t="shared" si="22"/>
        <v>12</v>
      </c>
      <c r="W63" s="125">
        <f t="shared" si="22"/>
        <v>200</v>
      </c>
      <c r="X63" s="125">
        <f t="shared" si="22"/>
        <v>14</v>
      </c>
      <c r="Y63" s="125">
        <f t="shared" si="22"/>
        <v>100</v>
      </c>
      <c r="Z63" s="125">
        <f t="shared" si="22"/>
        <v>16</v>
      </c>
      <c r="AA63" s="125">
        <f t="shared" si="22"/>
        <v>100</v>
      </c>
      <c r="AB63" s="125">
        <f t="shared" si="22"/>
        <v>12</v>
      </c>
      <c r="AC63" s="125">
        <f t="shared" si="22"/>
        <v>200</v>
      </c>
      <c r="AD63" s="119">
        <v>30</v>
      </c>
      <c r="AE63" s="126">
        <f t="shared" si="23"/>
        <v>500</v>
      </c>
      <c r="AF63" s="66">
        <f t="shared" si="24"/>
        <v>600</v>
      </c>
      <c r="AG63" s="66" t="str">
        <f t="shared" si="25"/>
        <v>В25</v>
      </c>
      <c r="AH63" s="66">
        <f t="shared" si="25"/>
        <v>1</v>
      </c>
    </row>
    <row r="64" spans="1:35" ht="17.25" thickTop="1" thickBot="1" x14ac:dyDescent="0.3">
      <c r="A64" s="119" t="str">
        <f t="shared" si="26"/>
        <v>Пс8.5.4</v>
      </c>
      <c r="B64" s="119">
        <v>4</v>
      </c>
      <c r="C64" s="46" t="s">
        <v>2886</v>
      </c>
      <c r="D64" s="119">
        <f>Y64</f>
        <v>100</v>
      </c>
      <c r="E64" s="127">
        <f>ROUNDUP(O64/Y64,0)*2</f>
        <v>64</v>
      </c>
      <c r="F64" s="119"/>
      <c r="G64" s="119"/>
      <c r="H64" s="127">
        <f>IF(P64&lt;=3000,(IF(Q64&lt;=150,(P64-25+AE64+Q64-(35+V64)),(P64-25+AE64))),(P64-25))</f>
        <v>3255</v>
      </c>
      <c r="I64" s="121">
        <f>X64</f>
        <v>14</v>
      </c>
      <c r="J64" s="46" t="s">
        <v>2</v>
      </c>
      <c r="K64" s="128"/>
      <c r="L64" s="119"/>
      <c r="M64" s="124">
        <f t="shared" si="22"/>
        <v>0</v>
      </c>
      <c r="N64" s="125" t="str">
        <f t="shared" si="22"/>
        <v>Пс8.5.4</v>
      </c>
      <c r="O64" s="125">
        <f t="shared" si="22"/>
        <v>3200</v>
      </c>
      <c r="P64" s="125">
        <f t="shared" si="22"/>
        <v>2700</v>
      </c>
      <c r="Q64" s="125">
        <f t="shared" si="22"/>
        <v>200</v>
      </c>
      <c r="R64" s="125">
        <f t="shared" si="22"/>
        <v>2800</v>
      </c>
      <c r="S64" s="125">
        <f t="shared" si="22"/>
        <v>300</v>
      </c>
      <c r="T64" s="125">
        <f t="shared" si="22"/>
        <v>2300</v>
      </c>
      <c r="U64" s="125">
        <f t="shared" si="22"/>
        <v>300</v>
      </c>
      <c r="V64" s="125">
        <f t="shared" si="22"/>
        <v>12</v>
      </c>
      <c r="W64" s="125">
        <f t="shared" si="22"/>
        <v>200</v>
      </c>
      <c r="X64" s="125">
        <f t="shared" si="22"/>
        <v>14</v>
      </c>
      <c r="Y64" s="125">
        <f t="shared" si="22"/>
        <v>100</v>
      </c>
      <c r="Z64" s="125">
        <f t="shared" si="22"/>
        <v>16</v>
      </c>
      <c r="AA64" s="125">
        <f t="shared" si="22"/>
        <v>100</v>
      </c>
      <c r="AB64" s="125">
        <f t="shared" si="22"/>
        <v>12</v>
      </c>
      <c r="AC64" s="125">
        <f t="shared" si="22"/>
        <v>200</v>
      </c>
      <c r="AD64" s="119">
        <v>40</v>
      </c>
      <c r="AE64" s="126">
        <f t="shared" si="23"/>
        <v>580</v>
      </c>
      <c r="AF64" s="66">
        <f t="shared" si="24"/>
        <v>700</v>
      </c>
      <c r="AG64" s="66" t="str">
        <f t="shared" si="25"/>
        <v>В25</v>
      </c>
      <c r="AH64" s="66">
        <f t="shared" si="25"/>
        <v>1</v>
      </c>
    </row>
    <row r="65" spans="1:35" ht="17.25" thickTop="1" thickBot="1" x14ac:dyDescent="0.3">
      <c r="A65" s="119" t="str">
        <f t="shared" si="26"/>
        <v>Пс8.5.4</v>
      </c>
      <c r="B65" s="119">
        <v>5</v>
      </c>
      <c r="C65" s="46" t="s">
        <v>2887</v>
      </c>
      <c r="D65" s="119">
        <v>400</v>
      </c>
      <c r="E65" s="127">
        <f>ROUNDUP((13*(O65*P65/1000000)),0)</f>
        <v>113</v>
      </c>
      <c r="F65" s="119"/>
      <c r="G65" s="119"/>
      <c r="H65" s="127">
        <f>Q65-AD65*2+150</f>
        <v>270</v>
      </c>
      <c r="I65" s="121">
        <v>6</v>
      </c>
      <c r="J65" s="46" t="s">
        <v>2</v>
      </c>
      <c r="K65" s="128"/>
      <c r="L65" s="119"/>
      <c r="M65" s="124">
        <f t="shared" si="22"/>
        <v>0</v>
      </c>
      <c r="N65" s="125" t="str">
        <f t="shared" si="22"/>
        <v>Пс8.5.4</v>
      </c>
      <c r="O65" s="125">
        <f t="shared" si="22"/>
        <v>3200</v>
      </c>
      <c r="P65" s="125">
        <f t="shared" si="22"/>
        <v>2700</v>
      </c>
      <c r="Q65" s="125">
        <f t="shared" si="22"/>
        <v>200</v>
      </c>
      <c r="R65" s="125">
        <f t="shared" si="22"/>
        <v>2800</v>
      </c>
      <c r="S65" s="125">
        <f t="shared" si="22"/>
        <v>300</v>
      </c>
      <c r="T65" s="125">
        <f t="shared" si="22"/>
        <v>2300</v>
      </c>
      <c r="U65" s="125">
        <f t="shared" si="22"/>
        <v>300</v>
      </c>
      <c r="V65" s="125">
        <f t="shared" si="22"/>
        <v>12</v>
      </c>
      <c r="W65" s="125">
        <f t="shared" si="22"/>
        <v>200</v>
      </c>
      <c r="X65" s="125">
        <f t="shared" si="22"/>
        <v>14</v>
      </c>
      <c r="Y65" s="125">
        <f t="shared" si="22"/>
        <v>100</v>
      </c>
      <c r="Z65" s="125">
        <f t="shared" si="22"/>
        <v>16</v>
      </c>
      <c r="AA65" s="125">
        <f t="shared" si="22"/>
        <v>100</v>
      </c>
      <c r="AB65" s="125">
        <f t="shared" si="22"/>
        <v>12</v>
      </c>
      <c r="AC65" s="125">
        <f t="shared" si="22"/>
        <v>200</v>
      </c>
      <c r="AD65" s="119">
        <f t="shared" si="22"/>
        <v>40</v>
      </c>
      <c r="AE65" s="126">
        <f t="shared" si="23"/>
        <v>250</v>
      </c>
      <c r="AF65" s="66">
        <f t="shared" si="24"/>
        <v>300</v>
      </c>
      <c r="AG65" s="66" t="str">
        <f t="shared" si="25"/>
        <v>В25</v>
      </c>
      <c r="AH65" s="66">
        <f t="shared" si="25"/>
        <v>1</v>
      </c>
    </row>
    <row r="66" spans="1:35" ht="17.25" thickTop="1" thickBot="1" x14ac:dyDescent="0.3">
      <c r="A66" s="119" t="str">
        <f t="shared" si="26"/>
        <v>Пс8.5.4</v>
      </c>
      <c r="B66" s="119">
        <v>6</v>
      </c>
      <c r="C66" s="46" t="s">
        <v>2888</v>
      </c>
      <c r="D66" s="119">
        <f>AA66</f>
        <v>100</v>
      </c>
      <c r="E66" s="127">
        <f>IF(R66&lt;=2000,(ROUNDUP(O66/D66,0)),(ROUNDUP(O66/D66,0)*2))</f>
        <v>64</v>
      </c>
      <c r="F66" s="119"/>
      <c r="G66" s="119"/>
      <c r="H66" s="127">
        <f>R66-50</f>
        <v>2750</v>
      </c>
      <c r="I66" s="121">
        <f>Z66</f>
        <v>16</v>
      </c>
      <c r="J66" s="46" t="s">
        <v>2</v>
      </c>
      <c r="K66" s="128"/>
      <c r="L66" s="119"/>
      <c r="M66" s="124">
        <f t="shared" si="22"/>
        <v>0</v>
      </c>
      <c r="N66" s="125" t="str">
        <f t="shared" si="22"/>
        <v>Пс8.5.4</v>
      </c>
      <c r="O66" s="125">
        <f t="shared" si="22"/>
        <v>3200</v>
      </c>
      <c r="P66" s="125">
        <f t="shared" si="22"/>
        <v>2700</v>
      </c>
      <c r="Q66" s="125">
        <f t="shared" si="22"/>
        <v>200</v>
      </c>
      <c r="R66" s="125">
        <f t="shared" si="22"/>
        <v>2800</v>
      </c>
      <c r="S66" s="125">
        <f t="shared" si="22"/>
        <v>300</v>
      </c>
      <c r="T66" s="125">
        <f t="shared" si="22"/>
        <v>2300</v>
      </c>
      <c r="U66" s="125">
        <f t="shared" si="22"/>
        <v>300</v>
      </c>
      <c r="V66" s="125">
        <f t="shared" si="22"/>
        <v>12</v>
      </c>
      <c r="W66" s="125">
        <f t="shared" si="22"/>
        <v>200</v>
      </c>
      <c r="X66" s="125">
        <f t="shared" si="22"/>
        <v>14</v>
      </c>
      <c r="Y66" s="125">
        <f t="shared" si="22"/>
        <v>100</v>
      </c>
      <c r="Z66" s="125">
        <f t="shared" si="22"/>
        <v>16</v>
      </c>
      <c r="AA66" s="125">
        <f t="shared" si="22"/>
        <v>100</v>
      </c>
      <c r="AB66" s="125">
        <f t="shared" si="22"/>
        <v>12</v>
      </c>
      <c r="AC66" s="125">
        <f t="shared" si="22"/>
        <v>200</v>
      </c>
      <c r="AD66" s="119">
        <f t="shared" si="22"/>
        <v>40</v>
      </c>
      <c r="AE66" s="126">
        <f t="shared" si="23"/>
        <v>665</v>
      </c>
      <c r="AF66" s="66">
        <f t="shared" si="24"/>
        <v>795</v>
      </c>
      <c r="AG66" s="66" t="str">
        <f t="shared" si="25"/>
        <v>В25</v>
      </c>
      <c r="AH66" s="66">
        <f t="shared" si="25"/>
        <v>1</v>
      </c>
    </row>
    <row r="67" spans="1:35" ht="17.25" thickTop="1" thickBot="1" x14ac:dyDescent="0.3">
      <c r="A67" s="119" t="str">
        <f t="shared" si="26"/>
        <v>Пс8.5.4</v>
      </c>
      <c r="B67" s="119">
        <v>7</v>
      </c>
      <c r="C67" s="46" t="s">
        <v>2889</v>
      </c>
      <c r="D67" s="119">
        <f>AC67</f>
        <v>200</v>
      </c>
      <c r="E67" s="120">
        <f>IF(O67&lt;=5700, ROUNDUP(R67*2/AC67,0), 1)</f>
        <v>28</v>
      </c>
      <c r="F67" s="119"/>
      <c r="G67" s="119"/>
      <c r="H67" s="120">
        <f>IF(O67&lt;=5700, O67-50, K67)</f>
        <v>3150</v>
      </c>
      <c r="I67" s="121">
        <f>AB67</f>
        <v>12</v>
      </c>
      <c r="J67" s="46" t="s">
        <v>2</v>
      </c>
      <c r="K67" s="122">
        <f>Арм_ПоПлощади(O67*R67,AC67,AF67,$AI$3)</f>
        <v>52600</v>
      </c>
      <c r="L67" s="119"/>
      <c r="M67" s="124">
        <f t="shared" si="22"/>
        <v>0</v>
      </c>
      <c r="N67" s="125" t="str">
        <f t="shared" si="22"/>
        <v>Пс8.5.4</v>
      </c>
      <c r="O67" s="125">
        <f t="shared" si="22"/>
        <v>3200</v>
      </c>
      <c r="P67" s="125">
        <f t="shared" si="22"/>
        <v>2700</v>
      </c>
      <c r="Q67" s="125">
        <f t="shared" si="22"/>
        <v>200</v>
      </c>
      <c r="R67" s="125">
        <f t="shared" si="22"/>
        <v>2800</v>
      </c>
      <c r="S67" s="125">
        <f t="shared" si="22"/>
        <v>300</v>
      </c>
      <c r="T67" s="125">
        <f t="shared" si="22"/>
        <v>2300</v>
      </c>
      <c r="U67" s="125">
        <f t="shared" si="22"/>
        <v>300</v>
      </c>
      <c r="V67" s="125">
        <f t="shared" si="22"/>
        <v>12</v>
      </c>
      <c r="W67" s="125">
        <f t="shared" si="22"/>
        <v>200</v>
      </c>
      <c r="X67" s="125">
        <f t="shared" si="22"/>
        <v>14</v>
      </c>
      <c r="Y67" s="125">
        <f t="shared" si="22"/>
        <v>100</v>
      </c>
      <c r="Z67" s="125">
        <f t="shared" si="22"/>
        <v>16</v>
      </c>
      <c r="AA67" s="125">
        <f t="shared" si="22"/>
        <v>100</v>
      </c>
      <c r="AB67" s="125">
        <f t="shared" si="22"/>
        <v>12</v>
      </c>
      <c r="AC67" s="125">
        <f t="shared" si="22"/>
        <v>200</v>
      </c>
      <c r="AD67" s="119">
        <f t="shared" si="22"/>
        <v>40</v>
      </c>
      <c r="AE67" s="126">
        <f t="shared" si="23"/>
        <v>500</v>
      </c>
      <c r="AF67" s="66">
        <f t="shared" si="24"/>
        <v>600</v>
      </c>
      <c r="AG67" s="66" t="str">
        <f t="shared" si="25"/>
        <v>В25</v>
      </c>
      <c r="AH67" s="66">
        <f t="shared" si="25"/>
        <v>1</v>
      </c>
    </row>
    <row r="68" spans="1:35" ht="17.25" thickTop="1" thickBot="1" x14ac:dyDescent="0.3">
      <c r="A68" s="119" t="str">
        <f t="shared" si="26"/>
        <v>Пс8.5.4</v>
      </c>
      <c r="B68" s="119">
        <v>8</v>
      </c>
      <c r="C68" s="46" t="s">
        <v>2890</v>
      </c>
      <c r="D68" s="119">
        <f>AA68</f>
        <v>100</v>
      </c>
      <c r="E68" s="127">
        <f>IF(E73=0, (ROUNDUP(O68/D68,0)*2), 0)</f>
        <v>64</v>
      </c>
      <c r="F68" s="119"/>
      <c r="G68" s="119"/>
      <c r="H68" s="127">
        <f>Арм_Элемент_П(AF68, (U68-2*AD68), I68, J68)</f>
        <v>1790</v>
      </c>
      <c r="I68" s="121">
        <f>Z68</f>
        <v>16</v>
      </c>
      <c r="J68" s="46" t="s">
        <v>2</v>
      </c>
      <c r="K68" s="128"/>
      <c r="L68" s="119"/>
      <c r="M68" s="124">
        <f t="shared" si="22"/>
        <v>0</v>
      </c>
      <c r="N68" s="125" t="str">
        <f t="shared" si="22"/>
        <v>Пс8.5.4</v>
      </c>
      <c r="O68" s="125">
        <f t="shared" si="22"/>
        <v>3200</v>
      </c>
      <c r="P68" s="125">
        <f t="shared" si="22"/>
        <v>2700</v>
      </c>
      <c r="Q68" s="125">
        <f t="shared" si="22"/>
        <v>200</v>
      </c>
      <c r="R68" s="125">
        <f t="shared" si="22"/>
        <v>2800</v>
      </c>
      <c r="S68" s="125">
        <f t="shared" si="22"/>
        <v>300</v>
      </c>
      <c r="T68" s="125">
        <f t="shared" si="22"/>
        <v>2300</v>
      </c>
      <c r="U68" s="125">
        <f t="shared" si="22"/>
        <v>300</v>
      </c>
      <c r="V68" s="125">
        <f t="shared" si="22"/>
        <v>12</v>
      </c>
      <c r="W68" s="125">
        <f t="shared" si="22"/>
        <v>200</v>
      </c>
      <c r="X68" s="125">
        <f t="shared" si="22"/>
        <v>14</v>
      </c>
      <c r="Y68" s="125">
        <f t="shared" si="22"/>
        <v>100</v>
      </c>
      <c r="Z68" s="125">
        <f t="shared" si="22"/>
        <v>16</v>
      </c>
      <c r="AA68" s="125">
        <f t="shared" si="22"/>
        <v>100</v>
      </c>
      <c r="AB68" s="125">
        <f t="shared" si="22"/>
        <v>12</v>
      </c>
      <c r="AC68" s="125">
        <f t="shared" si="22"/>
        <v>200</v>
      </c>
      <c r="AD68" s="119">
        <v>30</v>
      </c>
      <c r="AE68" s="126">
        <f t="shared" si="23"/>
        <v>665</v>
      </c>
      <c r="AF68" s="66">
        <f t="shared" si="24"/>
        <v>795</v>
      </c>
      <c r="AG68" s="66" t="str">
        <f t="shared" si="25"/>
        <v>В25</v>
      </c>
      <c r="AH68" s="66">
        <f t="shared" si="25"/>
        <v>1</v>
      </c>
    </row>
    <row r="69" spans="1:35" ht="17.25" thickTop="1" thickBot="1" x14ac:dyDescent="0.3">
      <c r="A69" s="119" t="str">
        <f t="shared" si="26"/>
        <v>Пс8.5.4</v>
      </c>
      <c r="B69" s="119">
        <v>9</v>
      </c>
      <c r="C69" s="46" t="s">
        <v>2891</v>
      </c>
      <c r="D69" s="119">
        <f>AC69</f>
        <v>200</v>
      </c>
      <c r="E69" s="127">
        <f>MROUND(2*R69/AC69,2)</f>
        <v>28</v>
      </c>
      <c r="F69" s="119"/>
      <c r="G69" s="119"/>
      <c r="H69" s="127">
        <f>Арм_Элемент_П(AF69, (U69-2*AD69), I69, J69)</f>
        <v>1390</v>
      </c>
      <c r="I69" s="121">
        <f>AB69</f>
        <v>12</v>
      </c>
      <c r="J69" s="46" t="s">
        <v>2</v>
      </c>
      <c r="K69" s="128"/>
      <c r="L69" s="119"/>
      <c r="M69" s="124">
        <f t="shared" si="22"/>
        <v>0</v>
      </c>
      <c r="N69" s="125" t="str">
        <f t="shared" si="22"/>
        <v>Пс8.5.4</v>
      </c>
      <c r="O69" s="125">
        <f t="shared" si="22"/>
        <v>3200</v>
      </c>
      <c r="P69" s="125">
        <f t="shared" si="22"/>
        <v>2700</v>
      </c>
      <c r="Q69" s="125">
        <f t="shared" si="22"/>
        <v>200</v>
      </c>
      <c r="R69" s="125">
        <f t="shared" si="22"/>
        <v>2800</v>
      </c>
      <c r="S69" s="125">
        <f t="shared" si="22"/>
        <v>300</v>
      </c>
      <c r="T69" s="125">
        <f t="shared" si="22"/>
        <v>2300</v>
      </c>
      <c r="U69" s="125">
        <f t="shared" si="22"/>
        <v>300</v>
      </c>
      <c r="V69" s="125">
        <f t="shared" si="22"/>
        <v>12</v>
      </c>
      <c r="W69" s="125">
        <f t="shared" si="22"/>
        <v>200</v>
      </c>
      <c r="X69" s="125">
        <f t="shared" si="22"/>
        <v>14</v>
      </c>
      <c r="Y69" s="125">
        <f t="shared" si="22"/>
        <v>100</v>
      </c>
      <c r="Z69" s="125">
        <f t="shared" si="22"/>
        <v>16</v>
      </c>
      <c r="AA69" s="125">
        <f t="shared" si="22"/>
        <v>100</v>
      </c>
      <c r="AB69" s="125">
        <f t="shared" si="22"/>
        <v>12</v>
      </c>
      <c r="AC69" s="125">
        <f t="shared" si="22"/>
        <v>200</v>
      </c>
      <c r="AD69" s="119">
        <v>40</v>
      </c>
      <c r="AE69" s="126">
        <f t="shared" si="23"/>
        <v>500</v>
      </c>
      <c r="AF69" s="66">
        <f t="shared" si="24"/>
        <v>600</v>
      </c>
      <c r="AG69" s="66" t="str">
        <f t="shared" si="25"/>
        <v>В25</v>
      </c>
      <c r="AH69" s="66">
        <f t="shared" si="25"/>
        <v>1</v>
      </c>
    </row>
    <row r="70" spans="1:35" ht="33" thickTop="1" thickBot="1" x14ac:dyDescent="0.3">
      <c r="A70" s="119" t="str">
        <f t="shared" si="26"/>
        <v>Пс8.5.4</v>
      </c>
      <c r="B70" s="119">
        <v>10</v>
      </c>
      <c r="C70" s="46" t="s">
        <v>2892</v>
      </c>
      <c r="D70" s="119">
        <f>Y70</f>
        <v>100</v>
      </c>
      <c r="E70" s="127">
        <f>ROUNDUP((IF(P70&lt;=3000,0,O70/Y70)),0)</f>
        <v>0</v>
      </c>
      <c r="F70" s="119"/>
      <c r="G70" s="119"/>
      <c r="H70" s="127">
        <f>IF(E70=0,0, (Арм_Округление(AE70+2*AF70)))</f>
        <v>0</v>
      </c>
      <c r="I70" s="121">
        <f>X70</f>
        <v>14</v>
      </c>
      <c r="J70" s="46" t="s">
        <v>2</v>
      </c>
      <c r="K70" s="128"/>
      <c r="L70" s="119"/>
      <c r="M70" s="124">
        <f t="shared" si="22"/>
        <v>0</v>
      </c>
      <c r="N70" s="125" t="str">
        <f t="shared" si="22"/>
        <v>Пс8.5.4</v>
      </c>
      <c r="O70" s="125">
        <f t="shared" si="22"/>
        <v>3200</v>
      </c>
      <c r="P70" s="125">
        <f t="shared" si="22"/>
        <v>2700</v>
      </c>
      <c r="Q70" s="125">
        <f t="shared" si="22"/>
        <v>200</v>
      </c>
      <c r="R70" s="125">
        <f t="shared" si="22"/>
        <v>2800</v>
      </c>
      <c r="S70" s="125">
        <f t="shared" si="22"/>
        <v>300</v>
      </c>
      <c r="T70" s="125">
        <f t="shared" si="22"/>
        <v>2300</v>
      </c>
      <c r="U70" s="125">
        <f t="shared" si="22"/>
        <v>300</v>
      </c>
      <c r="V70" s="125">
        <f t="shared" si="22"/>
        <v>12</v>
      </c>
      <c r="W70" s="125">
        <f t="shared" si="22"/>
        <v>200</v>
      </c>
      <c r="X70" s="125">
        <f t="shared" si="22"/>
        <v>14</v>
      </c>
      <c r="Y70" s="125">
        <f t="shared" si="22"/>
        <v>100</v>
      </c>
      <c r="Z70" s="125">
        <f t="shared" si="22"/>
        <v>16</v>
      </c>
      <c r="AA70" s="125">
        <f t="shared" si="22"/>
        <v>100</v>
      </c>
      <c r="AB70" s="125">
        <f t="shared" si="22"/>
        <v>12</v>
      </c>
      <c r="AC70" s="125">
        <f t="shared" si="22"/>
        <v>200</v>
      </c>
      <c r="AD70" s="119">
        <f t="shared" si="22"/>
        <v>40</v>
      </c>
      <c r="AE70" s="126">
        <f t="shared" si="23"/>
        <v>580</v>
      </c>
      <c r="AF70" s="66">
        <f t="shared" si="24"/>
        <v>700</v>
      </c>
      <c r="AG70" s="66" t="str">
        <f t="shared" si="25"/>
        <v>В25</v>
      </c>
      <c r="AH70" s="66">
        <f t="shared" si="25"/>
        <v>1</v>
      </c>
    </row>
    <row r="71" spans="1:35" ht="33" thickTop="1" thickBot="1" x14ac:dyDescent="0.3">
      <c r="A71" s="119" t="str">
        <f t="shared" si="26"/>
        <v>Пс8.5.4</v>
      </c>
      <c r="B71" s="119">
        <v>11</v>
      </c>
      <c r="C71" s="46" t="s">
        <v>2893</v>
      </c>
      <c r="D71" s="119">
        <f>Y71</f>
        <v>100</v>
      </c>
      <c r="E71" s="127">
        <f>ROUNDUP((IF(P71&lt;=3000,0,O71/Y71)),0)</f>
        <v>0</v>
      </c>
      <c r="F71" s="119"/>
      <c r="G71" s="119"/>
      <c r="H71" s="127">
        <f>IF(E71=0,0, (Арм_Округление(AE71+AF71)))</f>
        <v>0</v>
      </c>
      <c r="I71" s="121">
        <f>X71</f>
        <v>14</v>
      </c>
      <c r="J71" s="46" t="s">
        <v>2</v>
      </c>
      <c r="K71" s="128"/>
      <c r="L71" s="119"/>
      <c r="M71" s="124">
        <f t="shared" si="22"/>
        <v>0</v>
      </c>
      <c r="N71" s="125" t="str">
        <f t="shared" si="22"/>
        <v>Пс8.5.4</v>
      </c>
      <c r="O71" s="125">
        <f t="shared" si="22"/>
        <v>3200</v>
      </c>
      <c r="P71" s="125">
        <f t="shared" si="22"/>
        <v>2700</v>
      </c>
      <c r="Q71" s="125">
        <f t="shared" si="22"/>
        <v>200</v>
      </c>
      <c r="R71" s="125">
        <f t="shared" si="22"/>
        <v>2800</v>
      </c>
      <c r="S71" s="125">
        <f t="shared" si="22"/>
        <v>300</v>
      </c>
      <c r="T71" s="125">
        <f t="shared" si="22"/>
        <v>2300</v>
      </c>
      <c r="U71" s="125">
        <f t="shared" si="22"/>
        <v>300</v>
      </c>
      <c r="V71" s="125">
        <f t="shared" si="22"/>
        <v>12</v>
      </c>
      <c r="W71" s="125">
        <f t="shared" si="22"/>
        <v>200</v>
      </c>
      <c r="X71" s="125">
        <f t="shared" si="22"/>
        <v>14</v>
      </c>
      <c r="Y71" s="125">
        <f t="shared" si="22"/>
        <v>100</v>
      </c>
      <c r="Z71" s="125">
        <f t="shared" si="22"/>
        <v>16</v>
      </c>
      <c r="AA71" s="125">
        <f t="shared" si="22"/>
        <v>100</v>
      </c>
      <c r="AB71" s="125">
        <f t="shared" si="22"/>
        <v>12</v>
      </c>
      <c r="AC71" s="125">
        <f t="shared" si="22"/>
        <v>200</v>
      </c>
      <c r="AD71" s="119">
        <f t="shared" si="22"/>
        <v>40</v>
      </c>
      <c r="AE71" s="126">
        <f t="shared" si="23"/>
        <v>580</v>
      </c>
      <c r="AF71" s="66">
        <f t="shared" si="24"/>
        <v>700</v>
      </c>
      <c r="AG71" s="66" t="str">
        <f t="shared" si="25"/>
        <v>В25</v>
      </c>
      <c r="AH71" s="66">
        <f t="shared" si="25"/>
        <v>1</v>
      </c>
    </row>
    <row r="72" spans="1:35" ht="17.25" thickTop="1" thickBot="1" x14ac:dyDescent="0.3">
      <c r="A72" s="119" t="str">
        <f t="shared" si="26"/>
        <v>Пс8.5.4</v>
      </c>
      <c r="B72" s="119">
        <v>12</v>
      </c>
      <c r="C72" s="46" t="s">
        <v>2894</v>
      </c>
      <c r="D72" s="119">
        <f>W71</f>
        <v>200</v>
      </c>
      <c r="E72" s="127">
        <f>IF(M72=0, 0, M72*2*ROUNDUP((P72/W72),0))</f>
        <v>0</v>
      </c>
      <c r="F72" s="119"/>
      <c r="G72" s="119"/>
      <c r="H72" s="127">
        <f>IF(M72=0, 0, AF72*2)</f>
        <v>0</v>
      </c>
      <c r="I72" s="121">
        <f>V72</f>
        <v>12</v>
      </c>
      <c r="J72" s="46" t="s">
        <v>2</v>
      </c>
      <c r="K72" s="128"/>
      <c r="L72" s="119"/>
      <c r="M72" s="124">
        <v>0</v>
      </c>
      <c r="N72" s="125" t="str">
        <f t="shared" si="22"/>
        <v>Пс8.5.4</v>
      </c>
      <c r="O72" s="125">
        <f t="shared" si="22"/>
        <v>3200</v>
      </c>
      <c r="P72" s="125">
        <f t="shared" si="22"/>
        <v>2700</v>
      </c>
      <c r="Q72" s="125">
        <f t="shared" si="22"/>
        <v>200</v>
      </c>
      <c r="R72" s="125">
        <f t="shared" si="22"/>
        <v>2800</v>
      </c>
      <c r="S72" s="125">
        <f t="shared" si="22"/>
        <v>300</v>
      </c>
      <c r="T72" s="125">
        <f t="shared" si="22"/>
        <v>2300</v>
      </c>
      <c r="U72" s="125">
        <f t="shared" si="22"/>
        <v>300</v>
      </c>
      <c r="V72" s="125">
        <f t="shared" si="22"/>
        <v>12</v>
      </c>
      <c r="W72" s="125">
        <f t="shared" si="22"/>
        <v>200</v>
      </c>
      <c r="X72" s="125">
        <f t="shared" si="22"/>
        <v>14</v>
      </c>
      <c r="Y72" s="125">
        <f t="shared" si="22"/>
        <v>100</v>
      </c>
      <c r="Z72" s="125">
        <f t="shared" si="22"/>
        <v>16</v>
      </c>
      <c r="AA72" s="125">
        <f t="shared" si="22"/>
        <v>100</v>
      </c>
      <c r="AB72" s="125">
        <f t="shared" si="22"/>
        <v>12</v>
      </c>
      <c r="AC72" s="125">
        <f t="shared" si="22"/>
        <v>200</v>
      </c>
      <c r="AD72" s="119">
        <f t="shared" si="22"/>
        <v>40</v>
      </c>
      <c r="AE72" s="126">
        <f t="shared" si="23"/>
        <v>500</v>
      </c>
      <c r="AF72" s="66">
        <f t="shared" si="24"/>
        <v>600</v>
      </c>
      <c r="AG72" s="66" t="str">
        <f t="shared" si="25"/>
        <v>В25</v>
      </c>
      <c r="AH72" s="66">
        <f t="shared" si="25"/>
        <v>1</v>
      </c>
    </row>
    <row r="73" spans="1:35" ht="17.25" thickTop="1" thickBot="1" x14ac:dyDescent="0.3">
      <c r="A73" s="119" t="str">
        <f t="shared" si="26"/>
        <v>Пс8.5.4</v>
      </c>
      <c r="B73" s="119">
        <v>13</v>
      </c>
      <c r="C73" s="46" t="s">
        <v>2895</v>
      </c>
      <c r="D73" s="119">
        <f>W72</f>
        <v>200</v>
      </c>
      <c r="E73" s="127">
        <f>IF(R73&lt;=2000,(ROUNDUP(O73/D73,0)),(0))</f>
        <v>0</v>
      </c>
      <c r="F73" s="119"/>
      <c r="G73" s="119"/>
      <c r="H73" s="127">
        <f>IF(R73&lt;=2000,(ROUNDUP(R73-2*40+2*(U73-40-AB73), -1)),(0))</f>
        <v>0</v>
      </c>
      <c r="I73" s="121">
        <f>V73</f>
        <v>12</v>
      </c>
      <c r="J73" s="46" t="s">
        <v>2</v>
      </c>
      <c r="K73" s="128"/>
      <c r="L73" s="119"/>
      <c r="M73" s="124">
        <f t="shared" ref="M73" si="27">M72</f>
        <v>0</v>
      </c>
      <c r="N73" s="125" t="str">
        <f t="shared" si="22"/>
        <v>Пс8.5.4</v>
      </c>
      <c r="O73" s="125">
        <f t="shared" si="22"/>
        <v>3200</v>
      </c>
      <c r="P73" s="125">
        <f t="shared" si="22"/>
        <v>2700</v>
      </c>
      <c r="Q73" s="125">
        <f t="shared" si="22"/>
        <v>200</v>
      </c>
      <c r="R73" s="125">
        <f t="shared" si="22"/>
        <v>2800</v>
      </c>
      <c r="S73" s="125">
        <f t="shared" si="22"/>
        <v>300</v>
      </c>
      <c r="T73" s="125">
        <f t="shared" si="22"/>
        <v>2300</v>
      </c>
      <c r="U73" s="125">
        <f t="shared" si="22"/>
        <v>300</v>
      </c>
      <c r="V73" s="125">
        <f t="shared" si="22"/>
        <v>12</v>
      </c>
      <c r="W73" s="125">
        <f t="shared" si="22"/>
        <v>200</v>
      </c>
      <c r="X73" s="125">
        <f t="shared" si="22"/>
        <v>14</v>
      </c>
      <c r="Y73" s="125">
        <f t="shared" si="22"/>
        <v>100</v>
      </c>
      <c r="Z73" s="125">
        <f t="shared" si="22"/>
        <v>16</v>
      </c>
      <c r="AA73" s="125">
        <f t="shared" si="22"/>
        <v>100</v>
      </c>
      <c r="AB73" s="125">
        <f t="shared" si="22"/>
        <v>12</v>
      </c>
      <c r="AC73" s="125">
        <f t="shared" si="22"/>
        <v>200</v>
      </c>
      <c r="AD73" s="119">
        <f t="shared" si="22"/>
        <v>40</v>
      </c>
      <c r="AE73" s="126">
        <f t="shared" si="23"/>
        <v>500</v>
      </c>
      <c r="AF73" s="66">
        <f t="shared" si="24"/>
        <v>600</v>
      </c>
      <c r="AG73" s="66" t="str">
        <f t="shared" si="25"/>
        <v>В25</v>
      </c>
      <c r="AH73" s="66">
        <f t="shared" si="25"/>
        <v>1</v>
      </c>
    </row>
    <row r="74" spans="1:35" ht="15.75" thickTop="1" x14ac:dyDescent="0.25"/>
    <row r="77" spans="1:35" ht="15.75" thickBot="1" x14ac:dyDescent="0.3"/>
    <row r="78" spans="1:35" ht="91.5" thickTop="1" thickBot="1" x14ac:dyDescent="0.3">
      <c r="A78" s="133" t="s">
        <v>159</v>
      </c>
      <c r="B78" s="135" t="s">
        <v>160</v>
      </c>
      <c r="C78" s="135" t="s">
        <v>2750</v>
      </c>
      <c r="D78" s="135" t="s">
        <v>2856</v>
      </c>
      <c r="E78" s="138" t="s">
        <v>163</v>
      </c>
      <c r="F78" s="135" t="s">
        <v>2857</v>
      </c>
      <c r="G78" s="135" t="s">
        <v>2858</v>
      </c>
      <c r="H78" s="140" t="s">
        <v>166</v>
      </c>
      <c r="I78" s="141"/>
      <c r="J78" s="142"/>
      <c r="K78" s="143" t="s">
        <v>2859</v>
      </c>
      <c r="L78" s="143" t="s">
        <v>2860</v>
      </c>
      <c r="M78" s="146" t="s">
        <v>2861</v>
      </c>
      <c r="N78" s="107" t="s">
        <v>2714</v>
      </c>
      <c r="O78" s="108" t="s">
        <v>2862</v>
      </c>
      <c r="P78" s="109" t="s">
        <v>2863</v>
      </c>
      <c r="Q78" s="109" t="s">
        <v>2864</v>
      </c>
      <c r="R78" s="109" t="s">
        <v>2865</v>
      </c>
      <c r="S78" s="109" t="s">
        <v>2866</v>
      </c>
      <c r="T78" s="109" t="s">
        <v>2867</v>
      </c>
      <c r="U78" s="109" t="s">
        <v>2868</v>
      </c>
      <c r="V78" s="109" t="s">
        <v>2869</v>
      </c>
      <c r="W78" s="109" t="s">
        <v>2870</v>
      </c>
      <c r="X78" s="109" t="s">
        <v>2871</v>
      </c>
      <c r="Y78" s="109" t="s">
        <v>2872</v>
      </c>
      <c r="Z78" s="109" t="s">
        <v>2873</v>
      </c>
      <c r="AA78" s="109" t="s">
        <v>2874</v>
      </c>
      <c r="AB78" s="109" t="s">
        <v>2875</v>
      </c>
      <c r="AC78" s="110" t="s">
        <v>2876</v>
      </c>
      <c r="AD78" s="111" t="s">
        <v>2877</v>
      </c>
      <c r="AE78" s="143" t="s">
        <v>180</v>
      </c>
      <c r="AF78" s="131" t="s">
        <v>2878</v>
      </c>
      <c r="AG78" s="111" t="s">
        <v>2879</v>
      </c>
      <c r="AH78" s="111" t="s">
        <v>2880</v>
      </c>
      <c r="AI78" s="112" t="s">
        <v>2881</v>
      </c>
    </row>
    <row r="79" spans="1:35" ht="17.25" thickTop="1" thickBot="1" x14ac:dyDescent="0.3">
      <c r="A79" s="134"/>
      <c r="B79" s="136"/>
      <c r="C79" s="136"/>
      <c r="D79" s="137"/>
      <c r="E79" s="139"/>
      <c r="F79" s="137"/>
      <c r="G79" s="137"/>
      <c r="H79" s="113" t="s">
        <v>170</v>
      </c>
      <c r="I79" s="114" t="s">
        <v>171</v>
      </c>
      <c r="J79" s="115" t="s">
        <v>172</v>
      </c>
      <c r="K79" s="144"/>
      <c r="L79" s="145"/>
      <c r="M79" s="147"/>
      <c r="N79" s="116" t="str">
        <f>'[1]Исх.Таблица из архикада'!A7</f>
        <v>Пс8.5.5</v>
      </c>
      <c r="O79" s="116">
        <f>'[1]Исх.Таблица из архикада'!B7</f>
        <v>5680</v>
      </c>
      <c r="P79" s="116">
        <f>'[1]Исх.Таблица из архикада'!C7</f>
        <v>1150</v>
      </c>
      <c r="Q79" s="116">
        <f>'[1]Исх.Таблица из архикада'!D7</f>
        <v>200</v>
      </c>
      <c r="R79" s="116">
        <f>'[1]Исх.Таблица из архикада'!E7</f>
        <v>800</v>
      </c>
      <c r="S79" s="116">
        <f>'[1]Исх.Таблица из архикада'!F7</f>
        <v>300</v>
      </c>
      <c r="T79" s="116">
        <f>'[1]Исх.Таблица из архикада'!G7</f>
        <v>300</v>
      </c>
      <c r="U79" s="116">
        <f>'[1]Исх.Таблица из архикада'!H7</f>
        <v>300</v>
      </c>
      <c r="V79" s="116">
        <f>'[1]Исх.Таблица из архикада'!I7</f>
        <v>12</v>
      </c>
      <c r="W79" s="116">
        <f>'[1]Исх.Таблица из архикада'!J7</f>
        <v>200</v>
      </c>
      <c r="X79" s="116">
        <f>'[1]Исх.Таблица из архикада'!K7</f>
        <v>12</v>
      </c>
      <c r="Y79" s="116">
        <f>'[1]Исх.Таблица из архикада'!L7</f>
        <v>200</v>
      </c>
      <c r="Z79" s="116">
        <f>'[1]Исх.Таблица из архикада'!M7</f>
        <v>12</v>
      </c>
      <c r="AA79" s="116">
        <f>'[1]Исх.Таблица из архикада'!N7</f>
        <v>200</v>
      </c>
      <c r="AB79" s="116">
        <f>'[1]Исх.Таблица из архикада'!O7</f>
        <v>12</v>
      </c>
      <c r="AC79" s="116">
        <f>'[1]Исх.Таблица из архикада'!P7</f>
        <v>200</v>
      </c>
      <c r="AD79" s="117">
        <v>40</v>
      </c>
      <c r="AE79" s="145"/>
      <c r="AF79" s="132"/>
      <c r="AG79" s="118" t="s">
        <v>2882</v>
      </c>
      <c r="AH79" s="118">
        <v>1</v>
      </c>
      <c r="AI79">
        <v>6000</v>
      </c>
    </row>
    <row r="80" spans="1:35" ht="17.25" thickTop="1" thickBot="1" x14ac:dyDescent="0.3">
      <c r="A80" s="119" t="str">
        <f>N79</f>
        <v>Пс8.5.5</v>
      </c>
      <c r="B80" s="119">
        <v>1</v>
      </c>
      <c r="C80" s="46" t="s">
        <v>2883</v>
      </c>
      <c r="D80" s="119">
        <f>W80</f>
        <v>200</v>
      </c>
      <c r="E80" s="120">
        <f>IF(O80&lt;=5700, ROUNDUP(P80*2/W80+1,0), 1)</f>
        <v>13</v>
      </c>
      <c r="F80" s="119">
        <f>ROUNDUP(((O80*R80*U80)*0.000000001+(O80*P80*Q80)*0.000000001),1)</f>
        <v>2.7</v>
      </c>
      <c r="G80" s="119">
        <f>ROUNDUP((0.1*(R80+200)*(O80)*0.000001),1)</f>
        <v>0.6</v>
      </c>
      <c r="H80" s="120">
        <f>IF(O80&lt;=5700, O80-50, K80)</f>
        <v>5630</v>
      </c>
      <c r="I80" s="121">
        <f>V80</f>
        <v>12</v>
      </c>
      <c r="J80" s="46" t="s">
        <v>2</v>
      </c>
      <c r="K80" s="122">
        <f>Арм_ПоПлощади(O80*P80,W80,AF80,$AI$3)</f>
        <v>38820</v>
      </c>
      <c r="L80" s="123">
        <f>IF(R80&lt;=2000,(0),(ROUNDUP(O80*R80*0.000001/1+SQRT(O80*R80*0.000001),0)))</f>
        <v>0</v>
      </c>
      <c r="M80" s="124">
        <v>0</v>
      </c>
      <c r="N80" s="125" t="str">
        <f>N79</f>
        <v>Пс8.5.5</v>
      </c>
      <c r="O80" s="125">
        <f t="shared" ref="O80:AD80" si="28">O79</f>
        <v>5680</v>
      </c>
      <c r="P80" s="125">
        <f t="shared" si="28"/>
        <v>1150</v>
      </c>
      <c r="Q80" s="125">
        <f t="shared" si="28"/>
        <v>200</v>
      </c>
      <c r="R80" s="125">
        <f t="shared" si="28"/>
        <v>800</v>
      </c>
      <c r="S80" s="125">
        <f t="shared" si="28"/>
        <v>300</v>
      </c>
      <c r="T80" s="125">
        <f t="shared" si="28"/>
        <v>300</v>
      </c>
      <c r="U80" s="125">
        <f t="shared" si="28"/>
        <v>300</v>
      </c>
      <c r="V80" s="125">
        <f t="shared" si="28"/>
        <v>12</v>
      </c>
      <c r="W80" s="125">
        <f t="shared" si="28"/>
        <v>200</v>
      </c>
      <c r="X80" s="125">
        <f t="shared" si="28"/>
        <v>12</v>
      </c>
      <c r="Y80" s="125">
        <f t="shared" si="28"/>
        <v>200</v>
      </c>
      <c r="Z80" s="125">
        <f t="shared" si="28"/>
        <v>12</v>
      </c>
      <c r="AA80" s="125">
        <f t="shared" si="28"/>
        <v>200</v>
      </c>
      <c r="AB80" s="125">
        <f t="shared" si="28"/>
        <v>12</v>
      </c>
      <c r="AC80" s="125">
        <f t="shared" si="28"/>
        <v>200</v>
      </c>
      <c r="AD80" s="119">
        <f t="shared" si="28"/>
        <v>40</v>
      </c>
      <c r="AE80" s="126">
        <f>Арм_Анкеровка(I80,J80,$AG$3,$AH$3)</f>
        <v>500</v>
      </c>
      <c r="AF80" s="66">
        <f>Арм_Нахлёст(I80,J80,$AG$3,$AH$3)</f>
        <v>600</v>
      </c>
      <c r="AG80" s="66" t="str">
        <f>AG79</f>
        <v>В25</v>
      </c>
      <c r="AH80" s="66">
        <f>AH79</f>
        <v>1</v>
      </c>
    </row>
    <row r="81" spans="1:35" ht="17.25" thickTop="1" thickBot="1" x14ac:dyDescent="0.3">
      <c r="A81" s="119" t="str">
        <f>A80</f>
        <v>Пс8.5.5</v>
      </c>
      <c r="B81" s="119">
        <v>2</v>
      </c>
      <c r="C81" s="46" t="s">
        <v>2884</v>
      </c>
      <c r="D81" s="119">
        <f>Y80</f>
        <v>200</v>
      </c>
      <c r="E81" s="127">
        <f>IF(Q81&lt;=150,0,(ROUNDUP(O81/Y81,0)))</f>
        <v>29</v>
      </c>
      <c r="F81" s="119"/>
      <c r="G81" s="119"/>
      <c r="H81" s="127">
        <f>Арм_Элемент_П(AF81, (Q81-2*AD81), I81, J81)</f>
        <v>1290</v>
      </c>
      <c r="I81" s="121">
        <f>X81</f>
        <v>12</v>
      </c>
      <c r="J81" s="46" t="s">
        <v>2</v>
      </c>
      <c r="K81" s="128"/>
      <c r="L81" s="119"/>
      <c r="M81" s="124">
        <f t="shared" ref="M81:AD92" si="29">M80</f>
        <v>0</v>
      </c>
      <c r="N81" s="125" t="str">
        <f t="shared" si="29"/>
        <v>Пс8.5.5</v>
      </c>
      <c r="O81" s="125">
        <f t="shared" si="29"/>
        <v>5680</v>
      </c>
      <c r="P81" s="125">
        <f t="shared" si="29"/>
        <v>1150</v>
      </c>
      <c r="Q81" s="125">
        <f t="shared" si="29"/>
        <v>200</v>
      </c>
      <c r="R81" s="125">
        <f t="shared" si="29"/>
        <v>800</v>
      </c>
      <c r="S81" s="125">
        <f t="shared" si="29"/>
        <v>300</v>
      </c>
      <c r="T81" s="125">
        <f t="shared" si="29"/>
        <v>300</v>
      </c>
      <c r="U81" s="125">
        <f t="shared" si="29"/>
        <v>300</v>
      </c>
      <c r="V81" s="125">
        <f t="shared" si="29"/>
        <v>12</v>
      </c>
      <c r="W81" s="125">
        <f t="shared" si="29"/>
        <v>200</v>
      </c>
      <c r="X81" s="125">
        <f t="shared" si="29"/>
        <v>12</v>
      </c>
      <c r="Y81" s="125">
        <f t="shared" si="29"/>
        <v>200</v>
      </c>
      <c r="Z81" s="125">
        <f t="shared" si="29"/>
        <v>12</v>
      </c>
      <c r="AA81" s="125">
        <f t="shared" si="29"/>
        <v>200</v>
      </c>
      <c r="AB81" s="125">
        <f t="shared" si="29"/>
        <v>12</v>
      </c>
      <c r="AC81" s="125">
        <f t="shared" si="29"/>
        <v>200</v>
      </c>
      <c r="AD81" s="119">
        <f t="shared" si="29"/>
        <v>40</v>
      </c>
      <c r="AE81" s="126">
        <f t="shared" ref="AE81:AE92" si="30">Арм_Анкеровка(I81,J81,$AG$3,$AH$3)</f>
        <v>500</v>
      </c>
      <c r="AF81" s="66">
        <f t="shared" ref="AF81:AF92" si="31">Арм_Нахлёст(I81,J81,$AG$3,$AH$3)</f>
        <v>600</v>
      </c>
      <c r="AG81" s="66" t="str">
        <f t="shared" ref="AG81:AH92" si="32">AG80</f>
        <v>В25</v>
      </c>
      <c r="AH81" s="66">
        <f t="shared" si="32"/>
        <v>1</v>
      </c>
    </row>
    <row r="82" spans="1:35" ht="17.25" thickTop="1" thickBot="1" x14ac:dyDescent="0.3">
      <c r="A82" s="119" t="str">
        <f t="shared" ref="A82:A92" si="33">A81</f>
        <v>Пс8.5.5</v>
      </c>
      <c r="B82" s="119">
        <v>3</v>
      </c>
      <c r="C82" s="46" t="s">
        <v>2885</v>
      </c>
      <c r="D82" s="119">
        <f>W82</f>
        <v>200</v>
      </c>
      <c r="E82" s="127">
        <f>MROUND(2*P82/D82,2)</f>
        <v>12</v>
      </c>
      <c r="F82" s="119"/>
      <c r="G82" s="119"/>
      <c r="H82" s="127">
        <f>Арм_Элемент_П(AF82, (Q82-2*AD82), I82, J82)</f>
        <v>1310</v>
      </c>
      <c r="I82" s="121">
        <f>V82</f>
        <v>12</v>
      </c>
      <c r="J82" s="46" t="s">
        <v>2</v>
      </c>
      <c r="K82" s="128"/>
      <c r="L82" s="119"/>
      <c r="M82" s="124">
        <f t="shared" si="29"/>
        <v>0</v>
      </c>
      <c r="N82" s="125" t="str">
        <f t="shared" si="29"/>
        <v>Пс8.5.5</v>
      </c>
      <c r="O82" s="125">
        <f t="shared" si="29"/>
        <v>5680</v>
      </c>
      <c r="P82" s="125">
        <f t="shared" si="29"/>
        <v>1150</v>
      </c>
      <c r="Q82" s="125">
        <f t="shared" si="29"/>
        <v>200</v>
      </c>
      <c r="R82" s="125">
        <f t="shared" si="29"/>
        <v>800</v>
      </c>
      <c r="S82" s="125">
        <f t="shared" si="29"/>
        <v>300</v>
      </c>
      <c r="T82" s="125">
        <f t="shared" si="29"/>
        <v>300</v>
      </c>
      <c r="U82" s="125">
        <f t="shared" si="29"/>
        <v>300</v>
      </c>
      <c r="V82" s="125">
        <f t="shared" si="29"/>
        <v>12</v>
      </c>
      <c r="W82" s="125">
        <f t="shared" si="29"/>
        <v>200</v>
      </c>
      <c r="X82" s="125">
        <f t="shared" si="29"/>
        <v>12</v>
      </c>
      <c r="Y82" s="125">
        <f t="shared" si="29"/>
        <v>200</v>
      </c>
      <c r="Z82" s="125">
        <f t="shared" si="29"/>
        <v>12</v>
      </c>
      <c r="AA82" s="125">
        <f t="shared" si="29"/>
        <v>200</v>
      </c>
      <c r="AB82" s="125">
        <f t="shared" si="29"/>
        <v>12</v>
      </c>
      <c r="AC82" s="125">
        <f t="shared" si="29"/>
        <v>200</v>
      </c>
      <c r="AD82" s="119">
        <v>30</v>
      </c>
      <c r="AE82" s="126">
        <f t="shared" si="30"/>
        <v>500</v>
      </c>
      <c r="AF82" s="66">
        <f t="shared" si="31"/>
        <v>600</v>
      </c>
      <c r="AG82" s="66" t="str">
        <f t="shared" si="32"/>
        <v>В25</v>
      </c>
      <c r="AH82" s="66">
        <f t="shared" si="32"/>
        <v>1</v>
      </c>
    </row>
    <row r="83" spans="1:35" ht="17.25" thickTop="1" thickBot="1" x14ac:dyDescent="0.3">
      <c r="A83" s="119" t="str">
        <f t="shared" si="33"/>
        <v>Пс8.5.5</v>
      </c>
      <c r="B83" s="119">
        <v>4</v>
      </c>
      <c r="C83" s="46" t="s">
        <v>2886</v>
      </c>
      <c r="D83" s="119">
        <f>Y83</f>
        <v>200</v>
      </c>
      <c r="E83" s="127">
        <f>IF(Q83&lt;=150,0,(ROUNDUP(O83/Y83,0)*2))</f>
        <v>58</v>
      </c>
      <c r="F83" s="119"/>
      <c r="G83" s="119"/>
      <c r="H83" s="127">
        <f>IF(P83&lt;=3000,(IF(Q83&lt;=150,(P83-25+AE83+Q83-(35+V83)),(P83-25+AE83))),(P83-25))</f>
        <v>1625</v>
      </c>
      <c r="I83" s="121">
        <f>X83</f>
        <v>12</v>
      </c>
      <c r="J83" s="46" t="s">
        <v>2</v>
      </c>
      <c r="K83" s="128"/>
      <c r="L83" s="119"/>
      <c r="M83" s="124">
        <f t="shared" si="29"/>
        <v>0</v>
      </c>
      <c r="N83" s="125" t="str">
        <f t="shared" si="29"/>
        <v>Пс8.5.5</v>
      </c>
      <c r="O83" s="125">
        <f t="shared" si="29"/>
        <v>5680</v>
      </c>
      <c r="P83" s="125">
        <f t="shared" si="29"/>
        <v>1150</v>
      </c>
      <c r="Q83" s="125">
        <f t="shared" si="29"/>
        <v>200</v>
      </c>
      <c r="R83" s="125">
        <f t="shared" si="29"/>
        <v>800</v>
      </c>
      <c r="S83" s="125">
        <f t="shared" si="29"/>
        <v>300</v>
      </c>
      <c r="T83" s="125">
        <f t="shared" si="29"/>
        <v>300</v>
      </c>
      <c r="U83" s="125">
        <f t="shared" si="29"/>
        <v>300</v>
      </c>
      <c r="V83" s="125">
        <f t="shared" si="29"/>
        <v>12</v>
      </c>
      <c r="W83" s="125">
        <f t="shared" si="29"/>
        <v>200</v>
      </c>
      <c r="X83" s="125">
        <f t="shared" si="29"/>
        <v>12</v>
      </c>
      <c r="Y83" s="125">
        <f t="shared" si="29"/>
        <v>200</v>
      </c>
      <c r="Z83" s="125">
        <f t="shared" si="29"/>
        <v>12</v>
      </c>
      <c r="AA83" s="125">
        <f t="shared" si="29"/>
        <v>200</v>
      </c>
      <c r="AB83" s="125">
        <f t="shared" si="29"/>
        <v>12</v>
      </c>
      <c r="AC83" s="125">
        <f t="shared" si="29"/>
        <v>200</v>
      </c>
      <c r="AD83" s="119">
        <v>40</v>
      </c>
      <c r="AE83" s="126">
        <f t="shared" si="30"/>
        <v>500</v>
      </c>
      <c r="AF83" s="66">
        <f t="shared" si="31"/>
        <v>600</v>
      </c>
      <c r="AG83" s="66" t="str">
        <f t="shared" si="32"/>
        <v>В25</v>
      </c>
      <c r="AH83" s="66">
        <f t="shared" si="32"/>
        <v>1</v>
      </c>
    </row>
    <row r="84" spans="1:35" ht="17.25" thickTop="1" thickBot="1" x14ac:dyDescent="0.3">
      <c r="A84" s="119" t="str">
        <f t="shared" si="33"/>
        <v>Пс8.5.5</v>
      </c>
      <c r="B84" s="119">
        <v>5</v>
      </c>
      <c r="C84" s="46" t="s">
        <v>2887</v>
      </c>
      <c r="D84" s="119">
        <v>400</v>
      </c>
      <c r="E84" s="127">
        <f>ROUNDUP((13*(O84*P84/1000000)),0)</f>
        <v>85</v>
      </c>
      <c r="F84" s="119"/>
      <c r="G84" s="119"/>
      <c r="H84" s="127">
        <f>Q84-AD84*2+150</f>
        <v>270</v>
      </c>
      <c r="I84" s="121">
        <v>6</v>
      </c>
      <c r="J84" s="46" t="s">
        <v>2</v>
      </c>
      <c r="K84" s="128"/>
      <c r="L84" s="119"/>
      <c r="M84" s="124">
        <f t="shared" si="29"/>
        <v>0</v>
      </c>
      <c r="N84" s="125" t="str">
        <f t="shared" si="29"/>
        <v>Пс8.5.5</v>
      </c>
      <c r="O84" s="125">
        <f t="shared" si="29"/>
        <v>5680</v>
      </c>
      <c r="P84" s="125">
        <f t="shared" si="29"/>
        <v>1150</v>
      </c>
      <c r="Q84" s="125">
        <f t="shared" si="29"/>
        <v>200</v>
      </c>
      <c r="R84" s="125">
        <f t="shared" si="29"/>
        <v>800</v>
      </c>
      <c r="S84" s="125">
        <f t="shared" si="29"/>
        <v>300</v>
      </c>
      <c r="T84" s="125">
        <f t="shared" si="29"/>
        <v>300</v>
      </c>
      <c r="U84" s="125">
        <f t="shared" si="29"/>
        <v>300</v>
      </c>
      <c r="V84" s="125">
        <f t="shared" si="29"/>
        <v>12</v>
      </c>
      <c r="W84" s="125">
        <f t="shared" si="29"/>
        <v>200</v>
      </c>
      <c r="X84" s="125">
        <f t="shared" si="29"/>
        <v>12</v>
      </c>
      <c r="Y84" s="125">
        <f t="shared" si="29"/>
        <v>200</v>
      </c>
      <c r="Z84" s="125">
        <f t="shared" si="29"/>
        <v>12</v>
      </c>
      <c r="AA84" s="125">
        <f t="shared" si="29"/>
        <v>200</v>
      </c>
      <c r="AB84" s="125">
        <f t="shared" si="29"/>
        <v>12</v>
      </c>
      <c r="AC84" s="125">
        <f t="shared" si="29"/>
        <v>200</v>
      </c>
      <c r="AD84" s="119">
        <f t="shared" si="29"/>
        <v>40</v>
      </c>
      <c r="AE84" s="126">
        <f t="shared" si="30"/>
        <v>250</v>
      </c>
      <c r="AF84" s="66">
        <f t="shared" si="31"/>
        <v>300</v>
      </c>
      <c r="AG84" s="66" t="str">
        <f t="shared" si="32"/>
        <v>В25</v>
      </c>
      <c r="AH84" s="66">
        <f t="shared" si="32"/>
        <v>1</v>
      </c>
    </row>
    <row r="85" spans="1:35" ht="17.25" thickTop="1" thickBot="1" x14ac:dyDescent="0.3">
      <c r="A85" s="119" t="str">
        <f t="shared" si="33"/>
        <v>Пс8.5.5</v>
      </c>
      <c r="B85" s="119">
        <v>6</v>
      </c>
      <c r="C85" s="46" t="s">
        <v>2888</v>
      </c>
      <c r="D85" s="119">
        <f>AA85</f>
        <v>200</v>
      </c>
      <c r="E85" s="127">
        <f>IF(R85&lt;=2000,(ROUNDUP(O85/D85,0)),(ROUNDUP(O85/D85,0)))</f>
        <v>29</v>
      </c>
      <c r="F85" s="119"/>
      <c r="G85" s="119"/>
      <c r="H85" s="127">
        <f>R85-50</f>
        <v>750</v>
      </c>
      <c r="I85" s="121">
        <f>Z85</f>
        <v>12</v>
      </c>
      <c r="J85" s="46" t="s">
        <v>2</v>
      </c>
      <c r="K85" s="128"/>
      <c r="L85" s="119"/>
      <c r="M85" s="124">
        <f t="shared" si="29"/>
        <v>0</v>
      </c>
      <c r="N85" s="125" t="str">
        <f t="shared" si="29"/>
        <v>Пс8.5.5</v>
      </c>
      <c r="O85" s="125">
        <f t="shared" si="29"/>
        <v>5680</v>
      </c>
      <c r="P85" s="125">
        <f t="shared" si="29"/>
        <v>1150</v>
      </c>
      <c r="Q85" s="125">
        <f t="shared" si="29"/>
        <v>200</v>
      </c>
      <c r="R85" s="125">
        <f t="shared" si="29"/>
        <v>800</v>
      </c>
      <c r="S85" s="125">
        <f t="shared" si="29"/>
        <v>300</v>
      </c>
      <c r="T85" s="125">
        <f t="shared" si="29"/>
        <v>300</v>
      </c>
      <c r="U85" s="125">
        <f t="shared" si="29"/>
        <v>300</v>
      </c>
      <c r="V85" s="125">
        <f t="shared" si="29"/>
        <v>12</v>
      </c>
      <c r="W85" s="125">
        <f t="shared" si="29"/>
        <v>200</v>
      </c>
      <c r="X85" s="125">
        <f t="shared" si="29"/>
        <v>12</v>
      </c>
      <c r="Y85" s="125">
        <f t="shared" si="29"/>
        <v>200</v>
      </c>
      <c r="Z85" s="125">
        <f t="shared" si="29"/>
        <v>12</v>
      </c>
      <c r="AA85" s="125">
        <f t="shared" si="29"/>
        <v>200</v>
      </c>
      <c r="AB85" s="125">
        <f t="shared" si="29"/>
        <v>12</v>
      </c>
      <c r="AC85" s="125">
        <f t="shared" si="29"/>
        <v>200</v>
      </c>
      <c r="AD85" s="119">
        <f t="shared" si="29"/>
        <v>40</v>
      </c>
      <c r="AE85" s="126">
        <f t="shared" si="30"/>
        <v>500</v>
      </c>
      <c r="AF85" s="66">
        <f t="shared" si="31"/>
        <v>600</v>
      </c>
      <c r="AG85" s="66" t="str">
        <f t="shared" si="32"/>
        <v>В25</v>
      </c>
      <c r="AH85" s="66">
        <f t="shared" si="32"/>
        <v>1</v>
      </c>
    </row>
    <row r="86" spans="1:35" ht="17.25" thickTop="1" thickBot="1" x14ac:dyDescent="0.3">
      <c r="A86" s="119" t="str">
        <f t="shared" si="33"/>
        <v>Пс8.5.5</v>
      </c>
      <c r="B86" s="119">
        <v>7</v>
      </c>
      <c r="C86" s="46" t="s">
        <v>2889</v>
      </c>
      <c r="D86" s="119">
        <f>AC86</f>
        <v>200</v>
      </c>
      <c r="E86" s="120">
        <f>IF(O86&lt;=5700, ROUNDUP(R86*2/AC86,0), 1)</f>
        <v>8</v>
      </c>
      <c r="F86" s="119"/>
      <c r="G86" s="119"/>
      <c r="H86" s="120">
        <f>IF(O86&lt;=5700, O86-50, K86)</f>
        <v>5630</v>
      </c>
      <c r="I86" s="121">
        <f>AB86</f>
        <v>12</v>
      </c>
      <c r="J86" s="46" t="s">
        <v>2</v>
      </c>
      <c r="K86" s="122">
        <f>Арм_ПоПлощади(O86*R86,AC86,AF86,$AI$3)</f>
        <v>27860</v>
      </c>
      <c r="L86" s="119"/>
      <c r="M86" s="124">
        <f t="shared" si="29"/>
        <v>0</v>
      </c>
      <c r="N86" s="125" t="str">
        <f t="shared" si="29"/>
        <v>Пс8.5.5</v>
      </c>
      <c r="O86" s="125">
        <f t="shared" si="29"/>
        <v>5680</v>
      </c>
      <c r="P86" s="125">
        <f t="shared" si="29"/>
        <v>1150</v>
      </c>
      <c r="Q86" s="125">
        <f t="shared" si="29"/>
        <v>200</v>
      </c>
      <c r="R86" s="125">
        <f t="shared" si="29"/>
        <v>800</v>
      </c>
      <c r="S86" s="125">
        <f t="shared" si="29"/>
        <v>300</v>
      </c>
      <c r="T86" s="125">
        <f t="shared" si="29"/>
        <v>300</v>
      </c>
      <c r="U86" s="125">
        <f t="shared" si="29"/>
        <v>300</v>
      </c>
      <c r="V86" s="125">
        <f t="shared" si="29"/>
        <v>12</v>
      </c>
      <c r="W86" s="125">
        <f t="shared" si="29"/>
        <v>200</v>
      </c>
      <c r="X86" s="125">
        <f t="shared" si="29"/>
        <v>12</v>
      </c>
      <c r="Y86" s="125">
        <f t="shared" si="29"/>
        <v>200</v>
      </c>
      <c r="Z86" s="125">
        <f t="shared" si="29"/>
        <v>12</v>
      </c>
      <c r="AA86" s="125">
        <f t="shared" si="29"/>
        <v>200</v>
      </c>
      <c r="AB86" s="125">
        <f t="shared" si="29"/>
        <v>12</v>
      </c>
      <c r="AC86" s="125">
        <f t="shared" si="29"/>
        <v>200</v>
      </c>
      <c r="AD86" s="119">
        <f t="shared" si="29"/>
        <v>40</v>
      </c>
      <c r="AE86" s="126">
        <f t="shared" si="30"/>
        <v>500</v>
      </c>
      <c r="AF86" s="66">
        <f t="shared" si="31"/>
        <v>600</v>
      </c>
      <c r="AG86" s="66" t="str">
        <f t="shared" si="32"/>
        <v>В25</v>
      </c>
      <c r="AH86" s="66">
        <f t="shared" si="32"/>
        <v>1</v>
      </c>
    </row>
    <row r="87" spans="1:35" ht="17.25" thickTop="1" thickBot="1" x14ac:dyDescent="0.3">
      <c r="A87" s="119" t="str">
        <f t="shared" si="33"/>
        <v>Пс8.5.5</v>
      </c>
      <c r="B87" s="119">
        <v>8</v>
      </c>
      <c r="C87" s="46" t="s">
        <v>2890</v>
      </c>
      <c r="D87" s="119">
        <f>AA87</f>
        <v>200</v>
      </c>
      <c r="E87" s="127">
        <f>IF(E92=0, (ROUNDUP(O87/D87,0)*2), 0)</f>
        <v>0</v>
      </c>
      <c r="F87" s="119"/>
      <c r="G87" s="119"/>
      <c r="H87" s="127">
        <f>Арм_Элемент_П(AF87, (U87-2*AD87), I87, J87)</f>
        <v>1410</v>
      </c>
      <c r="I87" s="121">
        <f>Z87</f>
        <v>12</v>
      </c>
      <c r="J87" s="46" t="s">
        <v>2</v>
      </c>
      <c r="K87" s="128"/>
      <c r="L87" s="119"/>
      <c r="M87" s="124">
        <f t="shared" si="29"/>
        <v>0</v>
      </c>
      <c r="N87" s="125" t="str">
        <f t="shared" si="29"/>
        <v>Пс8.5.5</v>
      </c>
      <c r="O87" s="125">
        <f t="shared" si="29"/>
        <v>5680</v>
      </c>
      <c r="P87" s="125">
        <f t="shared" si="29"/>
        <v>1150</v>
      </c>
      <c r="Q87" s="125">
        <f t="shared" si="29"/>
        <v>200</v>
      </c>
      <c r="R87" s="125">
        <f t="shared" si="29"/>
        <v>800</v>
      </c>
      <c r="S87" s="125">
        <f t="shared" si="29"/>
        <v>300</v>
      </c>
      <c r="T87" s="125">
        <f t="shared" si="29"/>
        <v>300</v>
      </c>
      <c r="U87" s="125">
        <f t="shared" si="29"/>
        <v>300</v>
      </c>
      <c r="V87" s="125">
        <f t="shared" si="29"/>
        <v>12</v>
      </c>
      <c r="W87" s="125">
        <f t="shared" si="29"/>
        <v>200</v>
      </c>
      <c r="X87" s="125">
        <f t="shared" si="29"/>
        <v>12</v>
      </c>
      <c r="Y87" s="125">
        <f t="shared" si="29"/>
        <v>200</v>
      </c>
      <c r="Z87" s="125">
        <f t="shared" si="29"/>
        <v>12</v>
      </c>
      <c r="AA87" s="125">
        <f t="shared" si="29"/>
        <v>200</v>
      </c>
      <c r="AB87" s="125">
        <f t="shared" si="29"/>
        <v>12</v>
      </c>
      <c r="AC87" s="125">
        <f t="shared" si="29"/>
        <v>200</v>
      </c>
      <c r="AD87" s="119">
        <v>30</v>
      </c>
      <c r="AE87" s="126">
        <f t="shared" si="30"/>
        <v>500</v>
      </c>
      <c r="AF87" s="66">
        <f t="shared" si="31"/>
        <v>600</v>
      </c>
      <c r="AG87" s="66" t="str">
        <f t="shared" si="32"/>
        <v>В25</v>
      </c>
      <c r="AH87" s="66">
        <f t="shared" si="32"/>
        <v>1</v>
      </c>
    </row>
    <row r="88" spans="1:35" ht="17.25" thickTop="1" thickBot="1" x14ac:dyDescent="0.3">
      <c r="A88" s="119" t="str">
        <f t="shared" si="33"/>
        <v>Пс8.5.5</v>
      </c>
      <c r="B88" s="119">
        <v>9</v>
      </c>
      <c r="C88" s="46" t="s">
        <v>2891</v>
      </c>
      <c r="D88" s="119">
        <f>AC88</f>
        <v>200</v>
      </c>
      <c r="E88" s="127">
        <f>MROUND(2*R88/AC88,2)</f>
        <v>8</v>
      </c>
      <c r="F88" s="119"/>
      <c r="G88" s="119"/>
      <c r="H88" s="127">
        <f>Арм_Элемент_П(AF88, (U88-2*AD88), I88, J88)</f>
        <v>1390</v>
      </c>
      <c r="I88" s="121">
        <f>AB88</f>
        <v>12</v>
      </c>
      <c r="J88" s="46" t="s">
        <v>2</v>
      </c>
      <c r="K88" s="128"/>
      <c r="L88" s="119"/>
      <c r="M88" s="124">
        <f t="shared" si="29"/>
        <v>0</v>
      </c>
      <c r="N88" s="125" t="str">
        <f t="shared" si="29"/>
        <v>Пс8.5.5</v>
      </c>
      <c r="O88" s="125">
        <f t="shared" si="29"/>
        <v>5680</v>
      </c>
      <c r="P88" s="125">
        <f t="shared" si="29"/>
        <v>1150</v>
      </c>
      <c r="Q88" s="125">
        <f t="shared" si="29"/>
        <v>200</v>
      </c>
      <c r="R88" s="125">
        <f t="shared" si="29"/>
        <v>800</v>
      </c>
      <c r="S88" s="125">
        <f t="shared" si="29"/>
        <v>300</v>
      </c>
      <c r="T88" s="125">
        <f t="shared" si="29"/>
        <v>300</v>
      </c>
      <c r="U88" s="125">
        <f t="shared" si="29"/>
        <v>300</v>
      </c>
      <c r="V88" s="125">
        <f t="shared" si="29"/>
        <v>12</v>
      </c>
      <c r="W88" s="125">
        <f t="shared" si="29"/>
        <v>200</v>
      </c>
      <c r="X88" s="125">
        <f t="shared" si="29"/>
        <v>12</v>
      </c>
      <c r="Y88" s="125">
        <f t="shared" si="29"/>
        <v>200</v>
      </c>
      <c r="Z88" s="125">
        <f t="shared" si="29"/>
        <v>12</v>
      </c>
      <c r="AA88" s="125">
        <f t="shared" si="29"/>
        <v>200</v>
      </c>
      <c r="AB88" s="125">
        <f t="shared" si="29"/>
        <v>12</v>
      </c>
      <c r="AC88" s="125">
        <f t="shared" si="29"/>
        <v>200</v>
      </c>
      <c r="AD88" s="119">
        <v>40</v>
      </c>
      <c r="AE88" s="126">
        <f t="shared" si="30"/>
        <v>500</v>
      </c>
      <c r="AF88" s="66">
        <f t="shared" si="31"/>
        <v>600</v>
      </c>
      <c r="AG88" s="66" t="str">
        <f t="shared" si="32"/>
        <v>В25</v>
      </c>
      <c r="AH88" s="66">
        <f t="shared" si="32"/>
        <v>1</v>
      </c>
    </row>
    <row r="89" spans="1:35" ht="33" thickTop="1" thickBot="1" x14ac:dyDescent="0.3">
      <c r="A89" s="119" t="str">
        <f t="shared" si="33"/>
        <v>Пс8.5.5</v>
      </c>
      <c r="B89" s="119">
        <v>10</v>
      </c>
      <c r="C89" s="46" t="s">
        <v>2892</v>
      </c>
      <c r="D89" s="119">
        <f>Y89</f>
        <v>200</v>
      </c>
      <c r="E89" s="127">
        <f>ROUNDUP((IF(P89&lt;=3000,0,O89/Y89)),0)</f>
        <v>0</v>
      </c>
      <c r="F89" s="119"/>
      <c r="G89" s="119"/>
      <c r="H89" s="127">
        <f>IF(E89=0,0, (Арм_Округление(AE89+2*AF89)))</f>
        <v>0</v>
      </c>
      <c r="I89" s="121">
        <f>X89</f>
        <v>12</v>
      </c>
      <c r="J89" s="46" t="s">
        <v>2</v>
      </c>
      <c r="K89" s="128"/>
      <c r="L89" s="119"/>
      <c r="M89" s="124">
        <f t="shared" si="29"/>
        <v>0</v>
      </c>
      <c r="N89" s="125" t="str">
        <f t="shared" si="29"/>
        <v>Пс8.5.5</v>
      </c>
      <c r="O89" s="125">
        <f t="shared" si="29"/>
        <v>5680</v>
      </c>
      <c r="P89" s="125">
        <f t="shared" si="29"/>
        <v>1150</v>
      </c>
      <c r="Q89" s="125">
        <f t="shared" si="29"/>
        <v>200</v>
      </c>
      <c r="R89" s="125">
        <f t="shared" si="29"/>
        <v>800</v>
      </c>
      <c r="S89" s="125">
        <f t="shared" si="29"/>
        <v>300</v>
      </c>
      <c r="T89" s="125">
        <f t="shared" si="29"/>
        <v>300</v>
      </c>
      <c r="U89" s="125">
        <f t="shared" si="29"/>
        <v>300</v>
      </c>
      <c r="V89" s="125">
        <f t="shared" si="29"/>
        <v>12</v>
      </c>
      <c r="W89" s="125">
        <f t="shared" si="29"/>
        <v>200</v>
      </c>
      <c r="X89" s="125">
        <f t="shared" si="29"/>
        <v>12</v>
      </c>
      <c r="Y89" s="125">
        <f t="shared" si="29"/>
        <v>200</v>
      </c>
      <c r="Z89" s="125">
        <f t="shared" si="29"/>
        <v>12</v>
      </c>
      <c r="AA89" s="125">
        <f t="shared" si="29"/>
        <v>200</v>
      </c>
      <c r="AB89" s="125">
        <f t="shared" si="29"/>
        <v>12</v>
      </c>
      <c r="AC89" s="125">
        <f t="shared" si="29"/>
        <v>200</v>
      </c>
      <c r="AD89" s="119">
        <f t="shared" si="29"/>
        <v>40</v>
      </c>
      <c r="AE89" s="126">
        <f t="shared" si="30"/>
        <v>500</v>
      </c>
      <c r="AF89" s="66">
        <f t="shared" si="31"/>
        <v>600</v>
      </c>
      <c r="AG89" s="66" t="str">
        <f t="shared" si="32"/>
        <v>В25</v>
      </c>
      <c r="AH89" s="66">
        <f t="shared" si="32"/>
        <v>1</v>
      </c>
    </row>
    <row r="90" spans="1:35" ht="33" thickTop="1" thickBot="1" x14ac:dyDescent="0.3">
      <c r="A90" s="119" t="str">
        <f t="shared" si="33"/>
        <v>Пс8.5.5</v>
      </c>
      <c r="B90" s="119">
        <v>11</v>
      </c>
      <c r="C90" s="46" t="s">
        <v>2893</v>
      </c>
      <c r="D90" s="119">
        <f>Y90</f>
        <v>200</v>
      </c>
      <c r="E90" s="127">
        <f>ROUNDUP((IF(P90&lt;=3000,0,O90/Y90)),0)</f>
        <v>0</v>
      </c>
      <c r="F90" s="119"/>
      <c r="G90" s="119"/>
      <c r="H90" s="127">
        <f>IF(E90=0,0, (Арм_Округление(AE90+AF90)))</f>
        <v>0</v>
      </c>
      <c r="I90" s="121">
        <f>X90</f>
        <v>12</v>
      </c>
      <c r="J90" s="46" t="s">
        <v>2</v>
      </c>
      <c r="K90" s="128"/>
      <c r="L90" s="119"/>
      <c r="M90" s="124">
        <f t="shared" si="29"/>
        <v>0</v>
      </c>
      <c r="N90" s="125" t="str">
        <f t="shared" si="29"/>
        <v>Пс8.5.5</v>
      </c>
      <c r="O90" s="125">
        <f t="shared" si="29"/>
        <v>5680</v>
      </c>
      <c r="P90" s="125">
        <f t="shared" si="29"/>
        <v>1150</v>
      </c>
      <c r="Q90" s="125">
        <f t="shared" si="29"/>
        <v>200</v>
      </c>
      <c r="R90" s="125">
        <f t="shared" si="29"/>
        <v>800</v>
      </c>
      <c r="S90" s="125">
        <f t="shared" si="29"/>
        <v>300</v>
      </c>
      <c r="T90" s="125">
        <f t="shared" si="29"/>
        <v>300</v>
      </c>
      <c r="U90" s="125">
        <f t="shared" si="29"/>
        <v>300</v>
      </c>
      <c r="V90" s="125">
        <f t="shared" si="29"/>
        <v>12</v>
      </c>
      <c r="W90" s="125">
        <f t="shared" si="29"/>
        <v>200</v>
      </c>
      <c r="X90" s="125">
        <f t="shared" si="29"/>
        <v>12</v>
      </c>
      <c r="Y90" s="125">
        <f t="shared" si="29"/>
        <v>200</v>
      </c>
      <c r="Z90" s="125">
        <f t="shared" si="29"/>
        <v>12</v>
      </c>
      <c r="AA90" s="125">
        <f t="shared" si="29"/>
        <v>200</v>
      </c>
      <c r="AB90" s="125">
        <f t="shared" si="29"/>
        <v>12</v>
      </c>
      <c r="AC90" s="125">
        <f t="shared" si="29"/>
        <v>200</v>
      </c>
      <c r="AD90" s="119">
        <f t="shared" si="29"/>
        <v>40</v>
      </c>
      <c r="AE90" s="126">
        <f t="shared" si="30"/>
        <v>500</v>
      </c>
      <c r="AF90" s="66">
        <f t="shared" si="31"/>
        <v>600</v>
      </c>
      <c r="AG90" s="66" t="str">
        <f t="shared" si="32"/>
        <v>В25</v>
      </c>
      <c r="AH90" s="66">
        <f t="shared" si="32"/>
        <v>1</v>
      </c>
    </row>
    <row r="91" spans="1:35" ht="17.25" thickTop="1" thickBot="1" x14ac:dyDescent="0.3">
      <c r="A91" s="119" t="str">
        <f t="shared" si="33"/>
        <v>Пс8.5.5</v>
      </c>
      <c r="B91" s="119">
        <v>12</v>
      </c>
      <c r="C91" s="46" t="s">
        <v>2894</v>
      </c>
      <c r="D91" s="119">
        <f>W90</f>
        <v>200</v>
      </c>
      <c r="E91" s="127">
        <f>IF(M91=0, 0, M91*2*ROUNDUP((P91/W91),0))</f>
        <v>0</v>
      </c>
      <c r="F91" s="119"/>
      <c r="G91" s="119"/>
      <c r="H91" s="127">
        <f>IF(M91=0, 0, AF91*2)</f>
        <v>0</v>
      </c>
      <c r="I91" s="121">
        <f>V91</f>
        <v>12</v>
      </c>
      <c r="J91" s="46" t="s">
        <v>2</v>
      </c>
      <c r="K91" s="128"/>
      <c r="L91" s="119"/>
      <c r="M91" s="124">
        <v>0</v>
      </c>
      <c r="N91" s="125" t="str">
        <f t="shared" si="29"/>
        <v>Пс8.5.5</v>
      </c>
      <c r="O91" s="125">
        <f t="shared" si="29"/>
        <v>5680</v>
      </c>
      <c r="P91" s="125">
        <f t="shared" si="29"/>
        <v>1150</v>
      </c>
      <c r="Q91" s="125">
        <f t="shared" si="29"/>
        <v>200</v>
      </c>
      <c r="R91" s="125">
        <f t="shared" si="29"/>
        <v>800</v>
      </c>
      <c r="S91" s="125">
        <f t="shared" si="29"/>
        <v>300</v>
      </c>
      <c r="T91" s="125">
        <f t="shared" si="29"/>
        <v>300</v>
      </c>
      <c r="U91" s="125">
        <f t="shared" si="29"/>
        <v>300</v>
      </c>
      <c r="V91" s="125">
        <f t="shared" si="29"/>
        <v>12</v>
      </c>
      <c r="W91" s="125">
        <f t="shared" si="29"/>
        <v>200</v>
      </c>
      <c r="X91" s="125">
        <f t="shared" si="29"/>
        <v>12</v>
      </c>
      <c r="Y91" s="125">
        <f t="shared" si="29"/>
        <v>200</v>
      </c>
      <c r="Z91" s="125">
        <f t="shared" si="29"/>
        <v>12</v>
      </c>
      <c r="AA91" s="125">
        <f t="shared" si="29"/>
        <v>200</v>
      </c>
      <c r="AB91" s="125">
        <f t="shared" si="29"/>
        <v>12</v>
      </c>
      <c r="AC91" s="125">
        <f t="shared" si="29"/>
        <v>200</v>
      </c>
      <c r="AD91" s="119">
        <f t="shared" si="29"/>
        <v>40</v>
      </c>
      <c r="AE91" s="126">
        <f t="shared" si="30"/>
        <v>500</v>
      </c>
      <c r="AF91" s="66">
        <f t="shared" si="31"/>
        <v>600</v>
      </c>
      <c r="AG91" s="66" t="str">
        <f t="shared" si="32"/>
        <v>В25</v>
      </c>
      <c r="AH91" s="66">
        <f t="shared" si="32"/>
        <v>1</v>
      </c>
    </row>
    <row r="92" spans="1:35" ht="17.25" thickTop="1" thickBot="1" x14ac:dyDescent="0.3">
      <c r="A92" s="119" t="str">
        <f t="shared" si="33"/>
        <v>Пс8.5.5</v>
      </c>
      <c r="B92" s="119">
        <v>13</v>
      </c>
      <c r="C92" s="46" t="s">
        <v>2895</v>
      </c>
      <c r="D92" s="119">
        <f>W91</f>
        <v>200</v>
      </c>
      <c r="E92" s="127">
        <f>IF(R92&lt;=2000,(ROUNDUP(O92/D92,0)),(0))</f>
        <v>29</v>
      </c>
      <c r="F92" s="119"/>
      <c r="G92" s="119"/>
      <c r="H92" s="127">
        <f>IF(R92&lt;=2000,(ROUNDUP(R92-2*40+2*(U92-40-AB92), -1)),(0))</f>
        <v>1220</v>
      </c>
      <c r="I92" s="121">
        <f>V92</f>
        <v>12</v>
      </c>
      <c r="J92" s="46" t="s">
        <v>2</v>
      </c>
      <c r="K92" s="128"/>
      <c r="L92" s="119"/>
      <c r="M92" s="124">
        <f t="shared" ref="M92" si="34">M91</f>
        <v>0</v>
      </c>
      <c r="N92" s="125" t="str">
        <f t="shared" si="29"/>
        <v>Пс8.5.5</v>
      </c>
      <c r="O92" s="125">
        <f t="shared" si="29"/>
        <v>5680</v>
      </c>
      <c r="P92" s="125">
        <f t="shared" si="29"/>
        <v>1150</v>
      </c>
      <c r="Q92" s="125">
        <f t="shared" si="29"/>
        <v>200</v>
      </c>
      <c r="R92" s="125">
        <f t="shared" si="29"/>
        <v>800</v>
      </c>
      <c r="S92" s="125">
        <f t="shared" si="29"/>
        <v>300</v>
      </c>
      <c r="T92" s="125">
        <f t="shared" si="29"/>
        <v>300</v>
      </c>
      <c r="U92" s="125">
        <f t="shared" si="29"/>
        <v>300</v>
      </c>
      <c r="V92" s="125">
        <f t="shared" si="29"/>
        <v>12</v>
      </c>
      <c r="W92" s="125">
        <f t="shared" si="29"/>
        <v>200</v>
      </c>
      <c r="X92" s="125">
        <f t="shared" si="29"/>
        <v>12</v>
      </c>
      <c r="Y92" s="125">
        <f t="shared" si="29"/>
        <v>200</v>
      </c>
      <c r="Z92" s="125">
        <f t="shared" si="29"/>
        <v>12</v>
      </c>
      <c r="AA92" s="125">
        <f t="shared" si="29"/>
        <v>200</v>
      </c>
      <c r="AB92" s="125">
        <f t="shared" si="29"/>
        <v>12</v>
      </c>
      <c r="AC92" s="125">
        <f t="shared" si="29"/>
        <v>200</v>
      </c>
      <c r="AD92" s="119">
        <f t="shared" si="29"/>
        <v>40</v>
      </c>
      <c r="AE92" s="126">
        <f t="shared" si="30"/>
        <v>500</v>
      </c>
      <c r="AF92" s="66">
        <f t="shared" si="31"/>
        <v>600</v>
      </c>
      <c r="AG92" s="66" t="str">
        <f t="shared" si="32"/>
        <v>В25</v>
      </c>
      <c r="AH92" s="66">
        <f t="shared" si="32"/>
        <v>1</v>
      </c>
    </row>
    <row r="93" spans="1:35" ht="15.75" thickTop="1" x14ac:dyDescent="0.25"/>
    <row r="95" spans="1:35" ht="15.75" thickBot="1" x14ac:dyDescent="0.3"/>
    <row r="96" spans="1:35" ht="91.5" thickTop="1" thickBot="1" x14ac:dyDescent="0.3">
      <c r="A96" s="133" t="s">
        <v>159</v>
      </c>
      <c r="B96" s="135" t="s">
        <v>160</v>
      </c>
      <c r="C96" s="135" t="s">
        <v>2750</v>
      </c>
      <c r="D96" s="135" t="s">
        <v>2856</v>
      </c>
      <c r="E96" s="138" t="s">
        <v>163</v>
      </c>
      <c r="F96" s="135" t="s">
        <v>2857</v>
      </c>
      <c r="G96" s="135" t="s">
        <v>2858</v>
      </c>
      <c r="H96" s="140" t="s">
        <v>166</v>
      </c>
      <c r="I96" s="141"/>
      <c r="J96" s="142"/>
      <c r="K96" s="143" t="s">
        <v>2859</v>
      </c>
      <c r="L96" s="143" t="s">
        <v>2860</v>
      </c>
      <c r="M96" s="146" t="s">
        <v>2861</v>
      </c>
      <c r="N96" s="107" t="s">
        <v>2714</v>
      </c>
      <c r="O96" s="108" t="s">
        <v>2862</v>
      </c>
      <c r="P96" s="109" t="s">
        <v>2863</v>
      </c>
      <c r="Q96" s="109" t="s">
        <v>2864</v>
      </c>
      <c r="R96" s="109" t="s">
        <v>2865</v>
      </c>
      <c r="S96" s="109" t="s">
        <v>2866</v>
      </c>
      <c r="T96" s="109" t="s">
        <v>2867</v>
      </c>
      <c r="U96" s="109" t="s">
        <v>2868</v>
      </c>
      <c r="V96" s="109" t="s">
        <v>2869</v>
      </c>
      <c r="W96" s="109" t="s">
        <v>2870</v>
      </c>
      <c r="X96" s="109" t="s">
        <v>2871</v>
      </c>
      <c r="Y96" s="109" t="s">
        <v>2872</v>
      </c>
      <c r="Z96" s="109" t="s">
        <v>2873</v>
      </c>
      <c r="AA96" s="109" t="s">
        <v>2874</v>
      </c>
      <c r="AB96" s="109" t="s">
        <v>2875</v>
      </c>
      <c r="AC96" s="110" t="s">
        <v>2876</v>
      </c>
      <c r="AD96" s="111" t="s">
        <v>2877</v>
      </c>
      <c r="AE96" s="143" t="s">
        <v>180</v>
      </c>
      <c r="AF96" s="131" t="s">
        <v>2878</v>
      </c>
      <c r="AG96" s="111" t="s">
        <v>2879</v>
      </c>
      <c r="AH96" s="111" t="s">
        <v>2880</v>
      </c>
      <c r="AI96" s="112" t="s">
        <v>2881</v>
      </c>
    </row>
    <row r="97" spans="1:35" ht="17.25" thickTop="1" thickBot="1" x14ac:dyDescent="0.3">
      <c r="A97" s="134"/>
      <c r="B97" s="136"/>
      <c r="C97" s="136"/>
      <c r="D97" s="137"/>
      <c r="E97" s="139"/>
      <c r="F97" s="137"/>
      <c r="G97" s="137"/>
      <c r="H97" s="113" t="s">
        <v>170</v>
      </c>
      <c r="I97" s="114" t="s">
        <v>171</v>
      </c>
      <c r="J97" s="115" t="s">
        <v>172</v>
      </c>
      <c r="K97" s="144"/>
      <c r="L97" s="145"/>
      <c r="M97" s="147"/>
      <c r="N97" s="116" t="str">
        <f>'[1]Исх.Таблица из архикада'!A8</f>
        <v>Пс8.4.1</v>
      </c>
      <c r="O97" s="116">
        <f>'[1]Исх.Таблица из архикада'!B8</f>
        <v>9245</v>
      </c>
      <c r="P97" s="116">
        <f>'[1]Исх.Таблица из архикада'!C8</f>
        <v>1100</v>
      </c>
      <c r="Q97" s="116">
        <f>'[1]Исх.Таблица из архикада'!D8</f>
        <v>150</v>
      </c>
      <c r="R97" s="116">
        <f>'[1]Исх.Таблица из архикада'!E8</f>
        <v>750</v>
      </c>
      <c r="S97" s="116">
        <f>'[1]Исх.Таблица из архикада'!F8</f>
        <v>300</v>
      </c>
      <c r="T97" s="116">
        <f>'[1]Исх.Таблица из архикада'!G8</f>
        <v>300</v>
      </c>
      <c r="U97" s="116">
        <f>'[1]Исх.Таблица из архикада'!H8</f>
        <v>200</v>
      </c>
      <c r="V97" s="116">
        <f>'[1]Исх.Таблица из архикада'!I8</f>
        <v>10</v>
      </c>
      <c r="W97" s="116">
        <f>'[1]Исх.Таблица из архикада'!J8</f>
        <v>200</v>
      </c>
      <c r="X97" s="116">
        <f>'[1]Исх.Таблица из архикада'!K8</f>
        <v>10</v>
      </c>
      <c r="Y97" s="116">
        <f>'[1]Исх.Таблица из архикада'!L8</f>
        <v>200</v>
      </c>
      <c r="Z97" s="116">
        <f>'[1]Исх.Таблица из архикада'!M8</f>
        <v>10</v>
      </c>
      <c r="AA97" s="116">
        <f>'[1]Исх.Таблица из архикада'!N8</f>
        <v>200</v>
      </c>
      <c r="AB97" s="116">
        <f>'[1]Исх.Таблица из архикада'!O8</f>
        <v>10</v>
      </c>
      <c r="AC97" s="116">
        <f>'[1]Исх.Таблица из архикада'!P8</f>
        <v>200</v>
      </c>
      <c r="AD97" s="117">
        <v>40</v>
      </c>
      <c r="AE97" s="145"/>
      <c r="AF97" s="132"/>
      <c r="AG97" s="118" t="s">
        <v>2882</v>
      </c>
      <c r="AH97" s="118">
        <v>1</v>
      </c>
      <c r="AI97">
        <v>6000</v>
      </c>
    </row>
    <row r="98" spans="1:35" ht="17.25" thickTop="1" thickBot="1" x14ac:dyDescent="0.3">
      <c r="A98" s="119" t="str">
        <f>N97</f>
        <v>Пс8.4.1</v>
      </c>
      <c r="B98" s="119">
        <v>1</v>
      </c>
      <c r="C98" s="46" t="s">
        <v>2883</v>
      </c>
      <c r="D98" s="119">
        <f>W98</f>
        <v>200</v>
      </c>
      <c r="E98" s="120">
        <f>IF(O98&lt;=5700, ROUNDUP(P98*2/W98+1,0), 1)</f>
        <v>1</v>
      </c>
      <c r="F98" s="119">
        <f>ROUNDUP(((O98*R98*U98)*0.000000001+(O98*P98*Q98)*0.000000001),1)</f>
        <v>3</v>
      </c>
      <c r="G98" s="119">
        <f>ROUNDUP((0.1*(R98+200)*(O98)*0.000001),1)</f>
        <v>0.9</v>
      </c>
      <c r="H98" s="120">
        <f>IF(O98&lt;=5700, O98-50, K98)</f>
        <v>59040</v>
      </c>
      <c r="I98" s="121">
        <f>V98</f>
        <v>10</v>
      </c>
      <c r="J98" s="46" t="s">
        <v>2</v>
      </c>
      <c r="K98" s="122">
        <f>Арм_ПоПлощади(O98*P98,W98,AF98,$AI$3)</f>
        <v>59040</v>
      </c>
      <c r="L98" s="129">
        <f>IF(R98&lt;=2000,(0),(ROUNDUP(O98*R98*0.000001/1+SQRT(O98*R98*0.000001),0)))</f>
        <v>0</v>
      </c>
      <c r="M98" s="124">
        <v>0</v>
      </c>
      <c r="N98" s="125" t="str">
        <f>N97</f>
        <v>Пс8.4.1</v>
      </c>
      <c r="O98" s="125">
        <f t="shared" ref="O98:AD98" si="35">O97</f>
        <v>9245</v>
      </c>
      <c r="P98" s="125">
        <f t="shared" si="35"/>
        <v>1100</v>
      </c>
      <c r="Q98" s="125">
        <f t="shared" si="35"/>
        <v>150</v>
      </c>
      <c r="R98" s="125">
        <f t="shared" si="35"/>
        <v>750</v>
      </c>
      <c r="S98" s="125">
        <f t="shared" si="35"/>
        <v>300</v>
      </c>
      <c r="T98" s="125">
        <f t="shared" si="35"/>
        <v>300</v>
      </c>
      <c r="U98" s="125">
        <f t="shared" si="35"/>
        <v>200</v>
      </c>
      <c r="V98" s="125">
        <f t="shared" si="35"/>
        <v>10</v>
      </c>
      <c r="W98" s="125">
        <f t="shared" si="35"/>
        <v>200</v>
      </c>
      <c r="X98" s="125">
        <f t="shared" si="35"/>
        <v>10</v>
      </c>
      <c r="Y98" s="125">
        <f t="shared" si="35"/>
        <v>200</v>
      </c>
      <c r="Z98" s="125">
        <f t="shared" si="35"/>
        <v>10</v>
      </c>
      <c r="AA98" s="125">
        <f t="shared" si="35"/>
        <v>200</v>
      </c>
      <c r="AB98" s="125">
        <f t="shared" si="35"/>
        <v>10</v>
      </c>
      <c r="AC98" s="125">
        <f t="shared" si="35"/>
        <v>200</v>
      </c>
      <c r="AD98" s="119">
        <f t="shared" si="35"/>
        <v>40</v>
      </c>
      <c r="AE98" s="126">
        <f>Арм_Анкеровка(I98,J98,$AG$3,$AH$3)</f>
        <v>415</v>
      </c>
      <c r="AF98" s="66">
        <f>Арм_Нахлёст(I98,J98,$AG$3,$AH$3)</f>
        <v>500</v>
      </c>
      <c r="AG98" s="66" t="str">
        <f>AG97</f>
        <v>В25</v>
      </c>
      <c r="AH98" s="66">
        <f>AH97</f>
        <v>1</v>
      </c>
    </row>
    <row r="99" spans="1:35" ht="17.25" thickTop="1" thickBot="1" x14ac:dyDescent="0.3">
      <c r="A99" s="119" t="str">
        <f>A98</f>
        <v>Пс8.4.1</v>
      </c>
      <c r="B99" s="119">
        <v>2</v>
      </c>
      <c r="C99" s="46" t="s">
        <v>2884</v>
      </c>
      <c r="D99" s="119">
        <f>Y98</f>
        <v>200</v>
      </c>
      <c r="E99" s="127">
        <f>IF(Q99&lt;=150,0,(ROUNDUP(O99/Y99,0)))</f>
        <v>0</v>
      </c>
      <c r="F99" s="119"/>
      <c r="G99" s="119"/>
      <c r="H99" s="127">
        <f>Арм_Элемент_П(AF99, (Q99-2*AD99), I99, J99)</f>
        <v>1050</v>
      </c>
      <c r="I99" s="121">
        <f>X99</f>
        <v>10</v>
      </c>
      <c r="J99" s="46" t="s">
        <v>2</v>
      </c>
      <c r="K99" s="128"/>
      <c r="L99" s="119"/>
      <c r="M99" s="124">
        <v>0</v>
      </c>
      <c r="N99" s="125" t="str">
        <f t="shared" ref="N99:AD99" si="36">N98</f>
        <v>Пс8.4.1</v>
      </c>
      <c r="O99" s="125">
        <f t="shared" si="36"/>
        <v>9245</v>
      </c>
      <c r="P99" s="125">
        <f t="shared" si="36"/>
        <v>1100</v>
      </c>
      <c r="Q99" s="125">
        <f t="shared" si="36"/>
        <v>150</v>
      </c>
      <c r="R99" s="125">
        <f t="shared" si="36"/>
        <v>750</v>
      </c>
      <c r="S99" s="125">
        <f t="shared" si="36"/>
        <v>300</v>
      </c>
      <c r="T99" s="125">
        <f t="shared" si="36"/>
        <v>300</v>
      </c>
      <c r="U99" s="125">
        <f t="shared" si="36"/>
        <v>200</v>
      </c>
      <c r="V99" s="125">
        <f t="shared" si="36"/>
        <v>10</v>
      </c>
      <c r="W99" s="125">
        <f t="shared" si="36"/>
        <v>200</v>
      </c>
      <c r="X99" s="125">
        <f t="shared" si="36"/>
        <v>10</v>
      </c>
      <c r="Y99" s="125">
        <f t="shared" si="36"/>
        <v>200</v>
      </c>
      <c r="Z99" s="125">
        <f t="shared" si="36"/>
        <v>10</v>
      </c>
      <c r="AA99" s="125">
        <f t="shared" si="36"/>
        <v>200</v>
      </c>
      <c r="AB99" s="125">
        <f t="shared" si="36"/>
        <v>10</v>
      </c>
      <c r="AC99" s="125">
        <f t="shared" si="36"/>
        <v>200</v>
      </c>
      <c r="AD99" s="119">
        <f t="shared" si="36"/>
        <v>40</v>
      </c>
      <c r="AE99" s="126">
        <f t="shared" ref="AE99:AE110" si="37">Арм_Анкеровка(I99,J99,$AG$3,$AH$3)</f>
        <v>415</v>
      </c>
      <c r="AF99" s="66">
        <f t="shared" ref="AF99:AF110" si="38">Арм_Нахлёст(I99,J99,$AG$3,$AH$3)</f>
        <v>500</v>
      </c>
      <c r="AG99" s="66" t="str">
        <f t="shared" ref="AG99:AH110" si="39">AG98</f>
        <v>В25</v>
      </c>
      <c r="AH99" s="66">
        <f t="shared" si="39"/>
        <v>1</v>
      </c>
    </row>
    <row r="100" spans="1:35" ht="17.25" thickTop="1" thickBot="1" x14ac:dyDescent="0.3">
      <c r="A100" s="119" t="str">
        <f t="shared" ref="A100:A110" si="40">A99</f>
        <v>Пс8.4.1</v>
      </c>
      <c r="B100" s="119">
        <v>3</v>
      </c>
      <c r="C100" s="46" t="s">
        <v>2885</v>
      </c>
      <c r="D100" s="119">
        <f>W100</f>
        <v>200</v>
      </c>
      <c r="E100" s="127">
        <f>MROUND(2*P100/D100,2)</f>
        <v>12</v>
      </c>
      <c r="F100" s="119"/>
      <c r="G100" s="119"/>
      <c r="H100" s="127">
        <f>Арм_Элемент_П(AF100, (Q100-2*AD100), I100, J100)</f>
        <v>1070</v>
      </c>
      <c r="I100" s="121">
        <f>V100</f>
        <v>10</v>
      </c>
      <c r="J100" s="46" t="s">
        <v>2</v>
      </c>
      <c r="K100" s="128"/>
      <c r="L100" s="119"/>
      <c r="M100" s="124">
        <f t="shared" ref="M100:AC110" si="41">M99</f>
        <v>0</v>
      </c>
      <c r="N100" s="125" t="str">
        <f t="shared" si="41"/>
        <v>Пс8.4.1</v>
      </c>
      <c r="O100" s="125">
        <f t="shared" si="41"/>
        <v>9245</v>
      </c>
      <c r="P100" s="125">
        <f t="shared" si="41"/>
        <v>1100</v>
      </c>
      <c r="Q100" s="125">
        <f t="shared" si="41"/>
        <v>150</v>
      </c>
      <c r="R100" s="125">
        <f t="shared" si="41"/>
        <v>750</v>
      </c>
      <c r="S100" s="125">
        <f t="shared" si="41"/>
        <v>300</v>
      </c>
      <c r="T100" s="125">
        <f t="shared" si="41"/>
        <v>300</v>
      </c>
      <c r="U100" s="125">
        <f t="shared" si="41"/>
        <v>200</v>
      </c>
      <c r="V100" s="125">
        <f t="shared" si="41"/>
        <v>10</v>
      </c>
      <c r="W100" s="125">
        <f t="shared" si="41"/>
        <v>200</v>
      </c>
      <c r="X100" s="125">
        <f t="shared" si="41"/>
        <v>10</v>
      </c>
      <c r="Y100" s="125">
        <f t="shared" si="41"/>
        <v>200</v>
      </c>
      <c r="Z100" s="125">
        <f t="shared" si="41"/>
        <v>10</v>
      </c>
      <c r="AA100" s="125">
        <f t="shared" si="41"/>
        <v>200</v>
      </c>
      <c r="AB100" s="125">
        <f t="shared" si="41"/>
        <v>10</v>
      </c>
      <c r="AC100" s="125">
        <f t="shared" si="41"/>
        <v>200</v>
      </c>
      <c r="AD100" s="119">
        <v>30</v>
      </c>
      <c r="AE100" s="126">
        <f t="shared" si="37"/>
        <v>415</v>
      </c>
      <c r="AF100" s="66">
        <f t="shared" si="38"/>
        <v>500</v>
      </c>
      <c r="AG100" s="66" t="str">
        <f t="shared" si="39"/>
        <v>В25</v>
      </c>
      <c r="AH100" s="66">
        <f t="shared" si="39"/>
        <v>1</v>
      </c>
    </row>
    <row r="101" spans="1:35" ht="17.25" thickTop="1" thickBot="1" x14ac:dyDescent="0.3">
      <c r="A101" s="119" t="str">
        <f t="shared" si="40"/>
        <v>Пс8.4.1</v>
      </c>
      <c r="B101" s="119">
        <v>4</v>
      </c>
      <c r="C101" s="46" t="s">
        <v>2886</v>
      </c>
      <c r="D101" s="119">
        <f>Y101</f>
        <v>200</v>
      </c>
      <c r="E101" s="127">
        <f>ROUNDUP(O101/Y101,0)*2</f>
        <v>94</v>
      </c>
      <c r="F101" s="119"/>
      <c r="G101" s="119"/>
      <c r="H101" s="127">
        <f>IF(P101&lt;=3000, (IF(Q101&lt;=150,(P101-25+AE101+Q101-(35+V101)),(P101-25+AE101))), (P101-25))</f>
        <v>1595</v>
      </c>
      <c r="I101" s="121">
        <f>X101</f>
        <v>10</v>
      </c>
      <c r="J101" s="46" t="s">
        <v>2</v>
      </c>
      <c r="K101" s="128"/>
      <c r="L101" s="119"/>
      <c r="M101" s="124">
        <f t="shared" si="41"/>
        <v>0</v>
      </c>
      <c r="N101" s="125" t="str">
        <f t="shared" si="41"/>
        <v>Пс8.4.1</v>
      </c>
      <c r="O101" s="125">
        <f t="shared" si="41"/>
        <v>9245</v>
      </c>
      <c r="P101" s="125">
        <f t="shared" si="41"/>
        <v>1100</v>
      </c>
      <c r="Q101" s="125">
        <f t="shared" si="41"/>
        <v>150</v>
      </c>
      <c r="R101" s="125">
        <f t="shared" si="41"/>
        <v>750</v>
      </c>
      <c r="S101" s="125">
        <f t="shared" si="41"/>
        <v>300</v>
      </c>
      <c r="T101" s="125">
        <f t="shared" si="41"/>
        <v>300</v>
      </c>
      <c r="U101" s="125">
        <f t="shared" si="41"/>
        <v>200</v>
      </c>
      <c r="V101" s="125">
        <f t="shared" si="41"/>
        <v>10</v>
      </c>
      <c r="W101" s="125">
        <f t="shared" si="41"/>
        <v>200</v>
      </c>
      <c r="X101" s="125">
        <f t="shared" si="41"/>
        <v>10</v>
      </c>
      <c r="Y101" s="125">
        <f t="shared" si="41"/>
        <v>200</v>
      </c>
      <c r="Z101" s="125">
        <f t="shared" si="41"/>
        <v>10</v>
      </c>
      <c r="AA101" s="125">
        <f t="shared" si="41"/>
        <v>200</v>
      </c>
      <c r="AB101" s="125">
        <f t="shared" si="41"/>
        <v>10</v>
      </c>
      <c r="AC101" s="125">
        <f t="shared" si="41"/>
        <v>200</v>
      </c>
      <c r="AD101" s="119">
        <v>40</v>
      </c>
      <c r="AE101" s="126">
        <f t="shared" si="37"/>
        <v>415</v>
      </c>
      <c r="AF101" s="66">
        <f t="shared" si="38"/>
        <v>500</v>
      </c>
      <c r="AG101" s="66" t="str">
        <f t="shared" si="39"/>
        <v>В25</v>
      </c>
      <c r="AH101" s="66">
        <f t="shared" si="39"/>
        <v>1</v>
      </c>
    </row>
    <row r="102" spans="1:35" ht="17.25" thickTop="1" thickBot="1" x14ac:dyDescent="0.3">
      <c r="A102" s="119" t="str">
        <f t="shared" si="40"/>
        <v>Пс8.4.1</v>
      </c>
      <c r="B102" s="119">
        <v>5</v>
      </c>
      <c r="C102" s="46" t="s">
        <v>2887</v>
      </c>
      <c r="D102" s="119">
        <v>400</v>
      </c>
      <c r="E102" s="127">
        <f>ROUNDUP((13*(O102*P102/1000000)),0)</f>
        <v>133</v>
      </c>
      <c r="F102" s="119"/>
      <c r="G102" s="119"/>
      <c r="H102" s="127">
        <f>Q102-AD102*2+150</f>
        <v>220</v>
      </c>
      <c r="I102" s="121">
        <v>6</v>
      </c>
      <c r="J102" s="46" t="s">
        <v>2</v>
      </c>
      <c r="K102" s="128"/>
      <c r="L102" s="119"/>
      <c r="M102" s="124">
        <f t="shared" si="41"/>
        <v>0</v>
      </c>
      <c r="N102" s="125" t="str">
        <f t="shared" si="41"/>
        <v>Пс8.4.1</v>
      </c>
      <c r="O102" s="125">
        <f t="shared" si="41"/>
        <v>9245</v>
      </c>
      <c r="P102" s="125">
        <f t="shared" si="41"/>
        <v>1100</v>
      </c>
      <c r="Q102" s="125">
        <f t="shared" si="41"/>
        <v>150</v>
      </c>
      <c r="R102" s="125">
        <f t="shared" si="41"/>
        <v>750</v>
      </c>
      <c r="S102" s="125">
        <f t="shared" si="41"/>
        <v>300</v>
      </c>
      <c r="T102" s="125">
        <f t="shared" si="41"/>
        <v>300</v>
      </c>
      <c r="U102" s="125">
        <f t="shared" si="41"/>
        <v>200</v>
      </c>
      <c r="V102" s="125">
        <f t="shared" si="41"/>
        <v>10</v>
      </c>
      <c r="W102" s="125">
        <f t="shared" si="41"/>
        <v>200</v>
      </c>
      <c r="X102" s="125">
        <f t="shared" si="41"/>
        <v>10</v>
      </c>
      <c r="Y102" s="125">
        <f t="shared" si="41"/>
        <v>200</v>
      </c>
      <c r="Z102" s="125">
        <f t="shared" si="41"/>
        <v>10</v>
      </c>
      <c r="AA102" s="125">
        <f t="shared" si="41"/>
        <v>200</v>
      </c>
      <c r="AB102" s="125">
        <f t="shared" si="41"/>
        <v>10</v>
      </c>
      <c r="AC102" s="125">
        <f t="shared" si="41"/>
        <v>200</v>
      </c>
      <c r="AD102" s="119">
        <f t="shared" ref="AD102:AD104" si="42">AD101</f>
        <v>40</v>
      </c>
      <c r="AE102" s="126">
        <f t="shared" si="37"/>
        <v>250</v>
      </c>
      <c r="AF102" s="66">
        <f t="shared" si="38"/>
        <v>300</v>
      </c>
      <c r="AG102" s="66" t="str">
        <f t="shared" si="39"/>
        <v>В25</v>
      </c>
      <c r="AH102" s="66">
        <f t="shared" si="39"/>
        <v>1</v>
      </c>
    </row>
    <row r="103" spans="1:35" ht="17.25" thickTop="1" thickBot="1" x14ac:dyDescent="0.3">
      <c r="A103" s="119" t="str">
        <f t="shared" si="40"/>
        <v>Пс8.4.1</v>
      </c>
      <c r="B103" s="119">
        <v>6</v>
      </c>
      <c r="C103" s="46" t="s">
        <v>2888</v>
      </c>
      <c r="D103" s="119">
        <f>AA103</f>
        <v>200</v>
      </c>
      <c r="E103" s="127">
        <f>IF(R103&lt;=2000,(ROUNDUP(O103/D103,0)),(ROUNDUP(O103/D103,0)))</f>
        <v>47</v>
      </c>
      <c r="F103" s="119"/>
      <c r="G103" s="119"/>
      <c r="H103" s="127">
        <f>R103-50</f>
        <v>700</v>
      </c>
      <c r="I103" s="121">
        <f>Z103</f>
        <v>10</v>
      </c>
      <c r="J103" s="46" t="s">
        <v>2</v>
      </c>
      <c r="K103" s="128"/>
      <c r="L103" s="119"/>
      <c r="M103" s="124">
        <f t="shared" si="41"/>
        <v>0</v>
      </c>
      <c r="N103" s="125" t="str">
        <f t="shared" si="41"/>
        <v>Пс8.4.1</v>
      </c>
      <c r="O103" s="125">
        <f t="shared" si="41"/>
        <v>9245</v>
      </c>
      <c r="P103" s="125">
        <f t="shared" si="41"/>
        <v>1100</v>
      </c>
      <c r="Q103" s="125">
        <f t="shared" si="41"/>
        <v>150</v>
      </c>
      <c r="R103" s="125">
        <f t="shared" si="41"/>
        <v>750</v>
      </c>
      <c r="S103" s="125">
        <f t="shared" si="41"/>
        <v>300</v>
      </c>
      <c r="T103" s="125">
        <f t="shared" si="41"/>
        <v>300</v>
      </c>
      <c r="U103" s="125">
        <f t="shared" si="41"/>
        <v>200</v>
      </c>
      <c r="V103" s="125">
        <f t="shared" si="41"/>
        <v>10</v>
      </c>
      <c r="W103" s="125">
        <f t="shared" si="41"/>
        <v>200</v>
      </c>
      <c r="X103" s="125">
        <f t="shared" si="41"/>
        <v>10</v>
      </c>
      <c r="Y103" s="125">
        <f t="shared" si="41"/>
        <v>200</v>
      </c>
      <c r="Z103" s="125">
        <f t="shared" si="41"/>
        <v>10</v>
      </c>
      <c r="AA103" s="125">
        <f t="shared" si="41"/>
        <v>200</v>
      </c>
      <c r="AB103" s="125">
        <f t="shared" si="41"/>
        <v>10</v>
      </c>
      <c r="AC103" s="125">
        <f t="shared" si="41"/>
        <v>200</v>
      </c>
      <c r="AD103" s="119">
        <f t="shared" si="42"/>
        <v>40</v>
      </c>
      <c r="AE103" s="126">
        <f t="shared" si="37"/>
        <v>415</v>
      </c>
      <c r="AF103" s="66">
        <f t="shared" si="38"/>
        <v>500</v>
      </c>
      <c r="AG103" s="66" t="str">
        <f t="shared" si="39"/>
        <v>В25</v>
      </c>
      <c r="AH103" s="66">
        <f t="shared" si="39"/>
        <v>1</v>
      </c>
    </row>
    <row r="104" spans="1:35" ht="17.25" thickTop="1" thickBot="1" x14ac:dyDescent="0.3">
      <c r="A104" s="119" t="str">
        <f t="shared" si="40"/>
        <v>Пс8.4.1</v>
      </c>
      <c r="B104" s="119">
        <v>7</v>
      </c>
      <c r="C104" s="46" t="s">
        <v>2889</v>
      </c>
      <c r="D104" s="119">
        <f>AC104</f>
        <v>200</v>
      </c>
      <c r="E104" s="120">
        <f>IF(O104&lt;=5700, ROUNDUP(R104*2/AC104+1,0), 1)</f>
        <v>1</v>
      </c>
      <c r="F104" s="119"/>
      <c r="G104" s="119"/>
      <c r="H104" s="120">
        <f>IF(O104&lt;=5700, O104-50, K104)</f>
        <v>40810</v>
      </c>
      <c r="I104" s="121">
        <f>AB104</f>
        <v>10</v>
      </c>
      <c r="J104" s="46" t="s">
        <v>2</v>
      </c>
      <c r="K104" s="122">
        <f>Арм_ПоПлощади(O104*R104,AC104,AF104,$AI$3)</f>
        <v>40810</v>
      </c>
      <c r="L104" s="119"/>
      <c r="M104" s="124">
        <f t="shared" si="41"/>
        <v>0</v>
      </c>
      <c r="N104" s="125" t="str">
        <f t="shared" si="41"/>
        <v>Пс8.4.1</v>
      </c>
      <c r="O104" s="125">
        <f t="shared" si="41"/>
        <v>9245</v>
      </c>
      <c r="P104" s="125">
        <f t="shared" si="41"/>
        <v>1100</v>
      </c>
      <c r="Q104" s="125">
        <f t="shared" si="41"/>
        <v>150</v>
      </c>
      <c r="R104" s="125">
        <f t="shared" si="41"/>
        <v>750</v>
      </c>
      <c r="S104" s="125">
        <f t="shared" si="41"/>
        <v>300</v>
      </c>
      <c r="T104" s="125">
        <f t="shared" si="41"/>
        <v>300</v>
      </c>
      <c r="U104" s="125">
        <f t="shared" si="41"/>
        <v>200</v>
      </c>
      <c r="V104" s="125">
        <f t="shared" si="41"/>
        <v>10</v>
      </c>
      <c r="W104" s="125">
        <f t="shared" si="41"/>
        <v>200</v>
      </c>
      <c r="X104" s="125">
        <f t="shared" si="41"/>
        <v>10</v>
      </c>
      <c r="Y104" s="125">
        <f t="shared" si="41"/>
        <v>200</v>
      </c>
      <c r="Z104" s="125">
        <f t="shared" si="41"/>
        <v>10</v>
      </c>
      <c r="AA104" s="125">
        <f t="shared" si="41"/>
        <v>200</v>
      </c>
      <c r="AB104" s="125">
        <f t="shared" si="41"/>
        <v>10</v>
      </c>
      <c r="AC104" s="125">
        <f t="shared" si="41"/>
        <v>200</v>
      </c>
      <c r="AD104" s="119">
        <f t="shared" si="42"/>
        <v>40</v>
      </c>
      <c r="AE104" s="126">
        <f t="shared" si="37"/>
        <v>415</v>
      </c>
      <c r="AF104" s="66">
        <f t="shared" si="38"/>
        <v>500</v>
      </c>
      <c r="AG104" s="66" t="str">
        <f t="shared" si="39"/>
        <v>В25</v>
      </c>
      <c r="AH104" s="66">
        <f t="shared" si="39"/>
        <v>1</v>
      </c>
    </row>
    <row r="105" spans="1:35" ht="17.25" thickTop="1" thickBot="1" x14ac:dyDescent="0.3">
      <c r="A105" s="119" t="str">
        <f t="shared" si="40"/>
        <v>Пс8.4.1</v>
      </c>
      <c r="B105" s="119">
        <v>8</v>
      </c>
      <c r="C105" s="46" t="s">
        <v>2890</v>
      </c>
      <c r="D105" s="119">
        <f>AA105</f>
        <v>200</v>
      </c>
      <c r="E105" s="127">
        <f>IF(E110=0, (ROUNDUP(O105/D105,0)*2), 0)</f>
        <v>0</v>
      </c>
      <c r="F105" s="119"/>
      <c r="G105" s="119"/>
      <c r="H105" s="127">
        <f>Арм_Элемент_П(AF105, (U105-2*AD105), I105, J105)</f>
        <v>1120</v>
      </c>
      <c r="I105" s="121">
        <f>Z105</f>
        <v>10</v>
      </c>
      <c r="J105" s="46" t="s">
        <v>2</v>
      </c>
      <c r="K105" s="128"/>
      <c r="L105" s="119"/>
      <c r="M105" s="124">
        <f t="shared" si="41"/>
        <v>0</v>
      </c>
      <c r="N105" s="125" t="str">
        <f t="shared" si="41"/>
        <v>Пс8.4.1</v>
      </c>
      <c r="O105" s="125">
        <f t="shared" si="41"/>
        <v>9245</v>
      </c>
      <c r="P105" s="125">
        <f t="shared" si="41"/>
        <v>1100</v>
      </c>
      <c r="Q105" s="125">
        <f t="shared" si="41"/>
        <v>150</v>
      </c>
      <c r="R105" s="125">
        <f t="shared" si="41"/>
        <v>750</v>
      </c>
      <c r="S105" s="125">
        <f t="shared" si="41"/>
        <v>300</v>
      </c>
      <c r="T105" s="125">
        <f t="shared" si="41"/>
        <v>300</v>
      </c>
      <c r="U105" s="125">
        <f t="shared" si="41"/>
        <v>200</v>
      </c>
      <c r="V105" s="125">
        <f t="shared" si="41"/>
        <v>10</v>
      </c>
      <c r="W105" s="125">
        <f t="shared" si="41"/>
        <v>200</v>
      </c>
      <c r="X105" s="125">
        <f t="shared" si="41"/>
        <v>10</v>
      </c>
      <c r="Y105" s="125">
        <f t="shared" si="41"/>
        <v>200</v>
      </c>
      <c r="Z105" s="125">
        <f t="shared" si="41"/>
        <v>10</v>
      </c>
      <c r="AA105" s="125">
        <f t="shared" si="41"/>
        <v>200</v>
      </c>
      <c r="AB105" s="125">
        <f t="shared" si="41"/>
        <v>10</v>
      </c>
      <c r="AC105" s="125">
        <f t="shared" si="41"/>
        <v>200</v>
      </c>
      <c r="AD105" s="119">
        <v>30</v>
      </c>
      <c r="AE105" s="126">
        <f t="shared" si="37"/>
        <v>415</v>
      </c>
      <c r="AF105" s="66">
        <f t="shared" si="38"/>
        <v>500</v>
      </c>
      <c r="AG105" s="66" t="str">
        <f t="shared" si="39"/>
        <v>В25</v>
      </c>
      <c r="AH105" s="66">
        <f t="shared" si="39"/>
        <v>1</v>
      </c>
    </row>
    <row r="106" spans="1:35" ht="17.25" thickTop="1" thickBot="1" x14ac:dyDescent="0.3">
      <c r="A106" s="119" t="str">
        <f t="shared" si="40"/>
        <v>Пс8.4.1</v>
      </c>
      <c r="B106" s="119">
        <v>9</v>
      </c>
      <c r="C106" s="46" t="s">
        <v>2891</v>
      </c>
      <c r="D106" s="119">
        <f>AC106</f>
        <v>200</v>
      </c>
      <c r="E106" s="127">
        <f>MROUND(2*R106/AC106,2)</f>
        <v>8</v>
      </c>
      <c r="F106" s="119"/>
      <c r="G106" s="119"/>
      <c r="H106" s="127">
        <f>Арм_Элемент_П(AF106, (U106-2*AD106), I106, J106)</f>
        <v>1100</v>
      </c>
      <c r="I106" s="121">
        <f>AB106</f>
        <v>10</v>
      </c>
      <c r="J106" s="46" t="s">
        <v>2</v>
      </c>
      <c r="K106" s="128"/>
      <c r="L106" s="119"/>
      <c r="M106" s="124">
        <f t="shared" si="41"/>
        <v>0</v>
      </c>
      <c r="N106" s="125" t="str">
        <f t="shared" si="41"/>
        <v>Пс8.4.1</v>
      </c>
      <c r="O106" s="125">
        <f t="shared" si="41"/>
        <v>9245</v>
      </c>
      <c r="P106" s="125">
        <f t="shared" si="41"/>
        <v>1100</v>
      </c>
      <c r="Q106" s="125">
        <f t="shared" si="41"/>
        <v>150</v>
      </c>
      <c r="R106" s="125">
        <f t="shared" si="41"/>
        <v>750</v>
      </c>
      <c r="S106" s="125">
        <f t="shared" si="41"/>
        <v>300</v>
      </c>
      <c r="T106" s="125">
        <f t="shared" si="41"/>
        <v>300</v>
      </c>
      <c r="U106" s="125">
        <f t="shared" si="41"/>
        <v>200</v>
      </c>
      <c r="V106" s="125">
        <f t="shared" si="41"/>
        <v>10</v>
      </c>
      <c r="W106" s="125">
        <f t="shared" si="41"/>
        <v>200</v>
      </c>
      <c r="X106" s="125">
        <f t="shared" si="41"/>
        <v>10</v>
      </c>
      <c r="Y106" s="125">
        <f t="shared" si="41"/>
        <v>200</v>
      </c>
      <c r="Z106" s="125">
        <f t="shared" si="41"/>
        <v>10</v>
      </c>
      <c r="AA106" s="125">
        <f t="shared" si="41"/>
        <v>200</v>
      </c>
      <c r="AB106" s="125">
        <f t="shared" si="41"/>
        <v>10</v>
      </c>
      <c r="AC106" s="125">
        <f t="shared" si="41"/>
        <v>200</v>
      </c>
      <c r="AD106" s="119">
        <v>40</v>
      </c>
      <c r="AE106" s="126">
        <f t="shared" si="37"/>
        <v>415</v>
      </c>
      <c r="AF106" s="66">
        <f t="shared" si="38"/>
        <v>500</v>
      </c>
      <c r="AG106" s="66" t="str">
        <f t="shared" si="39"/>
        <v>В25</v>
      </c>
      <c r="AH106" s="66">
        <f t="shared" si="39"/>
        <v>1</v>
      </c>
    </row>
    <row r="107" spans="1:35" ht="33" thickTop="1" thickBot="1" x14ac:dyDescent="0.3">
      <c r="A107" s="119" t="str">
        <f t="shared" si="40"/>
        <v>Пс8.4.1</v>
      </c>
      <c r="B107" s="119">
        <v>10</v>
      </c>
      <c r="C107" s="46" t="s">
        <v>2892</v>
      </c>
      <c r="D107" s="119">
        <f>Y107</f>
        <v>200</v>
      </c>
      <c r="E107" s="127">
        <f>ROUNDUP((IF(P107&lt;=3000,0,O107/Y107)),0)</f>
        <v>0</v>
      </c>
      <c r="F107" s="119"/>
      <c r="G107" s="119"/>
      <c r="H107" s="127">
        <f>IF(E107=0,0, (Арм_Округление(AE107+2*AF107)))</f>
        <v>0</v>
      </c>
      <c r="I107" s="121">
        <f>X107</f>
        <v>10</v>
      </c>
      <c r="J107" s="46" t="s">
        <v>2</v>
      </c>
      <c r="K107" s="128"/>
      <c r="L107" s="119"/>
      <c r="M107" s="124">
        <f t="shared" si="41"/>
        <v>0</v>
      </c>
      <c r="N107" s="125" t="str">
        <f t="shared" si="41"/>
        <v>Пс8.4.1</v>
      </c>
      <c r="O107" s="125">
        <f t="shared" si="41"/>
        <v>9245</v>
      </c>
      <c r="P107" s="125">
        <f t="shared" si="41"/>
        <v>1100</v>
      </c>
      <c r="Q107" s="125">
        <f t="shared" si="41"/>
        <v>150</v>
      </c>
      <c r="R107" s="125">
        <f t="shared" si="41"/>
        <v>750</v>
      </c>
      <c r="S107" s="125">
        <f t="shared" si="41"/>
        <v>300</v>
      </c>
      <c r="T107" s="125">
        <f t="shared" si="41"/>
        <v>300</v>
      </c>
      <c r="U107" s="125">
        <f t="shared" si="41"/>
        <v>200</v>
      </c>
      <c r="V107" s="125">
        <f t="shared" si="41"/>
        <v>10</v>
      </c>
      <c r="W107" s="125">
        <f t="shared" si="41"/>
        <v>200</v>
      </c>
      <c r="X107" s="125">
        <f t="shared" si="41"/>
        <v>10</v>
      </c>
      <c r="Y107" s="125">
        <f t="shared" si="41"/>
        <v>200</v>
      </c>
      <c r="Z107" s="125">
        <f t="shared" si="41"/>
        <v>10</v>
      </c>
      <c r="AA107" s="125">
        <f t="shared" si="41"/>
        <v>200</v>
      </c>
      <c r="AB107" s="125">
        <f t="shared" si="41"/>
        <v>10</v>
      </c>
      <c r="AC107" s="125">
        <f t="shared" si="41"/>
        <v>200</v>
      </c>
      <c r="AD107" s="119">
        <f t="shared" ref="AD107:AD110" si="43">AD106</f>
        <v>40</v>
      </c>
      <c r="AE107" s="126">
        <f t="shared" si="37"/>
        <v>415</v>
      </c>
      <c r="AF107" s="66">
        <f t="shared" si="38"/>
        <v>500</v>
      </c>
      <c r="AG107" s="66" t="str">
        <f t="shared" si="39"/>
        <v>В25</v>
      </c>
      <c r="AH107" s="66">
        <f t="shared" si="39"/>
        <v>1</v>
      </c>
    </row>
    <row r="108" spans="1:35" ht="33" thickTop="1" thickBot="1" x14ac:dyDescent="0.3">
      <c r="A108" s="119" t="str">
        <f t="shared" si="40"/>
        <v>Пс8.4.1</v>
      </c>
      <c r="B108" s="119">
        <v>11</v>
      </c>
      <c r="C108" s="46" t="s">
        <v>2893</v>
      </c>
      <c r="D108" s="119">
        <f>Y108</f>
        <v>200</v>
      </c>
      <c r="E108" s="127">
        <f>ROUNDUP((IF(P108&lt;=3000,0,O108/Y108)),0)</f>
        <v>0</v>
      </c>
      <c r="F108" s="119"/>
      <c r="G108" s="119"/>
      <c r="H108" s="127">
        <f>IF(E108=0,0, (Арм_Округление(AE108+AF108)))</f>
        <v>0</v>
      </c>
      <c r="I108" s="121">
        <f>X108</f>
        <v>10</v>
      </c>
      <c r="J108" s="46" t="s">
        <v>2</v>
      </c>
      <c r="K108" s="128"/>
      <c r="L108" s="119"/>
      <c r="M108" s="124">
        <f t="shared" si="41"/>
        <v>0</v>
      </c>
      <c r="N108" s="125" t="str">
        <f t="shared" si="41"/>
        <v>Пс8.4.1</v>
      </c>
      <c r="O108" s="125">
        <f t="shared" si="41"/>
        <v>9245</v>
      </c>
      <c r="P108" s="125">
        <f t="shared" si="41"/>
        <v>1100</v>
      </c>
      <c r="Q108" s="125">
        <f t="shared" si="41"/>
        <v>150</v>
      </c>
      <c r="R108" s="125">
        <f t="shared" si="41"/>
        <v>750</v>
      </c>
      <c r="S108" s="125">
        <f t="shared" si="41"/>
        <v>300</v>
      </c>
      <c r="T108" s="125">
        <f t="shared" si="41"/>
        <v>300</v>
      </c>
      <c r="U108" s="125">
        <f t="shared" si="41"/>
        <v>200</v>
      </c>
      <c r="V108" s="125">
        <f t="shared" si="41"/>
        <v>10</v>
      </c>
      <c r="W108" s="125">
        <f t="shared" si="41"/>
        <v>200</v>
      </c>
      <c r="X108" s="125">
        <f t="shared" si="41"/>
        <v>10</v>
      </c>
      <c r="Y108" s="125">
        <f t="shared" si="41"/>
        <v>200</v>
      </c>
      <c r="Z108" s="125">
        <f t="shared" si="41"/>
        <v>10</v>
      </c>
      <c r="AA108" s="125">
        <f t="shared" si="41"/>
        <v>200</v>
      </c>
      <c r="AB108" s="125">
        <f t="shared" si="41"/>
        <v>10</v>
      </c>
      <c r="AC108" s="125">
        <f t="shared" si="41"/>
        <v>200</v>
      </c>
      <c r="AD108" s="119">
        <f t="shared" si="43"/>
        <v>40</v>
      </c>
      <c r="AE108" s="126">
        <f t="shared" si="37"/>
        <v>415</v>
      </c>
      <c r="AF108" s="66">
        <f t="shared" si="38"/>
        <v>500</v>
      </c>
      <c r="AG108" s="66" t="str">
        <f t="shared" si="39"/>
        <v>В25</v>
      </c>
      <c r="AH108" s="66">
        <f t="shared" si="39"/>
        <v>1</v>
      </c>
    </row>
    <row r="109" spans="1:35" ht="17.25" thickTop="1" thickBot="1" x14ac:dyDescent="0.3">
      <c r="A109" s="119" t="str">
        <f t="shared" si="40"/>
        <v>Пс8.4.1</v>
      </c>
      <c r="B109" s="119">
        <v>12</v>
      </c>
      <c r="C109" s="46" t="s">
        <v>2894</v>
      </c>
      <c r="D109" s="119">
        <f>W108</f>
        <v>200</v>
      </c>
      <c r="E109" s="127">
        <f>IF(M109=0, 0, M109*2*ROUNDUP((P109/W109),0))</f>
        <v>0</v>
      </c>
      <c r="F109" s="119"/>
      <c r="G109" s="119"/>
      <c r="H109" s="127">
        <f>IF(M109=0, 0, AF109*2)</f>
        <v>0</v>
      </c>
      <c r="I109" s="121">
        <f>V109</f>
        <v>10</v>
      </c>
      <c r="J109" s="46" t="s">
        <v>2</v>
      </c>
      <c r="K109" s="128"/>
      <c r="L109" s="119"/>
      <c r="M109" s="124">
        <f t="shared" si="41"/>
        <v>0</v>
      </c>
      <c r="N109" s="125" t="str">
        <f t="shared" si="41"/>
        <v>Пс8.4.1</v>
      </c>
      <c r="O109" s="125">
        <f t="shared" si="41"/>
        <v>9245</v>
      </c>
      <c r="P109" s="125">
        <f t="shared" si="41"/>
        <v>1100</v>
      </c>
      <c r="Q109" s="125">
        <f t="shared" si="41"/>
        <v>150</v>
      </c>
      <c r="R109" s="125">
        <f t="shared" si="41"/>
        <v>750</v>
      </c>
      <c r="S109" s="125">
        <f t="shared" si="41"/>
        <v>300</v>
      </c>
      <c r="T109" s="125">
        <f t="shared" si="41"/>
        <v>300</v>
      </c>
      <c r="U109" s="125">
        <f t="shared" si="41"/>
        <v>200</v>
      </c>
      <c r="V109" s="125">
        <f t="shared" si="41"/>
        <v>10</v>
      </c>
      <c r="W109" s="125">
        <f t="shared" si="41"/>
        <v>200</v>
      </c>
      <c r="X109" s="125">
        <f t="shared" si="41"/>
        <v>10</v>
      </c>
      <c r="Y109" s="125">
        <f t="shared" si="41"/>
        <v>200</v>
      </c>
      <c r="Z109" s="125">
        <f t="shared" si="41"/>
        <v>10</v>
      </c>
      <c r="AA109" s="125">
        <f t="shared" si="41"/>
        <v>200</v>
      </c>
      <c r="AB109" s="125">
        <f t="shared" si="41"/>
        <v>10</v>
      </c>
      <c r="AC109" s="125">
        <f t="shared" si="41"/>
        <v>200</v>
      </c>
      <c r="AD109" s="119">
        <f t="shared" si="43"/>
        <v>40</v>
      </c>
      <c r="AE109" s="126">
        <f t="shared" si="37"/>
        <v>415</v>
      </c>
      <c r="AF109" s="66">
        <f t="shared" si="38"/>
        <v>500</v>
      </c>
      <c r="AG109" s="66" t="str">
        <f t="shared" si="39"/>
        <v>В25</v>
      </c>
      <c r="AH109" s="66">
        <f t="shared" si="39"/>
        <v>1</v>
      </c>
    </row>
    <row r="110" spans="1:35" ht="17.25" thickTop="1" thickBot="1" x14ac:dyDescent="0.3">
      <c r="A110" s="119" t="str">
        <f t="shared" si="40"/>
        <v>Пс8.4.1</v>
      </c>
      <c r="B110" s="119">
        <v>13</v>
      </c>
      <c r="C110" s="46" t="s">
        <v>2895</v>
      </c>
      <c r="D110" s="119">
        <f>W109</f>
        <v>200</v>
      </c>
      <c r="E110" s="127">
        <f>IF(R110&lt;=2000,(ROUNDUP(O110/D110,0)),(0))</f>
        <v>47</v>
      </c>
      <c r="F110" s="119"/>
      <c r="G110" s="119"/>
      <c r="H110" s="127">
        <f>IF(R110&lt;=2000,(ROUNDUP(R110-2*40+2*(U110-40-AB110), -1)),(0))</f>
        <v>970</v>
      </c>
      <c r="I110" s="121">
        <f>V110</f>
        <v>10</v>
      </c>
      <c r="J110" s="46" t="s">
        <v>2</v>
      </c>
      <c r="K110" s="128"/>
      <c r="L110" s="119"/>
      <c r="M110" s="124">
        <f t="shared" si="41"/>
        <v>0</v>
      </c>
      <c r="N110" s="125" t="str">
        <f t="shared" si="41"/>
        <v>Пс8.4.1</v>
      </c>
      <c r="O110" s="125">
        <f t="shared" si="41"/>
        <v>9245</v>
      </c>
      <c r="P110" s="125">
        <f t="shared" si="41"/>
        <v>1100</v>
      </c>
      <c r="Q110" s="125">
        <f t="shared" si="41"/>
        <v>150</v>
      </c>
      <c r="R110" s="125">
        <f t="shared" si="41"/>
        <v>750</v>
      </c>
      <c r="S110" s="125">
        <f t="shared" si="41"/>
        <v>300</v>
      </c>
      <c r="T110" s="125">
        <f t="shared" si="41"/>
        <v>300</v>
      </c>
      <c r="U110" s="125">
        <f t="shared" si="41"/>
        <v>200</v>
      </c>
      <c r="V110" s="125">
        <f t="shared" si="41"/>
        <v>10</v>
      </c>
      <c r="W110" s="125">
        <f t="shared" si="41"/>
        <v>200</v>
      </c>
      <c r="X110" s="125">
        <f t="shared" si="41"/>
        <v>10</v>
      </c>
      <c r="Y110" s="125">
        <f t="shared" si="41"/>
        <v>200</v>
      </c>
      <c r="Z110" s="125">
        <f t="shared" si="41"/>
        <v>10</v>
      </c>
      <c r="AA110" s="125">
        <f t="shared" si="41"/>
        <v>200</v>
      </c>
      <c r="AB110" s="125">
        <f t="shared" si="41"/>
        <v>10</v>
      </c>
      <c r="AC110" s="125">
        <f t="shared" si="41"/>
        <v>200</v>
      </c>
      <c r="AD110" s="119">
        <f t="shared" si="43"/>
        <v>40</v>
      </c>
      <c r="AE110" s="126">
        <f t="shared" si="37"/>
        <v>415</v>
      </c>
      <c r="AF110" s="66">
        <f t="shared" si="38"/>
        <v>500</v>
      </c>
      <c r="AG110" s="66" t="str">
        <f t="shared" si="39"/>
        <v>В25</v>
      </c>
      <c r="AH110" s="66">
        <f t="shared" si="39"/>
        <v>1</v>
      </c>
    </row>
    <row r="111" spans="1:35" ht="15.75" thickTop="1" x14ac:dyDescent="0.25"/>
    <row r="114" spans="1:35" ht="15.75" thickBot="1" x14ac:dyDescent="0.3"/>
    <row r="115" spans="1:35" ht="91.5" thickTop="1" thickBot="1" x14ac:dyDescent="0.3">
      <c r="A115" s="133" t="s">
        <v>159</v>
      </c>
      <c r="B115" s="135" t="s">
        <v>160</v>
      </c>
      <c r="C115" s="135" t="s">
        <v>2750</v>
      </c>
      <c r="D115" s="135" t="s">
        <v>2856</v>
      </c>
      <c r="E115" s="138" t="s">
        <v>163</v>
      </c>
      <c r="F115" s="135" t="s">
        <v>2857</v>
      </c>
      <c r="G115" s="135" t="s">
        <v>2858</v>
      </c>
      <c r="H115" s="140" t="s">
        <v>166</v>
      </c>
      <c r="I115" s="141"/>
      <c r="J115" s="142"/>
      <c r="K115" s="143" t="s">
        <v>2859</v>
      </c>
      <c r="L115" s="143" t="s">
        <v>2860</v>
      </c>
      <c r="M115" s="146" t="s">
        <v>2861</v>
      </c>
      <c r="N115" s="107" t="s">
        <v>2714</v>
      </c>
      <c r="O115" s="108" t="s">
        <v>2862</v>
      </c>
      <c r="P115" s="109" t="s">
        <v>2863</v>
      </c>
      <c r="Q115" s="109" t="s">
        <v>2864</v>
      </c>
      <c r="R115" s="109" t="s">
        <v>2865</v>
      </c>
      <c r="S115" s="109" t="s">
        <v>2866</v>
      </c>
      <c r="T115" s="109" t="s">
        <v>2867</v>
      </c>
      <c r="U115" s="109" t="s">
        <v>2868</v>
      </c>
      <c r="V115" s="109" t="s">
        <v>2869</v>
      </c>
      <c r="W115" s="109" t="s">
        <v>2870</v>
      </c>
      <c r="X115" s="109" t="s">
        <v>2871</v>
      </c>
      <c r="Y115" s="109" t="s">
        <v>2872</v>
      </c>
      <c r="Z115" s="109" t="s">
        <v>2873</v>
      </c>
      <c r="AA115" s="109" t="s">
        <v>2874</v>
      </c>
      <c r="AB115" s="109" t="s">
        <v>2875</v>
      </c>
      <c r="AC115" s="110" t="s">
        <v>2876</v>
      </c>
      <c r="AD115" s="111" t="s">
        <v>2877</v>
      </c>
      <c r="AE115" s="143" t="s">
        <v>180</v>
      </c>
      <c r="AF115" s="131" t="s">
        <v>2878</v>
      </c>
      <c r="AG115" s="111" t="s">
        <v>2879</v>
      </c>
      <c r="AH115" s="111" t="s">
        <v>2880</v>
      </c>
      <c r="AI115" s="112" t="s">
        <v>2881</v>
      </c>
    </row>
    <row r="116" spans="1:35" ht="17.25" thickTop="1" thickBot="1" x14ac:dyDescent="0.3">
      <c r="A116" s="134"/>
      <c r="B116" s="136"/>
      <c r="C116" s="136"/>
      <c r="D116" s="137"/>
      <c r="E116" s="139"/>
      <c r="F116" s="137"/>
      <c r="G116" s="137"/>
      <c r="H116" s="113" t="s">
        <v>170</v>
      </c>
      <c r="I116" s="114" t="s">
        <v>171</v>
      </c>
      <c r="J116" s="115" t="s">
        <v>172</v>
      </c>
      <c r="K116" s="144"/>
      <c r="L116" s="145"/>
      <c r="M116" s="147"/>
      <c r="N116" s="116" t="str">
        <f>'[1]Исх.Таблица из архикада'!A9</f>
        <v>Пс8.4.2</v>
      </c>
      <c r="O116" s="116">
        <f>'[1]Исх.Таблица из архикада'!B9</f>
        <v>7400</v>
      </c>
      <c r="P116" s="116">
        <f>'[1]Исх.Таблица из архикада'!C9</f>
        <v>1600</v>
      </c>
      <c r="Q116" s="116">
        <f>'[1]Исх.Таблица из архикада'!D9</f>
        <v>150</v>
      </c>
      <c r="R116" s="116">
        <f>'[1]Исх.Таблица из архикада'!E9</f>
        <v>1100</v>
      </c>
      <c r="S116" s="116">
        <f>'[1]Исх.Таблица из архикада'!F9</f>
        <v>300</v>
      </c>
      <c r="T116" s="116">
        <f>'[1]Исх.Таблица из архикада'!G9</f>
        <v>650</v>
      </c>
      <c r="U116" s="116">
        <f>'[1]Исх.Таблица из архикада'!H9</f>
        <v>200</v>
      </c>
      <c r="V116" s="116">
        <f>'[1]Исх.Таблица из архикада'!I9</f>
        <v>10</v>
      </c>
      <c r="W116" s="116">
        <f>'[1]Исх.Таблица из архикада'!J9</f>
        <v>200</v>
      </c>
      <c r="X116" s="116">
        <f>'[1]Исх.Таблица из архикада'!K9</f>
        <v>10</v>
      </c>
      <c r="Y116" s="116">
        <f>'[1]Исх.Таблица из архикада'!L9</f>
        <v>200</v>
      </c>
      <c r="Z116" s="116">
        <f>'[1]Исх.Таблица из архикада'!M9</f>
        <v>10</v>
      </c>
      <c r="AA116" s="116">
        <f>'[1]Исх.Таблица из архикада'!N9</f>
        <v>200</v>
      </c>
      <c r="AB116" s="116">
        <f>'[1]Исх.Таблица из архикада'!O9</f>
        <v>10</v>
      </c>
      <c r="AC116" s="116">
        <f>'[1]Исх.Таблица из архикада'!P9</f>
        <v>200</v>
      </c>
      <c r="AD116" s="117">
        <v>40</v>
      </c>
      <c r="AE116" s="145"/>
      <c r="AF116" s="132"/>
      <c r="AG116" s="118" t="s">
        <v>2882</v>
      </c>
      <c r="AH116" s="118">
        <v>1</v>
      </c>
      <c r="AI116">
        <v>6000</v>
      </c>
    </row>
    <row r="117" spans="1:35" ht="17.25" thickTop="1" thickBot="1" x14ac:dyDescent="0.3">
      <c r="A117" s="119" t="str">
        <f>N116</f>
        <v>Пс8.4.2</v>
      </c>
      <c r="B117" s="119">
        <v>1</v>
      </c>
      <c r="C117" s="46" t="s">
        <v>2883</v>
      </c>
      <c r="D117" s="119">
        <f>W117</f>
        <v>200</v>
      </c>
      <c r="E117" s="120">
        <f>IF(O117&lt;=5700, ROUNDUP(P117*2/W117+1,0), 1)</f>
        <v>1</v>
      </c>
      <c r="F117" s="119">
        <f>ROUNDUP(((O117*R117*U117)*0.000000001+(O117*P117*Q117)*0.000000001),1)</f>
        <v>3.5</v>
      </c>
      <c r="G117" s="119">
        <f>ROUNDUP((0.1*(R117+200)*(O117)*0.000001),1)</f>
        <v>1</v>
      </c>
      <c r="H117" s="120">
        <f>IF(O117&lt;=5700, O117-50, K117)</f>
        <v>68150</v>
      </c>
      <c r="I117" s="121">
        <f>V117</f>
        <v>10</v>
      </c>
      <c r="J117" s="46" t="s">
        <v>2</v>
      </c>
      <c r="K117" s="122">
        <f>Арм_ПоПлощади(O117*P117,W117,AF117,$AI$3)</f>
        <v>68150</v>
      </c>
      <c r="L117" s="123">
        <f>IF(R117&lt;=2000,(0),(ROUNDUP(O117*R117*0.000001/1+SQRT(O117*R117*0.000001),0)))</f>
        <v>0</v>
      </c>
      <c r="M117" s="124">
        <v>0</v>
      </c>
      <c r="N117" s="125" t="str">
        <f>N116</f>
        <v>Пс8.4.2</v>
      </c>
      <c r="O117" s="125">
        <f t="shared" ref="O117:AD117" si="44">O116</f>
        <v>7400</v>
      </c>
      <c r="P117" s="125">
        <f t="shared" si="44"/>
        <v>1600</v>
      </c>
      <c r="Q117" s="125">
        <f t="shared" si="44"/>
        <v>150</v>
      </c>
      <c r="R117" s="125">
        <f t="shared" si="44"/>
        <v>1100</v>
      </c>
      <c r="S117" s="125">
        <f t="shared" si="44"/>
        <v>300</v>
      </c>
      <c r="T117" s="125">
        <f t="shared" si="44"/>
        <v>650</v>
      </c>
      <c r="U117" s="125">
        <f t="shared" si="44"/>
        <v>200</v>
      </c>
      <c r="V117" s="125">
        <f t="shared" si="44"/>
        <v>10</v>
      </c>
      <c r="W117" s="125">
        <f t="shared" si="44"/>
        <v>200</v>
      </c>
      <c r="X117" s="125">
        <f t="shared" si="44"/>
        <v>10</v>
      </c>
      <c r="Y117" s="125">
        <f t="shared" si="44"/>
        <v>200</v>
      </c>
      <c r="Z117" s="125">
        <f t="shared" si="44"/>
        <v>10</v>
      </c>
      <c r="AA117" s="125">
        <f t="shared" si="44"/>
        <v>200</v>
      </c>
      <c r="AB117" s="125">
        <f t="shared" si="44"/>
        <v>10</v>
      </c>
      <c r="AC117" s="125">
        <f t="shared" si="44"/>
        <v>200</v>
      </c>
      <c r="AD117" s="119">
        <f t="shared" si="44"/>
        <v>40</v>
      </c>
      <c r="AE117" s="126">
        <f>Арм_Анкеровка(I117,J117,$AG$3,$AH$3)</f>
        <v>415</v>
      </c>
      <c r="AF117" s="66">
        <f>Арм_Нахлёст(I117,J117,$AG$3,$AH$3)</f>
        <v>500</v>
      </c>
      <c r="AG117" s="66" t="str">
        <f>AG116</f>
        <v>В25</v>
      </c>
      <c r="AH117" s="66">
        <f>AH116</f>
        <v>1</v>
      </c>
    </row>
    <row r="118" spans="1:35" ht="17.25" thickTop="1" thickBot="1" x14ac:dyDescent="0.3">
      <c r="A118" s="119" t="str">
        <f>A117</f>
        <v>Пс8.4.2</v>
      </c>
      <c r="B118" s="119">
        <v>2</v>
      </c>
      <c r="C118" s="46" t="s">
        <v>2884</v>
      </c>
      <c r="D118" s="119">
        <f>Y117</f>
        <v>200</v>
      </c>
      <c r="E118" s="127">
        <f>IF(Q118&lt;=150,0,(ROUNDUP(O118/Y118,0)))</f>
        <v>0</v>
      </c>
      <c r="F118" s="119"/>
      <c r="G118" s="119"/>
      <c r="H118" s="127">
        <f>Арм_Элемент_П(AF118, (Q118-2*AD118), I118, J118)</f>
        <v>1050</v>
      </c>
      <c r="I118" s="121">
        <f>X118</f>
        <v>10</v>
      </c>
      <c r="J118" s="46" t="s">
        <v>2</v>
      </c>
      <c r="K118" s="128"/>
      <c r="L118" s="119"/>
      <c r="M118" s="124">
        <f t="shared" ref="M118:AD129" si="45">M117</f>
        <v>0</v>
      </c>
      <c r="N118" s="125" t="str">
        <f t="shared" si="45"/>
        <v>Пс8.4.2</v>
      </c>
      <c r="O118" s="125">
        <f t="shared" si="45"/>
        <v>7400</v>
      </c>
      <c r="P118" s="125">
        <f t="shared" si="45"/>
        <v>1600</v>
      </c>
      <c r="Q118" s="125">
        <f t="shared" si="45"/>
        <v>150</v>
      </c>
      <c r="R118" s="125">
        <f t="shared" si="45"/>
        <v>1100</v>
      </c>
      <c r="S118" s="125">
        <f t="shared" si="45"/>
        <v>300</v>
      </c>
      <c r="T118" s="125">
        <f t="shared" si="45"/>
        <v>650</v>
      </c>
      <c r="U118" s="125">
        <f t="shared" si="45"/>
        <v>200</v>
      </c>
      <c r="V118" s="125">
        <f t="shared" si="45"/>
        <v>10</v>
      </c>
      <c r="W118" s="125">
        <f t="shared" si="45"/>
        <v>200</v>
      </c>
      <c r="X118" s="125">
        <f t="shared" si="45"/>
        <v>10</v>
      </c>
      <c r="Y118" s="125">
        <f t="shared" si="45"/>
        <v>200</v>
      </c>
      <c r="Z118" s="125">
        <f t="shared" si="45"/>
        <v>10</v>
      </c>
      <c r="AA118" s="125">
        <f t="shared" si="45"/>
        <v>200</v>
      </c>
      <c r="AB118" s="125">
        <f t="shared" si="45"/>
        <v>10</v>
      </c>
      <c r="AC118" s="125">
        <f t="shared" si="45"/>
        <v>200</v>
      </c>
      <c r="AD118" s="119">
        <f t="shared" si="45"/>
        <v>40</v>
      </c>
      <c r="AE118" s="126">
        <f t="shared" ref="AE118:AE129" si="46">Арм_Анкеровка(I118,J118,$AG$3,$AH$3)</f>
        <v>415</v>
      </c>
      <c r="AF118" s="66">
        <f t="shared" ref="AF118:AF129" si="47">Арм_Нахлёст(I118,J118,$AG$3,$AH$3)</f>
        <v>500</v>
      </c>
      <c r="AG118" s="66" t="str">
        <f t="shared" ref="AG118:AH129" si="48">AG117</f>
        <v>В25</v>
      </c>
      <c r="AH118" s="66">
        <f t="shared" si="48"/>
        <v>1</v>
      </c>
    </row>
    <row r="119" spans="1:35" ht="17.25" thickTop="1" thickBot="1" x14ac:dyDescent="0.3">
      <c r="A119" s="119" t="str">
        <f t="shared" ref="A119:A129" si="49">A118</f>
        <v>Пс8.4.2</v>
      </c>
      <c r="B119" s="119">
        <v>3</v>
      </c>
      <c r="C119" s="46" t="s">
        <v>2885</v>
      </c>
      <c r="D119" s="119">
        <f>W119</f>
        <v>200</v>
      </c>
      <c r="E119" s="127">
        <f>MROUND(2*P119/D119,2)</f>
        <v>16</v>
      </c>
      <c r="F119" s="119"/>
      <c r="G119" s="119"/>
      <c r="H119" s="127">
        <f>Арм_Элемент_П(AF119, (Q119-2*AD119), I119, J119)</f>
        <v>1070</v>
      </c>
      <c r="I119" s="121">
        <f>V119</f>
        <v>10</v>
      </c>
      <c r="J119" s="46" t="s">
        <v>2</v>
      </c>
      <c r="K119" s="128"/>
      <c r="L119" s="119"/>
      <c r="M119" s="124">
        <f t="shared" si="45"/>
        <v>0</v>
      </c>
      <c r="N119" s="125" t="str">
        <f t="shared" si="45"/>
        <v>Пс8.4.2</v>
      </c>
      <c r="O119" s="125">
        <f t="shared" si="45"/>
        <v>7400</v>
      </c>
      <c r="P119" s="125">
        <f t="shared" si="45"/>
        <v>1600</v>
      </c>
      <c r="Q119" s="125">
        <f t="shared" si="45"/>
        <v>150</v>
      </c>
      <c r="R119" s="125">
        <f t="shared" si="45"/>
        <v>1100</v>
      </c>
      <c r="S119" s="125">
        <f t="shared" si="45"/>
        <v>300</v>
      </c>
      <c r="T119" s="125">
        <f t="shared" si="45"/>
        <v>650</v>
      </c>
      <c r="U119" s="125">
        <f t="shared" si="45"/>
        <v>200</v>
      </c>
      <c r="V119" s="125">
        <f t="shared" si="45"/>
        <v>10</v>
      </c>
      <c r="W119" s="125">
        <f t="shared" si="45"/>
        <v>200</v>
      </c>
      <c r="X119" s="125">
        <f t="shared" si="45"/>
        <v>10</v>
      </c>
      <c r="Y119" s="125">
        <f t="shared" si="45"/>
        <v>200</v>
      </c>
      <c r="Z119" s="125">
        <f t="shared" si="45"/>
        <v>10</v>
      </c>
      <c r="AA119" s="125">
        <f t="shared" si="45"/>
        <v>200</v>
      </c>
      <c r="AB119" s="125">
        <f t="shared" si="45"/>
        <v>10</v>
      </c>
      <c r="AC119" s="125">
        <f t="shared" si="45"/>
        <v>200</v>
      </c>
      <c r="AD119" s="119">
        <v>30</v>
      </c>
      <c r="AE119" s="126">
        <f t="shared" si="46"/>
        <v>415</v>
      </c>
      <c r="AF119" s="66">
        <f t="shared" si="47"/>
        <v>500</v>
      </c>
      <c r="AG119" s="66" t="str">
        <f t="shared" si="48"/>
        <v>В25</v>
      </c>
      <c r="AH119" s="66">
        <f t="shared" si="48"/>
        <v>1</v>
      </c>
    </row>
    <row r="120" spans="1:35" ht="17.25" thickTop="1" thickBot="1" x14ac:dyDescent="0.3">
      <c r="A120" s="119" t="str">
        <f t="shared" si="49"/>
        <v>Пс8.4.2</v>
      </c>
      <c r="B120" s="119">
        <v>4</v>
      </c>
      <c r="C120" s="46" t="s">
        <v>2886</v>
      </c>
      <c r="D120" s="119">
        <f>Y120</f>
        <v>200</v>
      </c>
      <c r="E120" s="127">
        <f>ROUNDUP(O120/Y120,0)*2</f>
        <v>74</v>
      </c>
      <c r="F120" s="119"/>
      <c r="G120" s="119"/>
      <c r="H120" s="127">
        <f>IF(P120&lt;=3000, (IF(Q120&lt;=150,(P120-25+AE120+Q120-(35+V120)),(P120-25+AE120))), (P120-25))</f>
        <v>2095</v>
      </c>
      <c r="I120" s="121">
        <f>X120</f>
        <v>10</v>
      </c>
      <c r="J120" s="46" t="s">
        <v>2</v>
      </c>
      <c r="K120" s="128"/>
      <c r="L120" s="119"/>
      <c r="M120" s="124">
        <f t="shared" si="45"/>
        <v>0</v>
      </c>
      <c r="N120" s="125" t="str">
        <f t="shared" si="45"/>
        <v>Пс8.4.2</v>
      </c>
      <c r="O120" s="125">
        <f t="shared" si="45"/>
        <v>7400</v>
      </c>
      <c r="P120" s="125">
        <f t="shared" si="45"/>
        <v>1600</v>
      </c>
      <c r="Q120" s="125">
        <f t="shared" si="45"/>
        <v>150</v>
      </c>
      <c r="R120" s="125">
        <f t="shared" si="45"/>
        <v>1100</v>
      </c>
      <c r="S120" s="125">
        <f t="shared" si="45"/>
        <v>300</v>
      </c>
      <c r="T120" s="125">
        <f t="shared" si="45"/>
        <v>650</v>
      </c>
      <c r="U120" s="125">
        <f t="shared" si="45"/>
        <v>200</v>
      </c>
      <c r="V120" s="125">
        <f t="shared" si="45"/>
        <v>10</v>
      </c>
      <c r="W120" s="125">
        <f t="shared" si="45"/>
        <v>200</v>
      </c>
      <c r="X120" s="125">
        <f t="shared" si="45"/>
        <v>10</v>
      </c>
      <c r="Y120" s="125">
        <f t="shared" si="45"/>
        <v>200</v>
      </c>
      <c r="Z120" s="125">
        <f t="shared" si="45"/>
        <v>10</v>
      </c>
      <c r="AA120" s="125">
        <f t="shared" si="45"/>
        <v>200</v>
      </c>
      <c r="AB120" s="125">
        <f t="shared" si="45"/>
        <v>10</v>
      </c>
      <c r="AC120" s="125">
        <f t="shared" si="45"/>
        <v>200</v>
      </c>
      <c r="AD120" s="119">
        <v>40</v>
      </c>
      <c r="AE120" s="126">
        <f t="shared" si="46"/>
        <v>415</v>
      </c>
      <c r="AF120" s="66">
        <f t="shared" si="47"/>
        <v>500</v>
      </c>
      <c r="AG120" s="66" t="str">
        <f t="shared" si="48"/>
        <v>В25</v>
      </c>
      <c r="AH120" s="66">
        <f t="shared" si="48"/>
        <v>1</v>
      </c>
    </row>
    <row r="121" spans="1:35" ht="17.25" thickTop="1" thickBot="1" x14ac:dyDescent="0.3">
      <c r="A121" s="119" t="str">
        <f t="shared" si="49"/>
        <v>Пс8.4.2</v>
      </c>
      <c r="B121" s="119">
        <v>5</v>
      </c>
      <c r="C121" s="46" t="s">
        <v>2887</v>
      </c>
      <c r="D121" s="119">
        <v>400</v>
      </c>
      <c r="E121" s="127">
        <f>ROUNDUP((13*(O121*P121/1000000)),0)</f>
        <v>154</v>
      </c>
      <c r="F121" s="119"/>
      <c r="G121" s="119"/>
      <c r="H121" s="127">
        <f>Q121-AD121*2+150</f>
        <v>220</v>
      </c>
      <c r="I121" s="121">
        <v>6</v>
      </c>
      <c r="J121" s="46" t="s">
        <v>2</v>
      </c>
      <c r="K121" s="128"/>
      <c r="L121" s="119"/>
      <c r="M121" s="124">
        <f t="shared" si="45"/>
        <v>0</v>
      </c>
      <c r="N121" s="125" t="str">
        <f t="shared" si="45"/>
        <v>Пс8.4.2</v>
      </c>
      <c r="O121" s="125">
        <f t="shared" si="45"/>
        <v>7400</v>
      </c>
      <c r="P121" s="125">
        <f t="shared" si="45"/>
        <v>1600</v>
      </c>
      <c r="Q121" s="125">
        <f t="shared" si="45"/>
        <v>150</v>
      </c>
      <c r="R121" s="125">
        <f t="shared" si="45"/>
        <v>1100</v>
      </c>
      <c r="S121" s="125">
        <f t="shared" si="45"/>
        <v>300</v>
      </c>
      <c r="T121" s="125">
        <f t="shared" si="45"/>
        <v>650</v>
      </c>
      <c r="U121" s="125">
        <f t="shared" si="45"/>
        <v>200</v>
      </c>
      <c r="V121" s="125">
        <f t="shared" si="45"/>
        <v>10</v>
      </c>
      <c r="W121" s="125">
        <f t="shared" si="45"/>
        <v>200</v>
      </c>
      <c r="X121" s="125">
        <f t="shared" si="45"/>
        <v>10</v>
      </c>
      <c r="Y121" s="125">
        <f t="shared" si="45"/>
        <v>200</v>
      </c>
      <c r="Z121" s="125">
        <f t="shared" si="45"/>
        <v>10</v>
      </c>
      <c r="AA121" s="125">
        <f t="shared" si="45"/>
        <v>200</v>
      </c>
      <c r="AB121" s="125">
        <f t="shared" si="45"/>
        <v>10</v>
      </c>
      <c r="AC121" s="125">
        <f t="shared" si="45"/>
        <v>200</v>
      </c>
      <c r="AD121" s="119">
        <f t="shared" si="45"/>
        <v>40</v>
      </c>
      <c r="AE121" s="126">
        <f t="shared" si="46"/>
        <v>250</v>
      </c>
      <c r="AF121" s="66">
        <f t="shared" si="47"/>
        <v>300</v>
      </c>
      <c r="AG121" s="66" t="str">
        <f t="shared" si="48"/>
        <v>В25</v>
      </c>
      <c r="AH121" s="66">
        <f t="shared" si="48"/>
        <v>1</v>
      </c>
    </row>
    <row r="122" spans="1:35" ht="17.25" thickTop="1" thickBot="1" x14ac:dyDescent="0.3">
      <c r="A122" s="119" t="str">
        <f t="shared" si="49"/>
        <v>Пс8.4.2</v>
      </c>
      <c r="B122" s="119">
        <v>6</v>
      </c>
      <c r="C122" s="46" t="s">
        <v>2888</v>
      </c>
      <c r="D122" s="119">
        <f>AA122</f>
        <v>200</v>
      </c>
      <c r="E122" s="127">
        <f>IF(R122&lt;=2000,(ROUNDUP(O122/D122,0)),(ROUNDUP(O122/D122,0)))</f>
        <v>37</v>
      </c>
      <c r="F122" s="119"/>
      <c r="G122" s="119"/>
      <c r="H122" s="127">
        <f>R122-50</f>
        <v>1050</v>
      </c>
      <c r="I122" s="121">
        <f>Z122</f>
        <v>10</v>
      </c>
      <c r="J122" s="46" t="s">
        <v>2</v>
      </c>
      <c r="K122" s="128"/>
      <c r="L122" s="119"/>
      <c r="M122" s="124">
        <f t="shared" si="45"/>
        <v>0</v>
      </c>
      <c r="N122" s="125" t="str">
        <f t="shared" si="45"/>
        <v>Пс8.4.2</v>
      </c>
      <c r="O122" s="125">
        <f t="shared" si="45"/>
        <v>7400</v>
      </c>
      <c r="P122" s="125">
        <f t="shared" si="45"/>
        <v>1600</v>
      </c>
      <c r="Q122" s="125">
        <f t="shared" si="45"/>
        <v>150</v>
      </c>
      <c r="R122" s="125">
        <f t="shared" si="45"/>
        <v>1100</v>
      </c>
      <c r="S122" s="125">
        <f t="shared" si="45"/>
        <v>300</v>
      </c>
      <c r="T122" s="125">
        <f t="shared" si="45"/>
        <v>650</v>
      </c>
      <c r="U122" s="125">
        <f t="shared" si="45"/>
        <v>200</v>
      </c>
      <c r="V122" s="125">
        <f t="shared" si="45"/>
        <v>10</v>
      </c>
      <c r="W122" s="125">
        <f t="shared" si="45"/>
        <v>200</v>
      </c>
      <c r="X122" s="125">
        <f t="shared" si="45"/>
        <v>10</v>
      </c>
      <c r="Y122" s="125">
        <f t="shared" si="45"/>
        <v>200</v>
      </c>
      <c r="Z122" s="125">
        <f t="shared" si="45"/>
        <v>10</v>
      </c>
      <c r="AA122" s="125">
        <f t="shared" si="45"/>
        <v>200</v>
      </c>
      <c r="AB122" s="125">
        <f t="shared" si="45"/>
        <v>10</v>
      </c>
      <c r="AC122" s="125">
        <f t="shared" si="45"/>
        <v>200</v>
      </c>
      <c r="AD122" s="119">
        <f t="shared" si="45"/>
        <v>40</v>
      </c>
      <c r="AE122" s="126">
        <f t="shared" si="46"/>
        <v>415</v>
      </c>
      <c r="AF122" s="66">
        <f t="shared" si="47"/>
        <v>500</v>
      </c>
      <c r="AG122" s="66" t="str">
        <f t="shared" si="48"/>
        <v>В25</v>
      </c>
      <c r="AH122" s="66">
        <f t="shared" si="48"/>
        <v>1</v>
      </c>
    </row>
    <row r="123" spans="1:35" ht="17.25" thickTop="1" thickBot="1" x14ac:dyDescent="0.3">
      <c r="A123" s="119" t="str">
        <f t="shared" si="49"/>
        <v>Пс8.4.2</v>
      </c>
      <c r="B123" s="119">
        <v>7</v>
      </c>
      <c r="C123" s="46" t="s">
        <v>2889</v>
      </c>
      <c r="D123" s="119">
        <f>AC123</f>
        <v>200</v>
      </c>
      <c r="E123" s="120">
        <f>IF(O123&lt;=5700, ROUNDUP(R123*2/AC123+1,0), 1)</f>
        <v>1</v>
      </c>
      <c r="F123" s="119"/>
      <c r="G123" s="119"/>
      <c r="H123" s="120">
        <f>IF(O123&lt;=5700, O123-50, K123)</f>
        <v>47560</v>
      </c>
      <c r="I123" s="121">
        <f>AB123</f>
        <v>10</v>
      </c>
      <c r="J123" s="46" t="s">
        <v>2</v>
      </c>
      <c r="K123" s="122">
        <f>Арм_ПоПлощади(O123*R123,AC123,AF123,$AI$3)</f>
        <v>47560</v>
      </c>
      <c r="L123" s="119"/>
      <c r="M123" s="124">
        <f t="shared" si="45"/>
        <v>0</v>
      </c>
      <c r="N123" s="125" t="str">
        <f t="shared" si="45"/>
        <v>Пс8.4.2</v>
      </c>
      <c r="O123" s="125">
        <f t="shared" si="45"/>
        <v>7400</v>
      </c>
      <c r="P123" s="125">
        <f t="shared" si="45"/>
        <v>1600</v>
      </c>
      <c r="Q123" s="125">
        <f t="shared" si="45"/>
        <v>150</v>
      </c>
      <c r="R123" s="125">
        <f t="shared" si="45"/>
        <v>1100</v>
      </c>
      <c r="S123" s="125">
        <f t="shared" si="45"/>
        <v>300</v>
      </c>
      <c r="T123" s="125">
        <f t="shared" si="45"/>
        <v>650</v>
      </c>
      <c r="U123" s="125">
        <f t="shared" si="45"/>
        <v>200</v>
      </c>
      <c r="V123" s="125">
        <f t="shared" si="45"/>
        <v>10</v>
      </c>
      <c r="W123" s="125">
        <f t="shared" si="45"/>
        <v>200</v>
      </c>
      <c r="X123" s="125">
        <f t="shared" si="45"/>
        <v>10</v>
      </c>
      <c r="Y123" s="125">
        <f t="shared" si="45"/>
        <v>200</v>
      </c>
      <c r="Z123" s="125">
        <f t="shared" si="45"/>
        <v>10</v>
      </c>
      <c r="AA123" s="125">
        <f t="shared" si="45"/>
        <v>200</v>
      </c>
      <c r="AB123" s="125">
        <f t="shared" si="45"/>
        <v>10</v>
      </c>
      <c r="AC123" s="125">
        <f t="shared" si="45"/>
        <v>200</v>
      </c>
      <c r="AD123" s="119">
        <f t="shared" si="45"/>
        <v>40</v>
      </c>
      <c r="AE123" s="126">
        <f t="shared" si="46"/>
        <v>415</v>
      </c>
      <c r="AF123" s="66">
        <f t="shared" si="47"/>
        <v>500</v>
      </c>
      <c r="AG123" s="66" t="str">
        <f t="shared" si="48"/>
        <v>В25</v>
      </c>
      <c r="AH123" s="66">
        <f t="shared" si="48"/>
        <v>1</v>
      </c>
    </row>
    <row r="124" spans="1:35" ht="17.25" thickTop="1" thickBot="1" x14ac:dyDescent="0.3">
      <c r="A124" s="119" t="str">
        <f t="shared" si="49"/>
        <v>Пс8.4.2</v>
      </c>
      <c r="B124" s="119">
        <v>8</v>
      </c>
      <c r="C124" s="46" t="s">
        <v>2890</v>
      </c>
      <c r="D124" s="119">
        <f>AA124</f>
        <v>200</v>
      </c>
      <c r="E124" s="127">
        <f>IF(E129=0, (ROUNDUP(O124/D124,0)*2), 0)</f>
        <v>0</v>
      </c>
      <c r="F124" s="119"/>
      <c r="G124" s="119"/>
      <c r="H124" s="127">
        <f>Арм_Элемент_П(AF124, (U124-2*AD124), I124, J124)</f>
        <v>1120</v>
      </c>
      <c r="I124" s="121">
        <f>Z124</f>
        <v>10</v>
      </c>
      <c r="J124" s="46" t="s">
        <v>2</v>
      </c>
      <c r="K124" s="128"/>
      <c r="L124" s="119"/>
      <c r="M124" s="124">
        <f t="shared" si="45"/>
        <v>0</v>
      </c>
      <c r="N124" s="125" t="str">
        <f t="shared" si="45"/>
        <v>Пс8.4.2</v>
      </c>
      <c r="O124" s="125">
        <f t="shared" si="45"/>
        <v>7400</v>
      </c>
      <c r="P124" s="125">
        <f t="shared" si="45"/>
        <v>1600</v>
      </c>
      <c r="Q124" s="125">
        <f t="shared" si="45"/>
        <v>150</v>
      </c>
      <c r="R124" s="125">
        <f t="shared" si="45"/>
        <v>1100</v>
      </c>
      <c r="S124" s="125">
        <f t="shared" si="45"/>
        <v>300</v>
      </c>
      <c r="T124" s="125">
        <f t="shared" si="45"/>
        <v>650</v>
      </c>
      <c r="U124" s="125">
        <f t="shared" si="45"/>
        <v>200</v>
      </c>
      <c r="V124" s="125">
        <f t="shared" si="45"/>
        <v>10</v>
      </c>
      <c r="W124" s="125">
        <f t="shared" si="45"/>
        <v>200</v>
      </c>
      <c r="X124" s="125">
        <f t="shared" si="45"/>
        <v>10</v>
      </c>
      <c r="Y124" s="125">
        <f t="shared" si="45"/>
        <v>200</v>
      </c>
      <c r="Z124" s="125">
        <f t="shared" si="45"/>
        <v>10</v>
      </c>
      <c r="AA124" s="125">
        <f t="shared" si="45"/>
        <v>200</v>
      </c>
      <c r="AB124" s="125">
        <f t="shared" si="45"/>
        <v>10</v>
      </c>
      <c r="AC124" s="125">
        <f t="shared" si="45"/>
        <v>200</v>
      </c>
      <c r="AD124" s="119">
        <v>30</v>
      </c>
      <c r="AE124" s="126">
        <f t="shared" si="46"/>
        <v>415</v>
      </c>
      <c r="AF124" s="66">
        <f t="shared" si="47"/>
        <v>500</v>
      </c>
      <c r="AG124" s="66" t="str">
        <f t="shared" si="48"/>
        <v>В25</v>
      </c>
      <c r="AH124" s="66">
        <f t="shared" si="48"/>
        <v>1</v>
      </c>
    </row>
    <row r="125" spans="1:35" ht="17.25" thickTop="1" thickBot="1" x14ac:dyDescent="0.3">
      <c r="A125" s="119" t="str">
        <f t="shared" si="49"/>
        <v>Пс8.4.2</v>
      </c>
      <c r="B125" s="119">
        <v>9</v>
      </c>
      <c r="C125" s="46" t="s">
        <v>2891</v>
      </c>
      <c r="D125" s="119">
        <f>AC125</f>
        <v>200</v>
      </c>
      <c r="E125" s="127">
        <f>MROUND(2*R125/AC125,2)</f>
        <v>12</v>
      </c>
      <c r="F125" s="119"/>
      <c r="G125" s="119"/>
      <c r="H125" s="127">
        <f>Арм_Элемент_П(AF125, (U125-2*AD125), I125, J125)</f>
        <v>1100</v>
      </c>
      <c r="I125" s="121">
        <f>AB125</f>
        <v>10</v>
      </c>
      <c r="J125" s="46" t="s">
        <v>2</v>
      </c>
      <c r="K125" s="128"/>
      <c r="L125" s="119"/>
      <c r="M125" s="124">
        <f t="shared" si="45"/>
        <v>0</v>
      </c>
      <c r="N125" s="125" t="str">
        <f t="shared" si="45"/>
        <v>Пс8.4.2</v>
      </c>
      <c r="O125" s="125">
        <f t="shared" si="45"/>
        <v>7400</v>
      </c>
      <c r="P125" s="125">
        <f t="shared" si="45"/>
        <v>1600</v>
      </c>
      <c r="Q125" s="125">
        <f t="shared" si="45"/>
        <v>150</v>
      </c>
      <c r="R125" s="125">
        <f t="shared" si="45"/>
        <v>1100</v>
      </c>
      <c r="S125" s="125">
        <f t="shared" si="45"/>
        <v>300</v>
      </c>
      <c r="T125" s="125">
        <f t="shared" si="45"/>
        <v>650</v>
      </c>
      <c r="U125" s="125">
        <f t="shared" si="45"/>
        <v>200</v>
      </c>
      <c r="V125" s="125">
        <f t="shared" si="45"/>
        <v>10</v>
      </c>
      <c r="W125" s="125">
        <f t="shared" si="45"/>
        <v>200</v>
      </c>
      <c r="X125" s="125">
        <f t="shared" si="45"/>
        <v>10</v>
      </c>
      <c r="Y125" s="125">
        <f t="shared" si="45"/>
        <v>200</v>
      </c>
      <c r="Z125" s="125">
        <f t="shared" si="45"/>
        <v>10</v>
      </c>
      <c r="AA125" s="125">
        <f t="shared" si="45"/>
        <v>200</v>
      </c>
      <c r="AB125" s="125">
        <f t="shared" si="45"/>
        <v>10</v>
      </c>
      <c r="AC125" s="125">
        <f t="shared" si="45"/>
        <v>200</v>
      </c>
      <c r="AD125" s="119">
        <v>40</v>
      </c>
      <c r="AE125" s="126">
        <f t="shared" si="46"/>
        <v>415</v>
      </c>
      <c r="AF125" s="66">
        <f t="shared" si="47"/>
        <v>500</v>
      </c>
      <c r="AG125" s="66" t="str">
        <f t="shared" si="48"/>
        <v>В25</v>
      </c>
      <c r="AH125" s="66">
        <f t="shared" si="48"/>
        <v>1</v>
      </c>
    </row>
    <row r="126" spans="1:35" ht="33" thickTop="1" thickBot="1" x14ac:dyDescent="0.3">
      <c r="A126" s="119" t="str">
        <f t="shared" si="49"/>
        <v>Пс8.4.2</v>
      </c>
      <c r="B126" s="119">
        <v>10</v>
      </c>
      <c r="C126" s="46" t="s">
        <v>2892</v>
      </c>
      <c r="D126" s="119">
        <f>Y126</f>
        <v>200</v>
      </c>
      <c r="E126" s="127">
        <f>ROUNDUP((IF(P126&lt;=3000,0,O126/Y126)),0)</f>
        <v>0</v>
      </c>
      <c r="F126" s="119"/>
      <c r="G126" s="119"/>
      <c r="H126" s="127">
        <f>IF(E126=0,0, (Арм_Округление(AE126+2*AF126)))</f>
        <v>0</v>
      </c>
      <c r="I126" s="121">
        <f>X126</f>
        <v>10</v>
      </c>
      <c r="J126" s="46" t="s">
        <v>2</v>
      </c>
      <c r="K126" s="128"/>
      <c r="L126" s="119"/>
      <c r="M126" s="124">
        <f t="shared" si="45"/>
        <v>0</v>
      </c>
      <c r="N126" s="125" t="str">
        <f t="shared" si="45"/>
        <v>Пс8.4.2</v>
      </c>
      <c r="O126" s="125">
        <f t="shared" si="45"/>
        <v>7400</v>
      </c>
      <c r="P126" s="125">
        <f t="shared" si="45"/>
        <v>1600</v>
      </c>
      <c r="Q126" s="125">
        <f t="shared" si="45"/>
        <v>150</v>
      </c>
      <c r="R126" s="125">
        <f t="shared" si="45"/>
        <v>1100</v>
      </c>
      <c r="S126" s="125">
        <f t="shared" si="45"/>
        <v>300</v>
      </c>
      <c r="T126" s="125">
        <f t="shared" si="45"/>
        <v>650</v>
      </c>
      <c r="U126" s="125">
        <f t="shared" si="45"/>
        <v>200</v>
      </c>
      <c r="V126" s="125">
        <f t="shared" si="45"/>
        <v>10</v>
      </c>
      <c r="W126" s="125">
        <f t="shared" si="45"/>
        <v>200</v>
      </c>
      <c r="X126" s="125">
        <f t="shared" si="45"/>
        <v>10</v>
      </c>
      <c r="Y126" s="125">
        <f t="shared" si="45"/>
        <v>200</v>
      </c>
      <c r="Z126" s="125">
        <f t="shared" si="45"/>
        <v>10</v>
      </c>
      <c r="AA126" s="125">
        <f t="shared" si="45"/>
        <v>200</v>
      </c>
      <c r="AB126" s="125">
        <f t="shared" si="45"/>
        <v>10</v>
      </c>
      <c r="AC126" s="125">
        <f t="shared" si="45"/>
        <v>200</v>
      </c>
      <c r="AD126" s="119">
        <f t="shared" si="45"/>
        <v>40</v>
      </c>
      <c r="AE126" s="126">
        <f t="shared" si="46"/>
        <v>415</v>
      </c>
      <c r="AF126" s="66">
        <f t="shared" si="47"/>
        <v>500</v>
      </c>
      <c r="AG126" s="66" t="str">
        <f t="shared" si="48"/>
        <v>В25</v>
      </c>
      <c r="AH126" s="66">
        <f t="shared" si="48"/>
        <v>1</v>
      </c>
    </row>
    <row r="127" spans="1:35" ht="33" thickTop="1" thickBot="1" x14ac:dyDescent="0.3">
      <c r="A127" s="119" t="str">
        <f t="shared" si="49"/>
        <v>Пс8.4.2</v>
      </c>
      <c r="B127" s="119">
        <v>11</v>
      </c>
      <c r="C127" s="46" t="s">
        <v>2893</v>
      </c>
      <c r="D127" s="119">
        <f>Y127</f>
        <v>200</v>
      </c>
      <c r="E127" s="127">
        <f>ROUNDUP((IF(P127&lt;=3000,0,O127/Y127)),0)</f>
        <v>0</v>
      </c>
      <c r="F127" s="119"/>
      <c r="G127" s="119"/>
      <c r="H127" s="127">
        <f>IF(E127=0,0, (Арм_Округление(AE127+AF127)))</f>
        <v>0</v>
      </c>
      <c r="I127" s="121">
        <f>X127</f>
        <v>10</v>
      </c>
      <c r="J127" s="46" t="s">
        <v>2</v>
      </c>
      <c r="K127" s="128"/>
      <c r="L127" s="119"/>
      <c r="M127" s="124">
        <f t="shared" si="45"/>
        <v>0</v>
      </c>
      <c r="N127" s="125" t="str">
        <f t="shared" si="45"/>
        <v>Пс8.4.2</v>
      </c>
      <c r="O127" s="125">
        <f t="shared" si="45"/>
        <v>7400</v>
      </c>
      <c r="P127" s="125">
        <f t="shared" si="45"/>
        <v>1600</v>
      </c>
      <c r="Q127" s="125">
        <f t="shared" si="45"/>
        <v>150</v>
      </c>
      <c r="R127" s="125">
        <f t="shared" si="45"/>
        <v>1100</v>
      </c>
      <c r="S127" s="125">
        <f t="shared" si="45"/>
        <v>300</v>
      </c>
      <c r="T127" s="125">
        <f t="shared" si="45"/>
        <v>650</v>
      </c>
      <c r="U127" s="125">
        <f t="shared" si="45"/>
        <v>200</v>
      </c>
      <c r="V127" s="125">
        <f t="shared" si="45"/>
        <v>10</v>
      </c>
      <c r="W127" s="125">
        <f t="shared" si="45"/>
        <v>200</v>
      </c>
      <c r="X127" s="125">
        <f t="shared" si="45"/>
        <v>10</v>
      </c>
      <c r="Y127" s="125">
        <f t="shared" si="45"/>
        <v>200</v>
      </c>
      <c r="Z127" s="125">
        <f t="shared" si="45"/>
        <v>10</v>
      </c>
      <c r="AA127" s="125">
        <f t="shared" si="45"/>
        <v>200</v>
      </c>
      <c r="AB127" s="125">
        <f t="shared" si="45"/>
        <v>10</v>
      </c>
      <c r="AC127" s="125">
        <f t="shared" si="45"/>
        <v>200</v>
      </c>
      <c r="AD127" s="119">
        <f t="shared" si="45"/>
        <v>40</v>
      </c>
      <c r="AE127" s="126">
        <f t="shared" si="46"/>
        <v>415</v>
      </c>
      <c r="AF127" s="66">
        <f t="shared" si="47"/>
        <v>500</v>
      </c>
      <c r="AG127" s="66" t="str">
        <f t="shared" si="48"/>
        <v>В25</v>
      </c>
      <c r="AH127" s="66">
        <f t="shared" si="48"/>
        <v>1</v>
      </c>
    </row>
    <row r="128" spans="1:35" ht="17.25" thickTop="1" thickBot="1" x14ac:dyDescent="0.3">
      <c r="A128" s="119" t="str">
        <f t="shared" si="49"/>
        <v>Пс8.4.2</v>
      </c>
      <c r="B128" s="119">
        <v>12</v>
      </c>
      <c r="C128" s="46" t="s">
        <v>2894</v>
      </c>
      <c r="D128" s="119">
        <f>W127</f>
        <v>200</v>
      </c>
      <c r="E128" s="127">
        <f>IF(M128=0, 0, M128*2*ROUNDUP((P128/W128),0))</f>
        <v>0</v>
      </c>
      <c r="F128" s="119"/>
      <c r="G128" s="119"/>
      <c r="H128" s="127">
        <f>IF(M128=0, 0, AF128*2)</f>
        <v>0</v>
      </c>
      <c r="I128" s="121">
        <f>V128</f>
        <v>10</v>
      </c>
      <c r="J128" s="46" t="s">
        <v>2</v>
      </c>
      <c r="K128" s="128"/>
      <c r="L128" s="119"/>
      <c r="M128" s="124">
        <f t="shared" si="45"/>
        <v>0</v>
      </c>
      <c r="N128" s="125" t="str">
        <f t="shared" si="45"/>
        <v>Пс8.4.2</v>
      </c>
      <c r="O128" s="125">
        <f t="shared" si="45"/>
        <v>7400</v>
      </c>
      <c r="P128" s="125">
        <f t="shared" si="45"/>
        <v>1600</v>
      </c>
      <c r="Q128" s="125">
        <f t="shared" si="45"/>
        <v>150</v>
      </c>
      <c r="R128" s="125">
        <f t="shared" si="45"/>
        <v>1100</v>
      </c>
      <c r="S128" s="125">
        <f t="shared" si="45"/>
        <v>300</v>
      </c>
      <c r="T128" s="125">
        <f t="shared" si="45"/>
        <v>650</v>
      </c>
      <c r="U128" s="125">
        <f t="shared" si="45"/>
        <v>200</v>
      </c>
      <c r="V128" s="125">
        <f t="shared" si="45"/>
        <v>10</v>
      </c>
      <c r="W128" s="125">
        <f t="shared" si="45"/>
        <v>200</v>
      </c>
      <c r="X128" s="125">
        <f t="shared" si="45"/>
        <v>10</v>
      </c>
      <c r="Y128" s="125">
        <f t="shared" si="45"/>
        <v>200</v>
      </c>
      <c r="Z128" s="125">
        <f t="shared" si="45"/>
        <v>10</v>
      </c>
      <c r="AA128" s="125">
        <f t="shared" si="45"/>
        <v>200</v>
      </c>
      <c r="AB128" s="125">
        <f t="shared" si="45"/>
        <v>10</v>
      </c>
      <c r="AC128" s="125">
        <f t="shared" si="45"/>
        <v>200</v>
      </c>
      <c r="AD128" s="119">
        <f t="shared" si="45"/>
        <v>40</v>
      </c>
      <c r="AE128" s="126">
        <f t="shared" si="46"/>
        <v>415</v>
      </c>
      <c r="AF128" s="66">
        <f t="shared" si="47"/>
        <v>500</v>
      </c>
      <c r="AG128" s="66" t="str">
        <f t="shared" si="48"/>
        <v>В25</v>
      </c>
      <c r="AH128" s="66">
        <f t="shared" si="48"/>
        <v>1</v>
      </c>
    </row>
    <row r="129" spans="1:35" ht="17.25" thickTop="1" thickBot="1" x14ac:dyDescent="0.3">
      <c r="A129" s="119" t="str">
        <f t="shared" si="49"/>
        <v>Пс8.4.2</v>
      </c>
      <c r="B129" s="119">
        <v>13</v>
      </c>
      <c r="C129" s="46" t="s">
        <v>2895</v>
      </c>
      <c r="D129" s="119">
        <f>W128</f>
        <v>200</v>
      </c>
      <c r="E129" s="127">
        <f>IF(R129&lt;=2000,(ROUNDUP(O129/D129,0)),(0))</f>
        <v>37</v>
      </c>
      <c r="F129" s="119"/>
      <c r="G129" s="119"/>
      <c r="H129" s="127">
        <f>IF(R129&lt;=2000,(ROUNDUP(R129-2*40+2*(U129-40-AB129), -1)),(0))</f>
        <v>1320</v>
      </c>
      <c r="I129" s="121">
        <f>V129</f>
        <v>10</v>
      </c>
      <c r="J129" s="46" t="s">
        <v>2</v>
      </c>
      <c r="K129" s="128"/>
      <c r="L129" s="119"/>
      <c r="M129" s="124">
        <f t="shared" si="45"/>
        <v>0</v>
      </c>
      <c r="N129" s="125" t="str">
        <f t="shared" si="45"/>
        <v>Пс8.4.2</v>
      </c>
      <c r="O129" s="125">
        <f t="shared" si="45"/>
        <v>7400</v>
      </c>
      <c r="P129" s="125">
        <f t="shared" si="45"/>
        <v>1600</v>
      </c>
      <c r="Q129" s="125">
        <f t="shared" si="45"/>
        <v>150</v>
      </c>
      <c r="R129" s="125">
        <f t="shared" si="45"/>
        <v>1100</v>
      </c>
      <c r="S129" s="125">
        <f t="shared" si="45"/>
        <v>300</v>
      </c>
      <c r="T129" s="125">
        <f t="shared" si="45"/>
        <v>650</v>
      </c>
      <c r="U129" s="125">
        <f t="shared" si="45"/>
        <v>200</v>
      </c>
      <c r="V129" s="125">
        <f t="shared" si="45"/>
        <v>10</v>
      </c>
      <c r="W129" s="125">
        <f t="shared" si="45"/>
        <v>200</v>
      </c>
      <c r="X129" s="125">
        <f t="shared" si="45"/>
        <v>10</v>
      </c>
      <c r="Y129" s="125">
        <f t="shared" si="45"/>
        <v>200</v>
      </c>
      <c r="Z129" s="125">
        <f t="shared" si="45"/>
        <v>10</v>
      </c>
      <c r="AA129" s="125">
        <f t="shared" si="45"/>
        <v>200</v>
      </c>
      <c r="AB129" s="125">
        <f t="shared" si="45"/>
        <v>10</v>
      </c>
      <c r="AC129" s="125">
        <f t="shared" si="45"/>
        <v>200</v>
      </c>
      <c r="AD129" s="119">
        <f t="shared" si="45"/>
        <v>40</v>
      </c>
      <c r="AE129" s="126">
        <f t="shared" si="46"/>
        <v>415</v>
      </c>
      <c r="AF129" s="66">
        <f t="shared" si="47"/>
        <v>500</v>
      </c>
      <c r="AG129" s="66" t="str">
        <f t="shared" si="48"/>
        <v>В25</v>
      </c>
      <c r="AH129" s="66">
        <f t="shared" si="48"/>
        <v>1</v>
      </c>
    </row>
    <row r="130" spans="1:35" ht="15.75" thickTop="1" x14ac:dyDescent="0.25"/>
    <row r="133" spans="1:35" ht="15.75" thickBot="1" x14ac:dyDescent="0.3"/>
    <row r="134" spans="1:35" ht="91.5" thickTop="1" thickBot="1" x14ac:dyDescent="0.3">
      <c r="A134" s="133" t="s">
        <v>159</v>
      </c>
      <c r="B134" s="135" t="s">
        <v>160</v>
      </c>
      <c r="C134" s="135" t="s">
        <v>2750</v>
      </c>
      <c r="D134" s="135" t="s">
        <v>2856</v>
      </c>
      <c r="E134" s="138" t="s">
        <v>163</v>
      </c>
      <c r="F134" s="135" t="s">
        <v>2857</v>
      </c>
      <c r="G134" s="135" t="s">
        <v>2858</v>
      </c>
      <c r="H134" s="140" t="s">
        <v>166</v>
      </c>
      <c r="I134" s="141"/>
      <c r="J134" s="142"/>
      <c r="K134" s="143" t="s">
        <v>2859</v>
      </c>
      <c r="L134" s="143" t="s">
        <v>2860</v>
      </c>
      <c r="M134" s="146" t="s">
        <v>2861</v>
      </c>
      <c r="N134" s="107" t="s">
        <v>2714</v>
      </c>
      <c r="O134" s="108" t="s">
        <v>2862</v>
      </c>
      <c r="P134" s="109" t="s">
        <v>2863</v>
      </c>
      <c r="Q134" s="109" t="s">
        <v>2864</v>
      </c>
      <c r="R134" s="109" t="s">
        <v>2865</v>
      </c>
      <c r="S134" s="109" t="s">
        <v>2866</v>
      </c>
      <c r="T134" s="109" t="s">
        <v>2867</v>
      </c>
      <c r="U134" s="109" t="s">
        <v>2868</v>
      </c>
      <c r="V134" s="109" t="s">
        <v>2869</v>
      </c>
      <c r="W134" s="109" t="s">
        <v>2870</v>
      </c>
      <c r="X134" s="109" t="s">
        <v>2871</v>
      </c>
      <c r="Y134" s="109" t="s">
        <v>2872</v>
      </c>
      <c r="Z134" s="109" t="s">
        <v>2873</v>
      </c>
      <c r="AA134" s="109" t="s">
        <v>2874</v>
      </c>
      <c r="AB134" s="109" t="s">
        <v>2875</v>
      </c>
      <c r="AC134" s="110" t="s">
        <v>2876</v>
      </c>
      <c r="AD134" s="111" t="s">
        <v>2877</v>
      </c>
      <c r="AE134" s="143" t="s">
        <v>180</v>
      </c>
      <c r="AF134" s="131" t="s">
        <v>2878</v>
      </c>
      <c r="AG134" s="111" t="s">
        <v>2879</v>
      </c>
      <c r="AH134" s="111" t="s">
        <v>2880</v>
      </c>
      <c r="AI134" s="112" t="s">
        <v>2881</v>
      </c>
    </row>
    <row r="135" spans="1:35" ht="17.25" thickTop="1" thickBot="1" x14ac:dyDescent="0.3">
      <c r="A135" s="134"/>
      <c r="B135" s="136"/>
      <c r="C135" s="136"/>
      <c r="D135" s="137"/>
      <c r="E135" s="139"/>
      <c r="F135" s="137"/>
      <c r="G135" s="137"/>
      <c r="H135" s="113" t="s">
        <v>170</v>
      </c>
      <c r="I135" s="114" t="s">
        <v>171</v>
      </c>
      <c r="J135" s="115" t="s">
        <v>172</v>
      </c>
      <c r="K135" s="144"/>
      <c r="L135" s="145"/>
      <c r="M135" s="147"/>
      <c r="N135" s="116" t="str">
        <f>'[1]Исх.Таблица из архикада'!A10</f>
        <v>Пс8.4.3</v>
      </c>
      <c r="O135" s="116">
        <f>'[1]Исх.Таблица из архикада'!B10</f>
        <v>10830</v>
      </c>
      <c r="P135" s="116">
        <f>'[1]Исх.Таблица из архикада'!C10</f>
        <v>1600</v>
      </c>
      <c r="Q135" s="116">
        <f>'[1]Исх.Таблица из архикада'!D10</f>
        <v>150</v>
      </c>
      <c r="R135" s="116">
        <f>'[1]Исх.Таблица из архикада'!E10</f>
        <v>1100</v>
      </c>
      <c r="S135" s="116">
        <f>'[1]Исх.Таблица из архикада'!F10</f>
        <v>300</v>
      </c>
      <c r="T135" s="116">
        <f>'[1]Исх.Таблица из архикада'!G10</f>
        <v>650</v>
      </c>
      <c r="U135" s="116">
        <f>'[1]Исх.Таблица из архикада'!H10</f>
        <v>200</v>
      </c>
      <c r="V135" s="116">
        <f>'[1]Исх.Таблица из архикада'!I10</f>
        <v>10</v>
      </c>
      <c r="W135" s="116">
        <f>'[1]Исх.Таблица из архикада'!J10</f>
        <v>200</v>
      </c>
      <c r="X135" s="116">
        <f>'[1]Исх.Таблица из архикада'!K10</f>
        <v>10</v>
      </c>
      <c r="Y135" s="116">
        <f>'[1]Исх.Таблица из архикада'!L10</f>
        <v>200</v>
      </c>
      <c r="Z135" s="116">
        <f>'[1]Исх.Таблица из архикада'!M10</f>
        <v>10</v>
      </c>
      <c r="AA135" s="116">
        <f>'[1]Исх.Таблица из архикада'!N10</f>
        <v>200</v>
      </c>
      <c r="AB135" s="116">
        <f>'[1]Исх.Таблица из архикада'!O10</f>
        <v>10</v>
      </c>
      <c r="AC135" s="116">
        <f>'[1]Исх.Таблица из архикада'!P10</f>
        <v>200</v>
      </c>
      <c r="AD135" s="117">
        <v>40</v>
      </c>
      <c r="AE135" s="145"/>
      <c r="AF135" s="132"/>
      <c r="AG135" s="118" t="s">
        <v>2882</v>
      </c>
      <c r="AH135" s="118">
        <v>1</v>
      </c>
      <c r="AI135">
        <v>6000</v>
      </c>
    </row>
    <row r="136" spans="1:35" ht="17.25" thickTop="1" thickBot="1" x14ac:dyDescent="0.3">
      <c r="A136" s="119" t="str">
        <f>N135</f>
        <v>Пс8.4.3</v>
      </c>
      <c r="B136" s="119">
        <v>1</v>
      </c>
      <c r="C136" s="46" t="s">
        <v>2883</v>
      </c>
      <c r="D136" s="119">
        <f>W136</f>
        <v>200</v>
      </c>
      <c r="E136" s="120">
        <f>IF(O136&lt;=5700, ROUNDUP(P136*2/W136+1,0), 1)</f>
        <v>1</v>
      </c>
      <c r="F136" s="119">
        <f>ROUNDUP(((O136*R136*U136)*0.000000001+(O136*P136*Q136)*0.000000001),1)</f>
        <v>5</v>
      </c>
      <c r="G136" s="119">
        <f>ROUNDUP((0.1*(R136+200)*(O136)*0.000001),1)</f>
        <v>1.5</v>
      </c>
      <c r="H136" s="120">
        <f>IF(O136&lt;=5700, O136-50, K136)</f>
        <v>98810</v>
      </c>
      <c r="I136" s="121">
        <f>V136</f>
        <v>10</v>
      </c>
      <c r="J136" s="46" t="s">
        <v>2</v>
      </c>
      <c r="K136" s="122">
        <f>Арм_ПоПлощади(O136*P136,W136,AF136,$AI$3)</f>
        <v>98810</v>
      </c>
      <c r="L136" s="123">
        <f>IF(R136&lt;=2000,(0),(ROUNDUP(O136*R136*0.000001/1+SQRT(O136*R136*0.000001),0)))</f>
        <v>0</v>
      </c>
      <c r="M136" s="124">
        <v>0</v>
      </c>
      <c r="N136" s="125" t="str">
        <f>N135</f>
        <v>Пс8.4.3</v>
      </c>
      <c r="O136" s="125">
        <f t="shared" ref="O136:AD136" si="50">O135</f>
        <v>10830</v>
      </c>
      <c r="P136" s="125">
        <f t="shared" si="50"/>
        <v>1600</v>
      </c>
      <c r="Q136" s="125">
        <f t="shared" si="50"/>
        <v>150</v>
      </c>
      <c r="R136" s="125">
        <f t="shared" si="50"/>
        <v>1100</v>
      </c>
      <c r="S136" s="125">
        <f t="shared" si="50"/>
        <v>300</v>
      </c>
      <c r="T136" s="125">
        <f t="shared" si="50"/>
        <v>650</v>
      </c>
      <c r="U136" s="125">
        <f t="shared" si="50"/>
        <v>200</v>
      </c>
      <c r="V136" s="125">
        <f t="shared" si="50"/>
        <v>10</v>
      </c>
      <c r="W136" s="125">
        <f t="shared" si="50"/>
        <v>200</v>
      </c>
      <c r="X136" s="125">
        <f t="shared" si="50"/>
        <v>10</v>
      </c>
      <c r="Y136" s="125">
        <f t="shared" si="50"/>
        <v>200</v>
      </c>
      <c r="Z136" s="125">
        <f t="shared" si="50"/>
        <v>10</v>
      </c>
      <c r="AA136" s="125">
        <f t="shared" si="50"/>
        <v>200</v>
      </c>
      <c r="AB136" s="125">
        <f t="shared" si="50"/>
        <v>10</v>
      </c>
      <c r="AC136" s="125">
        <f t="shared" si="50"/>
        <v>200</v>
      </c>
      <c r="AD136" s="119">
        <f t="shared" si="50"/>
        <v>40</v>
      </c>
      <c r="AE136" s="126">
        <f>Арм_Анкеровка(I136,J136,$AG$3,$AH$3)</f>
        <v>415</v>
      </c>
      <c r="AF136" s="66">
        <f>Арм_Нахлёст(I136,J136,$AG$3,$AH$3)</f>
        <v>500</v>
      </c>
      <c r="AG136" s="66" t="str">
        <f>AG135</f>
        <v>В25</v>
      </c>
      <c r="AH136" s="66">
        <f>AH135</f>
        <v>1</v>
      </c>
    </row>
    <row r="137" spans="1:35" ht="17.25" thickTop="1" thickBot="1" x14ac:dyDescent="0.3">
      <c r="A137" s="119" t="str">
        <f>A136</f>
        <v>Пс8.4.3</v>
      </c>
      <c r="B137" s="119">
        <v>2</v>
      </c>
      <c r="C137" s="46" t="s">
        <v>2884</v>
      </c>
      <c r="D137" s="119">
        <f>Y136</f>
        <v>200</v>
      </c>
      <c r="E137" s="127">
        <f>IF(Q137&lt;=150,0,(ROUNDUP(O137/Y137,0)))</f>
        <v>0</v>
      </c>
      <c r="F137" s="119"/>
      <c r="G137" s="119"/>
      <c r="H137" s="127">
        <f>Арм_Элемент_П(AF137, (Q137-2*AD137), I137, J137)</f>
        <v>1050</v>
      </c>
      <c r="I137" s="121">
        <f>X137</f>
        <v>10</v>
      </c>
      <c r="J137" s="46" t="s">
        <v>2</v>
      </c>
      <c r="K137" s="128"/>
      <c r="L137" s="119"/>
      <c r="M137" s="124">
        <f t="shared" ref="M137:AD148" si="51">M136</f>
        <v>0</v>
      </c>
      <c r="N137" s="125" t="str">
        <f t="shared" si="51"/>
        <v>Пс8.4.3</v>
      </c>
      <c r="O137" s="125">
        <f t="shared" si="51"/>
        <v>10830</v>
      </c>
      <c r="P137" s="125">
        <f t="shared" si="51"/>
        <v>1600</v>
      </c>
      <c r="Q137" s="125">
        <f t="shared" si="51"/>
        <v>150</v>
      </c>
      <c r="R137" s="125">
        <f t="shared" si="51"/>
        <v>1100</v>
      </c>
      <c r="S137" s="125">
        <f t="shared" si="51"/>
        <v>300</v>
      </c>
      <c r="T137" s="125">
        <f t="shared" si="51"/>
        <v>650</v>
      </c>
      <c r="U137" s="125">
        <f t="shared" si="51"/>
        <v>200</v>
      </c>
      <c r="V137" s="125">
        <f t="shared" si="51"/>
        <v>10</v>
      </c>
      <c r="W137" s="125">
        <f t="shared" si="51"/>
        <v>200</v>
      </c>
      <c r="X137" s="125">
        <f t="shared" si="51"/>
        <v>10</v>
      </c>
      <c r="Y137" s="125">
        <f t="shared" si="51"/>
        <v>200</v>
      </c>
      <c r="Z137" s="125">
        <f t="shared" si="51"/>
        <v>10</v>
      </c>
      <c r="AA137" s="125">
        <f t="shared" si="51"/>
        <v>200</v>
      </c>
      <c r="AB137" s="125">
        <f t="shared" si="51"/>
        <v>10</v>
      </c>
      <c r="AC137" s="125">
        <f t="shared" si="51"/>
        <v>200</v>
      </c>
      <c r="AD137" s="119">
        <f t="shared" si="51"/>
        <v>40</v>
      </c>
      <c r="AE137" s="126">
        <f t="shared" ref="AE137:AE148" si="52">Арм_Анкеровка(I137,J137,$AG$3,$AH$3)</f>
        <v>415</v>
      </c>
      <c r="AF137" s="66">
        <f t="shared" ref="AF137:AF148" si="53">Арм_Нахлёст(I137,J137,$AG$3,$AH$3)</f>
        <v>500</v>
      </c>
      <c r="AG137" s="66" t="str">
        <f t="shared" ref="AG137:AH148" si="54">AG136</f>
        <v>В25</v>
      </c>
      <c r="AH137" s="66">
        <f t="shared" si="54"/>
        <v>1</v>
      </c>
    </row>
    <row r="138" spans="1:35" ht="17.25" thickTop="1" thickBot="1" x14ac:dyDescent="0.3">
      <c r="A138" s="119" t="str">
        <f t="shared" ref="A138:A147" si="55">A137</f>
        <v>Пс8.4.3</v>
      </c>
      <c r="B138" s="119">
        <v>3</v>
      </c>
      <c r="C138" s="46" t="s">
        <v>2885</v>
      </c>
      <c r="D138" s="119">
        <f>W138</f>
        <v>200</v>
      </c>
      <c r="E138" s="127">
        <f>MROUND(2*P138/D138,2)</f>
        <v>16</v>
      </c>
      <c r="F138" s="119"/>
      <c r="G138" s="119"/>
      <c r="H138" s="127">
        <f>Арм_Элемент_П(AF138, (Q138-2*AD138), I138, J138)</f>
        <v>1070</v>
      </c>
      <c r="I138" s="121">
        <f>V138</f>
        <v>10</v>
      </c>
      <c r="J138" s="46" t="s">
        <v>2</v>
      </c>
      <c r="K138" s="128"/>
      <c r="L138" s="119"/>
      <c r="M138" s="124">
        <f t="shared" si="51"/>
        <v>0</v>
      </c>
      <c r="N138" s="125" t="str">
        <f t="shared" si="51"/>
        <v>Пс8.4.3</v>
      </c>
      <c r="O138" s="125">
        <f t="shared" si="51"/>
        <v>10830</v>
      </c>
      <c r="P138" s="125">
        <f t="shared" si="51"/>
        <v>1600</v>
      </c>
      <c r="Q138" s="125">
        <f t="shared" si="51"/>
        <v>150</v>
      </c>
      <c r="R138" s="125">
        <f t="shared" si="51"/>
        <v>1100</v>
      </c>
      <c r="S138" s="125">
        <f t="shared" si="51"/>
        <v>300</v>
      </c>
      <c r="T138" s="125">
        <f t="shared" si="51"/>
        <v>650</v>
      </c>
      <c r="U138" s="125">
        <f t="shared" si="51"/>
        <v>200</v>
      </c>
      <c r="V138" s="125">
        <f t="shared" si="51"/>
        <v>10</v>
      </c>
      <c r="W138" s="125">
        <f t="shared" si="51"/>
        <v>200</v>
      </c>
      <c r="X138" s="125">
        <f t="shared" si="51"/>
        <v>10</v>
      </c>
      <c r="Y138" s="125">
        <f t="shared" si="51"/>
        <v>200</v>
      </c>
      <c r="Z138" s="125">
        <f t="shared" si="51"/>
        <v>10</v>
      </c>
      <c r="AA138" s="125">
        <f t="shared" si="51"/>
        <v>200</v>
      </c>
      <c r="AB138" s="125">
        <f t="shared" si="51"/>
        <v>10</v>
      </c>
      <c r="AC138" s="125">
        <f t="shared" si="51"/>
        <v>200</v>
      </c>
      <c r="AD138" s="119">
        <v>30</v>
      </c>
      <c r="AE138" s="126">
        <f t="shared" si="52"/>
        <v>415</v>
      </c>
      <c r="AF138" s="66">
        <f t="shared" si="53"/>
        <v>500</v>
      </c>
      <c r="AG138" s="66" t="str">
        <f t="shared" si="54"/>
        <v>В25</v>
      </c>
      <c r="AH138" s="66">
        <f t="shared" si="54"/>
        <v>1</v>
      </c>
    </row>
    <row r="139" spans="1:35" ht="17.25" thickTop="1" thickBot="1" x14ac:dyDescent="0.3">
      <c r="A139" s="119" t="str">
        <f t="shared" si="55"/>
        <v>Пс8.4.3</v>
      </c>
      <c r="B139" s="119">
        <v>4</v>
      </c>
      <c r="C139" s="46" t="s">
        <v>2886</v>
      </c>
      <c r="D139" s="119">
        <f>Y139</f>
        <v>200</v>
      </c>
      <c r="E139" s="127">
        <f>ROUNDUP(O139/Y139,0)*2</f>
        <v>110</v>
      </c>
      <c r="F139" s="119"/>
      <c r="G139" s="119"/>
      <c r="H139" s="127">
        <f>IF(P139&lt;=3000, (IF(Q139&lt;=150,(P139-25+AE139+Q139-(35+V139)),(P139-25+AE139))), (P139-25))</f>
        <v>2095</v>
      </c>
      <c r="I139" s="121">
        <f>X139</f>
        <v>10</v>
      </c>
      <c r="J139" s="46" t="s">
        <v>2</v>
      </c>
      <c r="K139" s="128"/>
      <c r="L139" s="119"/>
      <c r="M139" s="124">
        <f t="shared" si="51"/>
        <v>0</v>
      </c>
      <c r="N139" s="125" t="str">
        <f t="shared" si="51"/>
        <v>Пс8.4.3</v>
      </c>
      <c r="O139" s="125">
        <f t="shared" si="51"/>
        <v>10830</v>
      </c>
      <c r="P139" s="125">
        <f t="shared" si="51"/>
        <v>1600</v>
      </c>
      <c r="Q139" s="125">
        <f t="shared" si="51"/>
        <v>150</v>
      </c>
      <c r="R139" s="125">
        <f t="shared" si="51"/>
        <v>1100</v>
      </c>
      <c r="S139" s="125">
        <f t="shared" si="51"/>
        <v>300</v>
      </c>
      <c r="T139" s="125">
        <f t="shared" si="51"/>
        <v>650</v>
      </c>
      <c r="U139" s="125">
        <f t="shared" si="51"/>
        <v>200</v>
      </c>
      <c r="V139" s="125">
        <f t="shared" si="51"/>
        <v>10</v>
      </c>
      <c r="W139" s="125">
        <f t="shared" si="51"/>
        <v>200</v>
      </c>
      <c r="X139" s="125">
        <f t="shared" si="51"/>
        <v>10</v>
      </c>
      <c r="Y139" s="125">
        <f t="shared" si="51"/>
        <v>200</v>
      </c>
      <c r="Z139" s="125">
        <f t="shared" si="51"/>
        <v>10</v>
      </c>
      <c r="AA139" s="125">
        <f t="shared" si="51"/>
        <v>200</v>
      </c>
      <c r="AB139" s="125">
        <f t="shared" si="51"/>
        <v>10</v>
      </c>
      <c r="AC139" s="125">
        <f t="shared" si="51"/>
        <v>200</v>
      </c>
      <c r="AD139" s="119">
        <v>40</v>
      </c>
      <c r="AE139" s="126">
        <f t="shared" si="52"/>
        <v>415</v>
      </c>
      <c r="AF139" s="66">
        <f t="shared" si="53"/>
        <v>500</v>
      </c>
      <c r="AG139" s="66" t="str">
        <f t="shared" si="54"/>
        <v>В25</v>
      </c>
      <c r="AH139" s="66">
        <f t="shared" si="54"/>
        <v>1</v>
      </c>
    </row>
    <row r="140" spans="1:35" ht="17.25" thickTop="1" thickBot="1" x14ac:dyDescent="0.3">
      <c r="A140" s="119" t="str">
        <f t="shared" si="55"/>
        <v>Пс8.4.3</v>
      </c>
      <c r="B140" s="119">
        <v>5</v>
      </c>
      <c r="C140" s="46" t="s">
        <v>2887</v>
      </c>
      <c r="D140" s="119">
        <v>400</v>
      </c>
      <c r="E140" s="127">
        <f>ROUNDUP((13*(O140*P140/1000000)),0)</f>
        <v>226</v>
      </c>
      <c r="F140" s="119"/>
      <c r="G140" s="119"/>
      <c r="H140" s="127">
        <f>Q140-AD140*2+150</f>
        <v>220</v>
      </c>
      <c r="I140" s="121">
        <v>6</v>
      </c>
      <c r="J140" s="46" t="s">
        <v>2</v>
      </c>
      <c r="K140" s="128"/>
      <c r="L140" s="119"/>
      <c r="M140" s="124">
        <f t="shared" si="51"/>
        <v>0</v>
      </c>
      <c r="N140" s="125" t="str">
        <f t="shared" si="51"/>
        <v>Пс8.4.3</v>
      </c>
      <c r="O140" s="125">
        <f t="shared" si="51"/>
        <v>10830</v>
      </c>
      <c r="P140" s="125">
        <f t="shared" si="51"/>
        <v>1600</v>
      </c>
      <c r="Q140" s="125">
        <f t="shared" si="51"/>
        <v>150</v>
      </c>
      <c r="R140" s="125">
        <f t="shared" si="51"/>
        <v>1100</v>
      </c>
      <c r="S140" s="125">
        <f t="shared" si="51"/>
        <v>300</v>
      </c>
      <c r="T140" s="125">
        <f t="shared" si="51"/>
        <v>650</v>
      </c>
      <c r="U140" s="125">
        <f t="shared" si="51"/>
        <v>200</v>
      </c>
      <c r="V140" s="125">
        <f t="shared" si="51"/>
        <v>10</v>
      </c>
      <c r="W140" s="125">
        <f t="shared" si="51"/>
        <v>200</v>
      </c>
      <c r="X140" s="125">
        <f t="shared" si="51"/>
        <v>10</v>
      </c>
      <c r="Y140" s="125">
        <f t="shared" si="51"/>
        <v>200</v>
      </c>
      <c r="Z140" s="125">
        <f t="shared" si="51"/>
        <v>10</v>
      </c>
      <c r="AA140" s="125">
        <f t="shared" si="51"/>
        <v>200</v>
      </c>
      <c r="AB140" s="125">
        <f t="shared" si="51"/>
        <v>10</v>
      </c>
      <c r="AC140" s="125">
        <f t="shared" si="51"/>
        <v>200</v>
      </c>
      <c r="AD140" s="119">
        <f t="shared" si="51"/>
        <v>40</v>
      </c>
      <c r="AE140" s="126">
        <f t="shared" si="52"/>
        <v>250</v>
      </c>
      <c r="AF140" s="66">
        <f t="shared" si="53"/>
        <v>300</v>
      </c>
      <c r="AG140" s="66" t="str">
        <f t="shared" si="54"/>
        <v>В25</v>
      </c>
      <c r="AH140" s="66">
        <f t="shared" si="54"/>
        <v>1</v>
      </c>
    </row>
    <row r="141" spans="1:35" ht="17.25" thickTop="1" thickBot="1" x14ac:dyDescent="0.3">
      <c r="A141" s="119" t="str">
        <f t="shared" si="55"/>
        <v>Пс8.4.3</v>
      </c>
      <c r="B141" s="119">
        <v>6</v>
      </c>
      <c r="C141" s="46" t="s">
        <v>2888</v>
      </c>
      <c r="D141" s="119">
        <f>AA141</f>
        <v>200</v>
      </c>
      <c r="E141" s="127">
        <f>IF(R141&lt;=2000,(ROUNDUP(O141/D141,0)),(ROUNDUP(O141/D141,0)))</f>
        <v>55</v>
      </c>
      <c r="F141" s="119"/>
      <c r="G141" s="119"/>
      <c r="H141" s="127">
        <f>R141-50</f>
        <v>1050</v>
      </c>
      <c r="I141" s="121">
        <f>Z141</f>
        <v>10</v>
      </c>
      <c r="J141" s="46" t="s">
        <v>2</v>
      </c>
      <c r="K141" s="128"/>
      <c r="L141" s="119"/>
      <c r="M141" s="124">
        <f t="shared" si="51"/>
        <v>0</v>
      </c>
      <c r="N141" s="125" t="str">
        <f t="shared" si="51"/>
        <v>Пс8.4.3</v>
      </c>
      <c r="O141" s="125">
        <f t="shared" si="51"/>
        <v>10830</v>
      </c>
      <c r="P141" s="125">
        <f t="shared" si="51"/>
        <v>1600</v>
      </c>
      <c r="Q141" s="125">
        <f t="shared" si="51"/>
        <v>150</v>
      </c>
      <c r="R141" s="125">
        <f t="shared" si="51"/>
        <v>1100</v>
      </c>
      <c r="S141" s="125">
        <f t="shared" si="51"/>
        <v>300</v>
      </c>
      <c r="T141" s="125">
        <f t="shared" si="51"/>
        <v>650</v>
      </c>
      <c r="U141" s="125">
        <f t="shared" si="51"/>
        <v>200</v>
      </c>
      <c r="V141" s="125">
        <f t="shared" si="51"/>
        <v>10</v>
      </c>
      <c r="W141" s="125">
        <f t="shared" si="51"/>
        <v>200</v>
      </c>
      <c r="X141" s="125">
        <f t="shared" si="51"/>
        <v>10</v>
      </c>
      <c r="Y141" s="125">
        <f t="shared" si="51"/>
        <v>200</v>
      </c>
      <c r="Z141" s="125">
        <f t="shared" si="51"/>
        <v>10</v>
      </c>
      <c r="AA141" s="125">
        <f t="shared" si="51"/>
        <v>200</v>
      </c>
      <c r="AB141" s="125">
        <f t="shared" si="51"/>
        <v>10</v>
      </c>
      <c r="AC141" s="125">
        <f t="shared" si="51"/>
        <v>200</v>
      </c>
      <c r="AD141" s="119">
        <f t="shared" si="51"/>
        <v>40</v>
      </c>
      <c r="AE141" s="126">
        <f t="shared" si="52"/>
        <v>415</v>
      </c>
      <c r="AF141" s="66">
        <f t="shared" si="53"/>
        <v>500</v>
      </c>
      <c r="AG141" s="66" t="str">
        <f t="shared" si="54"/>
        <v>В25</v>
      </c>
      <c r="AH141" s="66">
        <f t="shared" si="54"/>
        <v>1</v>
      </c>
    </row>
    <row r="142" spans="1:35" ht="17.25" thickTop="1" thickBot="1" x14ac:dyDescent="0.3">
      <c r="A142" s="119" t="str">
        <f t="shared" si="55"/>
        <v>Пс8.4.3</v>
      </c>
      <c r="B142" s="119">
        <v>7</v>
      </c>
      <c r="C142" s="46" t="s">
        <v>2889</v>
      </c>
      <c r="D142" s="119">
        <f>AC142</f>
        <v>200</v>
      </c>
      <c r="E142" s="120">
        <f>IF(O142&lt;=5700, ROUNDUP(R142*2/AC142+1,0), 1)</f>
        <v>1</v>
      </c>
      <c r="F142" s="119"/>
      <c r="G142" s="119"/>
      <c r="H142" s="120">
        <f>IF(O142&lt;=5700, O142-50, K142)</f>
        <v>68520</v>
      </c>
      <c r="I142" s="121">
        <f>AB142</f>
        <v>10</v>
      </c>
      <c r="J142" s="46" t="s">
        <v>2</v>
      </c>
      <c r="K142" s="122">
        <f>Арм_ПоПлощади(O142*R142,AC142,AF142,$AI$3)</f>
        <v>68520</v>
      </c>
      <c r="L142" s="119"/>
      <c r="M142" s="124">
        <f t="shared" si="51"/>
        <v>0</v>
      </c>
      <c r="N142" s="125" t="str">
        <f t="shared" si="51"/>
        <v>Пс8.4.3</v>
      </c>
      <c r="O142" s="125">
        <f t="shared" si="51"/>
        <v>10830</v>
      </c>
      <c r="P142" s="125">
        <f t="shared" si="51"/>
        <v>1600</v>
      </c>
      <c r="Q142" s="125">
        <f t="shared" si="51"/>
        <v>150</v>
      </c>
      <c r="R142" s="125">
        <f t="shared" si="51"/>
        <v>1100</v>
      </c>
      <c r="S142" s="125">
        <f t="shared" si="51"/>
        <v>300</v>
      </c>
      <c r="T142" s="125">
        <f t="shared" si="51"/>
        <v>650</v>
      </c>
      <c r="U142" s="125">
        <f t="shared" si="51"/>
        <v>200</v>
      </c>
      <c r="V142" s="125">
        <f t="shared" si="51"/>
        <v>10</v>
      </c>
      <c r="W142" s="125">
        <f t="shared" si="51"/>
        <v>200</v>
      </c>
      <c r="X142" s="125">
        <f t="shared" si="51"/>
        <v>10</v>
      </c>
      <c r="Y142" s="125">
        <f t="shared" si="51"/>
        <v>200</v>
      </c>
      <c r="Z142" s="125">
        <f t="shared" si="51"/>
        <v>10</v>
      </c>
      <c r="AA142" s="125">
        <f t="shared" si="51"/>
        <v>200</v>
      </c>
      <c r="AB142" s="125">
        <f t="shared" si="51"/>
        <v>10</v>
      </c>
      <c r="AC142" s="125">
        <f t="shared" si="51"/>
        <v>200</v>
      </c>
      <c r="AD142" s="119">
        <f t="shared" si="51"/>
        <v>40</v>
      </c>
      <c r="AE142" s="126">
        <f t="shared" si="52"/>
        <v>415</v>
      </c>
      <c r="AF142" s="66">
        <f t="shared" si="53"/>
        <v>500</v>
      </c>
      <c r="AG142" s="66" t="str">
        <f t="shared" si="54"/>
        <v>В25</v>
      </c>
      <c r="AH142" s="66">
        <f t="shared" si="54"/>
        <v>1</v>
      </c>
    </row>
    <row r="143" spans="1:35" ht="17.25" thickTop="1" thickBot="1" x14ac:dyDescent="0.3">
      <c r="A143" s="119" t="str">
        <f t="shared" si="55"/>
        <v>Пс8.4.3</v>
      </c>
      <c r="B143" s="119">
        <v>8</v>
      </c>
      <c r="C143" s="46" t="s">
        <v>2890</v>
      </c>
      <c r="D143" s="119">
        <f>AA143</f>
        <v>200</v>
      </c>
      <c r="E143" s="127">
        <f>IF(E148=0, (ROUNDUP(O143/D143,0)*2), 0)</f>
        <v>0</v>
      </c>
      <c r="F143" s="119"/>
      <c r="G143" s="119"/>
      <c r="H143" s="127">
        <f>Арм_Элемент_П(AF143, (U143-2*AD143), I143, J143)</f>
        <v>1120</v>
      </c>
      <c r="I143" s="121">
        <f>Z143</f>
        <v>10</v>
      </c>
      <c r="J143" s="46" t="s">
        <v>2</v>
      </c>
      <c r="K143" s="128"/>
      <c r="L143" s="119"/>
      <c r="M143" s="124">
        <f t="shared" si="51"/>
        <v>0</v>
      </c>
      <c r="N143" s="125" t="str">
        <f t="shared" si="51"/>
        <v>Пс8.4.3</v>
      </c>
      <c r="O143" s="125">
        <f t="shared" si="51"/>
        <v>10830</v>
      </c>
      <c r="P143" s="125">
        <f t="shared" si="51"/>
        <v>1600</v>
      </c>
      <c r="Q143" s="125">
        <f t="shared" si="51"/>
        <v>150</v>
      </c>
      <c r="R143" s="125">
        <f t="shared" si="51"/>
        <v>1100</v>
      </c>
      <c r="S143" s="125">
        <f t="shared" si="51"/>
        <v>300</v>
      </c>
      <c r="T143" s="125">
        <f t="shared" si="51"/>
        <v>650</v>
      </c>
      <c r="U143" s="125">
        <f t="shared" si="51"/>
        <v>200</v>
      </c>
      <c r="V143" s="125">
        <f t="shared" si="51"/>
        <v>10</v>
      </c>
      <c r="W143" s="125">
        <f t="shared" si="51"/>
        <v>200</v>
      </c>
      <c r="X143" s="125">
        <f t="shared" si="51"/>
        <v>10</v>
      </c>
      <c r="Y143" s="125">
        <f t="shared" si="51"/>
        <v>200</v>
      </c>
      <c r="Z143" s="125">
        <f t="shared" si="51"/>
        <v>10</v>
      </c>
      <c r="AA143" s="125">
        <f t="shared" si="51"/>
        <v>200</v>
      </c>
      <c r="AB143" s="125">
        <f t="shared" si="51"/>
        <v>10</v>
      </c>
      <c r="AC143" s="125">
        <f t="shared" si="51"/>
        <v>200</v>
      </c>
      <c r="AD143" s="119">
        <v>30</v>
      </c>
      <c r="AE143" s="126">
        <f t="shared" si="52"/>
        <v>415</v>
      </c>
      <c r="AF143" s="66">
        <f t="shared" si="53"/>
        <v>500</v>
      </c>
      <c r="AG143" s="66" t="str">
        <f t="shared" si="54"/>
        <v>В25</v>
      </c>
      <c r="AH143" s="66">
        <f t="shared" si="54"/>
        <v>1</v>
      </c>
    </row>
    <row r="144" spans="1:35" ht="17.25" thickTop="1" thickBot="1" x14ac:dyDescent="0.3">
      <c r="A144" s="119" t="str">
        <f t="shared" si="55"/>
        <v>Пс8.4.3</v>
      </c>
      <c r="B144" s="119">
        <v>9</v>
      </c>
      <c r="C144" s="46" t="s">
        <v>2891</v>
      </c>
      <c r="D144" s="119">
        <f>AC144</f>
        <v>200</v>
      </c>
      <c r="E144" s="127">
        <f>MROUND(2*R144/AC144,2)</f>
        <v>12</v>
      </c>
      <c r="F144" s="119"/>
      <c r="G144" s="119"/>
      <c r="H144" s="127">
        <f>Арм_Элемент_П(AF144, (U144-2*AD144), I144, J144)</f>
        <v>1100</v>
      </c>
      <c r="I144" s="121">
        <f>AB144</f>
        <v>10</v>
      </c>
      <c r="J144" s="46" t="s">
        <v>2</v>
      </c>
      <c r="K144" s="128"/>
      <c r="L144" s="119"/>
      <c r="M144" s="124">
        <f t="shared" si="51"/>
        <v>0</v>
      </c>
      <c r="N144" s="125" t="str">
        <f t="shared" si="51"/>
        <v>Пс8.4.3</v>
      </c>
      <c r="O144" s="125">
        <f t="shared" si="51"/>
        <v>10830</v>
      </c>
      <c r="P144" s="125">
        <f t="shared" si="51"/>
        <v>1600</v>
      </c>
      <c r="Q144" s="125">
        <f t="shared" si="51"/>
        <v>150</v>
      </c>
      <c r="R144" s="125">
        <f t="shared" si="51"/>
        <v>1100</v>
      </c>
      <c r="S144" s="125">
        <f t="shared" si="51"/>
        <v>300</v>
      </c>
      <c r="T144" s="125">
        <f t="shared" si="51"/>
        <v>650</v>
      </c>
      <c r="U144" s="125">
        <f t="shared" si="51"/>
        <v>200</v>
      </c>
      <c r="V144" s="125">
        <f t="shared" si="51"/>
        <v>10</v>
      </c>
      <c r="W144" s="125">
        <f t="shared" si="51"/>
        <v>200</v>
      </c>
      <c r="X144" s="125">
        <f t="shared" si="51"/>
        <v>10</v>
      </c>
      <c r="Y144" s="125">
        <f t="shared" si="51"/>
        <v>200</v>
      </c>
      <c r="Z144" s="125">
        <f t="shared" si="51"/>
        <v>10</v>
      </c>
      <c r="AA144" s="125">
        <f t="shared" si="51"/>
        <v>200</v>
      </c>
      <c r="AB144" s="125">
        <f t="shared" si="51"/>
        <v>10</v>
      </c>
      <c r="AC144" s="125">
        <f t="shared" si="51"/>
        <v>200</v>
      </c>
      <c r="AD144" s="119">
        <v>40</v>
      </c>
      <c r="AE144" s="126">
        <f t="shared" si="52"/>
        <v>415</v>
      </c>
      <c r="AF144" s="66">
        <f t="shared" si="53"/>
        <v>500</v>
      </c>
      <c r="AG144" s="66" t="str">
        <f t="shared" si="54"/>
        <v>В25</v>
      </c>
      <c r="AH144" s="66">
        <f t="shared" si="54"/>
        <v>1</v>
      </c>
    </row>
    <row r="145" spans="1:35" ht="33" thickTop="1" thickBot="1" x14ac:dyDescent="0.3">
      <c r="A145" s="119" t="str">
        <f t="shared" si="55"/>
        <v>Пс8.4.3</v>
      </c>
      <c r="B145" s="119">
        <v>10</v>
      </c>
      <c r="C145" s="46" t="s">
        <v>2892</v>
      </c>
      <c r="D145" s="119">
        <f>Y145</f>
        <v>200</v>
      </c>
      <c r="E145" s="127">
        <f>ROUNDUP((IF(P145&lt;=3000,0,O145/Y145)),0)</f>
        <v>0</v>
      </c>
      <c r="F145" s="119"/>
      <c r="G145" s="119"/>
      <c r="H145" s="127">
        <f>IF(E145=0,0, (Арм_Округление(AE145+2*AF145)))</f>
        <v>0</v>
      </c>
      <c r="I145" s="121">
        <f>X145</f>
        <v>10</v>
      </c>
      <c r="J145" s="46" t="s">
        <v>2</v>
      </c>
      <c r="K145" s="128"/>
      <c r="L145" s="119"/>
      <c r="M145" s="124">
        <f t="shared" si="51"/>
        <v>0</v>
      </c>
      <c r="N145" s="125" t="str">
        <f t="shared" si="51"/>
        <v>Пс8.4.3</v>
      </c>
      <c r="O145" s="125">
        <f t="shared" si="51"/>
        <v>10830</v>
      </c>
      <c r="P145" s="125">
        <f t="shared" si="51"/>
        <v>1600</v>
      </c>
      <c r="Q145" s="125">
        <f t="shared" si="51"/>
        <v>150</v>
      </c>
      <c r="R145" s="125">
        <f t="shared" si="51"/>
        <v>1100</v>
      </c>
      <c r="S145" s="125">
        <f t="shared" si="51"/>
        <v>300</v>
      </c>
      <c r="T145" s="125">
        <f t="shared" si="51"/>
        <v>650</v>
      </c>
      <c r="U145" s="125">
        <f t="shared" si="51"/>
        <v>200</v>
      </c>
      <c r="V145" s="125">
        <f t="shared" si="51"/>
        <v>10</v>
      </c>
      <c r="W145" s="125">
        <f t="shared" si="51"/>
        <v>200</v>
      </c>
      <c r="X145" s="125">
        <f t="shared" si="51"/>
        <v>10</v>
      </c>
      <c r="Y145" s="125">
        <f t="shared" si="51"/>
        <v>200</v>
      </c>
      <c r="Z145" s="125">
        <f t="shared" si="51"/>
        <v>10</v>
      </c>
      <c r="AA145" s="125">
        <f t="shared" si="51"/>
        <v>200</v>
      </c>
      <c r="AB145" s="125">
        <f t="shared" si="51"/>
        <v>10</v>
      </c>
      <c r="AC145" s="125">
        <f t="shared" si="51"/>
        <v>200</v>
      </c>
      <c r="AD145" s="119">
        <f t="shared" si="51"/>
        <v>40</v>
      </c>
      <c r="AE145" s="126">
        <f t="shared" si="52"/>
        <v>415</v>
      </c>
      <c r="AF145" s="66">
        <f t="shared" si="53"/>
        <v>500</v>
      </c>
      <c r="AG145" s="66" t="str">
        <f t="shared" si="54"/>
        <v>В25</v>
      </c>
      <c r="AH145" s="66">
        <f t="shared" si="54"/>
        <v>1</v>
      </c>
    </row>
    <row r="146" spans="1:35" ht="33" thickTop="1" thickBot="1" x14ac:dyDescent="0.3">
      <c r="A146" s="119" t="str">
        <f t="shared" si="55"/>
        <v>Пс8.4.3</v>
      </c>
      <c r="B146" s="119">
        <v>11</v>
      </c>
      <c r="C146" s="46" t="s">
        <v>2893</v>
      </c>
      <c r="D146" s="119">
        <f>Y146</f>
        <v>200</v>
      </c>
      <c r="E146" s="127">
        <f>ROUNDUP((IF(P146&lt;=3000,0,O146/Y146)),0)</f>
        <v>0</v>
      </c>
      <c r="F146" s="119"/>
      <c r="G146" s="119"/>
      <c r="H146" s="127">
        <f>IF(E146=0,0, (Арм_Округление(AE146+AF146)))</f>
        <v>0</v>
      </c>
      <c r="I146" s="121">
        <f>X146</f>
        <v>10</v>
      </c>
      <c r="J146" s="46" t="s">
        <v>2</v>
      </c>
      <c r="K146" s="128"/>
      <c r="L146" s="119"/>
      <c r="M146" s="124">
        <f t="shared" si="51"/>
        <v>0</v>
      </c>
      <c r="N146" s="125" t="str">
        <f t="shared" si="51"/>
        <v>Пс8.4.3</v>
      </c>
      <c r="O146" s="125">
        <f t="shared" si="51"/>
        <v>10830</v>
      </c>
      <c r="P146" s="125">
        <f t="shared" si="51"/>
        <v>1600</v>
      </c>
      <c r="Q146" s="125">
        <f t="shared" si="51"/>
        <v>150</v>
      </c>
      <c r="R146" s="125">
        <f t="shared" si="51"/>
        <v>1100</v>
      </c>
      <c r="S146" s="125">
        <f t="shared" si="51"/>
        <v>300</v>
      </c>
      <c r="T146" s="125">
        <f t="shared" si="51"/>
        <v>650</v>
      </c>
      <c r="U146" s="125">
        <f t="shared" si="51"/>
        <v>200</v>
      </c>
      <c r="V146" s="125">
        <f t="shared" si="51"/>
        <v>10</v>
      </c>
      <c r="W146" s="125">
        <f t="shared" si="51"/>
        <v>200</v>
      </c>
      <c r="X146" s="125">
        <f t="shared" si="51"/>
        <v>10</v>
      </c>
      <c r="Y146" s="125">
        <f t="shared" si="51"/>
        <v>200</v>
      </c>
      <c r="Z146" s="125">
        <f t="shared" si="51"/>
        <v>10</v>
      </c>
      <c r="AA146" s="125">
        <f t="shared" si="51"/>
        <v>200</v>
      </c>
      <c r="AB146" s="125">
        <f t="shared" si="51"/>
        <v>10</v>
      </c>
      <c r="AC146" s="125">
        <f t="shared" si="51"/>
        <v>200</v>
      </c>
      <c r="AD146" s="119">
        <f t="shared" si="51"/>
        <v>40</v>
      </c>
      <c r="AE146" s="126">
        <f t="shared" si="52"/>
        <v>415</v>
      </c>
      <c r="AF146" s="66">
        <f t="shared" si="53"/>
        <v>500</v>
      </c>
      <c r="AG146" s="66" t="str">
        <f t="shared" si="54"/>
        <v>В25</v>
      </c>
      <c r="AH146" s="66">
        <f t="shared" si="54"/>
        <v>1</v>
      </c>
    </row>
    <row r="147" spans="1:35" ht="17.25" thickTop="1" thickBot="1" x14ac:dyDescent="0.3">
      <c r="A147" s="119" t="str">
        <f t="shared" si="55"/>
        <v>Пс8.4.3</v>
      </c>
      <c r="B147" s="119">
        <v>12</v>
      </c>
      <c r="C147" s="46" t="s">
        <v>2894</v>
      </c>
      <c r="D147" s="119">
        <f>W146</f>
        <v>200</v>
      </c>
      <c r="E147" s="127">
        <f>IF(M147=0, 0, M147*2*ROUNDUP((P147/W147),0))</f>
        <v>0</v>
      </c>
      <c r="F147" s="119"/>
      <c r="G147" s="119"/>
      <c r="H147" s="127">
        <f>IF(M147=0, 0, AF147*2)</f>
        <v>0</v>
      </c>
      <c r="I147" s="121">
        <f>V147</f>
        <v>10</v>
      </c>
      <c r="J147" s="46" t="s">
        <v>2</v>
      </c>
      <c r="K147" s="128"/>
      <c r="L147" s="119"/>
      <c r="M147" s="124">
        <f t="shared" si="51"/>
        <v>0</v>
      </c>
      <c r="N147" s="125" t="str">
        <f t="shared" si="51"/>
        <v>Пс8.4.3</v>
      </c>
      <c r="O147" s="125">
        <f t="shared" si="51"/>
        <v>10830</v>
      </c>
      <c r="P147" s="125">
        <f t="shared" si="51"/>
        <v>1600</v>
      </c>
      <c r="Q147" s="125">
        <f t="shared" si="51"/>
        <v>150</v>
      </c>
      <c r="R147" s="125">
        <f t="shared" si="51"/>
        <v>1100</v>
      </c>
      <c r="S147" s="125">
        <f t="shared" si="51"/>
        <v>300</v>
      </c>
      <c r="T147" s="125">
        <f t="shared" si="51"/>
        <v>650</v>
      </c>
      <c r="U147" s="125">
        <f t="shared" si="51"/>
        <v>200</v>
      </c>
      <c r="V147" s="125">
        <f t="shared" si="51"/>
        <v>10</v>
      </c>
      <c r="W147" s="125">
        <f t="shared" si="51"/>
        <v>200</v>
      </c>
      <c r="X147" s="125">
        <f t="shared" si="51"/>
        <v>10</v>
      </c>
      <c r="Y147" s="125">
        <f t="shared" si="51"/>
        <v>200</v>
      </c>
      <c r="Z147" s="125">
        <f t="shared" si="51"/>
        <v>10</v>
      </c>
      <c r="AA147" s="125">
        <f t="shared" si="51"/>
        <v>200</v>
      </c>
      <c r="AB147" s="125">
        <f t="shared" si="51"/>
        <v>10</v>
      </c>
      <c r="AC147" s="125">
        <f t="shared" si="51"/>
        <v>200</v>
      </c>
      <c r="AD147" s="119">
        <f t="shared" si="51"/>
        <v>40</v>
      </c>
      <c r="AE147" s="126">
        <f t="shared" si="52"/>
        <v>415</v>
      </c>
      <c r="AF147" s="66">
        <f t="shared" si="53"/>
        <v>500</v>
      </c>
      <c r="AG147" s="66" t="str">
        <f t="shared" si="54"/>
        <v>В25</v>
      </c>
      <c r="AH147" s="66">
        <f t="shared" si="54"/>
        <v>1</v>
      </c>
    </row>
    <row r="148" spans="1:35" ht="17.25" thickTop="1" thickBot="1" x14ac:dyDescent="0.3">
      <c r="B148" s="119">
        <v>13</v>
      </c>
      <c r="C148" s="46" t="s">
        <v>2895</v>
      </c>
      <c r="D148" s="119">
        <f>W147</f>
        <v>200</v>
      </c>
      <c r="E148" s="127">
        <f>IF(R148&lt;=2000,(ROUNDUP(O148/D148,0)),(0))</f>
        <v>55</v>
      </c>
      <c r="F148" s="119"/>
      <c r="G148" s="119"/>
      <c r="H148" s="127">
        <f>IF(R148&lt;=2000,(ROUNDUP(R148-2*40+2*(U148-40-AB148), -1)),(0))</f>
        <v>1320</v>
      </c>
      <c r="I148" s="121">
        <f>V148</f>
        <v>10</v>
      </c>
      <c r="J148" s="46" t="s">
        <v>2</v>
      </c>
      <c r="K148" s="128"/>
      <c r="L148" s="119"/>
      <c r="M148" s="124">
        <f t="shared" si="51"/>
        <v>0</v>
      </c>
      <c r="N148" s="125" t="str">
        <f t="shared" si="51"/>
        <v>Пс8.4.3</v>
      </c>
      <c r="O148" s="125">
        <f t="shared" si="51"/>
        <v>10830</v>
      </c>
      <c r="P148" s="125">
        <f t="shared" si="51"/>
        <v>1600</v>
      </c>
      <c r="Q148" s="125">
        <f t="shared" si="51"/>
        <v>150</v>
      </c>
      <c r="R148" s="125">
        <f t="shared" si="51"/>
        <v>1100</v>
      </c>
      <c r="S148" s="125">
        <f t="shared" si="51"/>
        <v>300</v>
      </c>
      <c r="T148" s="125">
        <f t="shared" si="51"/>
        <v>650</v>
      </c>
      <c r="U148" s="125">
        <f t="shared" si="51"/>
        <v>200</v>
      </c>
      <c r="V148" s="125">
        <f t="shared" si="51"/>
        <v>10</v>
      </c>
      <c r="W148" s="125">
        <f t="shared" si="51"/>
        <v>200</v>
      </c>
      <c r="X148" s="125">
        <f t="shared" si="51"/>
        <v>10</v>
      </c>
      <c r="Y148" s="125">
        <f t="shared" si="51"/>
        <v>200</v>
      </c>
      <c r="Z148" s="125">
        <f t="shared" si="51"/>
        <v>10</v>
      </c>
      <c r="AA148" s="125">
        <f t="shared" si="51"/>
        <v>200</v>
      </c>
      <c r="AB148" s="125">
        <f t="shared" si="51"/>
        <v>10</v>
      </c>
      <c r="AC148" s="125">
        <f t="shared" si="51"/>
        <v>200</v>
      </c>
      <c r="AD148" s="119">
        <f t="shared" si="51"/>
        <v>40</v>
      </c>
      <c r="AE148" s="126">
        <f t="shared" si="52"/>
        <v>415</v>
      </c>
      <c r="AF148" s="66">
        <f t="shared" si="53"/>
        <v>500</v>
      </c>
      <c r="AG148" s="66" t="str">
        <f t="shared" si="54"/>
        <v>В25</v>
      </c>
      <c r="AH148" s="66">
        <f t="shared" si="54"/>
        <v>1</v>
      </c>
    </row>
    <row r="149" spans="1:35" ht="15.75" thickTop="1" x14ac:dyDescent="0.25"/>
    <row r="152" spans="1:35" ht="15.75" thickBot="1" x14ac:dyDescent="0.3"/>
    <row r="153" spans="1:35" ht="91.5" thickTop="1" thickBot="1" x14ac:dyDescent="0.3">
      <c r="A153" s="133" t="s">
        <v>159</v>
      </c>
      <c r="B153" s="135" t="s">
        <v>160</v>
      </c>
      <c r="C153" s="135" t="s">
        <v>2750</v>
      </c>
      <c r="D153" s="135" t="s">
        <v>2856</v>
      </c>
      <c r="E153" s="138" t="s">
        <v>163</v>
      </c>
      <c r="F153" s="135" t="s">
        <v>2857</v>
      </c>
      <c r="G153" s="135" t="s">
        <v>2858</v>
      </c>
      <c r="H153" s="140" t="s">
        <v>166</v>
      </c>
      <c r="I153" s="141"/>
      <c r="J153" s="142"/>
      <c r="K153" s="143" t="s">
        <v>2859</v>
      </c>
      <c r="L153" s="143" t="s">
        <v>2860</v>
      </c>
      <c r="M153" s="146" t="s">
        <v>2861</v>
      </c>
      <c r="N153" s="107" t="s">
        <v>2714</v>
      </c>
      <c r="O153" s="108" t="s">
        <v>2862</v>
      </c>
      <c r="P153" s="109" t="s">
        <v>2863</v>
      </c>
      <c r="Q153" s="109" t="s">
        <v>2864</v>
      </c>
      <c r="R153" s="109" t="s">
        <v>2865</v>
      </c>
      <c r="S153" s="109" t="s">
        <v>2866</v>
      </c>
      <c r="T153" s="109" t="s">
        <v>2867</v>
      </c>
      <c r="U153" s="109" t="s">
        <v>2868</v>
      </c>
      <c r="V153" s="109" t="s">
        <v>2869</v>
      </c>
      <c r="W153" s="109" t="s">
        <v>2870</v>
      </c>
      <c r="X153" s="109" t="s">
        <v>2871</v>
      </c>
      <c r="Y153" s="109" t="s">
        <v>2872</v>
      </c>
      <c r="Z153" s="109" t="s">
        <v>2873</v>
      </c>
      <c r="AA153" s="109" t="s">
        <v>2874</v>
      </c>
      <c r="AB153" s="109" t="s">
        <v>2875</v>
      </c>
      <c r="AC153" s="110" t="s">
        <v>2876</v>
      </c>
      <c r="AD153" s="111" t="s">
        <v>2877</v>
      </c>
      <c r="AE153" s="143" t="s">
        <v>180</v>
      </c>
      <c r="AF153" s="131" t="s">
        <v>2878</v>
      </c>
      <c r="AG153" s="111" t="s">
        <v>2879</v>
      </c>
      <c r="AH153" s="111" t="s">
        <v>2880</v>
      </c>
      <c r="AI153" s="112" t="s">
        <v>2881</v>
      </c>
    </row>
    <row r="154" spans="1:35" ht="17.25" thickTop="1" thickBot="1" x14ac:dyDescent="0.3">
      <c r="A154" s="134"/>
      <c r="B154" s="136"/>
      <c r="C154" s="136"/>
      <c r="D154" s="137"/>
      <c r="E154" s="139"/>
      <c r="F154" s="137"/>
      <c r="G154" s="137"/>
      <c r="H154" s="113" t="s">
        <v>170</v>
      </c>
      <c r="I154" s="114" t="s">
        <v>171</v>
      </c>
      <c r="J154" s="115" t="s">
        <v>172</v>
      </c>
      <c r="K154" s="144"/>
      <c r="L154" s="145"/>
      <c r="M154" s="147"/>
      <c r="N154" s="116" t="str">
        <f>'[1]Исх.Таблица из архикада'!A11</f>
        <v>Пс8.3.1</v>
      </c>
      <c r="O154" s="116">
        <f>'[1]Исх.Таблица из архикада'!B11</f>
        <v>7470</v>
      </c>
      <c r="P154" s="116">
        <f>'[1]Исх.Таблица из архикада'!C11</f>
        <v>1400</v>
      </c>
      <c r="Q154" s="116">
        <f>'[1]Исх.Таблица из архикада'!D11</f>
        <v>200</v>
      </c>
      <c r="R154" s="116">
        <f>'[1]Исх.Таблица из архикада'!E11</f>
        <v>1100</v>
      </c>
      <c r="S154" s="116">
        <f>'[1]Исх.Таблица из архикада'!F11</f>
        <v>300</v>
      </c>
      <c r="T154" s="116">
        <f>'[1]Исх.Таблица из архикада'!G11</f>
        <v>600</v>
      </c>
      <c r="U154" s="116">
        <f>'[1]Исх.Таблица из архикада'!H11</f>
        <v>300</v>
      </c>
      <c r="V154" s="116">
        <f>'[1]Исх.Таблица из архикада'!I11</f>
        <v>10</v>
      </c>
      <c r="W154" s="116">
        <f>'[1]Исх.Таблица из архикада'!J11</f>
        <v>200</v>
      </c>
      <c r="X154" s="116">
        <f>'[1]Исх.Таблица из архикада'!K11</f>
        <v>10</v>
      </c>
      <c r="Y154" s="116">
        <f>'[1]Исх.Таблица из архикада'!L11</f>
        <v>200</v>
      </c>
      <c r="Z154" s="116">
        <f>'[1]Исх.Таблица из архикада'!M11</f>
        <v>10</v>
      </c>
      <c r="AA154" s="116">
        <f>'[1]Исх.Таблица из архикада'!N11</f>
        <v>200</v>
      </c>
      <c r="AB154" s="116">
        <f>'[1]Исх.Таблица из архикада'!O11</f>
        <v>10</v>
      </c>
      <c r="AC154" s="116">
        <f>'[1]Исх.Таблица из архикада'!P11</f>
        <v>200</v>
      </c>
      <c r="AD154" s="117">
        <v>40</v>
      </c>
      <c r="AE154" s="145"/>
      <c r="AF154" s="132"/>
      <c r="AG154" s="118" t="s">
        <v>2882</v>
      </c>
      <c r="AH154" s="118">
        <v>1</v>
      </c>
      <c r="AI154">
        <v>6000</v>
      </c>
    </row>
    <row r="155" spans="1:35" ht="17.25" thickTop="1" thickBot="1" x14ac:dyDescent="0.3">
      <c r="A155" s="119" t="str">
        <f>N154</f>
        <v>Пс8.3.1</v>
      </c>
      <c r="B155" s="119">
        <v>1</v>
      </c>
      <c r="C155" s="46" t="s">
        <v>2883</v>
      </c>
      <c r="D155" s="119">
        <f>W155</f>
        <v>200</v>
      </c>
      <c r="E155" s="120">
        <f>IF(O155&lt;=5700, ROUNDUP(P155*2/W155+1,0), 1)</f>
        <v>1</v>
      </c>
      <c r="F155" s="119">
        <f>ROUNDUP(((O155*R155*U155)*0.000000001+(O155*P155*Q155)*0.000000001),1)</f>
        <v>4.5999999999999996</v>
      </c>
      <c r="G155" s="119">
        <f>ROUNDUP((0.1*(R155+200)*(O155)*0.000001),1)</f>
        <v>1</v>
      </c>
      <c r="H155" s="120">
        <f>IF(O155&lt;=5700, O155-50, K155)</f>
        <v>60530</v>
      </c>
      <c r="I155" s="121">
        <f>V155</f>
        <v>10</v>
      </c>
      <c r="J155" s="46" t="s">
        <v>2</v>
      </c>
      <c r="K155" s="122">
        <f>Арм_ПоПлощади(O155*P155,W155,AF155,$AI$3)</f>
        <v>60530</v>
      </c>
      <c r="L155" s="123">
        <f>IF(R155&lt;=2000,(0),(ROUNDUP(O155*R155*0.000001/1+SQRT(O155*R155*0.000001),0)))</f>
        <v>0</v>
      </c>
      <c r="M155" s="124">
        <v>0</v>
      </c>
      <c r="N155" s="125" t="str">
        <f>N154</f>
        <v>Пс8.3.1</v>
      </c>
      <c r="O155" s="125">
        <f t="shared" ref="O155:AD155" si="56">O154</f>
        <v>7470</v>
      </c>
      <c r="P155" s="125">
        <f t="shared" si="56"/>
        <v>1400</v>
      </c>
      <c r="Q155" s="125">
        <f t="shared" si="56"/>
        <v>200</v>
      </c>
      <c r="R155" s="125">
        <f t="shared" si="56"/>
        <v>1100</v>
      </c>
      <c r="S155" s="125">
        <f t="shared" si="56"/>
        <v>300</v>
      </c>
      <c r="T155" s="125">
        <f t="shared" si="56"/>
        <v>600</v>
      </c>
      <c r="U155" s="125">
        <f t="shared" si="56"/>
        <v>300</v>
      </c>
      <c r="V155" s="125">
        <f t="shared" si="56"/>
        <v>10</v>
      </c>
      <c r="W155" s="125">
        <f t="shared" si="56"/>
        <v>200</v>
      </c>
      <c r="X155" s="125">
        <f t="shared" si="56"/>
        <v>10</v>
      </c>
      <c r="Y155" s="125">
        <f t="shared" si="56"/>
        <v>200</v>
      </c>
      <c r="Z155" s="125">
        <f t="shared" si="56"/>
        <v>10</v>
      </c>
      <c r="AA155" s="125">
        <f t="shared" si="56"/>
        <v>200</v>
      </c>
      <c r="AB155" s="125">
        <f t="shared" si="56"/>
        <v>10</v>
      </c>
      <c r="AC155" s="125">
        <f t="shared" si="56"/>
        <v>200</v>
      </c>
      <c r="AD155" s="119">
        <f t="shared" si="56"/>
        <v>40</v>
      </c>
      <c r="AE155" s="126">
        <f>Арм_Анкеровка(I155,J155,$AG$3,$AH$3)</f>
        <v>415</v>
      </c>
      <c r="AF155" s="66">
        <f>Арм_Нахлёст(I155,J155,$AG$3,$AH$3)</f>
        <v>500</v>
      </c>
      <c r="AG155" s="66" t="str">
        <f>AG154</f>
        <v>В25</v>
      </c>
      <c r="AH155" s="66">
        <f>AH154</f>
        <v>1</v>
      </c>
    </row>
    <row r="156" spans="1:35" ht="17.25" thickTop="1" thickBot="1" x14ac:dyDescent="0.3">
      <c r="A156" s="119" t="str">
        <f>A155</f>
        <v>Пс8.3.1</v>
      </c>
      <c r="B156" s="119">
        <v>2</v>
      </c>
      <c r="C156" s="46" t="s">
        <v>2884</v>
      </c>
      <c r="D156" s="119">
        <f>Y155</f>
        <v>200</v>
      </c>
      <c r="E156" s="127">
        <f>IF(Q156&lt;=150,0,(ROUNDUP(O156/Y156,0)))</f>
        <v>38</v>
      </c>
      <c r="F156" s="119"/>
      <c r="G156" s="119"/>
      <c r="H156" s="127">
        <f>Арм_Элемент_П(AF156, (Q156-2*AD156), I156, J156)</f>
        <v>1100</v>
      </c>
      <c r="I156" s="121">
        <f>X156</f>
        <v>10</v>
      </c>
      <c r="J156" s="46" t="s">
        <v>2</v>
      </c>
      <c r="K156" s="128"/>
      <c r="L156" s="119"/>
      <c r="M156" s="124">
        <f t="shared" ref="M156:AD167" si="57">M155</f>
        <v>0</v>
      </c>
      <c r="N156" s="125" t="str">
        <f t="shared" si="57"/>
        <v>Пс8.3.1</v>
      </c>
      <c r="O156" s="125">
        <f t="shared" si="57"/>
        <v>7470</v>
      </c>
      <c r="P156" s="125">
        <f t="shared" si="57"/>
        <v>1400</v>
      </c>
      <c r="Q156" s="125">
        <f t="shared" si="57"/>
        <v>200</v>
      </c>
      <c r="R156" s="125">
        <f t="shared" si="57"/>
        <v>1100</v>
      </c>
      <c r="S156" s="125">
        <f t="shared" si="57"/>
        <v>300</v>
      </c>
      <c r="T156" s="125">
        <f t="shared" si="57"/>
        <v>600</v>
      </c>
      <c r="U156" s="125">
        <f t="shared" si="57"/>
        <v>300</v>
      </c>
      <c r="V156" s="125">
        <f t="shared" si="57"/>
        <v>10</v>
      </c>
      <c r="W156" s="125">
        <f t="shared" si="57"/>
        <v>200</v>
      </c>
      <c r="X156" s="125">
        <f t="shared" si="57"/>
        <v>10</v>
      </c>
      <c r="Y156" s="125">
        <f t="shared" si="57"/>
        <v>200</v>
      </c>
      <c r="Z156" s="125">
        <f t="shared" si="57"/>
        <v>10</v>
      </c>
      <c r="AA156" s="125">
        <f t="shared" si="57"/>
        <v>200</v>
      </c>
      <c r="AB156" s="125">
        <f t="shared" si="57"/>
        <v>10</v>
      </c>
      <c r="AC156" s="125">
        <f t="shared" si="57"/>
        <v>200</v>
      </c>
      <c r="AD156" s="119">
        <f t="shared" si="57"/>
        <v>40</v>
      </c>
      <c r="AE156" s="126">
        <f t="shared" ref="AE156:AE167" si="58">Арм_Анкеровка(I156,J156,$AG$3,$AH$3)</f>
        <v>415</v>
      </c>
      <c r="AF156" s="66">
        <f t="shared" ref="AF156:AF167" si="59">Арм_Нахлёст(I156,J156,$AG$3,$AH$3)</f>
        <v>500</v>
      </c>
      <c r="AG156" s="66" t="str">
        <f t="shared" ref="AG156:AH167" si="60">AG155</f>
        <v>В25</v>
      </c>
      <c r="AH156" s="66">
        <f t="shared" si="60"/>
        <v>1</v>
      </c>
    </row>
    <row r="157" spans="1:35" ht="17.25" thickTop="1" thickBot="1" x14ac:dyDescent="0.3">
      <c r="A157" s="119" t="str">
        <f t="shared" ref="A157:A167" si="61">A156</f>
        <v>Пс8.3.1</v>
      </c>
      <c r="B157" s="119">
        <v>3</v>
      </c>
      <c r="C157" s="46" t="s">
        <v>2885</v>
      </c>
      <c r="D157" s="119">
        <f>W157</f>
        <v>200</v>
      </c>
      <c r="E157" s="127">
        <f>MROUND(2*P157/D157,2)</f>
        <v>14</v>
      </c>
      <c r="F157" s="119"/>
      <c r="G157" s="119"/>
      <c r="H157" s="127">
        <f>Арм_Элемент_П(AF157, (Q157-2*AD157), I157, J157)</f>
        <v>1120</v>
      </c>
      <c r="I157" s="121">
        <f>V157</f>
        <v>10</v>
      </c>
      <c r="J157" s="46" t="s">
        <v>2</v>
      </c>
      <c r="K157" s="128"/>
      <c r="L157" s="119"/>
      <c r="M157" s="124">
        <f t="shared" si="57"/>
        <v>0</v>
      </c>
      <c r="N157" s="125" t="str">
        <f t="shared" si="57"/>
        <v>Пс8.3.1</v>
      </c>
      <c r="O157" s="125">
        <f t="shared" si="57"/>
        <v>7470</v>
      </c>
      <c r="P157" s="125">
        <f t="shared" si="57"/>
        <v>1400</v>
      </c>
      <c r="Q157" s="125">
        <f t="shared" si="57"/>
        <v>200</v>
      </c>
      <c r="R157" s="125">
        <f t="shared" si="57"/>
        <v>1100</v>
      </c>
      <c r="S157" s="125">
        <f t="shared" si="57"/>
        <v>300</v>
      </c>
      <c r="T157" s="125">
        <f t="shared" si="57"/>
        <v>600</v>
      </c>
      <c r="U157" s="125">
        <f t="shared" si="57"/>
        <v>300</v>
      </c>
      <c r="V157" s="125">
        <f t="shared" si="57"/>
        <v>10</v>
      </c>
      <c r="W157" s="125">
        <f t="shared" si="57"/>
        <v>200</v>
      </c>
      <c r="X157" s="125">
        <f t="shared" si="57"/>
        <v>10</v>
      </c>
      <c r="Y157" s="125">
        <f t="shared" si="57"/>
        <v>200</v>
      </c>
      <c r="Z157" s="125">
        <f t="shared" si="57"/>
        <v>10</v>
      </c>
      <c r="AA157" s="125">
        <f t="shared" si="57"/>
        <v>200</v>
      </c>
      <c r="AB157" s="125">
        <f t="shared" si="57"/>
        <v>10</v>
      </c>
      <c r="AC157" s="125">
        <f t="shared" si="57"/>
        <v>200</v>
      </c>
      <c r="AD157" s="119">
        <v>30</v>
      </c>
      <c r="AE157" s="126">
        <f t="shared" si="58"/>
        <v>415</v>
      </c>
      <c r="AF157" s="66">
        <f t="shared" si="59"/>
        <v>500</v>
      </c>
      <c r="AG157" s="66" t="str">
        <f t="shared" si="60"/>
        <v>В25</v>
      </c>
      <c r="AH157" s="66">
        <f t="shared" si="60"/>
        <v>1</v>
      </c>
    </row>
    <row r="158" spans="1:35" ht="17.25" thickTop="1" thickBot="1" x14ac:dyDescent="0.3">
      <c r="A158" s="119" t="str">
        <f t="shared" si="61"/>
        <v>Пс8.3.1</v>
      </c>
      <c r="B158" s="119">
        <v>4</v>
      </c>
      <c r="C158" s="46" t="s">
        <v>2886</v>
      </c>
      <c r="D158" s="119">
        <f>Y158</f>
        <v>200</v>
      </c>
      <c r="E158" s="127">
        <f>ROUNDUP(O158/Y158,0)*2</f>
        <v>76</v>
      </c>
      <c r="F158" s="119"/>
      <c r="G158" s="119"/>
      <c r="H158" s="127">
        <f>IF(P158&lt;=3000, (IF(Q158&lt;=150,(P158-25+AE158+Q158-(35+V158)),(P158-25+AE158))), (P158-25))</f>
        <v>1790</v>
      </c>
      <c r="I158" s="121">
        <f>X158</f>
        <v>10</v>
      </c>
      <c r="J158" s="46" t="s">
        <v>2</v>
      </c>
      <c r="K158" s="128"/>
      <c r="L158" s="119"/>
      <c r="M158" s="124">
        <f t="shared" si="57"/>
        <v>0</v>
      </c>
      <c r="N158" s="125" t="str">
        <f t="shared" si="57"/>
        <v>Пс8.3.1</v>
      </c>
      <c r="O158" s="125">
        <f t="shared" si="57"/>
        <v>7470</v>
      </c>
      <c r="P158" s="125">
        <f t="shared" si="57"/>
        <v>1400</v>
      </c>
      <c r="Q158" s="125">
        <f t="shared" si="57"/>
        <v>200</v>
      </c>
      <c r="R158" s="125">
        <f t="shared" si="57"/>
        <v>1100</v>
      </c>
      <c r="S158" s="125">
        <f t="shared" si="57"/>
        <v>300</v>
      </c>
      <c r="T158" s="125">
        <f t="shared" si="57"/>
        <v>600</v>
      </c>
      <c r="U158" s="125">
        <f t="shared" si="57"/>
        <v>300</v>
      </c>
      <c r="V158" s="125">
        <f t="shared" si="57"/>
        <v>10</v>
      </c>
      <c r="W158" s="125">
        <f t="shared" si="57"/>
        <v>200</v>
      </c>
      <c r="X158" s="125">
        <f t="shared" si="57"/>
        <v>10</v>
      </c>
      <c r="Y158" s="125">
        <f t="shared" si="57"/>
        <v>200</v>
      </c>
      <c r="Z158" s="125">
        <f t="shared" si="57"/>
        <v>10</v>
      </c>
      <c r="AA158" s="125">
        <f t="shared" si="57"/>
        <v>200</v>
      </c>
      <c r="AB158" s="125">
        <f t="shared" si="57"/>
        <v>10</v>
      </c>
      <c r="AC158" s="125">
        <f t="shared" si="57"/>
        <v>200</v>
      </c>
      <c r="AD158" s="119">
        <v>40</v>
      </c>
      <c r="AE158" s="126">
        <f t="shared" si="58"/>
        <v>415</v>
      </c>
      <c r="AF158" s="66">
        <f t="shared" si="59"/>
        <v>500</v>
      </c>
      <c r="AG158" s="66" t="str">
        <f t="shared" si="60"/>
        <v>В25</v>
      </c>
      <c r="AH158" s="66">
        <f t="shared" si="60"/>
        <v>1</v>
      </c>
    </row>
    <row r="159" spans="1:35" ht="17.25" thickTop="1" thickBot="1" x14ac:dyDescent="0.3">
      <c r="A159" s="119" t="str">
        <f t="shared" si="61"/>
        <v>Пс8.3.1</v>
      </c>
      <c r="B159" s="119">
        <v>5</v>
      </c>
      <c r="C159" s="46" t="s">
        <v>2887</v>
      </c>
      <c r="D159" s="119">
        <v>400</v>
      </c>
      <c r="E159" s="127">
        <f>ROUNDUP((13*(O159*P159/1000000)),0)</f>
        <v>136</v>
      </c>
      <c r="F159" s="119"/>
      <c r="G159" s="119"/>
      <c r="H159" s="127">
        <f>Q159-AD159*2+150</f>
        <v>270</v>
      </c>
      <c r="I159" s="121">
        <v>6</v>
      </c>
      <c r="J159" s="46" t="s">
        <v>2</v>
      </c>
      <c r="K159" s="128"/>
      <c r="L159" s="119"/>
      <c r="M159" s="124">
        <f t="shared" si="57"/>
        <v>0</v>
      </c>
      <c r="N159" s="125" t="str">
        <f t="shared" si="57"/>
        <v>Пс8.3.1</v>
      </c>
      <c r="O159" s="125">
        <f t="shared" si="57"/>
        <v>7470</v>
      </c>
      <c r="P159" s="125">
        <f t="shared" si="57"/>
        <v>1400</v>
      </c>
      <c r="Q159" s="125">
        <f t="shared" si="57"/>
        <v>200</v>
      </c>
      <c r="R159" s="125">
        <f t="shared" si="57"/>
        <v>1100</v>
      </c>
      <c r="S159" s="125">
        <f t="shared" si="57"/>
        <v>300</v>
      </c>
      <c r="T159" s="125">
        <f t="shared" si="57"/>
        <v>600</v>
      </c>
      <c r="U159" s="125">
        <f t="shared" si="57"/>
        <v>300</v>
      </c>
      <c r="V159" s="125">
        <f t="shared" si="57"/>
        <v>10</v>
      </c>
      <c r="W159" s="125">
        <f t="shared" si="57"/>
        <v>200</v>
      </c>
      <c r="X159" s="125">
        <f t="shared" si="57"/>
        <v>10</v>
      </c>
      <c r="Y159" s="125">
        <f t="shared" si="57"/>
        <v>200</v>
      </c>
      <c r="Z159" s="125">
        <f t="shared" si="57"/>
        <v>10</v>
      </c>
      <c r="AA159" s="125">
        <f t="shared" si="57"/>
        <v>200</v>
      </c>
      <c r="AB159" s="125">
        <f t="shared" si="57"/>
        <v>10</v>
      </c>
      <c r="AC159" s="125">
        <f t="shared" si="57"/>
        <v>200</v>
      </c>
      <c r="AD159" s="119">
        <f t="shared" si="57"/>
        <v>40</v>
      </c>
      <c r="AE159" s="126">
        <f t="shared" si="58"/>
        <v>250</v>
      </c>
      <c r="AF159" s="66">
        <f t="shared" si="59"/>
        <v>300</v>
      </c>
      <c r="AG159" s="66" t="str">
        <f t="shared" si="60"/>
        <v>В25</v>
      </c>
      <c r="AH159" s="66">
        <f t="shared" si="60"/>
        <v>1</v>
      </c>
    </row>
    <row r="160" spans="1:35" ht="17.25" thickTop="1" thickBot="1" x14ac:dyDescent="0.3">
      <c r="A160" s="119" t="str">
        <f t="shared" si="61"/>
        <v>Пс8.3.1</v>
      </c>
      <c r="B160" s="119">
        <v>6</v>
      </c>
      <c r="C160" s="46" t="s">
        <v>2888</v>
      </c>
      <c r="D160" s="119">
        <f>AA160</f>
        <v>200</v>
      </c>
      <c r="E160" s="127">
        <f>IF(R160&lt;=2000,(ROUNDUP(O160/D160,0)),(ROUNDUP(O160/D160,0)))</f>
        <v>38</v>
      </c>
      <c r="F160" s="119"/>
      <c r="G160" s="119"/>
      <c r="H160" s="127">
        <f>R160-50</f>
        <v>1050</v>
      </c>
      <c r="I160" s="121">
        <f>Z160</f>
        <v>10</v>
      </c>
      <c r="J160" s="46" t="s">
        <v>2</v>
      </c>
      <c r="K160" s="128"/>
      <c r="L160" s="119"/>
      <c r="M160" s="124">
        <f t="shared" si="57"/>
        <v>0</v>
      </c>
      <c r="N160" s="125" t="str">
        <f t="shared" si="57"/>
        <v>Пс8.3.1</v>
      </c>
      <c r="O160" s="125">
        <f t="shared" si="57"/>
        <v>7470</v>
      </c>
      <c r="P160" s="125">
        <f t="shared" si="57"/>
        <v>1400</v>
      </c>
      <c r="Q160" s="125">
        <f t="shared" si="57"/>
        <v>200</v>
      </c>
      <c r="R160" s="125">
        <f t="shared" si="57"/>
        <v>1100</v>
      </c>
      <c r="S160" s="125">
        <f t="shared" si="57"/>
        <v>300</v>
      </c>
      <c r="T160" s="125">
        <f t="shared" si="57"/>
        <v>600</v>
      </c>
      <c r="U160" s="125">
        <f t="shared" si="57"/>
        <v>300</v>
      </c>
      <c r="V160" s="125">
        <f t="shared" si="57"/>
        <v>10</v>
      </c>
      <c r="W160" s="125">
        <f t="shared" si="57"/>
        <v>200</v>
      </c>
      <c r="X160" s="125">
        <f t="shared" si="57"/>
        <v>10</v>
      </c>
      <c r="Y160" s="125">
        <f t="shared" si="57"/>
        <v>200</v>
      </c>
      <c r="Z160" s="125">
        <f t="shared" si="57"/>
        <v>10</v>
      </c>
      <c r="AA160" s="125">
        <f t="shared" si="57"/>
        <v>200</v>
      </c>
      <c r="AB160" s="125">
        <f t="shared" si="57"/>
        <v>10</v>
      </c>
      <c r="AC160" s="125">
        <f t="shared" si="57"/>
        <v>200</v>
      </c>
      <c r="AD160" s="119">
        <f t="shared" si="57"/>
        <v>40</v>
      </c>
      <c r="AE160" s="126">
        <f t="shared" si="58"/>
        <v>415</v>
      </c>
      <c r="AF160" s="66">
        <f t="shared" si="59"/>
        <v>500</v>
      </c>
      <c r="AG160" s="66" t="str">
        <f t="shared" si="60"/>
        <v>В25</v>
      </c>
      <c r="AH160" s="66">
        <f t="shared" si="60"/>
        <v>1</v>
      </c>
    </row>
    <row r="161" spans="1:35" ht="17.25" thickTop="1" thickBot="1" x14ac:dyDescent="0.3">
      <c r="A161" s="119" t="str">
        <f t="shared" si="61"/>
        <v>Пс8.3.1</v>
      </c>
      <c r="B161" s="119">
        <v>7</v>
      </c>
      <c r="C161" s="46" t="s">
        <v>2889</v>
      </c>
      <c r="D161" s="119">
        <f>AC161</f>
        <v>200</v>
      </c>
      <c r="E161" s="120">
        <f>IF(O161&lt;=5700, ROUNDUP(R161*2/AC161+1,0), 1)</f>
        <v>1</v>
      </c>
      <c r="F161" s="119"/>
      <c r="G161" s="119"/>
      <c r="H161" s="120">
        <f>IF(O161&lt;=5700, O161-50, K161)</f>
        <v>47960</v>
      </c>
      <c r="I161" s="121">
        <f>AB161</f>
        <v>10</v>
      </c>
      <c r="J161" s="46" t="s">
        <v>2</v>
      </c>
      <c r="K161" s="122">
        <f>Арм_ПоПлощади(O161*R161,AC161,AF161,$AI$3)</f>
        <v>47960</v>
      </c>
      <c r="L161" s="119"/>
      <c r="M161" s="124">
        <f t="shared" si="57"/>
        <v>0</v>
      </c>
      <c r="N161" s="125" t="str">
        <f t="shared" si="57"/>
        <v>Пс8.3.1</v>
      </c>
      <c r="O161" s="125">
        <f t="shared" si="57"/>
        <v>7470</v>
      </c>
      <c r="P161" s="125">
        <f t="shared" si="57"/>
        <v>1400</v>
      </c>
      <c r="Q161" s="125">
        <f t="shared" si="57"/>
        <v>200</v>
      </c>
      <c r="R161" s="125">
        <f t="shared" si="57"/>
        <v>1100</v>
      </c>
      <c r="S161" s="125">
        <f t="shared" si="57"/>
        <v>300</v>
      </c>
      <c r="T161" s="125">
        <f t="shared" si="57"/>
        <v>600</v>
      </c>
      <c r="U161" s="125">
        <f t="shared" si="57"/>
        <v>300</v>
      </c>
      <c r="V161" s="125">
        <f t="shared" si="57"/>
        <v>10</v>
      </c>
      <c r="W161" s="125">
        <f t="shared" si="57"/>
        <v>200</v>
      </c>
      <c r="X161" s="125">
        <f t="shared" si="57"/>
        <v>10</v>
      </c>
      <c r="Y161" s="125">
        <f t="shared" si="57"/>
        <v>200</v>
      </c>
      <c r="Z161" s="125">
        <f t="shared" si="57"/>
        <v>10</v>
      </c>
      <c r="AA161" s="125">
        <f t="shared" si="57"/>
        <v>200</v>
      </c>
      <c r="AB161" s="125">
        <f t="shared" si="57"/>
        <v>10</v>
      </c>
      <c r="AC161" s="125">
        <f t="shared" si="57"/>
        <v>200</v>
      </c>
      <c r="AD161" s="119">
        <f t="shared" si="57"/>
        <v>40</v>
      </c>
      <c r="AE161" s="126">
        <f t="shared" si="58"/>
        <v>415</v>
      </c>
      <c r="AF161" s="66">
        <f t="shared" si="59"/>
        <v>500</v>
      </c>
      <c r="AG161" s="66" t="str">
        <f t="shared" si="60"/>
        <v>В25</v>
      </c>
      <c r="AH161" s="66">
        <f t="shared" si="60"/>
        <v>1</v>
      </c>
    </row>
    <row r="162" spans="1:35" ht="17.25" thickTop="1" thickBot="1" x14ac:dyDescent="0.3">
      <c r="A162" s="119" t="str">
        <f t="shared" si="61"/>
        <v>Пс8.3.1</v>
      </c>
      <c r="B162" s="119">
        <v>8</v>
      </c>
      <c r="C162" s="46" t="s">
        <v>2890</v>
      </c>
      <c r="D162" s="119">
        <f>AA162</f>
        <v>200</v>
      </c>
      <c r="E162" s="127">
        <f>IF(E167=0, (ROUNDUP(O162/D162,0)*2), 0)</f>
        <v>0</v>
      </c>
      <c r="F162" s="119"/>
      <c r="G162" s="119"/>
      <c r="H162" s="127">
        <f>Арм_Элемент_П(AF162, (U162-2*AD162), I162, J162)</f>
        <v>1220</v>
      </c>
      <c r="I162" s="121">
        <f>Z162</f>
        <v>10</v>
      </c>
      <c r="J162" s="46" t="s">
        <v>2</v>
      </c>
      <c r="K162" s="128"/>
      <c r="L162" s="119"/>
      <c r="M162" s="124">
        <f t="shared" si="57"/>
        <v>0</v>
      </c>
      <c r="N162" s="125" t="str">
        <f t="shared" si="57"/>
        <v>Пс8.3.1</v>
      </c>
      <c r="O162" s="125">
        <f t="shared" si="57"/>
        <v>7470</v>
      </c>
      <c r="P162" s="125">
        <f t="shared" si="57"/>
        <v>1400</v>
      </c>
      <c r="Q162" s="125">
        <f t="shared" si="57"/>
        <v>200</v>
      </c>
      <c r="R162" s="125">
        <f t="shared" si="57"/>
        <v>1100</v>
      </c>
      <c r="S162" s="125">
        <f t="shared" si="57"/>
        <v>300</v>
      </c>
      <c r="T162" s="125">
        <f t="shared" si="57"/>
        <v>600</v>
      </c>
      <c r="U162" s="125">
        <f t="shared" si="57"/>
        <v>300</v>
      </c>
      <c r="V162" s="125">
        <f t="shared" si="57"/>
        <v>10</v>
      </c>
      <c r="W162" s="125">
        <f t="shared" si="57"/>
        <v>200</v>
      </c>
      <c r="X162" s="125">
        <f t="shared" si="57"/>
        <v>10</v>
      </c>
      <c r="Y162" s="125">
        <f t="shared" si="57"/>
        <v>200</v>
      </c>
      <c r="Z162" s="125">
        <f t="shared" si="57"/>
        <v>10</v>
      </c>
      <c r="AA162" s="125">
        <f t="shared" si="57"/>
        <v>200</v>
      </c>
      <c r="AB162" s="125">
        <f t="shared" si="57"/>
        <v>10</v>
      </c>
      <c r="AC162" s="125">
        <f t="shared" si="57"/>
        <v>200</v>
      </c>
      <c r="AD162" s="119">
        <v>30</v>
      </c>
      <c r="AE162" s="126">
        <f t="shared" si="58"/>
        <v>415</v>
      </c>
      <c r="AF162" s="66">
        <f t="shared" si="59"/>
        <v>500</v>
      </c>
      <c r="AG162" s="66" t="str">
        <f t="shared" si="60"/>
        <v>В25</v>
      </c>
      <c r="AH162" s="66">
        <f t="shared" si="60"/>
        <v>1</v>
      </c>
    </row>
    <row r="163" spans="1:35" ht="17.25" thickTop="1" thickBot="1" x14ac:dyDescent="0.3">
      <c r="A163" s="119" t="str">
        <f t="shared" si="61"/>
        <v>Пс8.3.1</v>
      </c>
      <c r="B163" s="119">
        <v>9</v>
      </c>
      <c r="C163" s="46" t="s">
        <v>2891</v>
      </c>
      <c r="D163" s="119">
        <f>AC163</f>
        <v>200</v>
      </c>
      <c r="E163" s="127">
        <f>MROUND(2*R163/AC163,2)</f>
        <v>12</v>
      </c>
      <c r="F163" s="119"/>
      <c r="G163" s="119"/>
      <c r="H163" s="127">
        <f>Арм_Элемент_П(AF163, (U163-2*AD163), I163, J163)</f>
        <v>1200</v>
      </c>
      <c r="I163" s="121">
        <f>AB163</f>
        <v>10</v>
      </c>
      <c r="J163" s="46" t="s">
        <v>2</v>
      </c>
      <c r="K163" s="128"/>
      <c r="L163" s="119"/>
      <c r="M163" s="124">
        <f t="shared" si="57"/>
        <v>0</v>
      </c>
      <c r="N163" s="125" t="str">
        <f t="shared" si="57"/>
        <v>Пс8.3.1</v>
      </c>
      <c r="O163" s="125">
        <f t="shared" si="57"/>
        <v>7470</v>
      </c>
      <c r="P163" s="125">
        <f t="shared" si="57"/>
        <v>1400</v>
      </c>
      <c r="Q163" s="125">
        <f t="shared" si="57"/>
        <v>200</v>
      </c>
      <c r="R163" s="125">
        <f t="shared" si="57"/>
        <v>1100</v>
      </c>
      <c r="S163" s="125">
        <f t="shared" si="57"/>
        <v>300</v>
      </c>
      <c r="T163" s="125">
        <f t="shared" si="57"/>
        <v>600</v>
      </c>
      <c r="U163" s="125">
        <f t="shared" si="57"/>
        <v>300</v>
      </c>
      <c r="V163" s="125">
        <f t="shared" si="57"/>
        <v>10</v>
      </c>
      <c r="W163" s="125">
        <f t="shared" si="57"/>
        <v>200</v>
      </c>
      <c r="X163" s="125">
        <f t="shared" si="57"/>
        <v>10</v>
      </c>
      <c r="Y163" s="125">
        <f t="shared" si="57"/>
        <v>200</v>
      </c>
      <c r="Z163" s="125">
        <f t="shared" si="57"/>
        <v>10</v>
      </c>
      <c r="AA163" s="125">
        <f t="shared" si="57"/>
        <v>200</v>
      </c>
      <c r="AB163" s="125">
        <f t="shared" si="57"/>
        <v>10</v>
      </c>
      <c r="AC163" s="125">
        <f t="shared" si="57"/>
        <v>200</v>
      </c>
      <c r="AD163" s="119">
        <v>40</v>
      </c>
      <c r="AE163" s="126">
        <f t="shared" si="58"/>
        <v>415</v>
      </c>
      <c r="AF163" s="66">
        <f t="shared" si="59"/>
        <v>500</v>
      </c>
      <c r="AG163" s="66" t="str">
        <f t="shared" si="60"/>
        <v>В25</v>
      </c>
      <c r="AH163" s="66">
        <f t="shared" si="60"/>
        <v>1</v>
      </c>
    </row>
    <row r="164" spans="1:35" ht="33" thickTop="1" thickBot="1" x14ac:dyDescent="0.3">
      <c r="A164" s="119" t="str">
        <f t="shared" si="61"/>
        <v>Пс8.3.1</v>
      </c>
      <c r="B164" s="119">
        <v>10</v>
      </c>
      <c r="C164" s="46" t="s">
        <v>2892</v>
      </c>
      <c r="D164" s="119">
        <f>Y164</f>
        <v>200</v>
      </c>
      <c r="E164" s="127">
        <f>ROUNDUP((IF(P164&lt;=3000,0,O164/Y164)),0)</f>
        <v>0</v>
      </c>
      <c r="F164" s="119"/>
      <c r="G164" s="119"/>
      <c r="H164" s="127">
        <f>IF(E164=0,0, (Арм_Округление(AE164+2*AF164)))</f>
        <v>0</v>
      </c>
      <c r="I164" s="121">
        <f>X164</f>
        <v>10</v>
      </c>
      <c r="J164" s="46" t="s">
        <v>2</v>
      </c>
      <c r="K164" s="128"/>
      <c r="L164" s="119"/>
      <c r="M164" s="124">
        <f t="shared" si="57"/>
        <v>0</v>
      </c>
      <c r="N164" s="125" t="str">
        <f t="shared" si="57"/>
        <v>Пс8.3.1</v>
      </c>
      <c r="O164" s="125">
        <f t="shared" si="57"/>
        <v>7470</v>
      </c>
      <c r="P164" s="125">
        <f t="shared" si="57"/>
        <v>1400</v>
      </c>
      <c r="Q164" s="125">
        <f t="shared" si="57"/>
        <v>200</v>
      </c>
      <c r="R164" s="125">
        <f t="shared" si="57"/>
        <v>1100</v>
      </c>
      <c r="S164" s="125">
        <f t="shared" si="57"/>
        <v>300</v>
      </c>
      <c r="T164" s="125">
        <f t="shared" si="57"/>
        <v>600</v>
      </c>
      <c r="U164" s="125">
        <f t="shared" si="57"/>
        <v>300</v>
      </c>
      <c r="V164" s="125">
        <f t="shared" si="57"/>
        <v>10</v>
      </c>
      <c r="W164" s="125">
        <f t="shared" si="57"/>
        <v>200</v>
      </c>
      <c r="X164" s="125">
        <f t="shared" si="57"/>
        <v>10</v>
      </c>
      <c r="Y164" s="125">
        <f t="shared" si="57"/>
        <v>200</v>
      </c>
      <c r="Z164" s="125">
        <f t="shared" si="57"/>
        <v>10</v>
      </c>
      <c r="AA164" s="125">
        <f t="shared" si="57"/>
        <v>200</v>
      </c>
      <c r="AB164" s="125">
        <f t="shared" si="57"/>
        <v>10</v>
      </c>
      <c r="AC164" s="125">
        <f t="shared" si="57"/>
        <v>200</v>
      </c>
      <c r="AD164" s="119">
        <f t="shared" si="57"/>
        <v>40</v>
      </c>
      <c r="AE164" s="126">
        <f t="shared" si="58"/>
        <v>415</v>
      </c>
      <c r="AF164" s="66">
        <f t="shared" si="59"/>
        <v>500</v>
      </c>
      <c r="AG164" s="66" t="str">
        <f t="shared" si="60"/>
        <v>В25</v>
      </c>
      <c r="AH164" s="66">
        <f t="shared" si="60"/>
        <v>1</v>
      </c>
    </row>
    <row r="165" spans="1:35" ht="33" thickTop="1" thickBot="1" x14ac:dyDescent="0.3">
      <c r="A165" s="119" t="str">
        <f t="shared" si="61"/>
        <v>Пс8.3.1</v>
      </c>
      <c r="B165" s="119">
        <v>11</v>
      </c>
      <c r="C165" s="46" t="s">
        <v>2893</v>
      </c>
      <c r="D165" s="119">
        <f>Y165</f>
        <v>200</v>
      </c>
      <c r="E165" s="127">
        <f>ROUNDUP((IF(P165&lt;=3000,0,O165/Y165)),0)</f>
        <v>0</v>
      </c>
      <c r="F165" s="119"/>
      <c r="G165" s="119"/>
      <c r="H165" s="127">
        <f>IF(E165=0,0, (Арм_Округление(AE165+AF165)))</f>
        <v>0</v>
      </c>
      <c r="I165" s="121">
        <f>X165</f>
        <v>10</v>
      </c>
      <c r="J165" s="46" t="s">
        <v>2</v>
      </c>
      <c r="K165" s="128"/>
      <c r="L165" s="119"/>
      <c r="M165" s="124">
        <f t="shared" si="57"/>
        <v>0</v>
      </c>
      <c r="N165" s="125" t="str">
        <f t="shared" si="57"/>
        <v>Пс8.3.1</v>
      </c>
      <c r="O165" s="125">
        <f t="shared" si="57"/>
        <v>7470</v>
      </c>
      <c r="P165" s="125">
        <f t="shared" si="57"/>
        <v>1400</v>
      </c>
      <c r="Q165" s="125">
        <f t="shared" si="57"/>
        <v>200</v>
      </c>
      <c r="R165" s="125">
        <f t="shared" si="57"/>
        <v>1100</v>
      </c>
      <c r="S165" s="125">
        <f t="shared" si="57"/>
        <v>300</v>
      </c>
      <c r="T165" s="125">
        <f t="shared" si="57"/>
        <v>600</v>
      </c>
      <c r="U165" s="125">
        <f t="shared" si="57"/>
        <v>300</v>
      </c>
      <c r="V165" s="125">
        <f t="shared" si="57"/>
        <v>10</v>
      </c>
      <c r="W165" s="125">
        <f t="shared" si="57"/>
        <v>200</v>
      </c>
      <c r="X165" s="125">
        <f t="shared" si="57"/>
        <v>10</v>
      </c>
      <c r="Y165" s="125">
        <f t="shared" si="57"/>
        <v>200</v>
      </c>
      <c r="Z165" s="125">
        <f t="shared" si="57"/>
        <v>10</v>
      </c>
      <c r="AA165" s="125">
        <f t="shared" si="57"/>
        <v>200</v>
      </c>
      <c r="AB165" s="125">
        <f t="shared" si="57"/>
        <v>10</v>
      </c>
      <c r="AC165" s="125">
        <f t="shared" si="57"/>
        <v>200</v>
      </c>
      <c r="AD165" s="119">
        <f t="shared" si="57"/>
        <v>40</v>
      </c>
      <c r="AE165" s="126">
        <f t="shared" si="58"/>
        <v>415</v>
      </c>
      <c r="AF165" s="66">
        <f t="shared" si="59"/>
        <v>500</v>
      </c>
      <c r="AG165" s="66" t="str">
        <f t="shared" si="60"/>
        <v>В25</v>
      </c>
      <c r="AH165" s="66">
        <f t="shared" si="60"/>
        <v>1</v>
      </c>
    </row>
    <row r="166" spans="1:35" ht="17.25" thickTop="1" thickBot="1" x14ac:dyDescent="0.3">
      <c r="A166" s="119" t="str">
        <f t="shared" si="61"/>
        <v>Пс8.3.1</v>
      </c>
      <c r="B166" s="119">
        <v>12</v>
      </c>
      <c r="C166" s="46" t="s">
        <v>2894</v>
      </c>
      <c r="D166" s="119">
        <f>W165</f>
        <v>200</v>
      </c>
      <c r="E166" s="127">
        <f>IF(M166=0, 0, M166*2*ROUNDUP((P166/W166),0))</f>
        <v>0</v>
      </c>
      <c r="F166" s="119"/>
      <c r="G166" s="119"/>
      <c r="H166" s="127">
        <f>IF(M166=0, 0, AF166*2)</f>
        <v>0</v>
      </c>
      <c r="I166" s="121">
        <f>V166</f>
        <v>10</v>
      </c>
      <c r="J166" s="46" t="s">
        <v>2</v>
      </c>
      <c r="K166" s="128"/>
      <c r="L166" s="119"/>
      <c r="M166" s="124">
        <f t="shared" si="57"/>
        <v>0</v>
      </c>
      <c r="N166" s="125" t="str">
        <f t="shared" si="57"/>
        <v>Пс8.3.1</v>
      </c>
      <c r="O166" s="125">
        <f t="shared" si="57"/>
        <v>7470</v>
      </c>
      <c r="P166" s="125">
        <f t="shared" si="57"/>
        <v>1400</v>
      </c>
      <c r="Q166" s="125">
        <f t="shared" si="57"/>
        <v>200</v>
      </c>
      <c r="R166" s="125">
        <f t="shared" si="57"/>
        <v>1100</v>
      </c>
      <c r="S166" s="125">
        <f t="shared" si="57"/>
        <v>300</v>
      </c>
      <c r="T166" s="125">
        <f t="shared" si="57"/>
        <v>600</v>
      </c>
      <c r="U166" s="125">
        <f t="shared" si="57"/>
        <v>300</v>
      </c>
      <c r="V166" s="125">
        <f t="shared" si="57"/>
        <v>10</v>
      </c>
      <c r="W166" s="125">
        <f t="shared" si="57"/>
        <v>200</v>
      </c>
      <c r="X166" s="125">
        <f t="shared" si="57"/>
        <v>10</v>
      </c>
      <c r="Y166" s="125">
        <f t="shared" si="57"/>
        <v>200</v>
      </c>
      <c r="Z166" s="125">
        <f t="shared" si="57"/>
        <v>10</v>
      </c>
      <c r="AA166" s="125">
        <f t="shared" si="57"/>
        <v>200</v>
      </c>
      <c r="AB166" s="125">
        <f t="shared" si="57"/>
        <v>10</v>
      </c>
      <c r="AC166" s="125">
        <f t="shared" si="57"/>
        <v>200</v>
      </c>
      <c r="AD166" s="119">
        <f t="shared" si="57"/>
        <v>40</v>
      </c>
      <c r="AE166" s="126">
        <f t="shared" si="58"/>
        <v>415</v>
      </c>
      <c r="AF166" s="66">
        <f t="shared" si="59"/>
        <v>500</v>
      </c>
      <c r="AG166" s="66" t="str">
        <f t="shared" si="60"/>
        <v>В25</v>
      </c>
      <c r="AH166" s="66">
        <f t="shared" si="60"/>
        <v>1</v>
      </c>
    </row>
    <row r="167" spans="1:35" ht="17.25" thickTop="1" thickBot="1" x14ac:dyDescent="0.3">
      <c r="A167" s="119" t="str">
        <f t="shared" si="61"/>
        <v>Пс8.3.1</v>
      </c>
      <c r="B167" s="119">
        <v>13</v>
      </c>
      <c r="C167" s="46" t="s">
        <v>2895</v>
      </c>
      <c r="D167" s="119">
        <f>W166</f>
        <v>200</v>
      </c>
      <c r="E167" s="127">
        <f>IF(R167&lt;=2000,(ROUNDUP(O167/D167,0)),(0))</f>
        <v>38</v>
      </c>
      <c r="F167" s="119"/>
      <c r="G167" s="119"/>
      <c r="H167" s="127">
        <f>IF(R167&lt;=2000,(ROUNDUP(R167-2*40+2*(U167-40-AB167), -1)),(0))</f>
        <v>1520</v>
      </c>
      <c r="I167" s="121">
        <f>V167</f>
        <v>10</v>
      </c>
      <c r="J167" s="46" t="s">
        <v>2</v>
      </c>
      <c r="K167" s="128"/>
      <c r="L167" s="119"/>
      <c r="M167" s="124">
        <f t="shared" si="57"/>
        <v>0</v>
      </c>
      <c r="N167" s="125" t="str">
        <f t="shared" si="57"/>
        <v>Пс8.3.1</v>
      </c>
      <c r="O167" s="125">
        <f t="shared" si="57"/>
        <v>7470</v>
      </c>
      <c r="P167" s="125">
        <f t="shared" si="57"/>
        <v>1400</v>
      </c>
      <c r="Q167" s="125">
        <f t="shared" si="57"/>
        <v>200</v>
      </c>
      <c r="R167" s="125">
        <f t="shared" si="57"/>
        <v>1100</v>
      </c>
      <c r="S167" s="125">
        <f t="shared" si="57"/>
        <v>300</v>
      </c>
      <c r="T167" s="125">
        <f t="shared" si="57"/>
        <v>600</v>
      </c>
      <c r="U167" s="125">
        <f t="shared" si="57"/>
        <v>300</v>
      </c>
      <c r="V167" s="125">
        <f t="shared" si="57"/>
        <v>10</v>
      </c>
      <c r="W167" s="125">
        <f t="shared" si="57"/>
        <v>200</v>
      </c>
      <c r="X167" s="125">
        <f t="shared" si="57"/>
        <v>10</v>
      </c>
      <c r="Y167" s="125">
        <f t="shared" si="57"/>
        <v>200</v>
      </c>
      <c r="Z167" s="125">
        <f t="shared" si="57"/>
        <v>10</v>
      </c>
      <c r="AA167" s="125">
        <f t="shared" si="57"/>
        <v>200</v>
      </c>
      <c r="AB167" s="125">
        <f t="shared" si="57"/>
        <v>10</v>
      </c>
      <c r="AC167" s="125">
        <f t="shared" si="57"/>
        <v>200</v>
      </c>
      <c r="AD167" s="119">
        <f t="shared" si="57"/>
        <v>40</v>
      </c>
      <c r="AE167" s="126">
        <f t="shared" si="58"/>
        <v>415</v>
      </c>
      <c r="AF167" s="66">
        <f t="shared" si="59"/>
        <v>500</v>
      </c>
      <c r="AG167" s="66" t="str">
        <f t="shared" si="60"/>
        <v>В25</v>
      </c>
      <c r="AH167" s="66">
        <f t="shared" si="60"/>
        <v>1</v>
      </c>
    </row>
    <row r="168" spans="1:35" ht="15.75" thickTop="1" x14ac:dyDescent="0.25"/>
    <row r="171" spans="1:35" ht="15.75" thickBot="1" x14ac:dyDescent="0.3"/>
    <row r="172" spans="1:35" ht="91.5" thickTop="1" thickBot="1" x14ac:dyDescent="0.3">
      <c r="A172" s="133" t="s">
        <v>159</v>
      </c>
      <c r="B172" s="135" t="s">
        <v>160</v>
      </c>
      <c r="C172" s="135" t="s">
        <v>2750</v>
      </c>
      <c r="D172" s="135" t="s">
        <v>2856</v>
      </c>
      <c r="E172" s="138" t="s">
        <v>163</v>
      </c>
      <c r="F172" s="135" t="s">
        <v>2857</v>
      </c>
      <c r="G172" s="135" t="s">
        <v>2858</v>
      </c>
      <c r="H172" s="140" t="s">
        <v>166</v>
      </c>
      <c r="I172" s="141"/>
      <c r="J172" s="142"/>
      <c r="K172" s="143" t="s">
        <v>2859</v>
      </c>
      <c r="L172" s="143" t="s">
        <v>2860</v>
      </c>
      <c r="M172" s="146" t="s">
        <v>2861</v>
      </c>
      <c r="N172" s="107" t="s">
        <v>2714</v>
      </c>
      <c r="O172" s="108" t="s">
        <v>2862</v>
      </c>
      <c r="P172" s="109" t="s">
        <v>2863</v>
      </c>
      <c r="Q172" s="109" t="s">
        <v>2864</v>
      </c>
      <c r="R172" s="109" t="s">
        <v>2865</v>
      </c>
      <c r="S172" s="109" t="s">
        <v>2866</v>
      </c>
      <c r="T172" s="109" t="s">
        <v>2867</v>
      </c>
      <c r="U172" s="109" t="s">
        <v>2868</v>
      </c>
      <c r="V172" s="109" t="s">
        <v>2869</v>
      </c>
      <c r="W172" s="109" t="s">
        <v>2870</v>
      </c>
      <c r="X172" s="109" t="s">
        <v>2871</v>
      </c>
      <c r="Y172" s="109" t="s">
        <v>2872</v>
      </c>
      <c r="Z172" s="109" t="s">
        <v>2873</v>
      </c>
      <c r="AA172" s="109" t="s">
        <v>2874</v>
      </c>
      <c r="AB172" s="109" t="s">
        <v>2875</v>
      </c>
      <c r="AC172" s="110" t="s">
        <v>2876</v>
      </c>
      <c r="AD172" s="111" t="s">
        <v>2877</v>
      </c>
      <c r="AE172" s="143" t="s">
        <v>180</v>
      </c>
      <c r="AF172" s="131" t="s">
        <v>2878</v>
      </c>
      <c r="AG172" s="111" t="s">
        <v>2879</v>
      </c>
      <c r="AH172" s="111" t="s">
        <v>2880</v>
      </c>
      <c r="AI172" s="112" t="s">
        <v>2881</v>
      </c>
    </row>
    <row r="173" spans="1:35" ht="17.25" thickTop="1" thickBot="1" x14ac:dyDescent="0.3">
      <c r="A173" s="134"/>
      <c r="B173" s="136"/>
      <c r="C173" s="136"/>
      <c r="D173" s="137"/>
      <c r="E173" s="139"/>
      <c r="F173" s="137"/>
      <c r="G173" s="137"/>
      <c r="H173" s="113" t="s">
        <v>170</v>
      </c>
      <c r="I173" s="114" t="s">
        <v>171</v>
      </c>
      <c r="J173" s="115" t="s">
        <v>172</v>
      </c>
      <c r="K173" s="144"/>
      <c r="L173" s="145"/>
      <c r="M173" s="147"/>
      <c r="N173" s="116" t="str">
        <f>'[1]Исх.Таблица из архикада'!A12</f>
        <v>Пс8.3.2</v>
      </c>
      <c r="O173" s="116">
        <f>'[1]Исх.Таблица из архикада'!B12</f>
        <v>12000</v>
      </c>
      <c r="P173" s="116">
        <f>'[1]Исх.Таблица из архикада'!C12</f>
        <v>1600</v>
      </c>
      <c r="Q173" s="116">
        <f>'[1]Исх.Таблица из архикада'!D12</f>
        <v>200</v>
      </c>
      <c r="R173" s="116">
        <f>'[1]Исх.Таблица из архикада'!E12</f>
        <v>1600</v>
      </c>
      <c r="S173" s="116">
        <f>'[1]Исх.Таблица из архикада'!F12</f>
        <v>300</v>
      </c>
      <c r="T173" s="116">
        <f>'[1]Исх.Таблица из архикада'!G12</f>
        <v>1100</v>
      </c>
      <c r="U173" s="116">
        <f>'[1]Исх.Таблица из архикада'!H12</f>
        <v>300</v>
      </c>
      <c r="V173" s="116">
        <f>'[1]Исх.Таблица из архикада'!I12</f>
        <v>10</v>
      </c>
      <c r="W173" s="116">
        <f>'[1]Исх.Таблица из архикада'!J12</f>
        <v>200</v>
      </c>
      <c r="X173" s="116">
        <f>'[1]Исх.Таблица из архикада'!K12</f>
        <v>12</v>
      </c>
      <c r="Y173" s="116">
        <f>'[1]Исх.Таблица из архикада'!L12</f>
        <v>200</v>
      </c>
      <c r="Z173" s="116">
        <f>'[1]Исх.Таблица из архикада'!M12</f>
        <v>10</v>
      </c>
      <c r="AA173" s="116">
        <f>'[1]Исх.Таблица из архикада'!N12</f>
        <v>200</v>
      </c>
      <c r="AB173" s="116">
        <f>'[1]Исх.Таблица из архикада'!O12</f>
        <v>10</v>
      </c>
      <c r="AC173" s="116">
        <f>'[1]Исх.Таблица из архикада'!P12</f>
        <v>200</v>
      </c>
      <c r="AD173" s="117">
        <v>40</v>
      </c>
      <c r="AE173" s="145"/>
      <c r="AF173" s="132"/>
      <c r="AG173" s="118" t="s">
        <v>2882</v>
      </c>
      <c r="AH173" s="118">
        <v>1</v>
      </c>
      <c r="AI173">
        <v>6000</v>
      </c>
    </row>
    <row r="174" spans="1:35" ht="17.25" thickTop="1" thickBot="1" x14ac:dyDescent="0.3">
      <c r="A174" s="119" t="str">
        <f>N173</f>
        <v>Пс8.3.2</v>
      </c>
      <c r="B174" s="119">
        <v>1</v>
      </c>
      <c r="C174" s="46" t="s">
        <v>2883</v>
      </c>
      <c r="D174" s="119">
        <f>W174</f>
        <v>200</v>
      </c>
      <c r="E174" s="120">
        <f>IF(O174&lt;=5700, ROUNDUP(P174*2/W174+1,0), 1)</f>
        <v>1</v>
      </c>
      <c r="F174" s="119">
        <f>ROUNDUP(((O174*R174*U174)*0.000000001+(O174*P174*Q174)*0.000000001),1)</f>
        <v>9.6</v>
      </c>
      <c r="G174" s="119">
        <f>ROUNDUP((0.1*(R174+200)*(O174)*0.000001),1)</f>
        <v>2.2000000000000002</v>
      </c>
      <c r="H174" s="120">
        <f>IF(O174&lt;=5700, O174-50, K174)</f>
        <v>108890</v>
      </c>
      <c r="I174" s="121">
        <f>V174</f>
        <v>10</v>
      </c>
      <c r="J174" s="46" t="s">
        <v>2</v>
      </c>
      <c r="K174" s="122">
        <f>Арм_ПоПлощади(O174*P174,W174,AF174,$AI$3)</f>
        <v>108890</v>
      </c>
      <c r="L174" s="123">
        <f>IF(R174&lt;=2000,(0),(ROUNDUP(O174*R174*0.000001/1+SQRT(O174*R174*0.000001),0)))</f>
        <v>0</v>
      </c>
      <c r="M174" s="124">
        <v>0</v>
      </c>
      <c r="N174" s="125" t="str">
        <f>N173</f>
        <v>Пс8.3.2</v>
      </c>
      <c r="O174" s="125">
        <f t="shared" ref="O174:AD174" si="62">O173</f>
        <v>12000</v>
      </c>
      <c r="P174" s="125">
        <f t="shared" si="62"/>
        <v>1600</v>
      </c>
      <c r="Q174" s="125">
        <f t="shared" si="62"/>
        <v>200</v>
      </c>
      <c r="R174" s="125">
        <f t="shared" si="62"/>
        <v>1600</v>
      </c>
      <c r="S174" s="125">
        <f t="shared" si="62"/>
        <v>300</v>
      </c>
      <c r="T174" s="125">
        <f t="shared" si="62"/>
        <v>1100</v>
      </c>
      <c r="U174" s="125">
        <f t="shared" si="62"/>
        <v>300</v>
      </c>
      <c r="V174" s="125">
        <f t="shared" si="62"/>
        <v>10</v>
      </c>
      <c r="W174" s="125">
        <f t="shared" si="62"/>
        <v>200</v>
      </c>
      <c r="X174" s="125">
        <f t="shared" si="62"/>
        <v>12</v>
      </c>
      <c r="Y174" s="125">
        <f t="shared" si="62"/>
        <v>200</v>
      </c>
      <c r="Z174" s="125">
        <f t="shared" si="62"/>
        <v>10</v>
      </c>
      <c r="AA174" s="125">
        <f t="shared" si="62"/>
        <v>200</v>
      </c>
      <c r="AB174" s="125">
        <f t="shared" si="62"/>
        <v>10</v>
      </c>
      <c r="AC174" s="125">
        <f t="shared" si="62"/>
        <v>200</v>
      </c>
      <c r="AD174" s="119">
        <f t="shared" si="62"/>
        <v>40</v>
      </c>
      <c r="AE174" s="126">
        <f>Арм_Анкеровка(I174,J174,$AG$3,$AH$3)</f>
        <v>415</v>
      </c>
      <c r="AF174" s="66">
        <f>Арм_Нахлёст(I174,J174,$AG$3,$AH$3)</f>
        <v>500</v>
      </c>
      <c r="AG174" s="66" t="str">
        <f>AG173</f>
        <v>В25</v>
      </c>
      <c r="AH174" s="66">
        <f>AH173</f>
        <v>1</v>
      </c>
    </row>
    <row r="175" spans="1:35" ht="17.25" thickTop="1" thickBot="1" x14ac:dyDescent="0.3">
      <c r="A175" s="119" t="str">
        <f>A174</f>
        <v>Пс8.3.2</v>
      </c>
      <c r="B175" s="119">
        <v>2</v>
      </c>
      <c r="C175" s="46" t="s">
        <v>2884</v>
      </c>
      <c r="D175" s="119">
        <f>Y174</f>
        <v>200</v>
      </c>
      <c r="E175" s="127">
        <f>IF(Q175&lt;=150,0,(ROUNDUP(O175/Y175,0)))</f>
        <v>60</v>
      </c>
      <c r="F175" s="119"/>
      <c r="G175" s="119"/>
      <c r="H175" s="127">
        <f>Арм_Элемент_П(AF175, (Q175-2*AD175), I175, J175)</f>
        <v>1290</v>
      </c>
      <c r="I175" s="121">
        <f>X175</f>
        <v>12</v>
      </c>
      <c r="J175" s="46" t="s">
        <v>2</v>
      </c>
      <c r="K175" s="128"/>
      <c r="L175" s="119"/>
      <c r="M175" s="124">
        <f t="shared" ref="M175:AD186" si="63">M174</f>
        <v>0</v>
      </c>
      <c r="N175" s="125" t="str">
        <f t="shared" si="63"/>
        <v>Пс8.3.2</v>
      </c>
      <c r="O175" s="125">
        <f t="shared" si="63"/>
        <v>12000</v>
      </c>
      <c r="P175" s="125">
        <f t="shared" si="63"/>
        <v>1600</v>
      </c>
      <c r="Q175" s="125">
        <f t="shared" si="63"/>
        <v>200</v>
      </c>
      <c r="R175" s="125">
        <f t="shared" si="63"/>
        <v>1600</v>
      </c>
      <c r="S175" s="125">
        <f t="shared" si="63"/>
        <v>300</v>
      </c>
      <c r="T175" s="125">
        <f t="shared" si="63"/>
        <v>1100</v>
      </c>
      <c r="U175" s="125">
        <f t="shared" si="63"/>
        <v>300</v>
      </c>
      <c r="V175" s="125">
        <f t="shared" si="63"/>
        <v>10</v>
      </c>
      <c r="W175" s="125">
        <f t="shared" si="63"/>
        <v>200</v>
      </c>
      <c r="X175" s="125">
        <f t="shared" si="63"/>
        <v>12</v>
      </c>
      <c r="Y175" s="125">
        <f t="shared" si="63"/>
        <v>200</v>
      </c>
      <c r="Z175" s="125">
        <f t="shared" si="63"/>
        <v>10</v>
      </c>
      <c r="AA175" s="125">
        <f t="shared" si="63"/>
        <v>200</v>
      </c>
      <c r="AB175" s="125">
        <f t="shared" si="63"/>
        <v>10</v>
      </c>
      <c r="AC175" s="125">
        <f t="shared" si="63"/>
        <v>200</v>
      </c>
      <c r="AD175" s="119">
        <f t="shared" si="63"/>
        <v>40</v>
      </c>
      <c r="AE175" s="126">
        <f t="shared" ref="AE175:AE186" si="64">Арм_Анкеровка(I175,J175,$AG$3,$AH$3)</f>
        <v>500</v>
      </c>
      <c r="AF175" s="66">
        <f t="shared" ref="AF175:AF186" si="65">Арм_Нахлёст(I175,J175,$AG$3,$AH$3)</f>
        <v>600</v>
      </c>
      <c r="AG175" s="66" t="str">
        <f t="shared" ref="AG175:AH186" si="66">AG174</f>
        <v>В25</v>
      </c>
      <c r="AH175" s="66">
        <f t="shared" si="66"/>
        <v>1</v>
      </c>
    </row>
    <row r="176" spans="1:35" ht="17.25" thickTop="1" thickBot="1" x14ac:dyDescent="0.3">
      <c r="A176" s="119" t="str">
        <f t="shared" ref="A176:A186" si="67">A175</f>
        <v>Пс8.3.2</v>
      </c>
      <c r="B176" s="119">
        <v>3</v>
      </c>
      <c r="C176" s="46" t="s">
        <v>2885</v>
      </c>
      <c r="D176" s="119">
        <f>W176</f>
        <v>200</v>
      </c>
      <c r="E176" s="127">
        <f>MROUND(2*P176/D176,2)</f>
        <v>16</v>
      </c>
      <c r="F176" s="119"/>
      <c r="G176" s="119"/>
      <c r="H176" s="127">
        <f>Арм_Элемент_П(AF176, (Q176-2*AD176), I176, J176)</f>
        <v>1120</v>
      </c>
      <c r="I176" s="121">
        <f>V176</f>
        <v>10</v>
      </c>
      <c r="J176" s="46" t="s">
        <v>2</v>
      </c>
      <c r="K176" s="128"/>
      <c r="L176" s="119"/>
      <c r="M176" s="124">
        <f t="shared" si="63"/>
        <v>0</v>
      </c>
      <c r="N176" s="125" t="str">
        <f t="shared" si="63"/>
        <v>Пс8.3.2</v>
      </c>
      <c r="O176" s="125">
        <f t="shared" si="63"/>
        <v>12000</v>
      </c>
      <c r="P176" s="125">
        <f t="shared" si="63"/>
        <v>1600</v>
      </c>
      <c r="Q176" s="125">
        <f t="shared" si="63"/>
        <v>200</v>
      </c>
      <c r="R176" s="125">
        <f t="shared" si="63"/>
        <v>1600</v>
      </c>
      <c r="S176" s="125">
        <f t="shared" si="63"/>
        <v>300</v>
      </c>
      <c r="T176" s="125">
        <f t="shared" si="63"/>
        <v>1100</v>
      </c>
      <c r="U176" s="125">
        <f t="shared" si="63"/>
        <v>300</v>
      </c>
      <c r="V176" s="125">
        <f t="shared" si="63"/>
        <v>10</v>
      </c>
      <c r="W176" s="125">
        <f t="shared" si="63"/>
        <v>200</v>
      </c>
      <c r="X176" s="125">
        <f t="shared" si="63"/>
        <v>12</v>
      </c>
      <c r="Y176" s="125">
        <f t="shared" si="63"/>
        <v>200</v>
      </c>
      <c r="Z176" s="125">
        <f t="shared" si="63"/>
        <v>10</v>
      </c>
      <c r="AA176" s="125">
        <f t="shared" si="63"/>
        <v>200</v>
      </c>
      <c r="AB176" s="125">
        <f t="shared" si="63"/>
        <v>10</v>
      </c>
      <c r="AC176" s="125">
        <f t="shared" si="63"/>
        <v>200</v>
      </c>
      <c r="AD176" s="119">
        <v>30</v>
      </c>
      <c r="AE176" s="126">
        <f t="shared" si="64"/>
        <v>415</v>
      </c>
      <c r="AF176" s="66">
        <f t="shared" si="65"/>
        <v>500</v>
      </c>
      <c r="AG176" s="66" t="str">
        <f t="shared" si="66"/>
        <v>В25</v>
      </c>
      <c r="AH176" s="66">
        <f t="shared" si="66"/>
        <v>1</v>
      </c>
    </row>
    <row r="177" spans="1:35" ht="17.25" thickTop="1" thickBot="1" x14ac:dyDescent="0.3">
      <c r="A177" s="119" t="str">
        <f t="shared" si="67"/>
        <v>Пс8.3.2</v>
      </c>
      <c r="B177" s="119">
        <v>4</v>
      </c>
      <c r="C177" s="46" t="s">
        <v>2886</v>
      </c>
      <c r="D177" s="119">
        <f>Y177</f>
        <v>200</v>
      </c>
      <c r="E177" s="127">
        <f>ROUNDUP(O177/Y177,0)*2</f>
        <v>120</v>
      </c>
      <c r="F177" s="119"/>
      <c r="G177" s="119"/>
      <c r="H177" s="127">
        <f>IF(P177&lt;=3000, (IF(Q177&lt;=150,(P177-25+AE177+Q177-(35+V177)),(P177-25+AE177))), (P177-25))</f>
        <v>2075</v>
      </c>
      <c r="I177" s="121">
        <f>X177</f>
        <v>12</v>
      </c>
      <c r="J177" s="46" t="s">
        <v>2</v>
      </c>
      <c r="K177" s="128"/>
      <c r="L177" s="119"/>
      <c r="M177" s="124">
        <f t="shared" si="63"/>
        <v>0</v>
      </c>
      <c r="N177" s="125" t="str">
        <f t="shared" si="63"/>
        <v>Пс8.3.2</v>
      </c>
      <c r="O177" s="125">
        <f t="shared" si="63"/>
        <v>12000</v>
      </c>
      <c r="P177" s="125">
        <f t="shared" si="63"/>
        <v>1600</v>
      </c>
      <c r="Q177" s="125">
        <f t="shared" si="63"/>
        <v>200</v>
      </c>
      <c r="R177" s="125">
        <f t="shared" si="63"/>
        <v>1600</v>
      </c>
      <c r="S177" s="125">
        <f t="shared" si="63"/>
        <v>300</v>
      </c>
      <c r="T177" s="125">
        <f t="shared" si="63"/>
        <v>1100</v>
      </c>
      <c r="U177" s="125">
        <f t="shared" si="63"/>
        <v>300</v>
      </c>
      <c r="V177" s="125">
        <f t="shared" si="63"/>
        <v>10</v>
      </c>
      <c r="W177" s="125">
        <f t="shared" si="63"/>
        <v>200</v>
      </c>
      <c r="X177" s="125">
        <f t="shared" si="63"/>
        <v>12</v>
      </c>
      <c r="Y177" s="125">
        <f t="shared" si="63"/>
        <v>200</v>
      </c>
      <c r="Z177" s="125">
        <f t="shared" si="63"/>
        <v>10</v>
      </c>
      <c r="AA177" s="125">
        <f t="shared" si="63"/>
        <v>200</v>
      </c>
      <c r="AB177" s="125">
        <f t="shared" si="63"/>
        <v>10</v>
      </c>
      <c r="AC177" s="125">
        <f t="shared" si="63"/>
        <v>200</v>
      </c>
      <c r="AD177" s="119">
        <v>40</v>
      </c>
      <c r="AE177" s="126">
        <f t="shared" si="64"/>
        <v>500</v>
      </c>
      <c r="AF177" s="66">
        <f t="shared" si="65"/>
        <v>600</v>
      </c>
      <c r="AG177" s="66" t="str">
        <f t="shared" si="66"/>
        <v>В25</v>
      </c>
      <c r="AH177" s="66">
        <f t="shared" si="66"/>
        <v>1</v>
      </c>
    </row>
    <row r="178" spans="1:35" ht="17.25" thickTop="1" thickBot="1" x14ac:dyDescent="0.3">
      <c r="A178" s="119" t="str">
        <f t="shared" si="67"/>
        <v>Пс8.3.2</v>
      </c>
      <c r="B178" s="119">
        <v>5</v>
      </c>
      <c r="C178" s="46" t="s">
        <v>2887</v>
      </c>
      <c r="D178" s="119">
        <v>400</v>
      </c>
      <c r="E178" s="127">
        <f>ROUNDUP((13*(O178*P178/1000000)),0)</f>
        <v>250</v>
      </c>
      <c r="F178" s="119"/>
      <c r="G178" s="119"/>
      <c r="H178" s="127">
        <f>Q178-AD178*2+150</f>
        <v>270</v>
      </c>
      <c r="I178" s="121">
        <v>6</v>
      </c>
      <c r="J178" s="46" t="s">
        <v>2</v>
      </c>
      <c r="K178" s="128"/>
      <c r="L178" s="119"/>
      <c r="M178" s="124">
        <f t="shared" si="63"/>
        <v>0</v>
      </c>
      <c r="N178" s="125" t="str">
        <f t="shared" si="63"/>
        <v>Пс8.3.2</v>
      </c>
      <c r="O178" s="125">
        <f t="shared" si="63"/>
        <v>12000</v>
      </c>
      <c r="P178" s="125">
        <f t="shared" si="63"/>
        <v>1600</v>
      </c>
      <c r="Q178" s="125">
        <f t="shared" si="63"/>
        <v>200</v>
      </c>
      <c r="R178" s="125">
        <f t="shared" si="63"/>
        <v>1600</v>
      </c>
      <c r="S178" s="125">
        <f t="shared" si="63"/>
        <v>300</v>
      </c>
      <c r="T178" s="125">
        <f t="shared" si="63"/>
        <v>1100</v>
      </c>
      <c r="U178" s="125">
        <f t="shared" si="63"/>
        <v>300</v>
      </c>
      <c r="V178" s="125">
        <f t="shared" si="63"/>
        <v>10</v>
      </c>
      <c r="W178" s="125">
        <f t="shared" si="63"/>
        <v>200</v>
      </c>
      <c r="X178" s="125">
        <f t="shared" si="63"/>
        <v>12</v>
      </c>
      <c r="Y178" s="125">
        <f t="shared" si="63"/>
        <v>200</v>
      </c>
      <c r="Z178" s="125">
        <f t="shared" si="63"/>
        <v>10</v>
      </c>
      <c r="AA178" s="125">
        <f t="shared" si="63"/>
        <v>200</v>
      </c>
      <c r="AB178" s="125">
        <f t="shared" si="63"/>
        <v>10</v>
      </c>
      <c r="AC178" s="125">
        <f t="shared" si="63"/>
        <v>200</v>
      </c>
      <c r="AD178" s="119">
        <f t="shared" si="63"/>
        <v>40</v>
      </c>
      <c r="AE178" s="126">
        <f t="shared" si="64"/>
        <v>250</v>
      </c>
      <c r="AF178" s="66">
        <f t="shared" si="65"/>
        <v>300</v>
      </c>
      <c r="AG178" s="66" t="str">
        <f t="shared" si="66"/>
        <v>В25</v>
      </c>
      <c r="AH178" s="66">
        <f t="shared" si="66"/>
        <v>1</v>
      </c>
    </row>
    <row r="179" spans="1:35" ht="17.25" thickTop="1" thickBot="1" x14ac:dyDescent="0.3">
      <c r="A179" s="119" t="str">
        <f t="shared" si="67"/>
        <v>Пс8.3.2</v>
      </c>
      <c r="B179" s="119">
        <v>6</v>
      </c>
      <c r="C179" s="46" t="s">
        <v>2888</v>
      </c>
      <c r="D179" s="119">
        <f>AA179</f>
        <v>200</v>
      </c>
      <c r="E179" s="127">
        <f>IF(R179&lt;=2000,(ROUNDUP(O179/D179,0)),(ROUNDUP(O179/D179,0)))</f>
        <v>60</v>
      </c>
      <c r="F179" s="119"/>
      <c r="G179" s="119"/>
      <c r="H179" s="127">
        <f>R179-50</f>
        <v>1550</v>
      </c>
      <c r="I179" s="121">
        <f>Z179</f>
        <v>10</v>
      </c>
      <c r="J179" s="46" t="s">
        <v>2</v>
      </c>
      <c r="K179" s="128"/>
      <c r="L179" s="119"/>
      <c r="M179" s="124">
        <f t="shared" si="63"/>
        <v>0</v>
      </c>
      <c r="N179" s="125" t="str">
        <f t="shared" si="63"/>
        <v>Пс8.3.2</v>
      </c>
      <c r="O179" s="125">
        <f t="shared" si="63"/>
        <v>12000</v>
      </c>
      <c r="P179" s="125">
        <f t="shared" si="63"/>
        <v>1600</v>
      </c>
      <c r="Q179" s="125">
        <f t="shared" si="63"/>
        <v>200</v>
      </c>
      <c r="R179" s="125">
        <f t="shared" si="63"/>
        <v>1600</v>
      </c>
      <c r="S179" s="125">
        <f t="shared" si="63"/>
        <v>300</v>
      </c>
      <c r="T179" s="125">
        <f t="shared" si="63"/>
        <v>1100</v>
      </c>
      <c r="U179" s="125">
        <f t="shared" si="63"/>
        <v>300</v>
      </c>
      <c r="V179" s="125">
        <f t="shared" si="63"/>
        <v>10</v>
      </c>
      <c r="W179" s="125">
        <f t="shared" si="63"/>
        <v>200</v>
      </c>
      <c r="X179" s="125">
        <f t="shared" si="63"/>
        <v>12</v>
      </c>
      <c r="Y179" s="125">
        <f t="shared" si="63"/>
        <v>200</v>
      </c>
      <c r="Z179" s="125">
        <f t="shared" si="63"/>
        <v>10</v>
      </c>
      <c r="AA179" s="125">
        <f t="shared" si="63"/>
        <v>200</v>
      </c>
      <c r="AB179" s="125">
        <f t="shared" si="63"/>
        <v>10</v>
      </c>
      <c r="AC179" s="125">
        <f t="shared" si="63"/>
        <v>200</v>
      </c>
      <c r="AD179" s="119">
        <f t="shared" si="63"/>
        <v>40</v>
      </c>
      <c r="AE179" s="126">
        <f t="shared" si="64"/>
        <v>415</v>
      </c>
      <c r="AF179" s="66">
        <f t="shared" si="65"/>
        <v>500</v>
      </c>
      <c r="AG179" s="66" t="str">
        <f t="shared" si="66"/>
        <v>В25</v>
      </c>
      <c r="AH179" s="66">
        <f t="shared" si="66"/>
        <v>1</v>
      </c>
    </row>
    <row r="180" spans="1:35" ht="17.25" thickTop="1" thickBot="1" x14ac:dyDescent="0.3">
      <c r="A180" s="119" t="str">
        <f t="shared" si="67"/>
        <v>Пс8.3.2</v>
      </c>
      <c r="B180" s="119">
        <v>7</v>
      </c>
      <c r="C180" s="46" t="s">
        <v>2889</v>
      </c>
      <c r="D180" s="119">
        <f>AC180</f>
        <v>200</v>
      </c>
      <c r="E180" s="120">
        <f>IF(O180&lt;=5700, ROUNDUP(R180*2/AC180+1,0), 1)</f>
        <v>1</v>
      </c>
      <c r="F180" s="119"/>
      <c r="G180" s="119"/>
      <c r="H180" s="120">
        <f>IF(O180&lt;=5700, O180-50, K180)</f>
        <v>108890</v>
      </c>
      <c r="I180" s="121">
        <f>AB180</f>
        <v>10</v>
      </c>
      <c r="J180" s="46" t="s">
        <v>2</v>
      </c>
      <c r="K180" s="122">
        <f>Арм_ПоПлощади(O180*R180,AC180,AF180,$AI$3)</f>
        <v>108890</v>
      </c>
      <c r="L180" s="119"/>
      <c r="M180" s="124">
        <f t="shared" si="63"/>
        <v>0</v>
      </c>
      <c r="N180" s="125" t="str">
        <f t="shared" si="63"/>
        <v>Пс8.3.2</v>
      </c>
      <c r="O180" s="125">
        <f t="shared" si="63"/>
        <v>12000</v>
      </c>
      <c r="P180" s="125">
        <f t="shared" si="63"/>
        <v>1600</v>
      </c>
      <c r="Q180" s="125">
        <f t="shared" si="63"/>
        <v>200</v>
      </c>
      <c r="R180" s="125">
        <f t="shared" si="63"/>
        <v>1600</v>
      </c>
      <c r="S180" s="125">
        <f t="shared" si="63"/>
        <v>300</v>
      </c>
      <c r="T180" s="125">
        <f t="shared" si="63"/>
        <v>1100</v>
      </c>
      <c r="U180" s="125">
        <f t="shared" si="63"/>
        <v>300</v>
      </c>
      <c r="V180" s="125">
        <f t="shared" si="63"/>
        <v>10</v>
      </c>
      <c r="W180" s="125">
        <f t="shared" si="63"/>
        <v>200</v>
      </c>
      <c r="X180" s="125">
        <f t="shared" si="63"/>
        <v>12</v>
      </c>
      <c r="Y180" s="125">
        <f t="shared" si="63"/>
        <v>200</v>
      </c>
      <c r="Z180" s="125">
        <f t="shared" si="63"/>
        <v>10</v>
      </c>
      <c r="AA180" s="125">
        <f t="shared" si="63"/>
        <v>200</v>
      </c>
      <c r="AB180" s="125">
        <f t="shared" si="63"/>
        <v>10</v>
      </c>
      <c r="AC180" s="125">
        <f t="shared" si="63"/>
        <v>200</v>
      </c>
      <c r="AD180" s="119">
        <f t="shared" si="63"/>
        <v>40</v>
      </c>
      <c r="AE180" s="126">
        <f t="shared" si="64"/>
        <v>415</v>
      </c>
      <c r="AF180" s="66">
        <f t="shared" si="65"/>
        <v>500</v>
      </c>
      <c r="AG180" s="66" t="str">
        <f t="shared" si="66"/>
        <v>В25</v>
      </c>
      <c r="AH180" s="66">
        <f t="shared" si="66"/>
        <v>1</v>
      </c>
    </row>
    <row r="181" spans="1:35" ht="17.25" thickTop="1" thickBot="1" x14ac:dyDescent="0.3">
      <c r="A181" s="119" t="str">
        <f t="shared" si="67"/>
        <v>Пс8.3.2</v>
      </c>
      <c r="B181" s="119">
        <v>8</v>
      </c>
      <c r="C181" s="46" t="s">
        <v>2890</v>
      </c>
      <c r="D181" s="119">
        <f>AA181</f>
        <v>200</v>
      </c>
      <c r="E181" s="127">
        <f>IF(E186=0, (ROUNDUP(O181/D181,0)*2), 0)</f>
        <v>0</v>
      </c>
      <c r="F181" s="119"/>
      <c r="G181" s="119"/>
      <c r="H181" s="127">
        <f>Арм_Элемент_П(AF181, (U181-2*AD181), I181, J181)</f>
        <v>1220</v>
      </c>
      <c r="I181" s="121">
        <f>Z181</f>
        <v>10</v>
      </c>
      <c r="J181" s="46" t="s">
        <v>2</v>
      </c>
      <c r="K181" s="128"/>
      <c r="L181" s="119"/>
      <c r="M181" s="124">
        <f t="shared" si="63"/>
        <v>0</v>
      </c>
      <c r="N181" s="125" t="str">
        <f t="shared" si="63"/>
        <v>Пс8.3.2</v>
      </c>
      <c r="O181" s="125">
        <f t="shared" si="63"/>
        <v>12000</v>
      </c>
      <c r="P181" s="125">
        <f t="shared" si="63"/>
        <v>1600</v>
      </c>
      <c r="Q181" s="125">
        <f t="shared" si="63"/>
        <v>200</v>
      </c>
      <c r="R181" s="125">
        <f t="shared" si="63"/>
        <v>1600</v>
      </c>
      <c r="S181" s="125">
        <f t="shared" si="63"/>
        <v>300</v>
      </c>
      <c r="T181" s="125">
        <f t="shared" si="63"/>
        <v>1100</v>
      </c>
      <c r="U181" s="125">
        <f t="shared" si="63"/>
        <v>300</v>
      </c>
      <c r="V181" s="125">
        <f t="shared" si="63"/>
        <v>10</v>
      </c>
      <c r="W181" s="125">
        <f t="shared" si="63"/>
        <v>200</v>
      </c>
      <c r="X181" s="125">
        <f t="shared" si="63"/>
        <v>12</v>
      </c>
      <c r="Y181" s="125">
        <f t="shared" si="63"/>
        <v>200</v>
      </c>
      <c r="Z181" s="125">
        <f t="shared" si="63"/>
        <v>10</v>
      </c>
      <c r="AA181" s="125">
        <f t="shared" si="63"/>
        <v>200</v>
      </c>
      <c r="AB181" s="125">
        <f t="shared" si="63"/>
        <v>10</v>
      </c>
      <c r="AC181" s="125">
        <f t="shared" si="63"/>
        <v>200</v>
      </c>
      <c r="AD181" s="119">
        <v>30</v>
      </c>
      <c r="AE181" s="126">
        <f t="shared" si="64"/>
        <v>415</v>
      </c>
      <c r="AF181" s="66">
        <f t="shared" si="65"/>
        <v>500</v>
      </c>
      <c r="AG181" s="66" t="str">
        <f t="shared" si="66"/>
        <v>В25</v>
      </c>
      <c r="AH181" s="66">
        <f t="shared" si="66"/>
        <v>1</v>
      </c>
    </row>
    <row r="182" spans="1:35" ht="17.25" thickTop="1" thickBot="1" x14ac:dyDescent="0.3">
      <c r="A182" s="119" t="str">
        <f t="shared" si="67"/>
        <v>Пс8.3.2</v>
      </c>
      <c r="B182" s="119">
        <v>9</v>
      </c>
      <c r="C182" s="46" t="s">
        <v>2891</v>
      </c>
      <c r="D182" s="119">
        <f>AC182</f>
        <v>200</v>
      </c>
      <c r="E182" s="127">
        <f>MROUND(2*R182/AC182,2)</f>
        <v>16</v>
      </c>
      <c r="F182" s="119"/>
      <c r="G182" s="119"/>
      <c r="H182" s="127">
        <f>Арм_Элемент_П(AF182, (U182-2*AD182), I182, J182)</f>
        <v>1200</v>
      </c>
      <c r="I182" s="121">
        <f>AB182</f>
        <v>10</v>
      </c>
      <c r="J182" s="46" t="s">
        <v>2</v>
      </c>
      <c r="K182" s="128"/>
      <c r="L182" s="119"/>
      <c r="M182" s="124">
        <f t="shared" si="63"/>
        <v>0</v>
      </c>
      <c r="N182" s="125" t="str">
        <f t="shared" si="63"/>
        <v>Пс8.3.2</v>
      </c>
      <c r="O182" s="125">
        <f t="shared" si="63"/>
        <v>12000</v>
      </c>
      <c r="P182" s="125">
        <f t="shared" si="63"/>
        <v>1600</v>
      </c>
      <c r="Q182" s="125">
        <f t="shared" si="63"/>
        <v>200</v>
      </c>
      <c r="R182" s="125">
        <f t="shared" si="63"/>
        <v>1600</v>
      </c>
      <c r="S182" s="125">
        <f t="shared" si="63"/>
        <v>300</v>
      </c>
      <c r="T182" s="125">
        <f t="shared" si="63"/>
        <v>1100</v>
      </c>
      <c r="U182" s="125">
        <f t="shared" si="63"/>
        <v>300</v>
      </c>
      <c r="V182" s="125">
        <f t="shared" si="63"/>
        <v>10</v>
      </c>
      <c r="W182" s="125">
        <f t="shared" si="63"/>
        <v>200</v>
      </c>
      <c r="X182" s="125">
        <f t="shared" si="63"/>
        <v>12</v>
      </c>
      <c r="Y182" s="125">
        <f t="shared" si="63"/>
        <v>200</v>
      </c>
      <c r="Z182" s="125">
        <f t="shared" si="63"/>
        <v>10</v>
      </c>
      <c r="AA182" s="125">
        <f t="shared" si="63"/>
        <v>200</v>
      </c>
      <c r="AB182" s="125">
        <f t="shared" si="63"/>
        <v>10</v>
      </c>
      <c r="AC182" s="125">
        <f t="shared" si="63"/>
        <v>200</v>
      </c>
      <c r="AD182" s="119">
        <v>40</v>
      </c>
      <c r="AE182" s="126">
        <f t="shared" si="64"/>
        <v>415</v>
      </c>
      <c r="AF182" s="66">
        <f t="shared" si="65"/>
        <v>500</v>
      </c>
      <c r="AG182" s="66" t="str">
        <f t="shared" si="66"/>
        <v>В25</v>
      </c>
      <c r="AH182" s="66">
        <f t="shared" si="66"/>
        <v>1</v>
      </c>
    </row>
    <row r="183" spans="1:35" ht="33" thickTop="1" thickBot="1" x14ac:dyDescent="0.3">
      <c r="A183" s="119" t="str">
        <f t="shared" si="67"/>
        <v>Пс8.3.2</v>
      </c>
      <c r="B183" s="119">
        <v>10</v>
      </c>
      <c r="C183" s="46" t="s">
        <v>2892</v>
      </c>
      <c r="D183" s="119">
        <f>Y183</f>
        <v>200</v>
      </c>
      <c r="E183" s="127">
        <f>ROUNDUP((IF(P183&lt;=3000,0,O183/Y183)),0)</f>
        <v>0</v>
      </c>
      <c r="F183" s="119"/>
      <c r="G183" s="119"/>
      <c r="H183" s="127">
        <f>IF(E183=0,0, (Арм_Округление(AE183+2*AF183)))</f>
        <v>0</v>
      </c>
      <c r="I183" s="121">
        <f>X183</f>
        <v>12</v>
      </c>
      <c r="J183" s="46" t="s">
        <v>2</v>
      </c>
      <c r="K183" s="128"/>
      <c r="L183" s="119"/>
      <c r="M183" s="124">
        <f t="shared" si="63"/>
        <v>0</v>
      </c>
      <c r="N183" s="125" t="str">
        <f t="shared" si="63"/>
        <v>Пс8.3.2</v>
      </c>
      <c r="O183" s="125">
        <f t="shared" si="63"/>
        <v>12000</v>
      </c>
      <c r="P183" s="125">
        <f t="shared" si="63"/>
        <v>1600</v>
      </c>
      <c r="Q183" s="125">
        <f t="shared" si="63"/>
        <v>200</v>
      </c>
      <c r="R183" s="125">
        <f t="shared" si="63"/>
        <v>1600</v>
      </c>
      <c r="S183" s="125">
        <f t="shared" si="63"/>
        <v>300</v>
      </c>
      <c r="T183" s="125">
        <f t="shared" si="63"/>
        <v>1100</v>
      </c>
      <c r="U183" s="125">
        <f t="shared" si="63"/>
        <v>300</v>
      </c>
      <c r="V183" s="125">
        <f t="shared" si="63"/>
        <v>10</v>
      </c>
      <c r="W183" s="125">
        <f t="shared" si="63"/>
        <v>200</v>
      </c>
      <c r="X183" s="125">
        <f t="shared" si="63"/>
        <v>12</v>
      </c>
      <c r="Y183" s="125">
        <f t="shared" si="63"/>
        <v>200</v>
      </c>
      <c r="Z183" s="125">
        <f t="shared" si="63"/>
        <v>10</v>
      </c>
      <c r="AA183" s="125">
        <f t="shared" si="63"/>
        <v>200</v>
      </c>
      <c r="AB183" s="125">
        <f t="shared" si="63"/>
        <v>10</v>
      </c>
      <c r="AC183" s="125">
        <f t="shared" si="63"/>
        <v>200</v>
      </c>
      <c r="AD183" s="119">
        <f t="shared" si="63"/>
        <v>40</v>
      </c>
      <c r="AE183" s="126">
        <f t="shared" si="64"/>
        <v>500</v>
      </c>
      <c r="AF183" s="66">
        <f t="shared" si="65"/>
        <v>600</v>
      </c>
      <c r="AG183" s="66" t="str">
        <f t="shared" si="66"/>
        <v>В25</v>
      </c>
      <c r="AH183" s="66">
        <f t="shared" si="66"/>
        <v>1</v>
      </c>
    </row>
    <row r="184" spans="1:35" ht="33" thickTop="1" thickBot="1" x14ac:dyDescent="0.3">
      <c r="A184" s="119" t="str">
        <f t="shared" si="67"/>
        <v>Пс8.3.2</v>
      </c>
      <c r="B184" s="119">
        <v>11</v>
      </c>
      <c r="C184" s="46" t="s">
        <v>2893</v>
      </c>
      <c r="D184" s="119">
        <f>Y184</f>
        <v>200</v>
      </c>
      <c r="E184" s="127">
        <f>ROUNDUP((IF(P184&lt;=3000,0,O184/Y184)),0)</f>
        <v>0</v>
      </c>
      <c r="F184" s="119"/>
      <c r="G184" s="119"/>
      <c r="H184" s="127">
        <f>IF(E184=0,0, (Арм_Округление(AE184+AF184)))</f>
        <v>0</v>
      </c>
      <c r="I184" s="121">
        <f>X184</f>
        <v>12</v>
      </c>
      <c r="J184" s="46" t="s">
        <v>2</v>
      </c>
      <c r="K184" s="128"/>
      <c r="L184" s="119"/>
      <c r="M184" s="124">
        <f t="shared" si="63"/>
        <v>0</v>
      </c>
      <c r="N184" s="125" t="str">
        <f t="shared" si="63"/>
        <v>Пс8.3.2</v>
      </c>
      <c r="O184" s="125">
        <f t="shared" si="63"/>
        <v>12000</v>
      </c>
      <c r="P184" s="125">
        <f t="shared" si="63"/>
        <v>1600</v>
      </c>
      <c r="Q184" s="125">
        <f t="shared" si="63"/>
        <v>200</v>
      </c>
      <c r="R184" s="125">
        <f t="shared" si="63"/>
        <v>1600</v>
      </c>
      <c r="S184" s="125">
        <f t="shared" si="63"/>
        <v>300</v>
      </c>
      <c r="T184" s="125">
        <f t="shared" si="63"/>
        <v>1100</v>
      </c>
      <c r="U184" s="125">
        <f t="shared" si="63"/>
        <v>300</v>
      </c>
      <c r="V184" s="125">
        <f t="shared" si="63"/>
        <v>10</v>
      </c>
      <c r="W184" s="125">
        <f t="shared" si="63"/>
        <v>200</v>
      </c>
      <c r="X184" s="125">
        <f t="shared" si="63"/>
        <v>12</v>
      </c>
      <c r="Y184" s="125">
        <f t="shared" si="63"/>
        <v>200</v>
      </c>
      <c r="Z184" s="125">
        <f t="shared" si="63"/>
        <v>10</v>
      </c>
      <c r="AA184" s="125">
        <f t="shared" si="63"/>
        <v>200</v>
      </c>
      <c r="AB184" s="125">
        <f t="shared" si="63"/>
        <v>10</v>
      </c>
      <c r="AC184" s="125">
        <f t="shared" si="63"/>
        <v>200</v>
      </c>
      <c r="AD184" s="119">
        <f t="shared" si="63"/>
        <v>40</v>
      </c>
      <c r="AE184" s="126">
        <f t="shared" si="64"/>
        <v>500</v>
      </c>
      <c r="AF184" s="66">
        <f t="shared" si="65"/>
        <v>600</v>
      </c>
      <c r="AG184" s="66" t="str">
        <f t="shared" si="66"/>
        <v>В25</v>
      </c>
      <c r="AH184" s="66">
        <f t="shared" si="66"/>
        <v>1</v>
      </c>
    </row>
    <row r="185" spans="1:35" ht="17.25" thickTop="1" thickBot="1" x14ac:dyDescent="0.3">
      <c r="A185" s="119" t="str">
        <f t="shared" si="67"/>
        <v>Пс8.3.2</v>
      </c>
      <c r="B185" s="119">
        <v>12</v>
      </c>
      <c r="C185" s="46" t="s">
        <v>2894</v>
      </c>
      <c r="D185" s="119">
        <f>W184</f>
        <v>200</v>
      </c>
      <c r="E185" s="127">
        <f>IF(M185=0, 0, M185*2*ROUNDUP((P185/W185),0))</f>
        <v>0</v>
      </c>
      <c r="F185" s="119"/>
      <c r="G185" s="119"/>
      <c r="H185" s="127">
        <f>IF(M185=0, 0, AF185*2)</f>
        <v>0</v>
      </c>
      <c r="I185" s="121">
        <f>V185</f>
        <v>10</v>
      </c>
      <c r="J185" s="46" t="s">
        <v>2</v>
      </c>
      <c r="K185" s="128"/>
      <c r="L185" s="119"/>
      <c r="M185" s="124">
        <f t="shared" si="63"/>
        <v>0</v>
      </c>
      <c r="N185" s="125" t="str">
        <f t="shared" si="63"/>
        <v>Пс8.3.2</v>
      </c>
      <c r="O185" s="125">
        <f t="shared" si="63"/>
        <v>12000</v>
      </c>
      <c r="P185" s="125">
        <f t="shared" si="63"/>
        <v>1600</v>
      </c>
      <c r="Q185" s="125">
        <f t="shared" si="63"/>
        <v>200</v>
      </c>
      <c r="R185" s="125">
        <f t="shared" si="63"/>
        <v>1600</v>
      </c>
      <c r="S185" s="125">
        <f t="shared" si="63"/>
        <v>300</v>
      </c>
      <c r="T185" s="125">
        <f t="shared" si="63"/>
        <v>1100</v>
      </c>
      <c r="U185" s="125">
        <f t="shared" si="63"/>
        <v>300</v>
      </c>
      <c r="V185" s="125">
        <f t="shared" si="63"/>
        <v>10</v>
      </c>
      <c r="W185" s="125">
        <f t="shared" si="63"/>
        <v>200</v>
      </c>
      <c r="X185" s="125">
        <f t="shared" si="63"/>
        <v>12</v>
      </c>
      <c r="Y185" s="125">
        <f t="shared" si="63"/>
        <v>200</v>
      </c>
      <c r="Z185" s="125">
        <f t="shared" si="63"/>
        <v>10</v>
      </c>
      <c r="AA185" s="125">
        <f t="shared" si="63"/>
        <v>200</v>
      </c>
      <c r="AB185" s="125">
        <f t="shared" si="63"/>
        <v>10</v>
      </c>
      <c r="AC185" s="125">
        <f t="shared" si="63"/>
        <v>200</v>
      </c>
      <c r="AD185" s="119">
        <f t="shared" si="63"/>
        <v>40</v>
      </c>
      <c r="AE185" s="126">
        <f t="shared" si="64"/>
        <v>415</v>
      </c>
      <c r="AF185" s="66">
        <f t="shared" si="65"/>
        <v>500</v>
      </c>
      <c r="AG185" s="66" t="str">
        <f t="shared" si="66"/>
        <v>В25</v>
      </c>
      <c r="AH185" s="66">
        <f t="shared" si="66"/>
        <v>1</v>
      </c>
    </row>
    <row r="186" spans="1:35" ht="17.25" thickTop="1" thickBot="1" x14ac:dyDescent="0.3">
      <c r="A186" s="119" t="str">
        <f t="shared" si="67"/>
        <v>Пс8.3.2</v>
      </c>
      <c r="B186" s="119">
        <v>13</v>
      </c>
      <c r="C186" s="46" t="s">
        <v>2895</v>
      </c>
      <c r="D186" s="119">
        <f>W185</f>
        <v>200</v>
      </c>
      <c r="E186" s="127">
        <f>IF(R186&lt;=2000,(ROUNDUP(O186/D186,0)),(0))</f>
        <v>60</v>
      </c>
      <c r="F186" s="119"/>
      <c r="G186" s="119"/>
      <c r="H186" s="127">
        <f>IF(R186&lt;=2000,(ROUNDUP(R186-2*40+2*(U186-40-AB186), -1)),(0))</f>
        <v>2020</v>
      </c>
      <c r="I186" s="121">
        <f>V186</f>
        <v>10</v>
      </c>
      <c r="J186" s="46" t="s">
        <v>2</v>
      </c>
      <c r="K186" s="128"/>
      <c r="L186" s="119"/>
      <c r="M186" s="124">
        <f t="shared" si="63"/>
        <v>0</v>
      </c>
      <c r="N186" s="125" t="str">
        <f t="shared" si="63"/>
        <v>Пс8.3.2</v>
      </c>
      <c r="O186" s="125">
        <f t="shared" si="63"/>
        <v>12000</v>
      </c>
      <c r="P186" s="125">
        <f t="shared" si="63"/>
        <v>1600</v>
      </c>
      <c r="Q186" s="125">
        <f t="shared" si="63"/>
        <v>200</v>
      </c>
      <c r="R186" s="125">
        <f t="shared" si="63"/>
        <v>1600</v>
      </c>
      <c r="S186" s="125">
        <f t="shared" si="63"/>
        <v>300</v>
      </c>
      <c r="T186" s="125">
        <f t="shared" si="63"/>
        <v>1100</v>
      </c>
      <c r="U186" s="125">
        <f t="shared" si="63"/>
        <v>300</v>
      </c>
      <c r="V186" s="125">
        <f t="shared" si="63"/>
        <v>10</v>
      </c>
      <c r="W186" s="125">
        <f t="shared" si="63"/>
        <v>200</v>
      </c>
      <c r="X186" s="125">
        <f t="shared" si="63"/>
        <v>12</v>
      </c>
      <c r="Y186" s="125">
        <f t="shared" si="63"/>
        <v>200</v>
      </c>
      <c r="Z186" s="125">
        <f t="shared" si="63"/>
        <v>10</v>
      </c>
      <c r="AA186" s="125">
        <f t="shared" si="63"/>
        <v>200</v>
      </c>
      <c r="AB186" s="125">
        <f t="shared" si="63"/>
        <v>10</v>
      </c>
      <c r="AC186" s="125">
        <f t="shared" si="63"/>
        <v>200</v>
      </c>
      <c r="AD186" s="119">
        <f t="shared" si="63"/>
        <v>40</v>
      </c>
      <c r="AE186" s="126">
        <f t="shared" si="64"/>
        <v>415</v>
      </c>
      <c r="AF186" s="66">
        <f t="shared" si="65"/>
        <v>500</v>
      </c>
      <c r="AG186" s="66" t="str">
        <f t="shared" si="66"/>
        <v>В25</v>
      </c>
      <c r="AH186" s="66">
        <f t="shared" si="66"/>
        <v>1</v>
      </c>
    </row>
    <row r="187" spans="1:35" ht="15.75" thickTop="1" x14ac:dyDescent="0.25"/>
    <row r="190" spans="1:35" ht="15.75" thickBot="1" x14ac:dyDescent="0.3"/>
    <row r="191" spans="1:35" ht="91.5" thickTop="1" thickBot="1" x14ac:dyDescent="0.3">
      <c r="A191" s="133" t="s">
        <v>159</v>
      </c>
      <c r="B191" s="135" t="s">
        <v>160</v>
      </c>
      <c r="C191" s="135" t="s">
        <v>2750</v>
      </c>
      <c r="D191" s="135" t="s">
        <v>2856</v>
      </c>
      <c r="E191" s="138" t="s">
        <v>163</v>
      </c>
      <c r="F191" s="135" t="s">
        <v>2857</v>
      </c>
      <c r="G191" s="135" t="s">
        <v>2858</v>
      </c>
      <c r="H191" s="140" t="s">
        <v>166</v>
      </c>
      <c r="I191" s="141"/>
      <c r="J191" s="142"/>
      <c r="K191" s="143" t="s">
        <v>2859</v>
      </c>
      <c r="L191" s="143" t="s">
        <v>2860</v>
      </c>
      <c r="M191" s="146" t="s">
        <v>2861</v>
      </c>
      <c r="N191" s="107" t="s">
        <v>2714</v>
      </c>
      <c r="O191" s="108" t="s">
        <v>2862</v>
      </c>
      <c r="P191" s="109" t="s">
        <v>2863</v>
      </c>
      <c r="Q191" s="109" t="s">
        <v>2864</v>
      </c>
      <c r="R191" s="109" t="s">
        <v>2865</v>
      </c>
      <c r="S191" s="109" t="s">
        <v>2866</v>
      </c>
      <c r="T191" s="109" t="s">
        <v>2867</v>
      </c>
      <c r="U191" s="109" t="s">
        <v>2868</v>
      </c>
      <c r="V191" s="109" t="s">
        <v>2869</v>
      </c>
      <c r="W191" s="109" t="s">
        <v>2870</v>
      </c>
      <c r="X191" s="109" t="s">
        <v>2871</v>
      </c>
      <c r="Y191" s="109" t="s">
        <v>2872</v>
      </c>
      <c r="Z191" s="109" t="s">
        <v>2873</v>
      </c>
      <c r="AA191" s="109" t="s">
        <v>2874</v>
      </c>
      <c r="AB191" s="109" t="s">
        <v>2875</v>
      </c>
      <c r="AC191" s="110" t="s">
        <v>2876</v>
      </c>
      <c r="AD191" s="111" t="s">
        <v>2877</v>
      </c>
      <c r="AE191" s="143" t="s">
        <v>180</v>
      </c>
      <c r="AF191" s="131" t="s">
        <v>2878</v>
      </c>
      <c r="AG191" s="111" t="s">
        <v>2879</v>
      </c>
      <c r="AH191" s="111" t="s">
        <v>2880</v>
      </c>
      <c r="AI191" s="112" t="s">
        <v>2881</v>
      </c>
    </row>
    <row r="192" spans="1:35" ht="17.25" thickTop="1" thickBot="1" x14ac:dyDescent="0.3">
      <c r="A192" s="134"/>
      <c r="B192" s="136"/>
      <c r="C192" s="136"/>
      <c r="D192" s="137"/>
      <c r="E192" s="139"/>
      <c r="F192" s="137"/>
      <c r="G192" s="137"/>
      <c r="H192" s="113" t="s">
        <v>170</v>
      </c>
      <c r="I192" s="114" t="s">
        <v>171</v>
      </c>
      <c r="J192" s="115" t="s">
        <v>172</v>
      </c>
      <c r="K192" s="144"/>
      <c r="L192" s="145"/>
      <c r="M192" s="147"/>
      <c r="N192" s="116" t="str">
        <f>'[1]Исх.Таблица из архикада'!A13</f>
        <v>Пс8.3.3</v>
      </c>
      <c r="O192" s="116">
        <f>'[1]Исх.Таблица из архикада'!B13</f>
        <v>11800</v>
      </c>
      <c r="P192" s="116">
        <f>'[1]Исх.Таблица из архикада'!C13</f>
        <v>1600</v>
      </c>
      <c r="Q192" s="116">
        <f>'[1]Исх.Таблица из архикада'!D13</f>
        <v>200</v>
      </c>
      <c r="R192" s="116">
        <f>'[1]Исх.Таблица из архикада'!E13</f>
        <v>1600</v>
      </c>
      <c r="S192" s="116">
        <f>'[1]Исх.Таблица из архикада'!F13</f>
        <v>300</v>
      </c>
      <c r="T192" s="116">
        <f>'[1]Исх.Таблица из архикада'!G13</f>
        <v>1100</v>
      </c>
      <c r="U192" s="116">
        <f>'[1]Исх.Таблица из архикада'!H13</f>
        <v>300</v>
      </c>
      <c r="V192" s="116">
        <f>'[1]Исх.Таблица из архикада'!I13</f>
        <v>10</v>
      </c>
      <c r="W192" s="116">
        <f>'[1]Исх.Таблица из архикада'!J13</f>
        <v>200</v>
      </c>
      <c r="X192" s="116">
        <f>'[1]Исх.Таблица из архикада'!K13</f>
        <v>12</v>
      </c>
      <c r="Y192" s="116">
        <f>'[1]Исх.Таблица из архикада'!L13</f>
        <v>200</v>
      </c>
      <c r="Z192" s="116">
        <f>'[1]Исх.Таблица из архикада'!M13</f>
        <v>10</v>
      </c>
      <c r="AA192" s="116">
        <f>'[1]Исх.Таблица из архикада'!N13</f>
        <v>200</v>
      </c>
      <c r="AB192" s="116">
        <f>'[1]Исх.Таблица из архикада'!O13</f>
        <v>10</v>
      </c>
      <c r="AC192" s="116">
        <f>'[1]Исх.Таблица из архикада'!P13</f>
        <v>200</v>
      </c>
      <c r="AD192" s="116">
        <v>40</v>
      </c>
      <c r="AE192" s="145"/>
      <c r="AF192" s="132"/>
      <c r="AG192" s="118" t="s">
        <v>2882</v>
      </c>
      <c r="AH192" s="118">
        <v>1</v>
      </c>
      <c r="AI192">
        <v>6000</v>
      </c>
    </row>
    <row r="193" spans="1:34" ht="17.25" thickTop="1" thickBot="1" x14ac:dyDescent="0.3">
      <c r="A193" s="119" t="str">
        <f>N192</f>
        <v>Пс8.3.3</v>
      </c>
      <c r="B193" s="119">
        <v>1</v>
      </c>
      <c r="C193" s="46" t="s">
        <v>2883</v>
      </c>
      <c r="D193" s="119">
        <f>W193</f>
        <v>200</v>
      </c>
      <c r="E193" s="120">
        <f>IF(O193&lt;=5700, ROUNDUP(P193*2/W193+1,0), 1)</f>
        <v>1</v>
      </c>
      <c r="F193" s="119">
        <f>ROUNDUP(((O193*R193*U193)*0.000000001+(O193*P193*Q193)*0.000000001),1)</f>
        <v>9.5</v>
      </c>
      <c r="G193" s="119">
        <f>ROUNDUP((0.1*(R193+200)*(O193)*0.000001),1)</f>
        <v>2.2000000000000002</v>
      </c>
      <c r="H193" s="120">
        <f>IF(O193&lt;=5700, O193-50, K193)</f>
        <v>107250</v>
      </c>
      <c r="I193" s="121">
        <f>V193</f>
        <v>10</v>
      </c>
      <c r="J193" s="46" t="s">
        <v>2</v>
      </c>
      <c r="K193" s="122">
        <f>Арм_ПоПлощади(O193*P193,W193,AF193,$AI$3)</f>
        <v>107250</v>
      </c>
      <c r="L193" s="123">
        <f>IF(R193&lt;=2000,(0),(ROUNDUP(O193*R193*0.000001/1+SQRT(O193*R193*0.000001),0)))</f>
        <v>0</v>
      </c>
      <c r="M193" s="124">
        <v>0</v>
      </c>
      <c r="N193" s="125" t="str">
        <f>N192</f>
        <v>Пс8.3.3</v>
      </c>
      <c r="O193" s="125">
        <f t="shared" ref="O193:AD193" si="68">O192</f>
        <v>11800</v>
      </c>
      <c r="P193" s="125">
        <f t="shared" si="68"/>
        <v>1600</v>
      </c>
      <c r="Q193" s="125">
        <f t="shared" si="68"/>
        <v>200</v>
      </c>
      <c r="R193" s="125">
        <f t="shared" si="68"/>
        <v>1600</v>
      </c>
      <c r="S193" s="125">
        <f t="shared" si="68"/>
        <v>300</v>
      </c>
      <c r="T193" s="125">
        <f t="shared" si="68"/>
        <v>1100</v>
      </c>
      <c r="U193" s="125">
        <f t="shared" si="68"/>
        <v>300</v>
      </c>
      <c r="V193" s="125">
        <f t="shared" si="68"/>
        <v>10</v>
      </c>
      <c r="W193" s="125">
        <f t="shared" si="68"/>
        <v>200</v>
      </c>
      <c r="X193" s="125">
        <f t="shared" si="68"/>
        <v>12</v>
      </c>
      <c r="Y193" s="125">
        <f t="shared" si="68"/>
        <v>200</v>
      </c>
      <c r="Z193" s="125">
        <f t="shared" si="68"/>
        <v>10</v>
      </c>
      <c r="AA193" s="125">
        <f t="shared" si="68"/>
        <v>200</v>
      </c>
      <c r="AB193" s="125">
        <f t="shared" si="68"/>
        <v>10</v>
      </c>
      <c r="AC193" s="125">
        <f t="shared" si="68"/>
        <v>200</v>
      </c>
      <c r="AD193" s="119">
        <f t="shared" si="68"/>
        <v>40</v>
      </c>
      <c r="AE193" s="126">
        <f>Арм_Анкеровка(I193,J193,$AG$3,$AH$3)</f>
        <v>415</v>
      </c>
      <c r="AF193" s="66">
        <f>Арм_Нахлёст(I193,J193,$AG$3,$AH$3)</f>
        <v>500</v>
      </c>
      <c r="AG193" s="66" t="str">
        <f>AG192</f>
        <v>В25</v>
      </c>
      <c r="AH193" s="66">
        <f>AH192</f>
        <v>1</v>
      </c>
    </row>
    <row r="194" spans="1:34" ht="17.25" thickTop="1" thickBot="1" x14ac:dyDescent="0.3">
      <c r="A194" s="119" t="str">
        <f>A193</f>
        <v>Пс8.3.3</v>
      </c>
      <c r="B194" s="119">
        <v>2</v>
      </c>
      <c r="C194" s="46" t="s">
        <v>2884</v>
      </c>
      <c r="D194" s="119">
        <f>Y193</f>
        <v>200</v>
      </c>
      <c r="E194" s="127">
        <f>IF(Q194&lt;=150,0,(ROUNDUP(O194/Y194,0)))</f>
        <v>59</v>
      </c>
      <c r="F194" s="119"/>
      <c r="G194" s="119"/>
      <c r="H194" s="127">
        <f>Арм_Элемент_П(AF194, (Q194-2*AD194), I194, J194)</f>
        <v>1290</v>
      </c>
      <c r="I194" s="121">
        <f>X194</f>
        <v>12</v>
      </c>
      <c r="J194" s="46" t="s">
        <v>2</v>
      </c>
      <c r="K194" s="128"/>
      <c r="L194" s="119"/>
      <c r="M194" s="124">
        <f t="shared" ref="M194:AD205" si="69">M193</f>
        <v>0</v>
      </c>
      <c r="N194" s="125" t="str">
        <f t="shared" si="69"/>
        <v>Пс8.3.3</v>
      </c>
      <c r="O194" s="125">
        <f t="shared" si="69"/>
        <v>11800</v>
      </c>
      <c r="P194" s="125">
        <f t="shared" si="69"/>
        <v>1600</v>
      </c>
      <c r="Q194" s="125">
        <f t="shared" si="69"/>
        <v>200</v>
      </c>
      <c r="R194" s="125">
        <f t="shared" si="69"/>
        <v>1600</v>
      </c>
      <c r="S194" s="125">
        <f t="shared" si="69"/>
        <v>300</v>
      </c>
      <c r="T194" s="125">
        <f t="shared" si="69"/>
        <v>1100</v>
      </c>
      <c r="U194" s="125">
        <f t="shared" si="69"/>
        <v>300</v>
      </c>
      <c r="V194" s="125">
        <f t="shared" si="69"/>
        <v>10</v>
      </c>
      <c r="W194" s="125">
        <f t="shared" si="69"/>
        <v>200</v>
      </c>
      <c r="X194" s="125">
        <f t="shared" si="69"/>
        <v>12</v>
      </c>
      <c r="Y194" s="125">
        <f t="shared" si="69"/>
        <v>200</v>
      </c>
      <c r="Z194" s="125">
        <f t="shared" si="69"/>
        <v>10</v>
      </c>
      <c r="AA194" s="125">
        <f t="shared" si="69"/>
        <v>200</v>
      </c>
      <c r="AB194" s="125">
        <f t="shared" si="69"/>
        <v>10</v>
      </c>
      <c r="AC194" s="125">
        <f t="shared" si="69"/>
        <v>200</v>
      </c>
      <c r="AD194" s="119">
        <f t="shared" si="69"/>
        <v>40</v>
      </c>
      <c r="AE194" s="126">
        <f t="shared" ref="AE194:AE205" si="70">Арм_Анкеровка(I194,J194,$AG$3,$AH$3)</f>
        <v>500</v>
      </c>
      <c r="AF194" s="66">
        <f t="shared" ref="AF194:AF205" si="71">Арм_Нахлёст(I194,J194,$AG$3,$AH$3)</f>
        <v>600</v>
      </c>
      <c r="AG194" s="66" t="str">
        <f t="shared" ref="AG194:AH205" si="72">AG193</f>
        <v>В25</v>
      </c>
      <c r="AH194" s="66">
        <f t="shared" si="72"/>
        <v>1</v>
      </c>
    </row>
    <row r="195" spans="1:34" ht="17.25" thickTop="1" thickBot="1" x14ac:dyDescent="0.3">
      <c r="A195" s="119" t="str">
        <f t="shared" ref="A195:A205" si="73">A194</f>
        <v>Пс8.3.3</v>
      </c>
      <c r="B195" s="119">
        <v>3</v>
      </c>
      <c r="C195" s="46" t="s">
        <v>2885</v>
      </c>
      <c r="D195" s="119">
        <f>W195</f>
        <v>200</v>
      </c>
      <c r="E195" s="127">
        <f>MROUND(2*P195/D195,2)</f>
        <v>16</v>
      </c>
      <c r="F195" s="119"/>
      <c r="G195" s="119"/>
      <c r="H195" s="127">
        <f>Арм_Элемент_П(AF195, (Q195-2*AD195), I195, J195)</f>
        <v>1120</v>
      </c>
      <c r="I195" s="121">
        <f>V195</f>
        <v>10</v>
      </c>
      <c r="J195" s="46" t="s">
        <v>2</v>
      </c>
      <c r="K195" s="128"/>
      <c r="L195" s="119"/>
      <c r="M195" s="124">
        <f t="shared" si="69"/>
        <v>0</v>
      </c>
      <c r="N195" s="125" t="str">
        <f t="shared" si="69"/>
        <v>Пс8.3.3</v>
      </c>
      <c r="O195" s="125">
        <f t="shared" si="69"/>
        <v>11800</v>
      </c>
      <c r="P195" s="125">
        <f t="shared" si="69"/>
        <v>1600</v>
      </c>
      <c r="Q195" s="125">
        <f t="shared" si="69"/>
        <v>200</v>
      </c>
      <c r="R195" s="125">
        <f t="shared" si="69"/>
        <v>1600</v>
      </c>
      <c r="S195" s="125">
        <f t="shared" si="69"/>
        <v>300</v>
      </c>
      <c r="T195" s="125">
        <f t="shared" si="69"/>
        <v>1100</v>
      </c>
      <c r="U195" s="125">
        <f t="shared" si="69"/>
        <v>300</v>
      </c>
      <c r="V195" s="125">
        <f t="shared" si="69"/>
        <v>10</v>
      </c>
      <c r="W195" s="125">
        <f t="shared" si="69"/>
        <v>200</v>
      </c>
      <c r="X195" s="125">
        <f t="shared" si="69"/>
        <v>12</v>
      </c>
      <c r="Y195" s="125">
        <f t="shared" si="69"/>
        <v>200</v>
      </c>
      <c r="Z195" s="125">
        <f t="shared" si="69"/>
        <v>10</v>
      </c>
      <c r="AA195" s="125">
        <f t="shared" si="69"/>
        <v>200</v>
      </c>
      <c r="AB195" s="125">
        <f t="shared" si="69"/>
        <v>10</v>
      </c>
      <c r="AC195" s="125">
        <f t="shared" si="69"/>
        <v>200</v>
      </c>
      <c r="AD195" s="119">
        <v>30</v>
      </c>
      <c r="AE195" s="126">
        <f t="shared" si="70"/>
        <v>415</v>
      </c>
      <c r="AF195" s="66">
        <f t="shared" si="71"/>
        <v>500</v>
      </c>
      <c r="AG195" s="66" t="str">
        <f t="shared" si="72"/>
        <v>В25</v>
      </c>
      <c r="AH195" s="66">
        <f t="shared" si="72"/>
        <v>1</v>
      </c>
    </row>
    <row r="196" spans="1:34" ht="17.25" thickTop="1" thickBot="1" x14ac:dyDescent="0.3">
      <c r="A196" s="119" t="str">
        <f t="shared" si="73"/>
        <v>Пс8.3.3</v>
      </c>
      <c r="B196" s="119">
        <v>4</v>
      </c>
      <c r="C196" s="46" t="s">
        <v>2886</v>
      </c>
      <c r="D196" s="119">
        <f>Y196</f>
        <v>200</v>
      </c>
      <c r="E196" s="127">
        <f>ROUNDUP(O196/Y196,0)*2</f>
        <v>118</v>
      </c>
      <c r="F196" s="119"/>
      <c r="G196" s="119"/>
      <c r="H196" s="127">
        <f>IF(P196&lt;=3000,(IF(Q196&lt;=150,(P196-25+AE196+Q196-(35+V196)),(P196-25+AE196))),(P196-25))</f>
        <v>2075</v>
      </c>
      <c r="I196" s="121">
        <f>X196</f>
        <v>12</v>
      </c>
      <c r="J196" s="46" t="s">
        <v>2</v>
      </c>
      <c r="K196" s="128"/>
      <c r="L196" s="119"/>
      <c r="M196" s="124">
        <f t="shared" si="69"/>
        <v>0</v>
      </c>
      <c r="N196" s="125" t="str">
        <f t="shared" si="69"/>
        <v>Пс8.3.3</v>
      </c>
      <c r="O196" s="125">
        <f t="shared" si="69"/>
        <v>11800</v>
      </c>
      <c r="P196" s="125">
        <f t="shared" si="69"/>
        <v>1600</v>
      </c>
      <c r="Q196" s="125">
        <f t="shared" si="69"/>
        <v>200</v>
      </c>
      <c r="R196" s="125">
        <f t="shared" si="69"/>
        <v>1600</v>
      </c>
      <c r="S196" s="125">
        <f t="shared" si="69"/>
        <v>300</v>
      </c>
      <c r="T196" s="125">
        <f t="shared" si="69"/>
        <v>1100</v>
      </c>
      <c r="U196" s="125">
        <f t="shared" si="69"/>
        <v>300</v>
      </c>
      <c r="V196" s="125">
        <f t="shared" si="69"/>
        <v>10</v>
      </c>
      <c r="W196" s="125">
        <f t="shared" si="69"/>
        <v>200</v>
      </c>
      <c r="X196" s="125">
        <f t="shared" si="69"/>
        <v>12</v>
      </c>
      <c r="Y196" s="125">
        <f t="shared" si="69"/>
        <v>200</v>
      </c>
      <c r="Z196" s="125">
        <f t="shared" si="69"/>
        <v>10</v>
      </c>
      <c r="AA196" s="125">
        <f t="shared" si="69"/>
        <v>200</v>
      </c>
      <c r="AB196" s="125">
        <f t="shared" si="69"/>
        <v>10</v>
      </c>
      <c r="AC196" s="125">
        <f t="shared" si="69"/>
        <v>200</v>
      </c>
      <c r="AD196" s="119">
        <v>40</v>
      </c>
      <c r="AE196" s="126">
        <f t="shared" si="70"/>
        <v>500</v>
      </c>
      <c r="AF196" s="66">
        <f t="shared" si="71"/>
        <v>600</v>
      </c>
      <c r="AG196" s="66" t="str">
        <f t="shared" si="72"/>
        <v>В25</v>
      </c>
      <c r="AH196" s="66">
        <f t="shared" si="72"/>
        <v>1</v>
      </c>
    </row>
    <row r="197" spans="1:34" ht="17.25" thickTop="1" thickBot="1" x14ac:dyDescent="0.3">
      <c r="A197" s="119" t="str">
        <f t="shared" si="73"/>
        <v>Пс8.3.3</v>
      </c>
      <c r="B197" s="119">
        <v>5</v>
      </c>
      <c r="C197" s="46" t="s">
        <v>2887</v>
      </c>
      <c r="D197" s="119">
        <v>400</v>
      </c>
      <c r="E197" s="127">
        <f>ROUNDUP((13*(O197*P197/1000000)),0)</f>
        <v>246</v>
      </c>
      <c r="F197" s="119"/>
      <c r="G197" s="119"/>
      <c r="H197" s="127">
        <f>Q197-AD197*2+150</f>
        <v>270</v>
      </c>
      <c r="I197" s="121">
        <v>6</v>
      </c>
      <c r="J197" s="46" t="s">
        <v>2</v>
      </c>
      <c r="K197" s="128"/>
      <c r="L197" s="119"/>
      <c r="M197" s="124">
        <f t="shared" si="69"/>
        <v>0</v>
      </c>
      <c r="N197" s="125" t="str">
        <f t="shared" si="69"/>
        <v>Пс8.3.3</v>
      </c>
      <c r="O197" s="125">
        <f t="shared" si="69"/>
        <v>11800</v>
      </c>
      <c r="P197" s="125">
        <f t="shared" si="69"/>
        <v>1600</v>
      </c>
      <c r="Q197" s="125">
        <f t="shared" si="69"/>
        <v>200</v>
      </c>
      <c r="R197" s="125">
        <f t="shared" si="69"/>
        <v>1600</v>
      </c>
      <c r="S197" s="125">
        <f t="shared" si="69"/>
        <v>300</v>
      </c>
      <c r="T197" s="125">
        <f t="shared" si="69"/>
        <v>1100</v>
      </c>
      <c r="U197" s="125">
        <f t="shared" si="69"/>
        <v>300</v>
      </c>
      <c r="V197" s="125">
        <f t="shared" si="69"/>
        <v>10</v>
      </c>
      <c r="W197" s="125">
        <f t="shared" si="69"/>
        <v>200</v>
      </c>
      <c r="X197" s="125">
        <f t="shared" si="69"/>
        <v>12</v>
      </c>
      <c r="Y197" s="125">
        <f t="shared" si="69"/>
        <v>200</v>
      </c>
      <c r="Z197" s="125">
        <f t="shared" si="69"/>
        <v>10</v>
      </c>
      <c r="AA197" s="125">
        <f t="shared" si="69"/>
        <v>200</v>
      </c>
      <c r="AB197" s="125">
        <f t="shared" si="69"/>
        <v>10</v>
      </c>
      <c r="AC197" s="125">
        <f t="shared" si="69"/>
        <v>200</v>
      </c>
      <c r="AD197" s="119">
        <f t="shared" si="69"/>
        <v>40</v>
      </c>
      <c r="AE197" s="126">
        <f t="shared" si="70"/>
        <v>250</v>
      </c>
      <c r="AF197" s="66">
        <f t="shared" si="71"/>
        <v>300</v>
      </c>
      <c r="AG197" s="66" t="str">
        <f t="shared" si="72"/>
        <v>В25</v>
      </c>
      <c r="AH197" s="66">
        <f t="shared" si="72"/>
        <v>1</v>
      </c>
    </row>
    <row r="198" spans="1:34" ht="17.25" thickTop="1" thickBot="1" x14ac:dyDescent="0.3">
      <c r="A198" s="119" t="str">
        <f t="shared" si="73"/>
        <v>Пс8.3.3</v>
      </c>
      <c r="B198" s="119">
        <v>6</v>
      </c>
      <c r="C198" s="46" t="s">
        <v>2888</v>
      </c>
      <c r="D198" s="119">
        <f>AA198</f>
        <v>200</v>
      </c>
      <c r="E198" s="127">
        <f>IF(R198&lt;=2000,(ROUNDUP(O198/D198,0)),(ROUNDUP(O198/D198,0)))</f>
        <v>59</v>
      </c>
      <c r="F198" s="119"/>
      <c r="G198" s="119"/>
      <c r="H198" s="127">
        <f>R198-50</f>
        <v>1550</v>
      </c>
      <c r="I198" s="121">
        <f>Z198</f>
        <v>10</v>
      </c>
      <c r="J198" s="46" t="s">
        <v>2</v>
      </c>
      <c r="K198" s="128"/>
      <c r="L198" s="119"/>
      <c r="M198" s="124">
        <f t="shared" si="69"/>
        <v>0</v>
      </c>
      <c r="N198" s="125" t="str">
        <f t="shared" si="69"/>
        <v>Пс8.3.3</v>
      </c>
      <c r="O198" s="125">
        <f t="shared" si="69"/>
        <v>11800</v>
      </c>
      <c r="P198" s="125">
        <f t="shared" si="69"/>
        <v>1600</v>
      </c>
      <c r="Q198" s="125">
        <f t="shared" si="69"/>
        <v>200</v>
      </c>
      <c r="R198" s="125">
        <f t="shared" si="69"/>
        <v>1600</v>
      </c>
      <c r="S198" s="125">
        <f t="shared" si="69"/>
        <v>300</v>
      </c>
      <c r="T198" s="125">
        <f t="shared" si="69"/>
        <v>1100</v>
      </c>
      <c r="U198" s="125">
        <f t="shared" si="69"/>
        <v>300</v>
      </c>
      <c r="V198" s="125">
        <f t="shared" si="69"/>
        <v>10</v>
      </c>
      <c r="W198" s="125">
        <f t="shared" si="69"/>
        <v>200</v>
      </c>
      <c r="X198" s="125">
        <f t="shared" si="69"/>
        <v>12</v>
      </c>
      <c r="Y198" s="125">
        <f t="shared" si="69"/>
        <v>200</v>
      </c>
      <c r="Z198" s="125">
        <f t="shared" si="69"/>
        <v>10</v>
      </c>
      <c r="AA198" s="125">
        <f t="shared" si="69"/>
        <v>200</v>
      </c>
      <c r="AB198" s="125">
        <f t="shared" si="69"/>
        <v>10</v>
      </c>
      <c r="AC198" s="125">
        <f t="shared" si="69"/>
        <v>200</v>
      </c>
      <c r="AD198" s="119">
        <f t="shared" si="69"/>
        <v>40</v>
      </c>
      <c r="AE198" s="126">
        <f t="shared" si="70"/>
        <v>415</v>
      </c>
      <c r="AF198" s="66">
        <f t="shared" si="71"/>
        <v>500</v>
      </c>
      <c r="AG198" s="66" t="str">
        <f t="shared" si="72"/>
        <v>В25</v>
      </c>
      <c r="AH198" s="66">
        <f t="shared" si="72"/>
        <v>1</v>
      </c>
    </row>
    <row r="199" spans="1:34" ht="17.25" thickTop="1" thickBot="1" x14ac:dyDescent="0.3">
      <c r="A199" s="119" t="str">
        <f t="shared" si="73"/>
        <v>Пс8.3.3</v>
      </c>
      <c r="B199" s="119">
        <v>7</v>
      </c>
      <c r="C199" s="46" t="s">
        <v>2889</v>
      </c>
      <c r="D199" s="119">
        <f>AC199</f>
        <v>200</v>
      </c>
      <c r="E199" s="120">
        <f>IF(O199&lt;=5700, ROUNDUP(R199*2/AC199+1,0), 1)</f>
        <v>1</v>
      </c>
      <c r="F199" s="119"/>
      <c r="G199" s="119"/>
      <c r="H199" s="120">
        <f>IF(O199&lt;=5700, O199-50, K199)</f>
        <v>107250</v>
      </c>
      <c r="I199" s="121">
        <f>AB199</f>
        <v>10</v>
      </c>
      <c r="J199" s="46" t="s">
        <v>2</v>
      </c>
      <c r="K199" s="122">
        <f>Арм_ПоПлощади(O199*R199,AC199,AF199,$AI$3)</f>
        <v>107250</v>
      </c>
      <c r="L199" s="119"/>
      <c r="M199" s="124">
        <f t="shared" si="69"/>
        <v>0</v>
      </c>
      <c r="N199" s="125" t="str">
        <f t="shared" si="69"/>
        <v>Пс8.3.3</v>
      </c>
      <c r="O199" s="125">
        <f t="shared" si="69"/>
        <v>11800</v>
      </c>
      <c r="P199" s="125">
        <f t="shared" si="69"/>
        <v>1600</v>
      </c>
      <c r="Q199" s="125">
        <f t="shared" si="69"/>
        <v>200</v>
      </c>
      <c r="R199" s="125">
        <f t="shared" si="69"/>
        <v>1600</v>
      </c>
      <c r="S199" s="125">
        <f t="shared" si="69"/>
        <v>300</v>
      </c>
      <c r="T199" s="125">
        <f t="shared" si="69"/>
        <v>1100</v>
      </c>
      <c r="U199" s="125">
        <f t="shared" si="69"/>
        <v>300</v>
      </c>
      <c r="V199" s="125">
        <f t="shared" si="69"/>
        <v>10</v>
      </c>
      <c r="W199" s="125">
        <f t="shared" si="69"/>
        <v>200</v>
      </c>
      <c r="X199" s="125">
        <f t="shared" si="69"/>
        <v>12</v>
      </c>
      <c r="Y199" s="125">
        <f t="shared" si="69"/>
        <v>200</v>
      </c>
      <c r="Z199" s="125">
        <f t="shared" si="69"/>
        <v>10</v>
      </c>
      <c r="AA199" s="125">
        <f t="shared" si="69"/>
        <v>200</v>
      </c>
      <c r="AB199" s="125">
        <f t="shared" si="69"/>
        <v>10</v>
      </c>
      <c r="AC199" s="125">
        <f t="shared" si="69"/>
        <v>200</v>
      </c>
      <c r="AD199" s="119">
        <f t="shared" si="69"/>
        <v>40</v>
      </c>
      <c r="AE199" s="126">
        <f t="shared" si="70"/>
        <v>415</v>
      </c>
      <c r="AF199" s="66">
        <f t="shared" si="71"/>
        <v>500</v>
      </c>
      <c r="AG199" s="66" t="str">
        <f t="shared" si="72"/>
        <v>В25</v>
      </c>
      <c r="AH199" s="66">
        <f t="shared" si="72"/>
        <v>1</v>
      </c>
    </row>
    <row r="200" spans="1:34" ht="17.25" thickTop="1" thickBot="1" x14ac:dyDescent="0.3">
      <c r="A200" s="119" t="str">
        <f t="shared" si="73"/>
        <v>Пс8.3.3</v>
      </c>
      <c r="B200" s="119">
        <v>8</v>
      </c>
      <c r="C200" s="46" t="s">
        <v>2890</v>
      </c>
      <c r="D200" s="119">
        <f>AA200</f>
        <v>200</v>
      </c>
      <c r="E200" s="127">
        <f>IF(E205=0,(ROUNDUP(O200/D200,0)*2),0)</f>
        <v>0</v>
      </c>
      <c r="F200" s="119"/>
      <c r="G200" s="119"/>
      <c r="H200" s="127">
        <f>Арм_Элемент_П(AF200, (U200-2*AD200), I200, J200)</f>
        <v>1220</v>
      </c>
      <c r="I200" s="121">
        <f>Z200</f>
        <v>10</v>
      </c>
      <c r="J200" s="46" t="s">
        <v>2</v>
      </c>
      <c r="K200" s="128"/>
      <c r="L200" s="119"/>
      <c r="M200" s="124">
        <f t="shared" si="69"/>
        <v>0</v>
      </c>
      <c r="N200" s="125" t="str">
        <f t="shared" si="69"/>
        <v>Пс8.3.3</v>
      </c>
      <c r="O200" s="125">
        <f t="shared" si="69"/>
        <v>11800</v>
      </c>
      <c r="P200" s="125">
        <f t="shared" si="69"/>
        <v>1600</v>
      </c>
      <c r="Q200" s="125">
        <f t="shared" si="69"/>
        <v>200</v>
      </c>
      <c r="R200" s="125">
        <f t="shared" si="69"/>
        <v>1600</v>
      </c>
      <c r="S200" s="125">
        <f t="shared" si="69"/>
        <v>300</v>
      </c>
      <c r="T200" s="125">
        <f t="shared" si="69"/>
        <v>1100</v>
      </c>
      <c r="U200" s="125">
        <f t="shared" si="69"/>
        <v>300</v>
      </c>
      <c r="V200" s="125">
        <f t="shared" si="69"/>
        <v>10</v>
      </c>
      <c r="W200" s="125">
        <f t="shared" si="69"/>
        <v>200</v>
      </c>
      <c r="X200" s="125">
        <f t="shared" si="69"/>
        <v>12</v>
      </c>
      <c r="Y200" s="125">
        <f t="shared" si="69"/>
        <v>200</v>
      </c>
      <c r="Z200" s="125">
        <f t="shared" si="69"/>
        <v>10</v>
      </c>
      <c r="AA200" s="125">
        <f t="shared" si="69"/>
        <v>200</v>
      </c>
      <c r="AB200" s="125">
        <f t="shared" si="69"/>
        <v>10</v>
      </c>
      <c r="AC200" s="125">
        <f t="shared" si="69"/>
        <v>200</v>
      </c>
      <c r="AD200" s="119">
        <v>30</v>
      </c>
      <c r="AE200" s="126">
        <f t="shared" si="70"/>
        <v>415</v>
      </c>
      <c r="AF200" s="66">
        <f t="shared" si="71"/>
        <v>500</v>
      </c>
      <c r="AG200" s="66" t="str">
        <f t="shared" si="72"/>
        <v>В25</v>
      </c>
      <c r="AH200" s="66">
        <f t="shared" si="72"/>
        <v>1</v>
      </c>
    </row>
    <row r="201" spans="1:34" ht="17.25" thickTop="1" thickBot="1" x14ac:dyDescent="0.3">
      <c r="A201" s="119" t="str">
        <f t="shared" si="73"/>
        <v>Пс8.3.3</v>
      </c>
      <c r="B201" s="119">
        <v>9</v>
      </c>
      <c r="C201" s="46" t="s">
        <v>2891</v>
      </c>
      <c r="D201" s="119">
        <f>AC201</f>
        <v>200</v>
      </c>
      <c r="E201" s="127">
        <f>MROUND(2*R201/AC201,2)</f>
        <v>16</v>
      </c>
      <c r="F201" s="119"/>
      <c r="G201" s="119"/>
      <c r="H201" s="127">
        <f>Арм_Элемент_П(AF201, (U201-2*AD201), I201, J201)</f>
        <v>1200</v>
      </c>
      <c r="I201" s="121">
        <f>AB201</f>
        <v>10</v>
      </c>
      <c r="J201" s="46" t="s">
        <v>2</v>
      </c>
      <c r="K201" s="128"/>
      <c r="L201" s="119"/>
      <c r="M201" s="124">
        <f t="shared" si="69"/>
        <v>0</v>
      </c>
      <c r="N201" s="125" t="str">
        <f t="shared" si="69"/>
        <v>Пс8.3.3</v>
      </c>
      <c r="O201" s="125">
        <f t="shared" si="69"/>
        <v>11800</v>
      </c>
      <c r="P201" s="125">
        <f t="shared" si="69"/>
        <v>1600</v>
      </c>
      <c r="Q201" s="125">
        <f t="shared" si="69"/>
        <v>200</v>
      </c>
      <c r="R201" s="125">
        <f t="shared" si="69"/>
        <v>1600</v>
      </c>
      <c r="S201" s="125">
        <f t="shared" si="69"/>
        <v>300</v>
      </c>
      <c r="T201" s="125">
        <f t="shared" si="69"/>
        <v>1100</v>
      </c>
      <c r="U201" s="125">
        <f t="shared" si="69"/>
        <v>300</v>
      </c>
      <c r="V201" s="125">
        <f t="shared" si="69"/>
        <v>10</v>
      </c>
      <c r="W201" s="125">
        <f t="shared" si="69"/>
        <v>200</v>
      </c>
      <c r="X201" s="125">
        <f t="shared" si="69"/>
        <v>12</v>
      </c>
      <c r="Y201" s="125">
        <f t="shared" si="69"/>
        <v>200</v>
      </c>
      <c r="Z201" s="125">
        <f t="shared" si="69"/>
        <v>10</v>
      </c>
      <c r="AA201" s="125">
        <f t="shared" si="69"/>
        <v>200</v>
      </c>
      <c r="AB201" s="125">
        <f t="shared" si="69"/>
        <v>10</v>
      </c>
      <c r="AC201" s="125">
        <f t="shared" si="69"/>
        <v>200</v>
      </c>
      <c r="AD201" s="119">
        <v>40</v>
      </c>
      <c r="AE201" s="126">
        <f t="shared" si="70"/>
        <v>415</v>
      </c>
      <c r="AF201" s="66">
        <f t="shared" si="71"/>
        <v>500</v>
      </c>
      <c r="AG201" s="66" t="str">
        <f t="shared" si="72"/>
        <v>В25</v>
      </c>
      <c r="AH201" s="66">
        <f t="shared" si="72"/>
        <v>1</v>
      </c>
    </row>
    <row r="202" spans="1:34" ht="33" thickTop="1" thickBot="1" x14ac:dyDescent="0.3">
      <c r="A202" s="119" t="str">
        <f t="shared" si="73"/>
        <v>Пс8.3.3</v>
      </c>
      <c r="B202" s="119">
        <v>10</v>
      </c>
      <c r="C202" s="46" t="s">
        <v>2892</v>
      </c>
      <c r="D202" s="119">
        <f>Y202</f>
        <v>200</v>
      </c>
      <c r="E202" s="127">
        <f>ROUNDUP((IF(P202&lt;=3000,0,O202/Y202)),0)</f>
        <v>0</v>
      </c>
      <c r="F202" s="119"/>
      <c r="G202" s="119"/>
      <c r="H202" s="127">
        <f>IF(E202=0,0, (Арм_Округление(AE202+2*AF202)))</f>
        <v>0</v>
      </c>
      <c r="I202" s="121">
        <f>X202</f>
        <v>12</v>
      </c>
      <c r="J202" s="46" t="s">
        <v>2</v>
      </c>
      <c r="K202" s="128"/>
      <c r="L202" s="119"/>
      <c r="M202" s="124">
        <f t="shared" si="69"/>
        <v>0</v>
      </c>
      <c r="N202" s="125" t="str">
        <f t="shared" si="69"/>
        <v>Пс8.3.3</v>
      </c>
      <c r="O202" s="125">
        <f t="shared" si="69"/>
        <v>11800</v>
      </c>
      <c r="P202" s="125">
        <f t="shared" si="69"/>
        <v>1600</v>
      </c>
      <c r="Q202" s="125">
        <f t="shared" si="69"/>
        <v>200</v>
      </c>
      <c r="R202" s="125">
        <f t="shared" si="69"/>
        <v>1600</v>
      </c>
      <c r="S202" s="125">
        <f t="shared" si="69"/>
        <v>300</v>
      </c>
      <c r="T202" s="125">
        <f t="shared" si="69"/>
        <v>1100</v>
      </c>
      <c r="U202" s="125">
        <f t="shared" si="69"/>
        <v>300</v>
      </c>
      <c r="V202" s="125">
        <f t="shared" si="69"/>
        <v>10</v>
      </c>
      <c r="W202" s="125">
        <f t="shared" si="69"/>
        <v>200</v>
      </c>
      <c r="X202" s="125">
        <f t="shared" si="69"/>
        <v>12</v>
      </c>
      <c r="Y202" s="125">
        <f t="shared" si="69"/>
        <v>200</v>
      </c>
      <c r="Z202" s="125">
        <f t="shared" si="69"/>
        <v>10</v>
      </c>
      <c r="AA202" s="125">
        <f t="shared" si="69"/>
        <v>200</v>
      </c>
      <c r="AB202" s="125">
        <f t="shared" si="69"/>
        <v>10</v>
      </c>
      <c r="AC202" s="125">
        <f t="shared" si="69"/>
        <v>200</v>
      </c>
      <c r="AD202" s="119">
        <f t="shared" si="69"/>
        <v>40</v>
      </c>
      <c r="AE202" s="126">
        <f t="shared" si="70"/>
        <v>500</v>
      </c>
      <c r="AF202" s="66">
        <f t="shared" si="71"/>
        <v>600</v>
      </c>
      <c r="AG202" s="66" t="str">
        <f t="shared" si="72"/>
        <v>В25</v>
      </c>
      <c r="AH202" s="66">
        <f t="shared" si="72"/>
        <v>1</v>
      </c>
    </row>
    <row r="203" spans="1:34" ht="33" thickTop="1" thickBot="1" x14ac:dyDescent="0.3">
      <c r="A203" s="119" t="str">
        <f t="shared" si="73"/>
        <v>Пс8.3.3</v>
      </c>
      <c r="B203" s="119">
        <v>11</v>
      </c>
      <c r="C203" s="46" t="s">
        <v>2893</v>
      </c>
      <c r="D203" s="119">
        <f>Y203</f>
        <v>200</v>
      </c>
      <c r="E203" s="127">
        <f>ROUNDUP((IF(P203&lt;=3000,0,O203/Y203)),0)</f>
        <v>0</v>
      </c>
      <c r="F203" s="119"/>
      <c r="G203" s="119"/>
      <c r="H203" s="127">
        <f>IF(E203=0,0, (Арм_Округление(AE203+AF203)))</f>
        <v>0</v>
      </c>
      <c r="I203" s="121">
        <f>X203</f>
        <v>12</v>
      </c>
      <c r="J203" s="46" t="s">
        <v>2</v>
      </c>
      <c r="K203" s="128"/>
      <c r="L203" s="119"/>
      <c r="M203" s="124">
        <f t="shared" si="69"/>
        <v>0</v>
      </c>
      <c r="N203" s="125" t="str">
        <f t="shared" si="69"/>
        <v>Пс8.3.3</v>
      </c>
      <c r="O203" s="125">
        <f t="shared" si="69"/>
        <v>11800</v>
      </c>
      <c r="P203" s="125">
        <f t="shared" si="69"/>
        <v>1600</v>
      </c>
      <c r="Q203" s="125">
        <f t="shared" si="69"/>
        <v>200</v>
      </c>
      <c r="R203" s="125">
        <f t="shared" si="69"/>
        <v>1600</v>
      </c>
      <c r="S203" s="125">
        <f t="shared" si="69"/>
        <v>300</v>
      </c>
      <c r="T203" s="125">
        <f t="shared" si="69"/>
        <v>1100</v>
      </c>
      <c r="U203" s="125">
        <f t="shared" si="69"/>
        <v>300</v>
      </c>
      <c r="V203" s="125">
        <f t="shared" si="69"/>
        <v>10</v>
      </c>
      <c r="W203" s="125">
        <f t="shared" si="69"/>
        <v>200</v>
      </c>
      <c r="X203" s="125">
        <f t="shared" si="69"/>
        <v>12</v>
      </c>
      <c r="Y203" s="125">
        <f t="shared" si="69"/>
        <v>200</v>
      </c>
      <c r="Z203" s="125">
        <f t="shared" si="69"/>
        <v>10</v>
      </c>
      <c r="AA203" s="125">
        <f t="shared" si="69"/>
        <v>200</v>
      </c>
      <c r="AB203" s="125">
        <f t="shared" si="69"/>
        <v>10</v>
      </c>
      <c r="AC203" s="125">
        <f t="shared" si="69"/>
        <v>200</v>
      </c>
      <c r="AD203" s="119">
        <f t="shared" si="69"/>
        <v>40</v>
      </c>
      <c r="AE203" s="126">
        <f t="shared" si="70"/>
        <v>500</v>
      </c>
      <c r="AF203" s="66">
        <f t="shared" si="71"/>
        <v>600</v>
      </c>
      <c r="AG203" s="66" t="str">
        <f t="shared" si="72"/>
        <v>В25</v>
      </c>
      <c r="AH203" s="66">
        <f t="shared" si="72"/>
        <v>1</v>
      </c>
    </row>
    <row r="204" spans="1:34" ht="17.25" thickTop="1" thickBot="1" x14ac:dyDescent="0.3">
      <c r="A204" s="119" t="str">
        <f t="shared" si="73"/>
        <v>Пс8.3.3</v>
      </c>
      <c r="B204" s="119">
        <v>12</v>
      </c>
      <c r="C204" s="46" t="s">
        <v>2894</v>
      </c>
      <c r="D204" s="119">
        <f>W203</f>
        <v>200</v>
      </c>
      <c r="E204" s="127">
        <f>IF(M204=0, 0, M204*2*ROUNDUP((P204/W204),0))</f>
        <v>0</v>
      </c>
      <c r="F204" s="119"/>
      <c r="G204" s="119"/>
      <c r="H204" s="127">
        <f>IF(M204=0, 0, AF204*2)</f>
        <v>0</v>
      </c>
      <c r="I204" s="121">
        <f>V204</f>
        <v>10</v>
      </c>
      <c r="J204" s="46" t="s">
        <v>2</v>
      </c>
      <c r="K204" s="128"/>
      <c r="L204" s="119"/>
      <c r="M204" s="124">
        <f t="shared" si="69"/>
        <v>0</v>
      </c>
      <c r="N204" s="125" t="str">
        <f t="shared" si="69"/>
        <v>Пс8.3.3</v>
      </c>
      <c r="O204" s="125">
        <f t="shared" si="69"/>
        <v>11800</v>
      </c>
      <c r="P204" s="125">
        <f t="shared" si="69"/>
        <v>1600</v>
      </c>
      <c r="Q204" s="125">
        <f t="shared" si="69"/>
        <v>200</v>
      </c>
      <c r="R204" s="125">
        <f t="shared" si="69"/>
        <v>1600</v>
      </c>
      <c r="S204" s="125">
        <f t="shared" si="69"/>
        <v>300</v>
      </c>
      <c r="T204" s="125">
        <f t="shared" si="69"/>
        <v>1100</v>
      </c>
      <c r="U204" s="125">
        <f t="shared" si="69"/>
        <v>300</v>
      </c>
      <c r="V204" s="125">
        <f t="shared" si="69"/>
        <v>10</v>
      </c>
      <c r="W204" s="125">
        <f t="shared" si="69"/>
        <v>200</v>
      </c>
      <c r="X204" s="125">
        <f t="shared" si="69"/>
        <v>12</v>
      </c>
      <c r="Y204" s="125">
        <f t="shared" si="69"/>
        <v>200</v>
      </c>
      <c r="Z204" s="125">
        <f t="shared" si="69"/>
        <v>10</v>
      </c>
      <c r="AA204" s="125">
        <f t="shared" si="69"/>
        <v>200</v>
      </c>
      <c r="AB204" s="125">
        <f t="shared" si="69"/>
        <v>10</v>
      </c>
      <c r="AC204" s="125">
        <f t="shared" si="69"/>
        <v>200</v>
      </c>
      <c r="AD204" s="119">
        <f t="shared" si="69"/>
        <v>40</v>
      </c>
      <c r="AE204" s="126">
        <f t="shared" si="70"/>
        <v>415</v>
      </c>
      <c r="AF204" s="66">
        <f t="shared" si="71"/>
        <v>500</v>
      </c>
      <c r="AG204" s="66" t="str">
        <f t="shared" si="72"/>
        <v>В25</v>
      </c>
      <c r="AH204" s="66">
        <f t="shared" si="72"/>
        <v>1</v>
      </c>
    </row>
    <row r="205" spans="1:34" ht="17.25" thickTop="1" thickBot="1" x14ac:dyDescent="0.3">
      <c r="A205" s="119" t="str">
        <f t="shared" si="73"/>
        <v>Пс8.3.3</v>
      </c>
      <c r="B205" s="119">
        <v>13</v>
      </c>
      <c r="C205" s="46" t="s">
        <v>2895</v>
      </c>
      <c r="D205" s="119">
        <f>W204</f>
        <v>200</v>
      </c>
      <c r="E205" s="127">
        <f>IF(R205&lt;=2000,(ROUNDUP(O205/D205,0)),(0))</f>
        <v>59</v>
      </c>
      <c r="F205" s="119"/>
      <c r="G205" s="119"/>
      <c r="H205" s="127">
        <f>IF(R205&lt;=2000,(ROUNDUP(R205-2*40+2*(U205-40-AB205), -1)),(0))</f>
        <v>2020</v>
      </c>
      <c r="I205" s="121">
        <f>V205</f>
        <v>10</v>
      </c>
      <c r="J205" s="46" t="s">
        <v>2</v>
      </c>
      <c r="K205" s="128"/>
      <c r="L205" s="119"/>
      <c r="M205" s="124">
        <f t="shared" si="69"/>
        <v>0</v>
      </c>
      <c r="N205" s="125" t="str">
        <f t="shared" si="69"/>
        <v>Пс8.3.3</v>
      </c>
      <c r="O205" s="125">
        <f t="shared" si="69"/>
        <v>11800</v>
      </c>
      <c r="P205" s="125">
        <f t="shared" si="69"/>
        <v>1600</v>
      </c>
      <c r="Q205" s="125">
        <f t="shared" si="69"/>
        <v>200</v>
      </c>
      <c r="R205" s="125">
        <f t="shared" si="69"/>
        <v>1600</v>
      </c>
      <c r="S205" s="125">
        <f t="shared" si="69"/>
        <v>300</v>
      </c>
      <c r="T205" s="125">
        <f t="shared" si="69"/>
        <v>1100</v>
      </c>
      <c r="U205" s="125">
        <f t="shared" si="69"/>
        <v>300</v>
      </c>
      <c r="V205" s="125">
        <f t="shared" si="69"/>
        <v>10</v>
      </c>
      <c r="W205" s="125">
        <f t="shared" si="69"/>
        <v>200</v>
      </c>
      <c r="X205" s="125">
        <f t="shared" si="69"/>
        <v>12</v>
      </c>
      <c r="Y205" s="125">
        <f t="shared" si="69"/>
        <v>200</v>
      </c>
      <c r="Z205" s="125">
        <f t="shared" si="69"/>
        <v>10</v>
      </c>
      <c r="AA205" s="125">
        <f t="shared" si="69"/>
        <v>200</v>
      </c>
      <c r="AB205" s="125">
        <f t="shared" si="69"/>
        <v>10</v>
      </c>
      <c r="AC205" s="125">
        <f t="shared" si="69"/>
        <v>200</v>
      </c>
      <c r="AD205" s="119">
        <f t="shared" si="69"/>
        <v>40</v>
      </c>
      <c r="AE205" s="126">
        <f t="shared" si="70"/>
        <v>415</v>
      </c>
      <c r="AF205" s="66">
        <f t="shared" si="71"/>
        <v>500</v>
      </c>
      <c r="AG205" s="66" t="str">
        <f t="shared" si="72"/>
        <v>В25</v>
      </c>
      <c r="AH205" s="66">
        <f t="shared" si="72"/>
        <v>1</v>
      </c>
    </row>
    <row r="206" spans="1:34" ht="15.75" thickTop="1" x14ac:dyDescent="0.25"/>
    <row r="209" spans="1:35" ht="15.75" thickBot="1" x14ac:dyDescent="0.3"/>
    <row r="210" spans="1:35" ht="91.5" thickTop="1" thickBot="1" x14ac:dyDescent="0.3">
      <c r="A210" s="133" t="s">
        <v>159</v>
      </c>
      <c r="B210" s="135" t="s">
        <v>160</v>
      </c>
      <c r="C210" s="135" t="s">
        <v>2750</v>
      </c>
      <c r="D210" s="135" t="s">
        <v>2856</v>
      </c>
      <c r="E210" s="138" t="s">
        <v>163</v>
      </c>
      <c r="F210" s="135" t="s">
        <v>2857</v>
      </c>
      <c r="G210" s="135" t="s">
        <v>2858</v>
      </c>
      <c r="H210" s="140" t="s">
        <v>166</v>
      </c>
      <c r="I210" s="141"/>
      <c r="J210" s="142"/>
      <c r="K210" s="143" t="s">
        <v>2859</v>
      </c>
      <c r="L210" s="143" t="s">
        <v>2860</v>
      </c>
      <c r="M210" s="146" t="s">
        <v>2861</v>
      </c>
      <c r="N210" s="107" t="s">
        <v>2714</v>
      </c>
      <c r="O210" s="108" t="s">
        <v>2862</v>
      </c>
      <c r="P210" s="109" t="s">
        <v>2863</v>
      </c>
      <c r="Q210" s="109" t="s">
        <v>2864</v>
      </c>
      <c r="R210" s="109" t="s">
        <v>2865</v>
      </c>
      <c r="S210" s="109" t="s">
        <v>2866</v>
      </c>
      <c r="T210" s="109" t="s">
        <v>2867</v>
      </c>
      <c r="U210" s="109" t="s">
        <v>2868</v>
      </c>
      <c r="V210" s="109" t="s">
        <v>2869</v>
      </c>
      <c r="W210" s="109" t="s">
        <v>2870</v>
      </c>
      <c r="X210" s="109" t="s">
        <v>2871</v>
      </c>
      <c r="Y210" s="109" t="s">
        <v>2872</v>
      </c>
      <c r="Z210" s="109" t="s">
        <v>2873</v>
      </c>
      <c r="AA210" s="109" t="s">
        <v>2874</v>
      </c>
      <c r="AB210" s="109" t="s">
        <v>2875</v>
      </c>
      <c r="AC210" s="110" t="s">
        <v>2876</v>
      </c>
      <c r="AD210" s="111" t="s">
        <v>2877</v>
      </c>
      <c r="AE210" s="143" t="s">
        <v>180</v>
      </c>
      <c r="AF210" s="131" t="s">
        <v>2878</v>
      </c>
      <c r="AG210" s="111" t="s">
        <v>2879</v>
      </c>
      <c r="AH210" s="111" t="s">
        <v>2880</v>
      </c>
      <c r="AI210" s="112" t="s">
        <v>2881</v>
      </c>
    </row>
    <row r="211" spans="1:35" ht="17.25" thickTop="1" thickBot="1" x14ac:dyDescent="0.3">
      <c r="A211" s="134"/>
      <c r="B211" s="136"/>
      <c r="C211" s="136"/>
      <c r="D211" s="137"/>
      <c r="E211" s="139"/>
      <c r="F211" s="137"/>
      <c r="G211" s="137"/>
      <c r="H211" s="113" t="s">
        <v>170</v>
      </c>
      <c r="I211" s="114" t="s">
        <v>171</v>
      </c>
      <c r="J211" s="115" t="s">
        <v>172</v>
      </c>
      <c r="K211" s="144"/>
      <c r="L211" s="145"/>
      <c r="M211" s="147"/>
      <c r="N211" s="116" t="str">
        <f>'[1]Исх.Таблица из архикада'!A14</f>
        <v>Пс8.6.1</v>
      </c>
      <c r="O211" s="116">
        <f>'[1]Исх.Таблица из архикада'!B14</f>
        <v>6000</v>
      </c>
      <c r="P211" s="116">
        <f>'[1]Исх.Таблица из архикада'!C14</f>
        <v>1100</v>
      </c>
      <c r="Q211" s="116">
        <f>'[1]Исх.Таблица из архикада'!D14</f>
        <v>150</v>
      </c>
      <c r="R211" s="116">
        <f>'[1]Исх.Таблица из архикада'!E14</f>
        <v>750</v>
      </c>
      <c r="S211" s="116">
        <f>'[1]Исх.Таблица из архикада'!F14</f>
        <v>300</v>
      </c>
      <c r="T211" s="116">
        <f>'[1]Исх.Таблица из архикада'!G14</f>
        <v>300</v>
      </c>
      <c r="U211" s="116">
        <f>'[1]Исх.Таблица из архикада'!H14</f>
        <v>200</v>
      </c>
      <c r="V211" s="116">
        <f>'[1]Исх.Таблица из архикада'!I14</f>
        <v>10</v>
      </c>
      <c r="W211" s="116">
        <f>'[1]Исх.Таблица из архикада'!J14</f>
        <v>200</v>
      </c>
      <c r="X211" s="116">
        <f>'[1]Исх.Таблица из архикада'!K14</f>
        <v>10</v>
      </c>
      <c r="Y211" s="116">
        <f>'[1]Исх.Таблица из архикада'!L14</f>
        <v>200</v>
      </c>
      <c r="Z211" s="116">
        <f>'[1]Исх.Таблица из архикада'!M14</f>
        <v>10</v>
      </c>
      <c r="AA211" s="116">
        <f>'[1]Исх.Таблица из архикада'!N14</f>
        <v>200</v>
      </c>
      <c r="AB211" s="116">
        <f>'[1]Исх.Таблица из архикада'!O14</f>
        <v>10</v>
      </c>
      <c r="AC211" s="116">
        <f>'[1]Исх.Таблица из архикада'!P14</f>
        <v>200</v>
      </c>
      <c r="AD211" s="116">
        <v>40</v>
      </c>
      <c r="AE211" s="145"/>
      <c r="AF211" s="132"/>
      <c r="AG211" s="118" t="s">
        <v>2882</v>
      </c>
      <c r="AH211" s="118">
        <v>1</v>
      </c>
      <c r="AI211">
        <v>6000</v>
      </c>
    </row>
    <row r="212" spans="1:35" ht="17.25" thickTop="1" thickBot="1" x14ac:dyDescent="0.3">
      <c r="A212" s="119" t="str">
        <f>N211</f>
        <v>Пс8.6.1</v>
      </c>
      <c r="B212" s="119">
        <v>1</v>
      </c>
      <c r="C212" s="46" t="s">
        <v>2883</v>
      </c>
      <c r="D212" s="119">
        <f>W212</f>
        <v>200</v>
      </c>
      <c r="E212" s="120">
        <f>IF(O212&lt;=5700, ROUNDUP(P212*2/W212+1,0), 1)</f>
        <v>1</v>
      </c>
      <c r="F212" s="119">
        <f>ROUNDUP(((O212*R212*U212)*0.000000001+(O212*P212*Q212)*0.000000001),1)</f>
        <v>1.9000000000000001</v>
      </c>
      <c r="G212" s="119">
        <f>ROUNDUP((0.1*(R212+200)*(O212)*0.000001),1)</f>
        <v>0.6</v>
      </c>
      <c r="H212" s="120">
        <f>IF(O212&lt;=5700, O212-50, K212)</f>
        <v>38570</v>
      </c>
      <c r="I212" s="121">
        <f>V212</f>
        <v>10</v>
      </c>
      <c r="J212" s="46" t="s">
        <v>2</v>
      </c>
      <c r="K212" s="122">
        <f>Арм_ПоПлощади(O212*P212,W212,AF212,$AI$3)</f>
        <v>38570</v>
      </c>
      <c r="L212" s="123">
        <f>IF(R212&lt;=2000,(0),(ROUNDUP(O212*R212*0.000001/1+SQRT(O212*R212*0.000001),0)))</f>
        <v>0</v>
      </c>
      <c r="M212" s="124">
        <v>0</v>
      </c>
      <c r="N212" s="125" t="str">
        <f>N211</f>
        <v>Пс8.6.1</v>
      </c>
      <c r="O212" s="125">
        <f t="shared" ref="O212:AD212" si="74">O211</f>
        <v>6000</v>
      </c>
      <c r="P212" s="125">
        <f t="shared" si="74"/>
        <v>1100</v>
      </c>
      <c r="Q212" s="125">
        <f t="shared" si="74"/>
        <v>150</v>
      </c>
      <c r="R212" s="125">
        <f t="shared" si="74"/>
        <v>750</v>
      </c>
      <c r="S212" s="125">
        <f t="shared" si="74"/>
        <v>300</v>
      </c>
      <c r="T212" s="125">
        <f t="shared" si="74"/>
        <v>300</v>
      </c>
      <c r="U212" s="125">
        <f t="shared" si="74"/>
        <v>200</v>
      </c>
      <c r="V212" s="125">
        <f t="shared" si="74"/>
        <v>10</v>
      </c>
      <c r="W212" s="125">
        <f t="shared" si="74"/>
        <v>200</v>
      </c>
      <c r="X212" s="125">
        <f t="shared" si="74"/>
        <v>10</v>
      </c>
      <c r="Y212" s="125">
        <f t="shared" si="74"/>
        <v>200</v>
      </c>
      <c r="Z212" s="125">
        <f t="shared" si="74"/>
        <v>10</v>
      </c>
      <c r="AA212" s="125">
        <f t="shared" si="74"/>
        <v>200</v>
      </c>
      <c r="AB212" s="125">
        <f t="shared" si="74"/>
        <v>10</v>
      </c>
      <c r="AC212" s="125">
        <f t="shared" si="74"/>
        <v>200</v>
      </c>
      <c r="AD212" s="119">
        <f t="shared" si="74"/>
        <v>40</v>
      </c>
      <c r="AE212" s="126">
        <f>Арм_Анкеровка(I212,J212,$AG$3,$AH$3)</f>
        <v>415</v>
      </c>
      <c r="AF212" s="66">
        <f>Арм_Нахлёст(I212,J212,$AG$3,$AH$3)</f>
        <v>500</v>
      </c>
      <c r="AG212" s="66" t="str">
        <f>AG211</f>
        <v>В25</v>
      </c>
      <c r="AH212" s="66">
        <f>AH211</f>
        <v>1</v>
      </c>
    </row>
    <row r="213" spans="1:35" ht="17.25" thickTop="1" thickBot="1" x14ac:dyDescent="0.3">
      <c r="A213" s="119" t="str">
        <f>A212</f>
        <v>Пс8.6.1</v>
      </c>
      <c r="B213" s="119">
        <v>2</v>
      </c>
      <c r="C213" s="46" t="s">
        <v>2884</v>
      </c>
      <c r="D213" s="119">
        <f>Y212</f>
        <v>200</v>
      </c>
      <c r="E213" s="127">
        <f>IF(Q213&lt;=150,0,(ROUNDUP(O213/Y213,0)))</f>
        <v>0</v>
      </c>
      <c r="F213" s="119"/>
      <c r="G213" s="119"/>
      <c r="H213" s="127">
        <f>Арм_Элемент_П(AF213, (Q213-2*AD213), I213, J213)</f>
        <v>1050</v>
      </c>
      <c r="I213" s="121">
        <f>X213</f>
        <v>10</v>
      </c>
      <c r="J213" s="46" t="s">
        <v>2</v>
      </c>
      <c r="K213" s="128"/>
      <c r="L213" s="119"/>
      <c r="M213" s="124">
        <f t="shared" ref="M213:AD224" si="75">M212</f>
        <v>0</v>
      </c>
      <c r="N213" s="125" t="str">
        <f t="shared" si="75"/>
        <v>Пс8.6.1</v>
      </c>
      <c r="O213" s="125">
        <f t="shared" si="75"/>
        <v>6000</v>
      </c>
      <c r="P213" s="125">
        <f t="shared" si="75"/>
        <v>1100</v>
      </c>
      <c r="Q213" s="125">
        <f t="shared" si="75"/>
        <v>150</v>
      </c>
      <c r="R213" s="125">
        <f t="shared" si="75"/>
        <v>750</v>
      </c>
      <c r="S213" s="125">
        <f t="shared" si="75"/>
        <v>300</v>
      </c>
      <c r="T213" s="125">
        <f t="shared" si="75"/>
        <v>300</v>
      </c>
      <c r="U213" s="125">
        <f t="shared" si="75"/>
        <v>200</v>
      </c>
      <c r="V213" s="125">
        <f t="shared" si="75"/>
        <v>10</v>
      </c>
      <c r="W213" s="125">
        <f t="shared" si="75"/>
        <v>200</v>
      </c>
      <c r="X213" s="125">
        <f t="shared" si="75"/>
        <v>10</v>
      </c>
      <c r="Y213" s="125">
        <f t="shared" si="75"/>
        <v>200</v>
      </c>
      <c r="Z213" s="125">
        <f t="shared" si="75"/>
        <v>10</v>
      </c>
      <c r="AA213" s="125">
        <f t="shared" si="75"/>
        <v>200</v>
      </c>
      <c r="AB213" s="125">
        <f t="shared" si="75"/>
        <v>10</v>
      </c>
      <c r="AC213" s="125">
        <f t="shared" si="75"/>
        <v>200</v>
      </c>
      <c r="AD213" s="119">
        <f t="shared" si="75"/>
        <v>40</v>
      </c>
      <c r="AE213" s="126">
        <f t="shared" ref="AE213:AE224" si="76">Арм_Анкеровка(I213,J213,$AG$3,$AH$3)</f>
        <v>415</v>
      </c>
      <c r="AF213" s="66">
        <f t="shared" ref="AF213:AF224" si="77">Арм_Нахлёст(I213,J213,$AG$3,$AH$3)</f>
        <v>500</v>
      </c>
      <c r="AG213" s="66" t="str">
        <f t="shared" ref="AG213:AH224" si="78">AG212</f>
        <v>В25</v>
      </c>
      <c r="AH213" s="66">
        <f t="shared" si="78"/>
        <v>1</v>
      </c>
    </row>
    <row r="214" spans="1:35" ht="17.25" thickTop="1" thickBot="1" x14ac:dyDescent="0.3">
      <c r="A214" s="119" t="str">
        <f t="shared" ref="A214:A224" si="79">A213</f>
        <v>Пс8.6.1</v>
      </c>
      <c r="B214" s="119">
        <v>3</v>
      </c>
      <c r="C214" s="46" t="s">
        <v>2885</v>
      </c>
      <c r="D214" s="119">
        <f>W214</f>
        <v>200</v>
      </c>
      <c r="E214" s="127">
        <f>MROUND(2*P214/D214,2)</f>
        <v>12</v>
      </c>
      <c r="F214" s="119"/>
      <c r="G214" s="119"/>
      <c r="H214" s="127">
        <f>Арм_Элемент_П(AF214, (Q214-2*AD214), I214, J214)</f>
        <v>1070</v>
      </c>
      <c r="I214" s="121">
        <f>V214</f>
        <v>10</v>
      </c>
      <c r="J214" s="46" t="s">
        <v>2</v>
      </c>
      <c r="K214" s="128"/>
      <c r="L214" s="119"/>
      <c r="M214" s="124">
        <f t="shared" si="75"/>
        <v>0</v>
      </c>
      <c r="N214" s="125" t="str">
        <f t="shared" si="75"/>
        <v>Пс8.6.1</v>
      </c>
      <c r="O214" s="125">
        <f t="shared" si="75"/>
        <v>6000</v>
      </c>
      <c r="P214" s="125">
        <f t="shared" si="75"/>
        <v>1100</v>
      </c>
      <c r="Q214" s="125">
        <f t="shared" si="75"/>
        <v>150</v>
      </c>
      <c r="R214" s="125">
        <f t="shared" si="75"/>
        <v>750</v>
      </c>
      <c r="S214" s="125">
        <f t="shared" si="75"/>
        <v>300</v>
      </c>
      <c r="T214" s="125">
        <f t="shared" si="75"/>
        <v>300</v>
      </c>
      <c r="U214" s="125">
        <f t="shared" si="75"/>
        <v>200</v>
      </c>
      <c r="V214" s="125">
        <f t="shared" si="75"/>
        <v>10</v>
      </c>
      <c r="W214" s="125">
        <f t="shared" si="75"/>
        <v>200</v>
      </c>
      <c r="X214" s="125">
        <f t="shared" si="75"/>
        <v>10</v>
      </c>
      <c r="Y214" s="125">
        <f t="shared" si="75"/>
        <v>200</v>
      </c>
      <c r="Z214" s="125">
        <f t="shared" si="75"/>
        <v>10</v>
      </c>
      <c r="AA214" s="125">
        <f t="shared" si="75"/>
        <v>200</v>
      </c>
      <c r="AB214" s="125">
        <f t="shared" si="75"/>
        <v>10</v>
      </c>
      <c r="AC214" s="125">
        <f t="shared" si="75"/>
        <v>200</v>
      </c>
      <c r="AD214" s="119">
        <v>30</v>
      </c>
      <c r="AE214" s="126">
        <f t="shared" si="76"/>
        <v>415</v>
      </c>
      <c r="AF214" s="66">
        <f t="shared" si="77"/>
        <v>500</v>
      </c>
      <c r="AG214" s="66" t="str">
        <f t="shared" si="78"/>
        <v>В25</v>
      </c>
      <c r="AH214" s="66">
        <f t="shared" si="78"/>
        <v>1</v>
      </c>
    </row>
    <row r="215" spans="1:35" ht="17.25" thickTop="1" thickBot="1" x14ac:dyDescent="0.3">
      <c r="A215" s="119" t="str">
        <f t="shared" si="79"/>
        <v>Пс8.6.1</v>
      </c>
      <c r="B215" s="119">
        <v>4</v>
      </c>
      <c r="C215" s="46" t="s">
        <v>2886</v>
      </c>
      <c r="D215" s="119">
        <f>Y215</f>
        <v>200</v>
      </c>
      <c r="E215" s="127">
        <f>ROUNDUP(O215/Y215,0)*2</f>
        <v>60</v>
      </c>
      <c r="F215" s="119"/>
      <c r="G215" s="119"/>
      <c r="H215" s="127">
        <f>IF(P215&lt;=3000,(IF(Q215&lt;=150,(P215-25+AE215+Q215-(35+V215)),(P215-25+AE215))),(P215-25))</f>
        <v>1595</v>
      </c>
      <c r="I215" s="121">
        <f>X215</f>
        <v>10</v>
      </c>
      <c r="J215" s="46" t="s">
        <v>2</v>
      </c>
      <c r="K215" s="128"/>
      <c r="L215" s="119"/>
      <c r="M215" s="124">
        <f t="shared" si="75"/>
        <v>0</v>
      </c>
      <c r="N215" s="125" t="str">
        <f t="shared" si="75"/>
        <v>Пс8.6.1</v>
      </c>
      <c r="O215" s="125">
        <f t="shared" si="75"/>
        <v>6000</v>
      </c>
      <c r="P215" s="125">
        <f t="shared" si="75"/>
        <v>1100</v>
      </c>
      <c r="Q215" s="125">
        <f t="shared" si="75"/>
        <v>150</v>
      </c>
      <c r="R215" s="125">
        <f t="shared" si="75"/>
        <v>750</v>
      </c>
      <c r="S215" s="125">
        <f t="shared" si="75"/>
        <v>300</v>
      </c>
      <c r="T215" s="125">
        <f t="shared" si="75"/>
        <v>300</v>
      </c>
      <c r="U215" s="125">
        <f t="shared" si="75"/>
        <v>200</v>
      </c>
      <c r="V215" s="125">
        <f t="shared" si="75"/>
        <v>10</v>
      </c>
      <c r="W215" s="125">
        <f t="shared" si="75"/>
        <v>200</v>
      </c>
      <c r="X215" s="125">
        <f t="shared" si="75"/>
        <v>10</v>
      </c>
      <c r="Y215" s="125">
        <f t="shared" si="75"/>
        <v>200</v>
      </c>
      <c r="Z215" s="125">
        <f t="shared" si="75"/>
        <v>10</v>
      </c>
      <c r="AA215" s="125">
        <f t="shared" si="75"/>
        <v>200</v>
      </c>
      <c r="AB215" s="125">
        <f t="shared" si="75"/>
        <v>10</v>
      </c>
      <c r="AC215" s="125">
        <f t="shared" si="75"/>
        <v>200</v>
      </c>
      <c r="AD215" s="119">
        <v>40</v>
      </c>
      <c r="AE215" s="126">
        <f t="shared" si="76"/>
        <v>415</v>
      </c>
      <c r="AF215" s="66">
        <f t="shared" si="77"/>
        <v>500</v>
      </c>
      <c r="AG215" s="66" t="str">
        <f t="shared" si="78"/>
        <v>В25</v>
      </c>
      <c r="AH215" s="66">
        <f t="shared" si="78"/>
        <v>1</v>
      </c>
    </row>
    <row r="216" spans="1:35" ht="17.25" thickTop="1" thickBot="1" x14ac:dyDescent="0.3">
      <c r="A216" s="119" t="str">
        <f t="shared" si="79"/>
        <v>Пс8.6.1</v>
      </c>
      <c r="B216" s="119">
        <v>5</v>
      </c>
      <c r="C216" s="46" t="s">
        <v>2887</v>
      </c>
      <c r="D216" s="119">
        <v>400</v>
      </c>
      <c r="E216" s="127">
        <f>ROUNDUP((13*(O216*P216/1000000)),0)</f>
        <v>86</v>
      </c>
      <c r="F216" s="119"/>
      <c r="G216" s="119"/>
      <c r="H216" s="127">
        <f>Q216-AD216*2+150</f>
        <v>220</v>
      </c>
      <c r="I216" s="121">
        <v>6</v>
      </c>
      <c r="J216" s="46" t="s">
        <v>2</v>
      </c>
      <c r="K216" s="128"/>
      <c r="L216" s="119"/>
      <c r="M216" s="124">
        <f t="shared" si="75"/>
        <v>0</v>
      </c>
      <c r="N216" s="125" t="str">
        <f t="shared" si="75"/>
        <v>Пс8.6.1</v>
      </c>
      <c r="O216" s="125">
        <f t="shared" si="75"/>
        <v>6000</v>
      </c>
      <c r="P216" s="125">
        <f t="shared" si="75"/>
        <v>1100</v>
      </c>
      <c r="Q216" s="125">
        <f t="shared" si="75"/>
        <v>150</v>
      </c>
      <c r="R216" s="125">
        <f t="shared" si="75"/>
        <v>750</v>
      </c>
      <c r="S216" s="125">
        <f t="shared" si="75"/>
        <v>300</v>
      </c>
      <c r="T216" s="125">
        <f t="shared" si="75"/>
        <v>300</v>
      </c>
      <c r="U216" s="125">
        <f t="shared" si="75"/>
        <v>200</v>
      </c>
      <c r="V216" s="125">
        <f t="shared" si="75"/>
        <v>10</v>
      </c>
      <c r="W216" s="125">
        <f t="shared" si="75"/>
        <v>200</v>
      </c>
      <c r="X216" s="125">
        <f t="shared" si="75"/>
        <v>10</v>
      </c>
      <c r="Y216" s="125">
        <f t="shared" si="75"/>
        <v>200</v>
      </c>
      <c r="Z216" s="125">
        <f t="shared" si="75"/>
        <v>10</v>
      </c>
      <c r="AA216" s="125">
        <f t="shared" si="75"/>
        <v>200</v>
      </c>
      <c r="AB216" s="125">
        <f t="shared" si="75"/>
        <v>10</v>
      </c>
      <c r="AC216" s="125">
        <f t="shared" si="75"/>
        <v>200</v>
      </c>
      <c r="AD216" s="119">
        <f t="shared" si="75"/>
        <v>40</v>
      </c>
      <c r="AE216" s="126">
        <f t="shared" si="76"/>
        <v>250</v>
      </c>
      <c r="AF216" s="66">
        <f t="shared" si="77"/>
        <v>300</v>
      </c>
      <c r="AG216" s="66" t="str">
        <f t="shared" si="78"/>
        <v>В25</v>
      </c>
      <c r="AH216" s="66">
        <f t="shared" si="78"/>
        <v>1</v>
      </c>
    </row>
    <row r="217" spans="1:35" ht="17.25" thickTop="1" thickBot="1" x14ac:dyDescent="0.3">
      <c r="A217" s="119" t="str">
        <f t="shared" si="79"/>
        <v>Пс8.6.1</v>
      </c>
      <c r="B217" s="119">
        <v>6</v>
      </c>
      <c r="C217" s="46" t="s">
        <v>2888</v>
      </c>
      <c r="D217" s="119">
        <f>AA217</f>
        <v>200</v>
      </c>
      <c r="E217" s="127">
        <f>IF(R217&lt;=2000,(ROUNDUP(O217/D217,0)),(ROUNDUP(O217/D217,0)))</f>
        <v>30</v>
      </c>
      <c r="F217" s="119"/>
      <c r="G217" s="119"/>
      <c r="H217" s="127">
        <f>R217-50</f>
        <v>700</v>
      </c>
      <c r="I217" s="121">
        <f>Z217</f>
        <v>10</v>
      </c>
      <c r="J217" s="46" t="s">
        <v>2</v>
      </c>
      <c r="K217" s="128"/>
      <c r="L217" s="119"/>
      <c r="M217" s="124">
        <f t="shared" si="75"/>
        <v>0</v>
      </c>
      <c r="N217" s="125" t="str">
        <f t="shared" si="75"/>
        <v>Пс8.6.1</v>
      </c>
      <c r="O217" s="125">
        <f t="shared" si="75"/>
        <v>6000</v>
      </c>
      <c r="P217" s="125">
        <f t="shared" si="75"/>
        <v>1100</v>
      </c>
      <c r="Q217" s="125">
        <f t="shared" si="75"/>
        <v>150</v>
      </c>
      <c r="R217" s="125">
        <f t="shared" si="75"/>
        <v>750</v>
      </c>
      <c r="S217" s="125">
        <f t="shared" si="75"/>
        <v>300</v>
      </c>
      <c r="T217" s="125">
        <f t="shared" si="75"/>
        <v>300</v>
      </c>
      <c r="U217" s="125">
        <f t="shared" si="75"/>
        <v>200</v>
      </c>
      <c r="V217" s="125">
        <f t="shared" si="75"/>
        <v>10</v>
      </c>
      <c r="W217" s="125">
        <f t="shared" si="75"/>
        <v>200</v>
      </c>
      <c r="X217" s="125">
        <f t="shared" si="75"/>
        <v>10</v>
      </c>
      <c r="Y217" s="125">
        <f t="shared" si="75"/>
        <v>200</v>
      </c>
      <c r="Z217" s="125">
        <f t="shared" si="75"/>
        <v>10</v>
      </c>
      <c r="AA217" s="125">
        <f t="shared" si="75"/>
        <v>200</v>
      </c>
      <c r="AB217" s="125">
        <f t="shared" si="75"/>
        <v>10</v>
      </c>
      <c r="AC217" s="125">
        <f t="shared" si="75"/>
        <v>200</v>
      </c>
      <c r="AD217" s="119">
        <f t="shared" si="75"/>
        <v>40</v>
      </c>
      <c r="AE217" s="126">
        <f t="shared" si="76"/>
        <v>415</v>
      </c>
      <c r="AF217" s="66">
        <f t="shared" si="77"/>
        <v>500</v>
      </c>
      <c r="AG217" s="66" t="str">
        <f t="shared" si="78"/>
        <v>В25</v>
      </c>
      <c r="AH217" s="66">
        <f t="shared" si="78"/>
        <v>1</v>
      </c>
    </row>
    <row r="218" spans="1:35" ht="17.25" thickTop="1" thickBot="1" x14ac:dyDescent="0.3">
      <c r="A218" s="119" t="str">
        <f t="shared" si="79"/>
        <v>Пс8.6.1</v>
      </c>
      <c r="B218" s="119">
        <v>7</v>
      </c>
      <c r="C218" s="46" t="s">
        <v>2889</v>
      </c>
      <c r="D218" s="119">
        <f>AC218</f>
        <v>200</v>
      </c>
      <c r="E218" s="120">
        <f>IF(O218&lt;=5700, ROUNDUP(R218*2/AC218+1,0), 1)</f>
        <v>1</v>
      </c>
      <c r="F218" s="119"/>
      <c r="G218" s="119"/>
      <c r="H218" s="120">
        <f>IF(O218&lt;=5700, O218-50, K218)</f>
        <v>27130</v>
      </c>
      <c r="I218" s="121">
        <f>AB218</f>
        <v>10</v>
      </c>
      <c r="J218" s="46" t="s">
        <v>2</v>
      </c>
      <c r="K218" s="122">
        <f>Арм_ПоПлощади(O218*R218,AC218,AF218,$AI$3)</f>
        <v>27130</v>
      </c>
      <c r="L218" s="119"/>
      <c r="M218" s="124">
        <f t="shared" si="75"/>
        <v>0</v>
      </c>
      <c r="N218" s="125" t="str">
        <f t="shared" si="75"/>
        <v>Пс8.6.1</v>
      </c>
      <c r="O218" s="125">
        <f t="shared" si="75"/>
        <v>6000</v>
      </c>
      <c r="P218" s="125">
        <f t="shared" si="75"/>
        <v>1100</v>
      </c>
      <c r="Q218" s="125">
        <f t="shared" si="75"/>
        <v>150</v>
      </c>
      <c r="R218" s="125">
        <f t="shared" si="75"/>
        <v>750</v>
      </c>
      <c r="S218" s="125">
        <f t="shared" si="75"/>
        <v>300</v>
      </c>
      <c r="T218" s="125">
        <f t="shared" si="75"/>
        <v>300</v>
      </c>
      <c r="U218" s="125">
        <f t="shared" si="75"/>
        <v>200</v>
      </c>
      <c r="V218" s="125">
        <f t="shared" si="75"/>
        <v>10</v>
      </c>
      <c r="W218" s="125">
        <f t="shared" si="75"/>
        <v>200</v>
      </c>
      <c r="X218" s="125">
        <f t="shared" si="75"/>
        <v>10</v>
      </c>
      <c r="Y218" s="125">
        <f t="shared" si="75"/>
        <v>200</v>
      </c>
      <c r="Z218" s="125">
        <f t="shared" si="75"/>
        <v>10</v>
      </c>
      <c r="AA218" s="125">
        <f t="shared" si="75"/>
        <v>200</v>
      </c>
      <c r="AB218" s="125">
        <f t="shared" si="75"/>
        <v>10</v>
      </c>
      <c r="AC218" s="125">
        <f t="shared" si="75"/>
        <v>200</v>
      </c>
      <c r="AD218" s="119">
        <f t="shared" si="75"/>
        <v>40</v>
      </c>
      <c r="AE218" s="126">
        <f t="shared" si="76"/>
        <v>415</v>
      </c>
      <c r="AF218" s="66">
        <f t="shared" si="77"/>
        <v>500</v>
      </c>
      <c r="AG218" s="66" t="str">
        <f t="shared" si="78"/>
        <v>В25</v>
      </c>
      <c r="AH218" s="66">
        <f t="shared" si="78"/>
        <v>1</v>
      </c>
    </row>
    <row r="219" spans="1:35" ht="17.25" thickTop="1" thickBot="1" x14ac:dyDescent="0.3">
      <c r="A219" s="119" t="str">
        <f t="shared" si="79"/>
        <v>Пс8.6.1</v>
      </c>
      <c r="B219" s="119">
        <v>8</v>
      </c>
      <c r="C219" s="46" t="s">
        <v>2890</v>
      </c>
      <c r="D219" s="119">
        <f>AA219</f>
        <v>200</v>
      </c>
      <c r="E219" s="127">
        <f>IF(E224=0,(ROUNDUP(O219/D219,0)*2),0)</f>
        <v>0</v>
      </c>
      <c r="F219" s="119"/>
      <c r="G219" s="119"/>
      <c r="H219" s="127">
        <f>Арм_Элемент_П(AF219, (U219-2*AD219), I219, J219)</f>
        <v>1120</v>
      </c>
      <c r="I219" s="121">
        <f>Z219</f>
        <v>10</v>
      </c>
      <c r="J219" s="46" t="s">
        <v>2</v>
      </c>
      <c r="K219" s="128"/>
      <c r="L219" s="119"/>
      <c r="M219" s="124">
        <f t="shared" si="75"/>
        <v>0</v>
      </c>
      <c r="N219" s="125" t="str">
        <f t="shared" si="75"/>
        <v>Пс8.6.1</v>
      </c>
      <c r="O219" s="125">
        <f t="shared" si="75"/>
        <v>6000</v>
      </c>
      <c r="P219" s="125">
        <f t="shared" si="75"/>
        <v>1100</v>
      </c>
      <c r="Q219" s="125">
        <f t="shared" si="75"/>
        <v>150</v>
      </c>
      <c r="R219" s="125">
        <f t="shared" si="75"/>
        <v>750</v>
      </c>
      <c r="S219" s="125">
        <f t="shared" si="75"/>
        <v>300</v>
      </c>
      <c r="T219" s="125">
        <f t="shared" si="75"/>
        <v>300</v>
      </c>
      <c r="U219" s="125">
        <f t="shared" si="75"/>
        <v>200</v>
      </c>
      <c r="V219" s="125">
        <f t="shared" si="75"/>
        <v>10</v>
      </c>
      <c r="W219" s="125">
        <f t="shared" si="75"/>
        <v>200</v>
      </c>
      <c r="X219" s="125">
        <f t="shared" si="75"/>
        <v>10</v>
      </c>
      <c r="Y219" s="125">
        <f t="shared" si="75"/>
        <v>200</v>
      </c>
      <c r="Z219" s="125">
        <f t="shared" si="75"/>
        <v>10</v>
      </c>
      <c r="AA219" s="125">
        <f t="shared" si="75"/>
        <v>200</v>
      </c>
      <c r="AB219" s="125">
        <f t="shared" si="75"/>
        <v>10</v>
      </c>
      <c r="AC219" s="125">
        <f t="shared" si="75"/>
        <v>200</v>
      </c>
      <c r="AD219" s="119">
        <v>30</v>
      </c>
      <c r="AE219" s="126">
        <f t="shared" si="76"/>
        <v>415</v>
      </c>
      <c r="AF219" s="66">
        <f t="shared" si="77"/>
        <v>500</v>
      </c>
      <c r="AG219" s="66" t="str">
        <f t="shared" si="78"/>
        <v>В25</v>
      </c>
      <c r="AH219" s="66">
        <f t="shared" si="78"/>
        <v>1</v>
      </c>
    </row>
    <row r="220" spans="1:35" ht="17.25" thickTop="1" thickBot="1" x14ac:dyDescent="0.3">
      <c r="A220" s="119" t="str">
        <f t="shared" si="79"/>
        <v>Пс8.6.1</v>
      </c>
      <c r="B220" s="119">
        <v>9</v>
      </c>
      <c r="C220" s="46" t="s">
        <v>2891</v>
      </c>
      <c r="D220" s="119">
        <f>AC220</f>
        <v>200</v>
      </c>
      <c r="E220" s="127">
        <f>MROUND(2*R220/AC220,2)</f>
        <v>8</v>
      </c>
      <c r="F220" s="119"/>
      <c r="G220" s="119"/>
      <c r="H220" s="127">
        <f>Арм_Элемент_П(AF220, (U220-2*AD220), I220, J220)</f>
        <v>1100</v>
      </c>
      <c r="I220" s="121">
        <f>AB220</f>
        <v>10</v>
      </c>
      <c r="J220" s="46" t="s">
        <v>2</v>
      </c>
      <c r="K220" s="128"/>
      <c r="L220" s="119"/>
      <c r="M220" s="124">
        <f t="shared" si="75"/>
        <v>0</v>
      </c>
      <c r="N220" s="125" t="str">
        <f t="shared" si="75"/>
        <v>Пс8.6.1</v>
      </c>
      <c r="O220" s="125">
        <f t="shared" si="75"/>
        <v>6000</v>
      </c>
      <c r="P220" s="125">
        <f t="shared" si="75"/>
        <v>1100</v>
      </c>
      <c r="Q220" s="125">
        <f t="shared" si="75"/>
        <v>150</v>
      </c>
      <c r="R220" s="125">
        <f t="shared" si="75"/>
        <v>750</v>
      </c>
      <c r="S220" s="125">
        <f t="shared" si="75"/>
        <v>300</v>
      </c>
      <c r="T220" s="125">
        <f t="shared" si="75"/>
        <v>300</v>
      </c>
      <c r="U220" s="125">
        <f t="shared" si="75"/>
        <v>200</v>
      </c>
      <c r="V220" s="125">
        <f t="shared" si="75"/>
        <v>10</v>
      </c>
      <c r="W220" s="125">
        <f t="shared" si="75"/>
        <v>200</v>
      </c>
      <c r="X220" s="125">
        <f t="shared" si="75"/>
        <v>10</v>
      </c>
      <c r="Y220" s="125">
        <f t="shared" si="75"/>
        <v>200</v>
      </c>
      <c r="Z220" s="125">
        <f t="shared" si="75"/>
        <v>10</v>
      </c>
      <c r="AA220" s="125">
        <f t="shared" si="75"/>
        <v>200</v>
      </c>
      <c r="AB220" s="125">
        <f t="shared" si="75"/>
        <v>10</v>
      </c>
      <c r="AC220" s="125">
        <f t="shared" si="75"/>
        <v>200</v>
      </c>
      <c r="AD220" s="119">
        <v>40</v>
      </c>
      <c r="AE220" s="126">
        <f t="shared" si="76"/>
        <v>415</v>
      </c>
      <c r="AF220" s="66">
        <f t="shared" si="77"/>
        <v>500</v>
      </c>
      <c r="AG220" s="66" t="str">
        <f t="shared" si="78"/>
        <v>В25</v>
      </c>
      <c r="AH220" s="66">
        <f t="shared" si="78"/>
        <v>1</v>
      </c>
    </row>
    <row r="221" spans="1:35" ht="33" thickTop="1" thickBot="1" x14ac:dyDescent="0.3">
      <c r="A221" s="119" t="str">
        <f t="shared" si="79"/>
        <v>Пс8.6.1</v>
      </c>
      <c r="B221" s="119">
        <v>10</v>
      </c>
      <c r="C221" s="46" t="s">
        <v>2892</v>
      </c>
      <c r="D221" s="119">
        <f>Y221</f>
        <v>200</v>
      </c>
      <c r="E221" s="127">
        <f>ROUNDUP((IF(P221&lt;=3000,0,O221/Y221)),0)</f>
        <v>0</v>
      </c>
      <c r="F221" s="119"/>
      <c r="G221" s="119"/>
      <c r="H221" s="127">
        <f>IF(E221=0,0, (Арм_Округление(AE221+2*AF221)))</f>
        <v>0</v>
      </c>
      <c r="I221" s="121">
        <f>X221</f>
        <v>10</v>
      </c>
      <c r="J221" s="46" t="s">
        <v>2</v>
      </c>
      <c r="K221" s="128"/>
      <c r="L221" s="119"/>
      <c r="M221" s="124">
        <f t="shared" si="75"/>
        <v>0</v>
      </c>
      <c r="N221" s="125" t="str">
        <f t="shared" si="75"/>
        <v>Пс8.6.1</v>
      </c>
      <c r="O221" s="125">
        <f t="shared" si="75"/>
        <v>6000</v>
      </c>
      <c r="P221" s="125">
        <f t="shared" si="75"/>
        <v>1100</v>
      </c>
      <c r="Q221" s="125">
        <f t="shared" si="75"/>
        <v>150</v>
      </c>
      <c r="R221" s="125">
        <f t="shared" si="75"/>
        <v>750</v>
      </c>
      <c r="S221" s="125">
        <f t="shared" si="75"/>
        <v>300</v>
      </c>
      <c r="T221" s="125">
        <f t="shared" si="75"/>
        <v>300</v>
      </c>
      <c r="U221" s="125">
        <f t="shared" si="75"/>
        <v>200</v>
      </c>
      <c r="V221" s="125">
        <f t="shared" si="75"/>
        <v>10</v>
      </c>
      <c r="W221" s="125">
        <f t="shared" si="75"/>
        <v>200</v>
      </c>
      <c r="X221" s="125">
        <f t="shared" si="75"/>
        <v>10</v>
      </c>
      <c r="Y221" s="125">
        <f t="shared" si="75"/>
        <v>200</v>
      </c>
      <c r="Z221" s="125">
        <f t="shared" si="75"/>
        <v>10</v>
      </c>
      <c r="AA221" s="125">
        <f t="shared" si="75"/>
        <v>200</v>
      </c>
      <c r="AB221" s="125">
        <f t="shared" si="75"/>
        <v>10</v>
      </c>
      <c r="AC221" s="125">
        <f t="shared" si="75"/>
        <v>200</v>
      </c>
      <c r="AD221" s="119">
        <f t="shared" si="75"/>
        <v>40</v>
      </c>
      <c r="AE221" s="126">
        <f t="shared" si="76"/>
        <v>415</v>
      </c>
      <c r="AF221" s="66">
        <f t="shared" si="77"/>
        <v>500</v>
      </c>
      <c r="AG221" s="66" t="str">
        <f t="shared" si="78"/>
        <v>В25</v>
      </c>
      <c r="AH221" s="66">
        <f t="shared" si="78"/>
        <v>1</v>
      </c>
    </row>
    <row r="222" spans="1:35" ht="33" thickTop="1" thickBot="1" x14ac:dyDescent="0.3">
      <c r="A222" s="119" t="str">
        <f t="shared" si="79"/>
        <v>Пс8.6.1</v>
      </c>
      <c r="B222" s="119">
        <v>11</v>
      </c>
      <c r="C222" s="46" t="s">
        <v>2893</v>
      </c>
      <c r="D222" s="119">
        <f>Y222</f>
        <v>200</v>
      </c>
      <c r="E222" s="127">
        <f>ROUNDUP((IF(P222&lt;=3000,0,O222/Y222)),0)</f>
        <v>0</v>
      </c>
      <c r="F222" s="119"/>
      <c r="G222" s="119"/>
      <c r="H222" s="127">
        <f>IF(E222=0,0, (Арм_Округление(AE222+AF222)))</f>
        <v>0</v>
      </c>
      <c r="I222" s="121">
        <f>X222</f>
        <v>10</v>
      </c>
      <c r="J222" s="46" t="s">
        <v>2</v>
      </c>
      <c r="K222" s="128"/>
      <c r="L222" s="119"/>
      <c r="M222" s="124">
        <f t="shared" si="75"/>
        <v>0</v>
      </c>
      <c r="N222" s="125" t="str">
        <f t="shared" si="75"/>
        <v>Пс8.6.1</v>
      </c>
      <c r="O222" s="125">
        <f t="shared" si="75"/>
        <v>6000</v>
      </c>
      <c r="P222" s="125">
        <f t="shared" si="75"/>
        <v>1100</v>
      </c>
      <c r="Q222" s="125">
        <f t="shared" si="75"/>
        <v>150</v>
      </c>
      <c r="R222" s="125">
        <f t="shared" si="75"/>
        <v>750</v>
      </c>
      <c r="S222" s="125">
        <f t="shared" si="75"/>
        <v>300</v>
      </c>
      <c r="T222" s="125">
        <f t="shared" si="75"/>
        <v>300</v>
      </c>
      <c r="U222" s="125">
        <f t="shared" si="75"/>
        <v>200</v>
      </c>
      <c r="V222" s="125">
        <f t="shared" si="75"/>
        <v>10</v>
      </c>
      <c r="W222" s="125">
        <f t="shared" si="75"/>
        <v>200</v>
      </c>
      <c r="X222" s="125">
        <f t="shared" si="75"/>
        <v>10</v>
      </c>
      <c r="Y222" s="125">
        <f t="shared" si="75"/>
        <v>200</v>
      </c>
      <c r="Z222" s="125">
        <f t="shared" si="75"/>
        <v>10</v>
      </c>
      <c r="AA222" s="125">
        <f t="shared" si="75"/>
        <v>200</v>
      </c>
      <c r="AB222" s="125">
        <f t="shared" si="75"/>
        <v>10</v>
      </c>
      <c r="AC222" s="125">
        <f t="shared" si="75"/>
        <v>200</v>
      </c>
      <c r="AD222" s="119">
        <f t="shared" si="75"/>
        <v>40</v>
      </c>
      <c r="AE222" s="126">
        <f t="shared" si="76"/>
        <v>415</v>
      </c>
      <c r="AF222" s="66">
        <f t="shared" si="77"/>
        <v>500</v>
      </c>
      <c r="AG222" s="66" t="str">
        <f t="shared" si="78"/>
        <v>В25</v>
      </c>
      <c r="AH222" s="66">
        <f t="shared" si="78"/>
        <v>1</v>
      </c>
    </row>
    <row r="223" spans="1:35" ht="17.25" thickTop="1" thickBot="1" x14ac:dyDescent="0.3">
      <c r="A223" s="119" t="str">
        <f t="shared" si="79"/>
        <v>Пс8.6.1</v>
      </c>
      <c r="B223" s="119">
        <v>12</v>
      </c>
      <c r="C223" s="46" t="s">
        <v>2894</v>
      </c>
      <c r="D223" s="119">
        <f>W222</f>
        <v>200</v>
      </c>
      <c r="E223" s="127">
        <f>IF(M223=0, 0, M223*2*ROUNDUP((P223/W223),0))</f>
        <v>0</v>
      </c>
      <c r="F223" s="119"/>
      <c r="G223" s="119"/>
      <c r="H223" s="127">
        <f>IF(M223=0, 0, AF223*2)</f>
        <v>0</v>
      </c>
      <c r="I223" s="121">
        <f>V223</f>
        <v>10</v>
      </c>
      <c r="J223" s="46" t="s">
        <v>2</v>
      </c>
      <c r="K223" s="128"/>
      <c r="L223" s="119"/>
      <c r="M223" s="124">
        <f t="shared" si="75"/>
        <v>0</v>
      </c>
      <c r="N223" s="125" t="str">
        <f t="shared" si="75"/>
        <v>Пс8.6.1</v>
      </c>
      <c r="O223" s="125">
        <f t="shared" si="75"/>
        <v>6000</v>
      </c>
      <c r="P223" s="125">
        <f t="shared" si="75"/>
        <v>1100</v>
      </c>
      <c r="Q223" s="125">
        <f t="shared" si="75"/>
        <v>150</v>
      </c>
      <c r="R223" s="125">
        <f t="shared" si="75"/>
        <v>750</v>
      </c>
      <c r="S223" s="125">
        <f t="shared" si="75"/>
        <v>300</v>
      </c>
      <c r="T223" s="125">
        <f t="shared" si="75"/>
        <v>300</v>
      </c>
      <c r="U223" s="125">
        <f t="shared" si="75"/>
        <v>200</v>
      </c>
      <c r="V223" s="125">
        <f t="shared" si="75"/>
        <v>10</v>
      </c>
      <c r="W223" s="125">
        <f t="shared" si="75"/>
        <v>200</v>
      </c>
      <c r="X223" s="125">
        <f t="shared" si="75"/>
        <v>10</v>
      </c>
      <c r="Y223" s="125">
        <f t="shared" si="75"/>
        <v>200</v>
      </c>
      <c r="Z223" s="125">
        <f t="shared" si="75"/>
        <v>10</v>
      </c>
      <c r="AA223" s="125">
        <f t="shared" si="75"/>
        <v>200</v>
      </c>
      <c r="AB223" s="125">
        <f t="shared" si="75"/>
        <v>10</v>
      </c>
      <c r="AC223" s="125">
        <f t="shared" si="75"/>
        <v>200</v>
      </c>
      <c r="AD223" s="119">
        <f t="shared" si="75"/>
        <v>40</v>
      </c>
      <c r="AE223" s="126">
        <f t="shared" si="76"/>
        <v>415</v>
      </c>
      <c r="AF223" s="66">
        <f t="shared" si="77"/>
        <v>500</v>
      </c>
      <c r="AG223" s="66" t="str">
        <f t="shared" si="78"/>
        <v>В25</v>
      </c>
      <c r="AH223" s="66">
        <f t="shared" si="78"/>
        <v>1</v>
      </c>
    </row>
    <row r="224" spans="1:35" ht="17.25" thickTop="1" thickBot="1" x14ac:dyDescent="0.3">
      <c r="A224" s="119" t="str">
        <f t="shared" si="79"/>
        <v>Пс8.6.1</v>
      </c>
      <c r="B224" s="119">
        <v>13</v>
      </c>
      <c r="C224" s="46" t="s">
        <v>2895</v>
      </c>
      <c r="D224" s="119">
        <f>W223</f>
        <v>200</v>
      </c>
      <c r="E224" s="127">
        <f>IF(R224&lt;=2000,(ROUNDUP(O224/D224,0)),(0))</f>
        <v>30</v>
      </c>
      <c r="F224" s="119"/>
      <c r="G224" s="119"/>
      <c r="H224" s="127">
        <f>IF(R224&lt;=2000,(ROUNDUP(R224-2*40+2*(U224-40-AB224), -1)),(0))</f>
        <v>970</v>
      </c>
      <c r="I224" s="121">
        <f>V224</f>
        <v>10</v>
      </c>
      <c r="J224" s="46" t="s">
        <v>2</v>
      </c>
      <c r="K224" s="128"/>
      <c r="L224" s="119"/>
      <c r="M224" s="124">
        <f t="shared" si="75"/>
        <v>0</v>
      </c>
      <c r="N224" s="125" t="str">
        <f t="shared" si="75"/>
        <v>Пс8.6.1</v>
      </c>
      <c r="O224" s="125">
        <f t="shared" si="75"/>
        <v>6000</v>
      </c>
      <c r="P224" s="125">
        <f t="shared" si="75"/>
        <v>1100</v>
      </c>
      <c r="Q224" s="125">
        <f t="shared" si="75"/>
        <v>150</v>
      </c>
      <c r="R224" s="125">
        <f t="shared" si="75"/>
        <v>750</v>
      </c>
      <c r="S224" s="125">
        <f t="shared" si="75"/>
        <v>300</v>
      </c>
      <c r="T224" s="125">
        <f t="shared" si="75"/>
        <v>300</v>
      </c>
      <c r="U224" s="125">
        <f t="shared" si="75"/>
        <v>200</v>
      </c>
      <c r="V224" s="125">
        <f t="shared" si="75"/>
        <v>10</v>
      </c>
      <c r="W224" s="125">
        <f t="shared" si="75"/>
        <v>200</v>
      </c>
      <c r="X224" s="125">
        <f t="shared" si="75"/>
        <v>10</v>
      </c>
      <c r="Y224" s="125">
        <f t="shared" si="75"/>
        <v>200</v>
      </c>
      <c r="Z224" s="125">
        <f t="shared" si="75"/>
        <v>10</v>
      </c>
      <c r="AA224" s="125">
        <f t="shared" si="75"/>
        <v>200</v>
      </c>
      <c r="AB224" s="125">
        <f t="shared" si="75"/>
        <v>10</v>
      </c>
      <c r="AC224" s="125">
        <f t="shared" si="75"/>
        <v>200</v>
      </c>
      <c r="AD224" s="119">
        <f t="shared" si="75"/>
        <v>40</v>
      </c>
      <c r="AE224" s="126">
        <f t="shared" si="76"/>
        <v>415</v>
      </c>
      <c r="AF224" s="66">
        <f t="shared" si="77"/>
        <v>500</v>
      </c>
      <c r="AG224" s="66" t="str">
        <f t="shared" si="78"/>
        <v>В25</v>
      </c>
      <c r="AH224" s="66">
        <f t="shared" si="78"/>
        <v>1</v>
      </c>
    </row>
    <row r="225" spans="1:35" ht="15.75" thickTop="1" x14ac:dyDescent="0.25"/>
    <row r="228" spans="1:35" ht="15.75" thickBot="1" x14ac:dyDescent="0.3"/>
    <row r="229" spans="1:35" ht="91.5" thickTop="1" thickBot="1" x14ac:dyDescent="0.3">
      <c r="A229" s="133" t="s">
        <v>159</v>
      </c>
      <c r="B229" s="135" t="s">
        <v>160</v>
      </c>
      <c r="C229" s="135" t="s">
        <v>2750</v>
      </c>
      <c r="D229" s="135" t="s">
        <v>2856</v>
      </c>
      <c r="E229" s="138" t="s">
        <v>163</v>
      </c>
      <c r="F229" s="135" t="s">
        <v>2857</v>
      </c>
      <c r="G229" s="135" t="s">
        <v>2858</v>
      </c>
      <c r="H229" s="140" t="s">
        <v>166</v>
      </c>
      <c r="I229" s="141"/>
      <c r="J229" s="142"/>
      <c r="K229" s="143" t="s">
        <v>2859</v>
      </c>
      <c r="L229" s="143" t="s">
        <v>2860</v>
      </c>
      <c r="M229" s="146" t="s">
        <v>2861</v>
      </c>
      <c r="N229" s="107" t="s">
        <v>2714</v>
      </c>
      <c r="O229" s="108" t="s">
        <v>2862</v>
      </c>
      <c r="P229" s="109" t="s">
        <v>2863</v>
      </c>
      <c r="Q229" s="109" t="s">
        <v>2864</v>
      </c>
      <c r="R229" s="109" t="s">
        <v>2865</v>
      </c>
      <c r="S229" s="109" t="s">
        <v>2866</v>
      </c>
      <c r="T229" s="109" t="s">
        <v>2867</v>
      </c>
      <c r="U229" s="109" t="s">
        <v>2868</v>
      </c>
      <c r="V229" s="109" t="s">
        <v>2869</v>
      </c>
      <c r="W229" s="109" t="s">
        <v>2870</v>
      </c>
      <c r="X229" s="109" t="s">
        <v>2871</v>
      </c>
      <c r="Y229" s="109" t="s">
        <v>2872</v>
      </c>
      <c r="Z229" s="109" t="s">
        <v>2873</v>
      </c>
      <c r="AA229" s="109" t="s">
        <v>2874</v>
      </c>
      <c r="AB229" s="109" t="s">
        <v>2875</v>
      </c>
      <c r="AC229" s="110" t="s">
        <v>2876</v>
      </c>
      <c r="AD229" s="111" t="s">
        <v>2877</v>
      </c>
      <c r="AE229" s="143" t="s">
        <v>180</v>
      </c>
      <c r="AF229" s="131" t="s">
        <v>2878</v>
      </c>
      <c r="AG229" s="111" t="s">
        <v>2879</v>
      </c>
      <c r="AH229" s="111" t="s">
        <v>2880</v>
      </c>
      <c r="AI229" s="112" t="s">
        <v>2881</v>
      </c>
    </row>
    <row r="230" spans="1:35" ht="17.25" thickTop="1" thickBot="1" x14ac:dyDescent="0.3">
      <c r="A230" s="134"/>
      <c r="B230" s="136"/>
      <c r="C230" s="136"/>
      <c r="D230" s="137"/>
      <c r="E230" s="139"/>
      <c r="F230" s="137"/>
      <c r="G230" s="137"/>
      <c r="H230" s="113" t="s">
        <v>170</v>
      </c>
      <c r="I230" s="114" t="s">
        <v>171</v>
      </c>
      <c r="J230" s="115" t="s">
        <v>172</v>
      </c>
      <c r="K230" s="144"/>
      <c r="L230" s="145"/>
      <c r="M230" s="147"/>
      <c r="N230" s="116" t="str">
        <f>'[1]Исх.Таблица из архикада'!A15</f>
        <v>Пс8.6.2</v>
      </c>
      <c r="O230" s="116">
        <f>'[1]Исх.Таблица из архикада'!B15</f>
        <v>8100</v>
      </c>
      <c r="P230" s="116">
        <f>'[1]Исх.Таблица из архикада'!C15</f>
        <v>1300</v>
      </c>
      <c r="Q230" s="116">
        <f>'[1]Исх.Таблица из архикада'!D15</f>
        <v>150</v>
      </c>
      <c r="R230" s="116">
        <f>'[1]Исх.Таблица из архикада'!E15</f>
        <v>750</v>
      </c>
      <c r="S230" s="116">
        <f>'[1]Исх.Таблица из архикада'!F15</f>
        <v>300</v>
      </c>
      <c r="T230" s="116">
        <f>'[1]Исх.Таблица из архикада'!G15</f>
        <v>300</v>
      </c>
      <c r="U230" s="116">
        <f>'[1]Исх.Таблица из архикада'!H15</f>
        <v>200</v>
      </c>
      <c r="V230" s="116">
        <f>'[1]Исх.Таблица из архикада'!I15</f>
        <v>10</v>
      </c>
      <c r="W230" s="116">
        <f>'[1]Исх.Таблица из архикада'!J15</f>
        <v>200</v>
      </c>
      <c r="X230" s="116">
        <f>'[1]Исх.Таблица из архикада'!K15</f>
        <v>10</v>
      </c>
      <c r="Y230" s="116">
        <f>'[1]Исх.Таблица из архикада'!L15</f>
        <v>200</v>
      </c>
      <c r="Z230" s="116">
        <f>'[1]Исх.Таблица из архикада'!M15</f>
        <v>10</v>
      </c>
      <c r="AA230" s="116">
        <f>'[1]Исх.Таблица из архикада'!N15</f>
        <v>200</v>
      </c>
      <c r="AB230" s="116">
        <f>'[1]Исх.Таблица из архикада'!O15</f>
        <v>10</v>
      </c>
      <c r="AC230" s="116">
        <f>'[1]Исх.Таблица из архикада'!P15</f>
        <v>200</v>
      </c>
      <c r="AD230" s="116">
        <v>40</v>
      </c>
      <c r="AE230" s="145"/>
      <c r="AF230" s="132"/>
      <c r="AG230" s="118" t="s">
        <v>2882</v>
      </c>
      <c r="AH230" s="118">
        <v>1</v>
      </c>
      <c r="AI230">
        <v>6000</v>
      </c>
    </row>
    <row r="231" spans="1:35" ht="17.25" thickTop="1" thickBot="1" x14ac:dyDescent="0.3">
      <c r="A231" s="119" t="str">
        <f>N230</f>
        <v>Пс8.6.2</v>
      </c>
      <c r="B231" s="119">
        <v>1</v>
      </c>
      <c r="C231" s="46" t="s">
        <v>2883</v>
      </c>
      <c r="D231" s="119">
        <f>W231</f>
        <v>200</v>
      </c>
      <c r="E231" s="120">
        <f>IF(O231&lt;=5700, ROUNDUP(P231*2/W231+1,0), 1)</f>
        <v>1</v>
      </c>
      <c r="F231" s="119">
        <f>ROUNDUP(((O231*R231*U231)*0.000000001+(O231*P231*Q231)*0.000000001),1)</f>
        <v>2.8000000000000003</v>
      </c>
      <c r="G231" s="119">
        <f>ROUNDUP((0.1*(R231+200)*(O231)*0.000001),1)</f>
        <v>0.79999999999999993</v>
      </c>
      <c r="H231" s="120">
        <f>IF(O231&lt;=5700, O231-50, K231)</f>
        <v>60900</v>
      </c>
      <c r="I231" s="121">
        <f>V231</f>
        <v>10</v>
      </c>
      <c r="J231" s="46" t="s">
        <v>2</v>
      </c>
      <c r="K231" s="122">
        <f>Арм_ПоПлощади(O231*P231,W231,AF231,$AI$3)</f>
        <v>60900</v>
      </c>
      <c r="L231" s="123">
        <f>IF(R231&lt;=2000,(0),(ROUNDUP(O231*R231*0.000001/1+SQRT(O231*R231*0.000001),0)))</f>
        <v>0</v>
      </c>
      <c r="M231" s="124">
        <v>0</v>
      </c>
      <c r="N231" s="125" t="str">
        <f>N230</f>
        <v>Пс8.6.2</v>
      </c>
      <c r="O231" s="125">
        <f t="shared" ref="O231:AD231" si="80">O230</f>
        <v>8100</v>
      </c>
      <c r="P231" s="125">
        <f t="shared" si="80"/>
        <v>1300</v>
      </c>
      <c r="Q231" s="125">
        <f t="shared" si="80"/>
        <v>150</v>
      </c>
      <c r="R231" s="125">
        <f t="shared" si="80"/>
        <v>750</v>
      </c>
      <c r="S231" s="125">
        <f t="shared" si="80"/>
        <v>300</v>
      </c>
      <c r="T231" s="125">
        <f t="shared" si="80"/>
        <v>300</v>
      </c>
      <c r="U231" s="125">
        <f t="shared" si="80"/>
        <v>200</v>
      </c>
      <c r="V231" s="125">
        <f t="shared" si="80"/>
        <v>10</v>
      </c>
      <c r="W231" s="125">
        <f t="shared" si="80"/>
        <v>200</v>
      </c>
      <c r="X231" s="125">
        <f t="shared" si="80"/>
        <v>10</v>
      </c>
      <c r="Y231" s="125">
        <f t="shared" si="80"/>
        <v>200</v>
      </c>
      <c r="Z231" s="125">
        <f t="shared" si="80"/>
        <v>10</v>
      </c>
      <c r="AA231" s="125">
        <f t="shared" si="80"/>
        <v>200</v>
      </c>
      <c r="AB231" s="125">
        <f t="shared" si="80"/>
        <v>10</v>
      </c>
      <c r="AC231" s="125">
        <f t="shared" si="80"/>
        <v>200</v>
      </c>
      <c r="AD231" s="119">
        <f t="shared" si="80"/>
        <v>40</v>
      </c>
      <c r="AE231" s="126">
        <f>Арм_Анкеровка(I231,J231,$AG$3,$AH$3)</f>
        <v>415</v>
      </c>
      <c r="AF231" s="66">
        <f>Арм_Нахлёст(I231,J231,$AG$3,$AH$3)</f>
        <v>500</v>
      </c>
      <c r="AG231" s="66" t="str">
        <f>AG230</f>
        <v>В25</v>
      </c>
      <c r="AH231" s="66">
        <f>AH230</f>
        <v>1</v>
      </c>
    </row>
    <row r="232" spans="1:35" ht="17.25" thickTop="1" thickBot="1" x14ac:dyDescent="0.3">
      <c r="A232" s="119" t="str">
        <f>A231</f>
        <v>Пс8.6.2</v>
      </c>
      <c r="B232" s="119">
        <v>2</v>
      </c>
      <c r="C232" s="46" t="s">
        <v>2884</v>
      </c>
      <c r="D232" s="119">
        <f>Y231</f>
        <v>200</v>
      </c>
      <c r="E232" s="127">
        <f>IF(Q232&lt;=150,0,(ROUNDUP(O232/Y232,0)))</f>
        <v>0</v>
      </c>
      <c r="F232" s="119"/>
      <c r="G232" s="119"/>
      <c r="H232" s="127">
        <f>Арм_Элемент_П(AF232, (Q232-2*AD232), I232, J232)</f>
        <v>1050</v>
      </c>
      <c r="I232" s="121">
        <f>X232</f>
        <v>10</v>
      </c>
      <c r="J232" s="46" t="s">
        <v>2</v>
      </c>
      <c r="K232" s="128"/>
      <c r="L232" s="119"/>
      <c r="M232" s="124">
        <f t="shared" ref="M232:AD243" si="81">M231</f>
        <v>0</v>
      </c>
      <c r="N232" s="125" t="str">
        <f t="shared" si="81"/>
        <v>Пс8.6.2</v>
      </c>
      <c r="O232" s="125">
        <f t="shared" si="81"/>
        <v>8100</v>
      </c>
      <c r="P232" s="125">
        <f t="shared" si="81"/>
        <v>1300</v>
      </c>
      <c r="Q232" s="125">
        <f t="shared" si="81"/>
        <v>150</v>
      </c>
      <c r="R232" s="125">
        <f t="shared" si="81"/>
        <v>750</v>
      </c>
      <c r="S232" s="125">
        <f t="shared" si="81"/>
        <v>300</v>
      </c>
      <c r="T232" s="125">
        <f t="shared" si="81"/>
        <v>300</v>
      </c>
      <c r="U232" s="125">
        <f t="shared" si="81"/>
        <v>200</v>
      </c>
      <c r="V232" s="125">
        <f t="shared" si="81"/>
        <v>10</v>
      </c>
      <c r="W232" s="125">
        <f t="shared" si="81"/>
        <v>200</v>
      </c>
      <c r="X232" s="125">
        <f t="shared" si="81"/>
        <v>10</v>
      </c>
      <c r="Y232" s="125">
        <f t="shared" si="81"/>
        <v>200</v>
      </c>
      <c r="Z232" s="125">
        <f t="shared" si="81"/>
        <v>10</v>
      </c>
      <c r="AA232" s="125">
        <f t="shared" si="81"/>
        <v>200</v>
      </c>
      <c r="AB232" s="125">
        <f t="shared" si="81"/>
        <v>10</v>
      </c>
      <c r="AC232" s="125">
        <f t="shared" si="81"/>
        <v>200</v>
      </c>
      <c r="AD232" s="119">
        <f t="shared" si="81"/>
        <v>40</v>
      </c>
      <c r="AE232" s="126">
        <f t="shared" ref="AE232:AE243" si="82">Арм_Анкеровка(I232,J232,$AG$3,$AH$3)</f>
        <v>415</v>
      </c>
      <c r="AF232" s="66">
        <f t="shared" ref="AF232:AF243" si="83">Арм_Нахлёст(I232,J232,$AG$3,$AH$3)</f>
        <v>500</v>
      </c>
      <c r="AG232" s="66" t="str">
        <f t="shared" ref="AG232:AH243" si="84">AG231</f>
        <v>В25</v>
      </c>
      <c r="AH232" s="66">
        <f t="shared" si="84"/>
        <v>1</v>
      </c>
    </row>
    <row r="233" spans="1:35" ht="17.25" thickTop="1" thickBot="1" x14ac:dyDescent="0.3">
      <c r="A233" s="119" t="str">
        <f t="shared" ref="A233:A243" si="85">A232</f>
        <v>Пс8.6.2</v>
      </c>
      <c r="B233" s="119">
        <v>3</v>
      </c>
      <c r="C233" s="46" t="s">
        <v>2885</v>
      </c>
      <c r="D233" s="119">
        <f>W233</f>
        <v>200</v>
      </c>
      <c r="E233" s="127">
        <f>MROUND(2*P233/D233,2)</f>
        <v>14</v>
      </c>
      <c r="F233" s="119"/>
      <c r="G233" s="119"/>
      <c r="H233" s="127">
        <f>Арм_Элемент_П(AF233, (Q233-2*AD233), I233, J233)</f>
        <v>1070</v>
      </c>
      <c r="I233" s="121">
        <f>V233</f>
        <v>10</v>
      </c>
      <c r="J233" s="46" t="s">
        <v>2</v>
      </c>
      <c r="K233" s="128"/>
      <c r="L233" s="119"/>
      <c r="M233" s="124">
        <f t="shared" si="81"/>
        <v>0</v>
      </c>
      <c r="N233" s="125" t="str">
        <f t="shared" si="81"/>
        <v>Пс8.6.2</v>
      </c>
      <c r="O233" s="125">
        <f t="shared" si="81"/>
        <v>8100</v>
      </c>
      <c r="P233" s="125">
        <f t="shared" si="81"/>
        <v>1300</v>
      </c>
      <c r="Q233" s="125">
        <f t="shared" si="81"/>
        <v>150</v>
      </c>
      <c r="R233" s="125">
        <f t="shared" si="81"/>
        <v>750</v>
      </c>
      <c r="S233" s="125">
        <f t="shared" si="81"/>
        <v>300</v>
      </c>
      <c r="T233" s="125">
        <f t="shared" si="81"/>
        <v>300</v>
      </c>
      <c r="U233" s="125">
        <f t="shared" si="81"/>
        <v>200</v>
      </c>
      <c r="V233" s="125">
        <f t="shared" si="81"/>
        <v>10</v>
      </c>
      <c r="W233" s="125">
        <f t="shared" si="81"/>
        <v>200</v>
      </c>
      <c r="X233" s="125">
        <f t="shared" si="81"/>
        <v>10</v>
      </c>
      <c r="Y233" s="125">
        <f t="shared" si="81"/>
        <v>200</v>
      </c>
      <c r="Z233" s="125">
        <f t="shared" si="81"/>
        <v>10</v>
      </c>
      <c r="AA233" s="125">
        <f t="shared" si="81"/>
        <v>200</v>
      </c>
      <c r="AB233" s="125">
        <f t="shared" si="81"/>
        <v>10</v>
      </c>
      <c r="AC233" s="125">
        <f t="shared" si="81"/>
        <v>200</v>
      </c>
      <c r="AD233" s="119">
        <v>30</v>
      </c>
      <c r="AE233" s="126">
        <f t="shared" si="82"/>
        <v>415</v>
      </c>
      <c r="AF233" s="66">
        <f t="shared" si="83"/>
        <v>500</v>
      </c>
      <c r="AG233" s="66" t="str">
        <f t="shared" si="84"/>
        <v>В25</v>
      </c>
      <c r="AH233" s="66">
        <f t="shared" si="84"/>
        <v>1</v>
      </c>
    </row>
    <row r="234" spans="1:35" ht="17.25" thickTop="1" thickBot="1" x14ac:dyDescent="0.3">
      <c r="A234" s="119" t="str">
        <f t="shared" si="85"/>
        <v>Пс8.6.2</v>
      </c>
      <c r="B234" s="119">
        <v>4</v>
      </c>
      <c r="C234" s="46" t="s">
        <v>2886</v>
      </c>
      <c r="D234" s="119">
        <f>Y234</f>
        <v>200</v>
      </c>
      <c r="E234" s="127">
        <f>ROUNDUP(O234/Y234,0)*2</f>
        <v>82</v>
      </c>
      <c r="F234" s="119"/>
      <c r="G234" s="119"/>
      <c r="H234" s="127">
        <f>IF(P234&lt;=3000,(IF(Q234&lt;=150,(P234-25+AE234+Q234-(35+V234)),(P234-25+AE234))),(P234-25))</f>
        <v>1795</v>
      </c>
      <c r="I234" s="121">
        <f>X234</f>
        <v>10</v>
      </c>
      <c r="J234" s="46" t="s">
        <v>2</v>
      </c>
      <c r="K234" s="128"/>
      <c r="L234" s="119"/>
      <c r="M234" s="124">
        <f t="shared" si="81"/>
        <v>0</v>
      </c>
      <c r="N234" s="125" t="str">
        <f t="shared" si="81"/>
        <v>Пс8.6.2</v>
      </c>
      <c r="O234" s="125">
        <f t="shared" si="81"/>
        <v>8100</v>
      </c>
      <c r="P234" s="125">
        <f t="shared" si="81"/>
        <v>1300</v>
      </c>
      <c r="Q234" s="125">
        <f t="shared" si="81"/>
        <v>150</v>
      </c>
      <c r="R234" s="125">
        <f t="shared" si="81"/>
        <v>750</v>
      </c>
      <c r="S234" s="125">
        <f t="shared" si="81"/>
        <v>300</v>
      </c>
      <c r="T234" s="125">
        <f t="shared" si="81"/>
        <v>300</v>
      </c>
      <c r="U234" s="125">
        <f t="shared" si="81"/>
        <v>200</v>
      </c>
      <c r="V234" s="125">
        <f t="shared" si="81"/>
        <v>10</v>
      </c>
      <c r="W234" s="125">
        <f t="shared" si="81"/>
        <v>200</v>
      </c>
      <c r="X234" s="125">
        <f t="shared" si="81"/>
        <v>10</v>
      </c>
      <c r="Y234" s="125">
        <f t="shared" si="81"/>
        <v>200</v>
      </c>
      <c r="Z234" s="125">
        <f t="shared" si="81"/>
        <v>10</v>
      </c>
      <c r="AA234" s="125">
        <f t="shared" si="81"/>
        <v>200</v>
      </c>
      <c r="AB234" s="125">
        <f t="shared" si="81"/>
        <v>10</v>
      </c>
      <c r="AC234" s="125">
        <f t="shared" si="81"/>
        <v>200</v>
      </c>
      <c r="AD234" s="119">
        <v>40</v>
      </c>
      <c r="AE234" s="126">
        <f t="shared" si="82"/>
        <v>415</v>
      </c>
      <c r="AF234" s="66">
        <f t="shared" si="83"/>
        <v>500</v>
      </c>
      <c r="AG234" s="66" t="str">
        <f t="shared" si="84"/>
        <v>В25</v>
      </c>
      <c r="AH234" s="66">
        <f t="shared" si="84"/>
        <v>1</v>
      </c>
    </row>
    <row r="235" spans="1:35" ht="17.25" thickTop="1" thickBot="1" x14ac:dyDescent="0.3">
      <c r="A235" s="119" t="str">
        <f t="shared" si="85"/>
        <v>Пс8.6.2</v>
      </c>
      <c r="B235" s="119">
        <v>5</v>
      </c>
      <c r="C235" s="46" t="s">
        <v>2887</v>
      </c>
      <c r="D235" s="119">
        <v>400</v>
      </c>
      <c r="E235" s="127">
        <f>ROUNDUP((13*(O235*P235/1000000)),0)</f>
        <v>137</v>
      </c>
      <c r="F235" s="119"/>
      <c r="G235" s="119"/>
      <c r="H235" s="127">
        <f>Q235-AD235*2+150</f>
        <v>220</v>
      </c>
      <c r="I235" s="121">
        <v>6</v>
      </c>
      <c r="J235" s="46" t="s">
        <v>2</v>
      </c>
      <c r="K235" s="128"/>
      <c r="L235" s="119"/>
      <c r="M235" s="124">
        <f t="shared" si="81"/>
        <v>0</v>
      </c>
      <c r="N235" s="125" t="str">
        <f t="shared" si="81"/>
        <v>Пс8.6.2</v>
      </c>
      <c r="O235" s="125">
        <f t="shared" si="81"/>
        <v>8100</v>
      </c>
      <c r="P235" s="125">
        <f t="shared" si="81"/>
        <v>1300</v>
      </c>
      <c r="Q235" s="125">
        <f t="shared" si="81"/>
        <v>150</v>
      </c>
      <c r="R235" s="125">
        <f t="shared" si="81"/>
        <v>750</v>
      </c>
      <c r="S235" s="125">
        <f t="shared" si="81"/>
        <v>300</v>
      </c>
      <c r="T235" s="125">
        <f t="shared" si="81"/>
        <v>300</v>
      </c>
      <c r="U235" s="125">
        <f t="shared" si="81"/>
        <v>200</v>
      </c>
      <c r="V235" s="125">
        <f t="shared" si="81"/>
        <v>10</v>
      </c>
      <c r="W235" s="125">
        <f t="shared" si="81"/>
        <v>200</v>
      </c>
      <c r="X235" s="125">
        <f t="shared" si="81"/>
        <v>10</v>
      </c>
      <c r="Y235" s="125">
        <f t="shared" si="81"/>
        <v>200</v>
      </c>
      <c r="Z235" s="125">
        <f t="shared" si="81"/>
        <v>10</v>
      </c>
      <c r="AA235" s="125">
        <f t="shared" si="81"/>
        <v>200</v>
      </c>
      <c r="AB235" s="125">
        <f t="shared" si="81"/>
        <v>10</v>
      </c>
      <c r="AC235" s="125">
        <f t="shared" si="81"/>
        <v>200</v>
      </c>
      <c r="AD235" s="119">
        <f t="shared" si="81"/>
        <v>40</v>
      </c>
      <c r="AE235" s="126">
        <f t="shared" si="82"/>
        <v>250</v>
      </c>
      <c r="AF235" s="66">
        <f t="shared" si="83"/>
        <v>300</v>
      </c>
      <c r="AG235" s="66" t="str">
        <f t="shared" si="84"/>
        <v>В25</v>
      </c>
      <c r="AH235" s="66">
        <f t="shared" si="84"/>
        <v>1</v>
      </c>
    </row>
    <row r="236" spans="1:35" ht="17.25" thickTop="1" thickBot="1" x14ac:dyDescent="0.3">
      <c r="A236" s="119" t="str">
        <f t="shared" si="85"/>
        <v>Пс8.6.2</v>
      </c>
      <c r="B236" s="119">
        <v>6</v>
      </c>
      <c r="C236" s="46" t="s">
        <v>2888</v>
      </c>
      <c r="D236" s="119">
        <f>AA236</f>
        <v>200</v>
      </c>
      <c r="E236" s="127">
        <f>IF(R236&lt;=2000,(ROUNDUP(O236/D236,0)),(ROUNDUP(O236/D236,0)))</f>
        <v>41</v>
      </c>
      <c r="F236" s="119"/>
      <c r="G236" s="119"/>
      <c r="H236" s="127">
        <f>R236-50</f>
        <v>700</v>
      </c>
      <c r="I236" s="121">
        <f>Z236</f>
        <v>10</v>
      </c>
      <c r="J236" s="46" t="s">
        <v>2</v>
      </c>
      <c r="K236" s="128"/>
      <c r="L236" s="119"/>
      <c r="M236" s="124">
        <f t="shared" si="81"/>
        <v>0</v>
      </c>
      <c r="N236" s="125" t="str">
        <f t="shared" si="81"/>
        <v>Пс8.6.2</v>
      </c>
      <c r="O236" s="125">
        <f t="shared" si="81"/>
        <v>8100</v>
      </c>
      <c r="P236" s="125">
        <f t="shared" si="81"/>
        <v>1300</v>
      </c>
      <c r="Q236" s="125">
        <f t="shared" si="81"/>
        <v>150</v>
      </c>
      <c r="R236" s="125">
        <f t="shared" si="81"/>
        <v>750</v>
      </c>
      <c r="S236" s="125">
        <f t="shared" si="81"/>
        <v>300</v>
      </c>
      <c r="T236" s="125">
        <f t="shared" si="81"/>
        <v>300</v>
      </c>
      <c r="U236" s="125">
        <f t="shared" si="81"/>
        <v>200</v>
      </c>
      <c r="V236" s="125">
        <f t="shared" si="81"/>
        <v>10</v>
      </c>
      <c r="W236" s="125">
        <f t="shared" si="81"/>
        <v>200</v>
      </c>
      <c r="X236" s="125">
        <f t="shared" si="81"/>
        <v>10</v>
      </c>
      <c r="Y236" s="125">
        <f t="shared" si="81"/>
        <v>200</v>
      </c>
      <c r="Z236" s="125">
        <f t="shared" si="81"/>
        <v>10</v>
      </c>
      <c r="AA236" s="125">
        <f t="shared" si="81"/>
        <v>200</v>
      </c>
      <c r="AB236" s="125">
        <f t="shared" si="81"/>
        <v>10</v>
      </c>
      <c r="AC236" s="125">
        <f t="shared" si="81"/>
        <v>200</v>
      </c>
      <c r="AD236" s="119">
        <f t="shared" si="81"/>
        <v>40</v>
      </c>
      <c r="AE236" s="126">
        <f t="shared" si="82"/>
        <v>415</v>
      </c>
      <c r="AF236" s="66">
        <f t="shared" si="83"/>
        <v>500</v>
      </c>
      <c r="AG236" s="66" t="str">
        <f t="shared" si="84"/>
        <v>В25</v>
      </c>
      <c r="AH236" s="66">
        <f t="shared" si="84"/>
        <v>1</v>
      </c>
    </row>
    <row r="237" spans="1:35" ht="17.25" thickTop="1" thickBot="1" x14ac:dyDescent="0.3">
      <c r="A237" s="119" t="str">
        <f t="shared" si="85"/>
        <v>Пс8.6.2</v>
      </c>
      <c r="B237" s="119">
        <v>7</v>
      </c>
      <c r="C237" s="46" t="s">
        <v>2889</v>
      </c>
      <c r="D237" s="119">
        <f>AC237</f>
        <v>200</v>
      </c>
      <c r="E237" s="120">
        <f>IF(O237&lt;=5700, ROUNDUP(R237*2/AC237+1,0), 1)</f>
        <v>1</v>
      </c>
      <c r="F237" s="119"/>
      <c r="G237" s="119"/>
      <c r="H237" s="120">
        <f>IF(O237&lt;=5700, O237-50, K237)</f>
        <v>35840</v>
      </c>
      <c r="I237" s="121">
        <f>AB237</f>
        <v>10</v>
      </c>
      <c r="J237" s="46" t="s">
        <v>2</v>
      </c>
      <c r="K237" s="122">
        <f>Арм_ПоПлощади(O237*R237,AC237,AF237,$AI$3)</f>
        <v>35840</v>
      </c>
      <c r="L237" s="119"/>
      <c r="M237" s="124">
        <f t="shared" si="81"/>
        <v>0</v>
      </c>
      <c r="N237" s="125" t="str">
        <f t="shared" si="81"/>
        <v>Пс8.6.2</v>
      </c>
      <c r="O237" s="125">
        <f t="shared" si="81"/>
        <v>8100</v>
      </c>
      <c r="P237" s="125">
        <f t="shared" si="81"/>
        <v>1300</v>
      </c>
      <c r="Q237" s="125">
        <f t="shared" si="81"/>
        <v>150</v>
      </c>
      <c r="R237" s="125">
        <f t="shared" si="81"/>
        <v>750</v>
      </c>
      <c r="S237" s="125">
        <f t="shared" si="81"/>
        <v>300</v>
      </c>
      <c r="T237" s="125">
        <f t="shared" si="81"/>
        <v>300</v>
      </c>
      <c r="U237" s="125">
        <f t="shared" si="81"/>
        <v>200</v>
      </c>
      <c r="V237" s="125">
        <f t="shared" si="81"/>
        <v>10</v>
      </c>
      <c r="W237" s="125">
        <f t="shared" si="81"/>
        <v>200</v>
      </c>
      <c r="X237" s="125">
        <f t="shared" si="81"/>
        <v>10</v>
      </c>
      <c r="Y237" s="125">
        <f t="shared" si="81"/>
        <v>200</v>
      </c>
      <c r="Z237" s="125">
        <f t="shared" si="81"/>
        <v>10</v>
      </c>
      <c r="AA237" s="125">
        <f t="shared" si="81"/>
        <v>200</v>
      </c>
      <c r="AB237" s="125">
        <f t="shared" si="81"/>
        <v>10</v>
      </c>
      <c r="AC237" s="125">
        <f t="shared" si="81"/>
        <v>200</v>
      </c>
      <c r="AD237" s="119">
        <f t="shared" si="81"/>
        <v>40</v>
      </c>
      <c r="AE237" s="126">
        <f t="shared" si="82"/>
        <v>415</v>
      </c>
      <c r="AF237" s="66">
        <f t="shared" si="83"/>
        <v>500</v>
      </c>
      <c r="AG237" s="66" t="str">
        <f t="shared" si="84"/>
        <v>В25</v>
      </c>
      <c r="AH237" s="66">
        <f t="shared" si="84"/>
        <v>1</v>
      </c>
    </row>
    <row r="238" spans="1:35" ht="17.25" thickTop="1" thickBot="1" x14ac:dyDescent="0.3">
      <c r="A238" s="119" t="str">
        <f t="shared" si="85"/>
        <v>Пс8.6.2</v>
      </c>
      <c r="B238" s="119">
        <v>8</v>
      </c>
      <c r="C238" s="46" t="s">
        <v>2890</v>
      </c>
      <c r="D238" s="119">
        <f>AA238</f>
        <v>200</v>
      </c>
      <c r="E238" s="127">
        <f>IF(E243=0,(ROUNDUP(O238/D238,0)*2),0)</f>
        <v>0</v>
      </c>
      <c r="F238" s="119"/>
      <c r="G238" s="119"/>
      <c r="H238" s="127">
        <f>Арм_Элемент_П(AF238, (U238-2*AD238), I238, J238)</f>
        <v>1120</v>
      </c>
      <c r="I238" s="121">
        <f>Z238</f>
        <v>10</v>
      </c>
      <c r="J238" s="46" t="s">
        <v>2</v>
      </c>
      <c r="K238" s="128"/>
      <c r="L238" s="119"/>
      <c r="M238" s="124">
        <f t="shared" si="81"/>
        <v>0</v>
      </c>
      <c r="N238" s="125" t="str">
        <f t="shared" si="81"/>
        <v>Пс8.6.2</v>
      </c>
      <c r="O238" s="125">
        <f t="shared" si="81"/>
        <v>8100</v>
      </c>
      <c r="P238" s="125">
        <f t="shared" si="81"/>
        <v>1300</v>
      </c>
      <c r="Q238" s="125">
        <f t="shared" si="81"/>
        <v>150</v>
      </c>
      <c r="R238" s="125">
        <f t="shared" si="81"/>
        <v>750</v>
      </c>
      <c r="S238" s="125">
        <f t="shared" si="81"/>
        <v>300</v>
      </c>
      <c r="T238" s="125">
        <f t="shared" si="81"/>
        <v>300</v>
      </c>
      <c r="U238" s="125">
        <f t="shared" si="81"/>
        <v>200</v>
      </c>
      <c r="V238" s="125">
        <f t="shared" si="81"/>
        <v>10</v>
      </c>
      <c r="W238" s="125">
        <f t="shared" si="81"/>
        <v>200</v>
      </c>
      <c r="X238" s="125">
        <f t="shared" si="81"/>
        <v>10</v>
      </c>
      <c r="Y238" s="125">
        <f t="shared" si="81"/>
        <v>200</v>
      </c>
      <c r="Z238" s="125">
        <f t="shared" si="81"/>
        <v>10</v>
      </c>
      <c r="AA238" s="125">
        <f t="shared" si="81"/>
        <v>200</v>
      </c>
      <c r="AB238" s="125">
        <f t="shared" si="81"/>
        <v>10</v>
      </c>
      <c r="AC238" s="125">
        <f t="shared" si="81"/>
        <v>200</v>
      </c>
      <c r="AD238" s="119">
        <v>30</v>
      </c>
      <c r="AE238" s="126">
        <f t="shared" si="82"/>
        <v>415</v>
      </c>
      <c r="AF238" s="66">
        <f t="shared" si="83"/>
        <v>500</v>
      </c>
      <c r="AG238" s="66" t="str">
        <f t="shared" si="84"/>
        <v>В25</v>
      </c>
      <c r="AH238" s="66">
        <f t="shared" si="84"/>
        <v>1</v>
      </c>
    </row>
    <row r="239" spans="1:35" ht="17.25" thickTop="1" thickBot="1" x14ac:dyDescent="0.3">
      <c r="A239" s="119" t="str">
        <f t="shared" si="85"/>
        <v>Пс8.6.2</v>
      </c>
      <c r="B239" s="119">
        <v>9</v>
      </c>
      <c r="C239" s="46" t="s">
        <v>2891</v>
      </c>
      <c r="D239" s="119">
        <f>AC239</f>
        <v>200</v>
      </c>
      <c r="E239" s="127">
        <f>MROUND(2*R239/AC239,2)</f>
        <v>8</v>
      </c>
      <c r="F239" s="119"/>
      <c r="G239" s="119"/>
      <c r="H239" s="127">
        <f>Арм_Элемент_П(AF239, (U239-2*AD239), I239, J239)</f>
        <v>1100</v>
      </c>
      <c r="I239" s="121">
        <f>AB239</f>
        <v>10</v>
      </c>
      <c r="J239" s="46" t="s">
        <v>2</v>
      </c>
      <c r="K239" s="128"/>
      <c r="L239" s="119"/>
      <c r="M239" s="124">
        <f t="shared" si="81"/>
        <v>0</v>
      </c>
      <c r="N239" s="125" t="str">
        <f t="shared" si="81"/>
        <v>Пс8.6.2</v>
      </c>
      <c r="O239" s="125">
        <f t="shared" si="81"/>
        <v>8100</v>
      </c>
      <c r="P239" s="125">
        <f t="shared" si="81"/>
        <v>1300</v>
      </c>
      <c r="Q239" s="125">
        <f t="shared" si="81"/>
        <v>150</v>
      </c>
      <c r="R239" s="125">
        <f t="shared" si="81"/>
        <v>750</v>
      </c>
      <c r="S239" s="125">
        <f t="shared" si="81"/>
        <v>300</v>
      </c>
      <c r="T239" s="125">
        <f t="shared" si="81"/>
        <v>300</v>
      </c>
      <c r="U239" s="125">
        <f t="shared" si="81"/>
        <v>200</v>
      </c>
      <c r="V239" s="125">
        <f t="shared" si="81"/>
        <v>10</v>
      </c>
      <c r="W239" s="125">
        <f t="shared" si="81"/>
        <v>200</v>
      </c>
      <c r="X239" s="125">
        <f t="shared" si="81"/>
        <v>10</v>
      </c>
      <c r="Y239" s="125">
        <f t="shared" si="81"/>
        <v>200</v>
      </c>
      <c r="Z239" s="125">
        <f t="shared" si="81"/>
        <v>10</v>
      </c>
      <c r="AA239" s="125">
        <f t="shared" si="81"/>
        <v>200</v>
      </c>
      <c r="AB239" s="125">
        <f t="shared" si="81"/>
        <v>10</v>
      </c>
      <c r="AC239" s="125">
        <f t="shared" si="81"/>
        <v>200</v>
      </c>
      <c r="AD239" s="119">
        <v>40</v>
      </c>
      <c r="AE239" s="126">
        <f t="shared" si="82"/>
        <v>415</v>
      </c>
      <c r="AF239" s="66">
        <f t="shared" si="83"/>
        <v>500</v>
      </c>
      <c r="AG239" s="66" t="str">
        <f t="shared" si="84"/>
        <v>В25</v>
      </c>
      <c r="AH239" s="66">
        <f t="shared" si="84"/>
        <v>1</v>
      </c>
    </row>
    <row r="240" spans="1:35" ht="33" thickTop="1" thickBot="1" x14ac:dyDescent="0.3">
      <c r="A240" s="119" t="str">
        <f t="shared" si="85"/>
        <v>Пс8.6.2</v>
      </c>
      <c r="B240" s="119">
        <v>10</v>
      </c>
      <c r="C240" s="46" t="s">
        <v>2892</v>
      </c>
      <c r="D240" s="119">
        <f>Y240</f>
        <v>200</v>
      </c>
      <c r="E240" s="127">
        <f>ROUNDUP((IF(P240&lt;=3000,0,O240/Y240)),0)</f>
        <v>0</v>
      </c>
      <c r="F240" s="119"/>
      <c r="G240" s="119"/>
      <c r="H240" s="127">
        <f>IF(E240=0,0, (Арм_Округление(AE240+2*AF240)))</f>
        <v>0</v>
      </c>
      <c r="I240" s="121">
        <f>X240</f>
        <v>10</v>
      </c>
      <c r="J240" s="46" t="s">
        <v>2</v>
      </c>
      <c r="K240" s="128"/>
      <c r="L240" s="119"/>
      <c r="M240" s="124">
        <f t="shared" si="81"/>
        <v>0</v>
      </c>
      <c r="N240" s="125" t="str">
        <f t="shared" si="81"/>
        <v>Пс8.6.2</v>
      </c>
      <c r="O240" s="125">
        <f t="shared" si="81"/>
        <v>8100</v>
      </c>
      <c r="P240" s="125">
        <f t="shared" si="81"/>
        <v>1300</v>
      </c>
      <c r="Q240" s="125">
        <f t="shared" si="81"/>
        <v>150</v>
      </c>
      <c r="R240" s="125">
        <f t="shared" si="81"/>
        <v>750</v>
      </c>
      <c r="S240" s="125">
        <f t="shared" si="81"/>
        <v>300</v>
      </c>
      <c r="T240" s="125">
        <f t="shared" si="81"/>
        <v>300</v>
      </c>
      <c r="U240" s="125">
        <f t="shared" si="81"/>
        <v>200</v>
      </c>
      <c r="V240" s="125">
        <f t="shared" si="81"/>
        <v>10</v>
      </c>
      <c r="W240" s="125">
        <f t="shared" si="81"/>
        <v>200</v>
      </c>
      <c r="X240" s="125">
        <f t="shared" si="81"/>
        <v>10</v>
      </c>
      <c r="Y240" s="125">
        <f t="shared" si="81"/>
        <v>200</v>
      </c>
      <c r="Z240" s="125">
        <f t="shared" si="81"/>
        <v>10</v>
      </c>
      <c r="AA240" s="125">
        <f t="shared" si="81"/>
        <v>200</v>
      </c>
      <c r="AB240" s="125">
        <f t="shared" si="81"/>
        <v>10</v>
      </c>
      <c r="AC240" s="125">
        <f t="shared" si="81"/>
        <v>200</v>
      </c>
      <c r="AD240" s="119">
        <f t="shared" si="81"/>
        <v>40</v>
      </c>
      <c r="AE240" s="126">
        <f t="shared" si="82"/>
        <v>415</v>
      </c>
      <c r="AF240" s="66">
        <f t="shared" si="83"/>
        <v>500</v>
      </c>
      <c r="AG240" s="66" t="str">
        <f t="shared" si="84"/>
        <v>В25</v>
      </c>
      <c r="AH240" s="66">
        <f t="shared" si="84"/>
        <v>1</v>
      </c>
    </row>
    <row r="241" spans="1:35" ht="33" thickTop="1" thickBot="1" x14ac:dyDescent="0.3">
      <c r="A241" s="119" t="str">
        <f t="shared" si="85"/>
        <v>Пс8.6.2</v>
      </c>
      <c r="B241" s="119">
        <v>11</v>
      </c>
      <c r="C241" s="46" t="s">
        <v>2893</v>
      </c>
      <c r="D241" s="119">
        <f>Y241</f>
        <v>200</v>
      </c>
      <c r="E241" s="127">
        <f>ROUNDUP((IF(P241&lt;=3000,0,O241/Y241)),0)</f>
        <v>0</v>
      </c>
      <c r="F241" s="119"/>
      <c r="G241" s="119"/>
      <c r="H241" s="127">
        <f>IF(E241=0,0, (Арм_Округление(AE241+AF241)))</f>
        <v>0</v>
      </c>
      <c r="I241" s="121">
        <f>X241</f>
        <v>10</v>
      </c>
      <c r="J241" s="46" t="s">
        <v>2</v>
      </c>
      <c r="K241" s="128"/>
      <c r="L241" s="119"/>
      <c r="M241" s="124">
        <f t="shared" si="81"/>
        <v>0</v>
      </c>
      <c r="N241" s="125" t="str">
        <f t="shared" si="81"/>
        <v>Пс8.6.2</v>
      </c>
      <c r="O241" s="125">
        <f t="shared" si="81"/>
        <v>8100</v>
      </c>
      <c r="P241" s="125">
        <f t="shared" si="81"/>
        <v>1300</v>
      </c>
      <c r="Q241" s="125">
        <f t="shared" si="81"/>
        <v>150</v>
      </c>
      <c r="R241" s="125">
        <f t="shared" si="81"/>
        <v>750</v>
      </c>
      <c r="S241" s="125">
        <f t="shared" si="81"/>
        <v>300</v>
      </c>
      <c r="T241" s="125">
        <f t="shared" si="81"/>
        <v>300</v>
      </c>
      <c r="U241" s="125">
        <f t="shared" si="81"/>
        <v>200</v>
      </c>
      <c r="V241" s="125">
        <f t="shared" si="81"/>
        <v>10</v>
      </c>
      <c r="W241" s="125">
        <f t="shared" si="81"/>
        <v>200</v>
      </c>
      <c r="X241" s="125">
        <f t="shared" si="81"/>
        <v>10</v>
      </c>
      <c r="Y241" s="125">
        <f t="shared" si="81"/>
        <v>200</v>
      </c>
      <c r="Z241" s="125">
        <f t="shared" si="81"/>
        <v>10</v>
      </c>
      <c r="AA241" s="125">
        <f t="shared" si="81"/>
        <v>200</v>
      </c>
      <c r="AB241" s="125">
        <f t="shared" si="81"/>
        <v>10</v>
      </c>
      <c r="AC241" s="125">
        <f t="shared" si="81"/>
        <v>200</v>
      </c>
      <c r="AD241" s="119">
        <f t="shared" si="81"/>
        <v>40</v>
      </c>
      <c r="AE241" s="126">
        <f t="shared" si="82"/>
        <v>415</v>
      </c>
      <c r="AF241" s="66">
        <f t="shared" si="83"/>
        <v>500</v>
      </c>
      <c r="AG241" s="66" t="str">
        <f t="shared" si="84"/>
        <v>В25</v>
      </c>
      <c r="AH241" s="66">
        <f t="shared" si="84"/>
        <v>1</v>
      </c>
    </row>
    <row r="242" spans="1:35" ht="17.25" thickTop="1" thickBot="1" x14ac:dyDescent="0.3">
      <c r="A242" s="119" t="str">
        <f t="shared" si="85"/>
        <v>Пс8.6.2</v>
      </c>
      <c r="B242" s="119">
        <v>12</v>
      </c>
      <c r="C242" s="46" t="s">
        <v>2894</v>
      </c>
      <c r="D242" s="119">
        <f>W241</f>
        <v>200</v>
      </c>
      <c r="E242" s="127">
        <f>IF(M242=0, 0, M242*2*ROUNDUP((P242/W242),0))</f>
        <v>0</v>
      </c>
      <c r="F242" s="119"/>
      <c r="G242" s="119"/>
      <c r="H242" s="127">
        <f>IF(M242=0, 0, AF242*2)</f>
        <v>0</v>
      </c>
      <c r="I242" s="121">
        <f>V242</f>
        <v>10</v>
      </c>
      <c r="J242" s="46" t="s">
        <v>2</v>
      </c>
      <c r="K242" s="128"/>
      <c r="L242" s="119"/>
      <c r="M242" s="124">
        <f t="shared" si="81"/>
        <v>0</v>
      </c>
      <c r="N242" s="125" t="str">
        <f t="shared" si="81"/>
        <v>Пс8.6.2</v>
      </c>
      <c r="O242" s="125">
        <f t="shared" si="81"/>
        <v>8100</v>
      </c>
      <c r="P242" s="125">
        <f t="shared" si="81"/>
        <v>1300</v>
      </c>
      <c r="Q242" s="125">
        <f t="shared" si="81"/>
        <v>150</v>
      </c>
      <c r="R242" s="125">
        <f t="shared" si="81"/>
        <v>750</v>
      </c>
      <c r="S242" s="125">
        <f t="shared" si="81"/>
        <v>300</v>
      </c>
      <c r="T242" s="125">
        <f t="shared" si="81"/>
        <v>300</v>
      </c>
      <c r="U242" s="125">
        <f t="shared" si="81"/>
        <v>200</v>
      </c>
      <c r="V242" s="125">
        <f t="shared" si="81"/>
        <v>10</v>
      </c>
      <c r="W242" s="125">
        <f t="shared" si="81"/>
        <v>200</v>
      </c>
      <c r="X242" s="125">
        <f t="shared" si="81"/>
        <v>10</v>
      </c>
      <c r="Y242" s="125">
        <f t="shared" si="81"/>
        <v>200</v>
      </c>
      <c r="Z242" s="125">
        <f t="shared" si="81"/>
        <v>10</v>
      </c>
      <c r="AA242" s="125">
        <f t="shared" si="81"/>
        <v>200</v>
      </c>
      <c r="AB242" s="125">
        <f t="shared" si="81"/>
        <v>10</v>
      </c>
      <c r="AC242" s="125">
        <f t="shared" si="81"/>
        <v>200</v>
      </c>
      <c r="AD242" s="119">
        <f t="shared" si="81"/>
        <v>40</v>
      </c>
      <c r="AE242" s="126">
        <f t="shared" si="82"/>
        <v>415</v>
      </c>
      <c r="AF242" s="66">
        <f t="shared" si="83"/>
        <v>500</v>
      </c>
      <c r="AG242" s="66" t="str">
        <f t="shared" si="84"/>
        <v>В25</v>
      </c>
      <c r="AH242" s="66">
        <f t="shared" si="84"/>
        <v>1</v>
      </c>
    </row>
    <row r="243" spans="1:35" ht="17.25" thickTop="1" thickBot="1" x14ac:dyDescent="0.3">
      <c r="A243" s="119" t="str">
        <f t="shared" si="85"/>
        <v>Пс8.6.2</v>
      </c>
      <c r="B243" s="119">
        <v>13</v>
      </c>
      <c r="C243" s="46" t="s">
        <v>2895</v>
      </c>
      <c r="D243" s="119">
        <f>W242</f>
        <v>200</v>
      </c>
      <c r="E243" s="127">
        <f>IF(R243&lt;=2000,(ROUNDUP(O243/D243,0)),(0))</f>
        <v>41</v>
      </c>
      <c r="F243" s="119"/>
      <c r="G243" s="119"/>
      <c r="H243" s="127">
        <f>IF(R243&lt;=2000,(ROUNDUP(R243-2*40+2*(U243-40-AB243), -1)),(0))</f>
        <v>970</v>
      </c>
      <c r="I243" s="121">
        <f>V243</f>
        <v>10</v>
      </c>
      <c r="J243" s="46" t="s">
        <v>2</v>
      </c>
      <c r="K243" s="128"/>
      <c r="L243" s="119"/>
      <c r="M243" s="124">
        <f t="shared" si="81"/>
        <v>0</v>
      </c>
      <c r="N243" s="125" t="str">
        <f t="shared" si="81"/>
        <v>Пс8.6.2</v>
      </c>
      <c r="O243" s="125">
        <f t="shared" si="81"/>
        <v>8100</v>
      </c>
      <c r="P243" s="125">
        <f t="shared" si="81"/>
        <v>1300</v>
      </c>
      <c r="Q243" s="125">
        <f t="shared" si="81"/>
        <v>150</v>
      </c>
      <c r="R243" s="125">
        <f t="shared" si="81"/>
        <v>750</v>
      </c>
      <c r="S243" s="125">
        <f t="shared" si="81"/>
        <v>300</v>
      </c>
      <c r="T243" s="125">
        <f t="shared" si="81"/>
        <v>300</v>
      </c>
      <c r="U243" s="125">
        <f t="shared" si="81"/>
        <v>200</v>
      </c>
      <c r="V243" s="125">
        <f t="shared" si="81"/>
        <v>10</v>
      </c>
      <c r="W243" s="125">
        <f t="shared" si="81"/>
        <v>200</v>
      </c>
      <c r="X243" s="125">
        <f t="shared" si="81"/>
        <v>10</v>
      </c>
      <c r="Y243" s="125">
        <f t="shared" si="81"/>
        <v>200</v>
      </c>
      <c r="Z243" s="125">
        <f t="shared" si="81"/>
        <v>10</v>
      </c>
      <c r="AA243" s="125">
        <f t="shared" si="81"/>
        <v>200</v>
      </c>
      <c r="AB243" s="125">
        <f t="shared" si="81"/>
        <v>10</v>
      </c>
      <c r="AC243" s="125">
        <f t="shared" si="81"/>
        <v>200</v>
      </c>
      <c r="AD243" s="119">
        <f t="shared" si="81"/>
        <v>40</v>
      </c>
      <c r="AE243" s="126">
        <f t="shared" si="82"/>
        <v>415</v>
      </c>
      <c r="AF243" s="66">
        <f t="shared" si="83"/>
        <v>500</v>
      </c>
      <c r="AG243" s="66" t="str">
        <f t="shared" si="84"/>
        <v>В25</v>
      </c>
      <c r="AH243" s="66">
        <f t="shared" si="84"/>
        <v>1</v>
      </c>
    </row>
    <row r="244" spans="1:35" ht="15.75" thickTop="1" x14ac:dyDescent="0.25"/>
    <row r="247" spans="1:35" ht="15.75" thickBot="1" x14ac:dyDescent="0.3"/>
    <row r="248" spans="1:35" ht="91.5" thickTop="1" thickBot="1" x14ac:dyDescent="0.3">
      <c r="A248" s="133" t="s">
        <v>159</v>
      </c>
      <c r="B248" s="135" t="s">
        <v>160</v>
      </c>
      <c r="C248" s="135" t="s">
        <v>2750</v>
      </c>
      <c r="D248" s="135" t="s">
        <v>2856</v>
      </c>
      <c r="E248" s="138" t="s">
        <v>163</v>
      </c>
      <c r="F248" s="135" t="s">
        <v>2857</v>
      </c>
      <c r="G248" s="135" t="s">
        <v>2858</v>
      </c>
      <c r="H248" s="140" t="s">
        <v>166</v>
      </c>
      <c r="I248" s="141"/>
      <c r="J248" s="142"/>
      <c r="K248" s="143" t="s">
        <v>2859</v>
      </c>
      <c r="L248" s="143" t="s">
        <v>2860</v>
      </c>
      <c r="M248" s="146" t="s">
        <v>2861</v>
      </c>
      <c r="N248" s="107" t="s">
        <v>2714</v>
      </c>
      <c r="O248" s="108" t="s">
        <v>2862</v>
      </c>
      <c r="P248" s="109" t="s">
        <v>2863</v>
      </c>
      <c r="Q248" s="109" t="s">
        <v>2864</v>
      </c>
      <c r="R248" s="109" t="s">
        <v>2865</v>
      </c>
      <c r="S248" s="109" t="s">
        <v>2866</v>
      </c>
      <c r="T248" s="109" t="s">
        <v>2867</v>
      </c>
      <c r="U248" s="109" t="s">
        <v>2868</v>
      </c>
      <c r="V248" s="109" t="s">
        <v>2869</v>
      </c>
      <c r="W248" s="109" t="s">
        <v>2870</v>
      </c>
      <c r="X248" s="109" t="s">
        <v>2871</v>
      </c>
      <c r="Y248" s="109" t="s">
        <v>2872</v>
      </c>
      <c r="Z248" s="109" t="s">
        <v>2873</v>
      </c>
      <c r="AA248" s="109" t="s">
        <v>2874</v>
      </c>
      <c r="AB248" s="109" t="s">
        <v>2875</v>
      </c>
      <c r="AC248" s="110" t="s">
        <v>2876</v>
      </c>
      <c r="AD248" s="111" t="s">
        <v>2877</v>
      </c>
      <c r="AE248" s="143" t="s">
        <v>180</v>
      </c>
      <c r="AF248" s="131" t="s">
        <v>2878</v>
      </c>
      <c r="AG248" s="111" t="s">
        <v>2879</v>
      </c>
      <c r="AH248" s="111" t="s">
        <v>2880</v>
      </c>
      <c r="AI248" s="112" t="s">
        <v>2881</v>
      </c>
    </row>
    <row r="249" spans="1:35" ht="17.25" thickTop="1" thickBot="1" x14ac:dyDescent="0.3">
      <c r="A249" s="134"/>
      <c r="B249" s="136"/>
      <c r="C249" s="136"/>
      <c r="D249" s="137"/>
      <c r="E249" s="139"/>
      <c r="F249" s="137"/>
      <c r="G249" s="137"/>
      <c r="H249" s="113" t="s">
        <v>170</v>
      </c>
      <c r="I249" s="114" t="s">
        <v>171</v>
      </c>
      <c r="J249" s="115" t="s">
        <v>172</v>
      </c>
      <c r="K249" s="144"/>
      <c r="L249" s="145"/>
      <c r="M249" s="147"/>
      <c r="N249" s="116" t="str">
        <f>'[1]Исх.Таблица из архикада'!A16</f>
        <v>Пс8.2.1</v>
      </c>
      <c r="O249" s="116">
        <f>'[1]Исх.Таблица из архикада'!B16</f>
        <v>4020</v>
      </c>
      <c r="P249" s="116">
        <f>'[1]Исх.Таблица из архикада'!C16</f>
        <v>950</v>
      </c>
      <c r="Q249" s="116">
        <f>'[1]Исх.Таблица из архикада'!D16</f>
        <v>150</v>
      </c>
      <c r="R249" s="116">
        <f>'[1]Исх.Таблица из архикада'!E16</f>
        <v>750</v>
      </c>
      <c r="S249" s="116">
        <f>'[1]Исх.Таблица из архикада'!F16</f>
        <v>300</v>
      </c>
      <c r="T249" s="116">
        <f>'[1]Исх.Таблица из архикада'!G16</f>
        <v>300</v>
      </c>
      <c r="U249" s="116">
        <f>'[1]Исх.Таблица из архикада'!H16</f>
        <v>200</v>
      </c>
      <c r="V249" s="116">
        <f>'[1]Исх.Таблица из архикада'!I16</f>
        <v>10</v>
      </c>
      <c r="W249" s="116">
        <f>'[1]Исх.Таблица из архикада'!J16</f>
        <v>200</v>
      </c>
      <c r="X249" s="116">
        <f>'[1]Исх.Таблица из архикада'!K16</f>
        <v>10</v>
      </c>
      <c r="Y249" s="116">
        <f>'[1]Исх.Таблица из архикада'!L16</f>
        <v>200</v>
      </c>
      <c r="Z249" s="116">
        <f>'[1]Исх.Таблица из архикада'!M16</f>
        <v>10</v>
      </c>
      <c r="AA249" s="116">
        <f>'[1]Исх.Таблица из архикада'!N16</f>
        <v>200</v>
      </c>
      <c r="AB249" s="116">
        <f>'[1]Исх.Таблица из архикада'!O16</f>
        <v>10</v>
      </c>
      <c r="AC249" s="116">
        <f>'[1]Исх.Таблица из архикада'!P16</f>
        <v>200</v>
      </c>
      <c r="AD249" s="116">
        <v>40</v>
      </c>
      <c r="AE249" s="145"/>
      <c r="AF249" s="132"/>
      <c r="AG249" s="118" t="s">
        <v>2882</v>
      </c>
      <c r="AH249" s="118">
        <v>1</v>
      </c>
      <c r="AI249">
        <v>6000</v>
      </c>
    </row>
    <row r="250" spans="1:35" ht="17.25" thickTop="1" thickBot="1" x14ac:dyDescent="0.3">
      <c r="A250" s="119" t="str">
        <f>N249</f>
        <v>Пс8.2.1</v>
      </c>
      <c r="B250" s="119">
        <v>1</v>
      </c>
      <c r="C250" s="46" t="s">
        <v>2883</v>
      </c>
      <c r="D250" s="119">
        <f>W250</f>
        <v>200</v>
      </c>
      <c r="E250" s="120">
        <f>IF(O250&lt;=5700, ROUNDUP(P250*2/W250+1,0), 1)</f>
        <v>11</v>
      </c>
      <c r="F250" s="119">
        <f>ROUNDUP(((O250*R250*U250)*0.000000001+(O250*P250*Q250)*0.000000001),1)</f>
        <v>1.2000000000000002</v>
      </c>
      <c r="G250" s="119">
        <f>ROUNDUP((0.1*(R250+200)*(O250)*0.000001),1)</f>
        <v>0.4</v>
      </c>
      <c r="H250" s="120">
        <f>IF(O250&lt;=5700, O250-50, K250)</f>
        <v>3970</v>
      </c>
      <c r="I250" s="121">
        <f>V250</f>
        <v>10</v>
      </c>
      <c r="J250" s="46" t="s">
        <v>2</v>
      </c>
      <c r="K250" s="122">
        <f>Арм_ПоПлощади(O250*P250,W250,AF250,$AI$3)</f>
        <v>23050</v>
      </c>
      <c r="L250" s="123">
        <f>IF(R250&lt;=2000,(0),(ROUNDUP(O250*R250*0.000001/1+SQRT(O250*R250*0.000001),0)))</f>
        <v>0</v>
      </c>
      <c r="M250" s="124">
        <v>0</v>
      </c>
      <c r="N250" s="125" t="str">
        <f>N249</f>
        <v>Пс8.2.1</v>
      </c>
      <c r="O250" s="125">
        <f t="shared" ref="O250:AD250" si="86">O249</f>
        <v>4020</v>
      </c>
      <c r="P250" s="125">
        <f t="shared" si="86"/>
        <v>950</v>
      </c>
      <c r="Q250" s="125">
        <f t="shared" si="86"/>
        <v>150</v>
      </c>
      <c r="R250" s="125">
        <f t="shared" si="86"/>
        <v>750</v>
      </c>
      <c r="S250" s="125">
        <f t="shared" si="86"/>
        <v>300</v>
      </c>
      <c r="T250" s="125">
        <f t="shared" si="86"/>
        <v>300</v>
      </c>
      <c r="U250" s="125">
        <f t="shared" si="86"/>
        <v>200</v>
      </c>
      <c r="V250" s="125">
        <f t="shared" si="86"/>
        <v>10</v>
      </c>
      <c r="W250" s="125">
        <f t="shared" si="86"/>
        <v>200</v>
      </c>
      <c r="X250" s="125">
        <f t="shared" si="86"/>
        <v>10</v>
      </c>
      <c r="Y250" s="125">
        <f t="shared" si="86"/>
        <v>200</v>
      </c>
      <c r="Z250" s="125">
        <f t="shared" si="86"/>
        <v>10</v>
      </c>
      <c r="AA250" s="125">
        <f t="shared" si="86"/>
        <v>200</v>
      </c>
      <c r="AB250" s="125">
        <f t="shared" si="86"/>
        <v>10</v>
      </c>
      <c r="AC250" s="125">
        <f t="shared" si="86"/>
        <v>200</v>
      </c>
      <c r="AD250" s="119">
        <f t="shared" si="86"/>
        <v>40</v>
      </c>
      <c r="AE250" s="126">
        <f>Арм_Анкеровка(I250,J250,$AG$3,$AH$3)</f>
        <v>415</v>
      </c>
      <c r="AF250" s="66">
        <f>Арм_Нахлёст(I250,J250,$AG$3,$AH$3)</f>
        <v>500</v>
      </c>
      <c r="AG250" s="66" t="str">
        <f>AG249</f>
        <v>В25</v>
      </c>
      <c r="AH250" s="66">
        <f>AH249</f>
        <v>1</v>
      </c>
    </row>
    <row r="251" spans="1:35" ht="17.25" thickTop="1" thickBot="1" x14ac:dyDescent="0.3">
      <c r="A251" s="119" t="str">
        <f>A250</f>
        <v>Пс8.2.1</v>
      </c>
      <c r="B251" s="119">
        <v>2</v>
      </c>
      <c r="C251" s="46" t="s">
        <v>2884</v>
      </c>
      <c r="D251" s="119">
        <f>Y250</f>
        <v>200</v>
      </c>
      <c r="E251" s="127">
        <f>IF(Q251&lt;=150,0,(ROUNDUP(O251/Y251,0)))</f>
        <v>0</v>
      </c>
      <c r="F251" s="119"/>
      <c r="G251" s="119"/>
      <c r="H251" s="127">
        <f>Арм_Элемент_П(AF251, (Q251-2*AD251), I251, J251)</f>
        <v>1050</v>
      </c>
      <c r="I251" s="121">
        <f>X251</f>
        <v>10</v>
      </c>
      <c r="J251" s="46" t="s">
        <v>2</v>
      </c>
      <c r="K251" s="128"/>
      <c r="L251" s="119"/>
      <c r="M251" s="124">
        <f t="shared" ref="M251:AD262" si="87">M250</f>
        <v>0</v>
      </c>
      <c r="N251" s="125" t="str">
        <f t="shared" si="87"/>
        <v>Пс8.2.1</v>
      </c>
      <c r="O251" s="125">
        <f t="shared" si="87"/>
        <v>4020</v>
      </c>
      <c r="P251" s="125">
        <f t="shared" si="87"/>
        <v>950</v>
      </c>
      <c r="Q251" s="125">
        <f t="shared" si="87"/>
        <v>150</v>
      </c>
      <c r="R251" s="125">
        <f t="shared" si="87"/>
        <v>750</v>
      </c>
      <c r="S251" s="125">
        <f t="shared" si="87"/>
        <v>300</v>
      </c>
      <c r="T251" s="125">
        <f t="shared" si="87"/>
        <v>300</v>
      </c>
      <c r="U251" s="125">
        <f t="shared" si="87"/>
        <v>200</v>
      </c>
      <c r="V251" s="125">
        <f t="shared" si="87"/>
        <v>10</v>
      </c>
      <c r="W251" s="125">
        <f t="shared" si="87"/>
        <v>200</v>
      </c>
      <c r="X251" s="125">
        <f t="shared" si="87"/>
        <v>10</v>
      </c>
      <c r="Y251" s="125">
        <f t="shared" si="87"/>
        <v>200</v>
      </c>
      <c r="Z251" s="125">
        <f t="shared" si="87"/>
        <v>10</v>
      </c>
      <c r="AA251" s="125">
        <f t="shared" si="87"/>
        <v>200</v>
      </c>
      <c r="AB251" s="125">
        <f t="shared" si="87"/>
        <v>10</v>
      </c>
      <c r="AC251" s="125">
        <f t="shared" si="87"/>
        <v>200</v>
      </c>
      <c r="AD251" s="119">
        <f t="shared" si="87"/>
        <v>40</v>
      </c>
      <c r="AE251" s="126">
        <f t="shared" ref="AE251:AE262" si="88">Арм_Анкеровка(I251,J251,$AG$3,$AH$3)</f>
        <v>415</v>
      </c>
      <c r="AF251" s="66">
        <f t="shared" ref="AF251:AF262" si="89">Арм_Нахлёст(I251,J251,$AG$3,$AH$3)</f>
        <v>500</v>
      </c>
      <c r="AG251" s="66" t="str">
        <f t="shared" ref="AG251:AH262" si="90">AG250</f>
        <v>В25</v>
      </c>
      <c r="AH251" s="66">
        <f t="shared" si="90"/>
        <v>1</v>
      </c>
    </row>
    <row r="252" spans="1:35" ht="17.25" thickTop="1" thickBot="1" x14ac:dyDescent="0.3">
      <c r="A252" s="119" t="str">
        <f t="shared" ref="A252:A262" si="91">A251</f>
        <v>Пс8.2.1</v>
      </c>
      <c r="B252" s="119">
        <v>3</v>
      </c>
      <c r="C252" s="46" t="s">
        <v>2885</v>
      </c>
      <c r="D252" s="119">
        <f>W252</f>
        <v>200</v>
      </c>
      <c r="E252" s="127">
        <f>MROUND(2*P252/D252,2)</f>
        <v>10</v>
      </c>
      <c r="F252" s="119"/>
      <c r="G252" s="119"/>
      <c r="H252" s="127">
        <f>Арм_Элемент_П(AF252, (Q252-2*AD252), I252, J252)</f>
        <v>1070</v>
      </c>
      <c r="I252" s="121">
        <f>V252</f>
        <v>10</v>
      </c>
      <c r="J252" s="46" t="s">
        <v>2</v>
      </c>
      <c r="K252" s="128"/>
      <c r="L252" s="119"/>
      <c r="M252" s="124">
        <f t="shared" si="87"/>
        <v>0</v>
      </c>
      <c r="N252" s="125" t="str">
        <f t="shared" si="87"/>
        <v>Пс8.2.1</v>
      </c>
      <c r="O252" s="125">
        <f t="shared" si="87"/>
        <v>4020</v>
      </c>
      <c r="P252" s="125">
        <f t="shared" si="87"/>
        <v>950</v>
      </c>
      <c r="Q252" s="125">
        <f t="shared" si="87"/>
        <v>150</v>
      </c>
      <c r="R252" s="125">
        <f t="shared" si="87"/>
        <v>750</v>
      </c>
      <c r="S252" s="125">
        <f t="shared" si="87"/>
        <v>300</v>
      </c>
      <c r="T252" s="125">
        <f t="shared" si="87"/>
        <v>300</v>
      </c>
      <c r="U252" s="125">
        <f t="shared" si="87"/>
        <v>200</v>
      </c>
      <c r="V252" s="125">
        <f t="shared" si="87"/>
        <v>10</v>
      </c>
      <c r="W252" s="125">
        <f t="shared" si="87"/>
        <v>200</v>
      </c>
      <c r="X252" s="125">
        <f t="shared" si="87"/>
        <v>10</v>
      </c>
      <c r="Y252" s="125">
        <f t="shared" si="87"/>
        <v>200</v>
      </c>
      <c r="Z252" s="125">
        <f t="shared" si="87"/>
        <v>10</v>
      </c>
      <c r="AA252" s="125">
        <f t="shared" si="87"/>
        <v>200</v>
      </c>
      <c r="AB252" s="125">
        <f t="shared" si="87"/>
        <v>10</v>
      </c>
      <c r="AC252" s="125">
        <f t="shared" si="87"/>
        <v>200</v>
      </c>
      <c r="AD252" s="119">
        <v>30</v>
      </c>
      <c r="AE252" s="126">
        <f t="shared" si="88"/>
        <v>415</v>
      </c>
      <c r="AF252" s="66">
        <f t="shared" si="89"/>
        <v>500</v>
      </c>
      <c r="AG252" s="66" t="str">
        <f t="shared" si="90"/>
        <v>В25</v>
      </c>
      <c r="AH252" s="66">
        <f t="shared" si="90"/>
        <v>1</v>
      </c>
    </row>
    <row r="253" spans="1:35" ht="17.25" thickTop="1" thickBot="1" x14ac:dyDescent="0.3">
      <c r="A253" s="119" t="str">
        <f t="shared" si="91"/>
        <v>Пс8.2.1</v>
      </c>
      <c r="B253" s="119">
        <v>4</v>
      </c>
      <c r="C253" s="46" t="s">
        <v>2886</v>
      </c>
      <c r="D253" s="119">
        <f>Y253</f>
        <v>200</v>
      </c>
      <c r="E253" s="127">
        <f>ROUNDUP(O253/Y253,0)*2</f>
        <v>42</v>
      </c>
      <c r="F253" s="119"/>
      <c r="G253" s="119"/>
      <c r="H253" s="127">
        <f>IF(P253&lt;=3000,(IF(Q253&lt;=150,(P253-25+AE253+Q253-(35+V253)),(P253-25+AE253))),(P253-25))</f>
        <v>1445</v>
      </c>
      <c r="I253" s="121">
        <f>X253</f>
        <v>10</v>
      </c>
      <c r="J253" s="46" t="s">
        <v>2</v>
      </c>
      <c r="K253" s="128"/>
      <c r="L253" s="119"/>
      <c r="M253" s="124">
        <f t="shared" si="87"/>
        <v>0</v>
      </c>
      <c r="N253" s="125" t="str">
        <f t="shared" si="87"/>
        <v>Пс8.2.1</v>
      </c>
      <c r="O253" s="125">
        <f t="shared" si="87"/>
        <v>4020</v>
      </c>
      <c r="P253" s="125">
        <f t="shared" si="87"/>
        <v>950</v>
      </c>
      <c r="Q253" s="125">
        <f t="shared" si="87"/>
        <v>150</v>
      </c>
      <c r="R253" s="125">
        <f t="shared" si="87"/>
        <v>750</v>
      </c>
      <c r="S253" s="125">
        <f t="shared" si="87"/>
        <v>300</v>
      </c>
      <c r="T253" s="125">
        <f t="shared" si="87"/>
        <v>300</v>
      </c>
      <c r="U253" s="125">
        <f t="shared" si="87"/>
        <v>200</v>
      </c>
      <c r="V253" s="125">
        <f t="shared" si="87"/>
        <v>10</v>
      </c>
      <c r="W253" s="125">
        <f t="shared" si="87"/>
        <v>200</v>
      </c>
      <c r="X253" s="125">
        <f t="shared" si="87"/>
        <v>10</v>
      </c>
      <c r="Y253" s="125">
        <f t="shared" si="87"/>
        <v>200</v>
      </c>
      <c r="Z253" s="125">
        <f t="shared" si="87"/>
        <v>10</v>
      </c>
      <c r="AA253" s="125">
        <f t="shared" si="87"/>
        <v>200</v>
      </c>
      <c r="AB253" s="125">
        <f t="shared" si="87"/>
        <v>10</v>
      </c>
      <c r="AC253" s="125">
        <f t="shared" si="87"/>
        <v>200</v>
      </c>
      <c r="AD253" s="119">
        <v>40</v>
      </c>
      <c r="AE253" s="126">
        <f t="shared" si="88"/>
        <v>415</v>
      </c>
      <c r="AF253" s="66">
        <f t="shared" si="89"/>
        <v>500</v>
      </c>
      <c r="AG253" s="66" t="str">
        <f t="shared" si="90"/>
        <v>В25</v>
      </c>
      <c r="AH253" s="66">
        <f t="shared" si="90"/>
        <v>1</v>
      </c>
    </row>
    <row r="254" spans="1:35" ht="17.25" thickTop="1" thickBot="1" x14ac:dyDescent="0.3">
      <c r="A254" s="119" t="str">
        <f t="shared" si="91"/>
        <v>Пс8.2.1</v>
      </c>
      <c r="B254" s="119">
        <v>5</v>
      </c>
      <c r="C254" s="46" t="s">
        <v>2887</v>
      </c>
      <c r="D254" s="119">
        <v>400</v>
      </c>
      <c r="E254" s="127">
        <f>ROUNDUP((13*(O254*P254/1000000)),0)</f>
        <v>50</v>
      </c>
      <c r="F254" s="119"/>
      <c r="G254" s="119"/>
      <c r="H254" s="127">
        <f>Q254-AD254*2+150</f>
        <v>220</v>
      </c>
      <c r="I254" s="121">
        <v>6</v>
      </c>
      <c r="J254" s="46" t="s">
        <v>2</v>
      </c>
      <c r="K254" s="128"/>
      <c r="L254" s="119"/>
      <c r="M254" s="124">
        <f t="shared" si="87"/>
        <v>0</v>
      </c>
      <c r="N254" s="125" t="str">
        <f t="shared" si="87"/>
        <v>Пс8.2.1</v>
      </c>
      <c r="O254" s="125">
        <f t="shared" si="87"/>
        <v>4020</v>
      </c>
      <c r="P254" s="125">
        <f t="shared" si="87"/>
        <v>950</v>
      </c>
      <c r="Q254" s="125">
        <f t="shared" si="87"/>
        <v>150</v>
      </c>
      <c r="R254" s="125">
        <f t="shared" si="87"/>
        <v>750</v>
      </c>
      <c r="S254" s="125">
        <f t="shared" si="87"/>
        <v>300</v>
      </c>
      <c r="T254" s="125">
        <f t="shared" si="87"/>
        <v>300</v>
      </c>
      <c r="U254" s="125">
        <f t="shared" si="87"/>
        <v>200</v>
      </c>
      <c r="V254" s="125">
        <f t="shared" si="87"/>
        <v>10</v>
      </c>
      <c r="W254" s="125">
        <f t="shared" si="87"/>
        <v>200</v>
      </c>
      <c r="X254" s="125">
        <f t="shared" si="87"/>
        <v>10</v>
      </c>
      <c r="Y254" s="125">
        <f t="shared" si="87"/>
        <v>200</v>
      </c>
      <c r="Z254" s="125">
        <f t="shared" si="87"/>
        <v>10</v>
      </c>
      <c r="AA254" s="125">
        <f t="shared" si="87"/>
        <v>200</v>
      </c>
      <c r="AB254" s="125">
        <f t="shared" si="87"/>
        <v>10</v>
      </c>
      <c r="AC254" s="125">
        <f t="shared" si="87"/>
        <v>200</v>
      </c>
      <c r="AD254" s="119">
        <f t="shared" si="87"/>
        <v>40</v>
      </c>
      <c r="AE254" s="126">
        <f t="shared" si="88"/>
        <v>250</v>
      </c>
      <c r="AF254" s="66">
        <f t="shared" si="89"/>
        <v>300</v>
      </c>
      <c r="AG254" s="66" t="str">
        <f t="shared" si="90"/>
        <v>В25</v>
      </c>
      <c r="AH254" s="66">
        <f t="shared" si="90"/>
        <v>1</v>
      </c>
    </row>
    <row r="255" spans="1:35" ht="17.25" thickTop="1" thickBot="1" x14ac:dyDescent="0.3">
      <c r="A255" s="119" t="str">
        <f t="shared" si="91"/>
        <v>Пс8.2.1</v>
      </c>
      <c r="B255" s="119">
        <v>6</v>
      </c>
      <c r="C255" s="46" t="s">
        <v>2888</v>
      </c>
      <c r="D255" s="119">
        <f>AA255</f>
        <v>200</v>
      </c>
      <c r="E255" s="127">
        <f>IF(R255&lt;=2000,(ROUNDUP(O255/D255,0)),(ROUNDUP(O255/D255,0)))</f>
        <v>21</v>
      </c>
      <c r="F255" s="119"/>
      <c r="G255" s="119"/>
      <c r="H255" s="127">
        <f>R255-50</f>
        <v>700</v>
      </c>
      <c r="I255" s="121">
        <f>Z255</f>
        <v>10</v>
      </c>
      <c r="J255" s="46" t="s">
        <v>2</v>
      </c>
      <c r="K255" s="128"/>
      <c r="L255" s="119"/>
      <c r="M255" s="124">
        <f t="shared" si="87"/>
        <v>0</v>
      </c>
      <c r="N255" s="125" t="str">
        <f t="shared" si="87"/>
        <v>Пс8.2.1</v>
      </c>
      <c r="O255" s="125">
        <f t="shared" si="87"/>
        <v>4020</v>
      </c>
      <c r="P255" s="125">
        <f t="shared" si="87"/>
        <v>950</v>
      </c>
      <c r="Q255" s="125">
        <f t="shared" si="87"/>
        <v>150</v>
      </c>
      <c r="R255" s="125">
        <f t="shared" si="87"/>
        <v>750</v>
      </c>
      <c r="S255" s="125">
        <f t="shared" si="87"/>
        <v>300</v>
      </c>
      <c r="T255" s="125">
        <f t="shared" si="87"/>
        <v>300</v>
      </c>
      <c r="U255" s="125">
        <f t="shared" si="87"/>
        <v>200</v>
      </c>
      <c r="V255" s="125">
        <f t="shared" si="87"/>
        <v>10</v>
      </c>
      <c r="W255" s="125">
        <f t="shared" si="87"/>
        <v>200</v>
      </c>
      <c r="X255" s="125">
        <f t="shared" si="87"/>
        <v>10</v>
      </c>
      <c r="Y255" s="125">
        <f t="shared" si="87"/>
        <v>200</v>
      </c>
      <c r="Z255" s="125">
        <f t="shared" si="87"/>
        <v>10</v>
      </c>
      <c r="AA255" s="125">
        <f t="shared" si="87"/>
        <v>200</v>
      </c>
      <c r="AB255" s="125">
        <f t="shared" si="87"/>
        <v>10</v>
      </c>
      <c r="AC255" s="125">
        <f t="shared" si="87"/>
        <v>200</v>
      </c>
      <c r="AD255" s="119">
        <f t="shared" si="87"/>
        <v>40</v>
      </c>
      <c r="AE255" s="126">
        <f t="shared" si="88"/>
        <v>415</v>
      </c>
      <c r="AF255" s="66">
        <f t="shared" si="89"/>
        <v>500</v>
      </c>
      <c r="AG255" s="66" t="str">
        <f t="shared" si="90"/>
        <v>В25</v>
      </c>
      <c r="AH255" s="66">
        <f t="shared" si="90"/>
        <v>1</v>
      </c>
    </row>
    <row r="256" spans="1:35" ht="17.25" thickTop="1" thickBot="1" x14ac:dyDescent="0.3">
      <c r="A256" s="119" t="str">
        <f t="shared" si="91"/>
        <v>Пс8.2.1</v>
      </c>
      <c r="B256" s="119">
        <v>7</v>
      </c>
      <c r="C256" s="46" t="s">
        <v>2889</v>
      </c>
      <c r="D256" s="119">
        <f>AC256</f>
        <v>200</v>
      </c>
      <c r="E256" s="120">
        <f>IF(O256&lt;=5700, ROUNDUP(R256*2/AC256+1,0), 1)</f>
        <v>9</v>
      </c>
      <c r="F256" s="119"/>
      <c r="G256" s="119"/>
      <c r="H256" s="120">
        <f>IF(O256&lt;=5700, O256-50, K256)</f>
        <v>3970</v>
      </c>
      <c r="I256" s="121">
        <f>AB256</f>
        <v>10</v>
      </c>
      <c r="J256" s="46" t="s">
        <v>2</v>
      </c>
      <c r="K256" s="122">
        <f>Арм_ПоПлощади(O256*R256,AC256,AF256,$AI$3)</f>
        <v>18320</v>
      </c>
      <c r="L256" s="119"/>
      <c r="M256" s="124">
        <f t="shared" si="87"/>
        <v>0</v>
      </c>
      <c r="N256" s="125" t="str">
        <f t="shared" si="87"/>
        <v>Пс8.2.1</v>
      </c>
      <c r="O256" s="125">
        <f t="shared" si="87"/>
        <v>4020</v>
      </c>
      <c r="P256" s="125">
        <f t="shared" si="87"/>
        <v>950</v>
      </c>
      <c r="Q256" s="125">
        <f t="shared" si="87"/>
        <v>150</v>
      </c>
      <c r="R256" s="125">
        <f t="shared" si="87"/>
        <v>750</v>
      </c>
      <c r="S256" s="125">
        <f t="shared" si="87"/>
        <v>300</v>
      </c>
      <c r="T256" s="125">
        <f t="shared" si="87"/>
        <v>300</v>
      </c>
      <c r="U256" s="125">
        <f t="shared" si="87"/>
        <v>200</v>
      </c>
      <c r="V256" s="125">
        <f t="shared" si="87"/>
        <v>10</v>
      </c>
      <c r="W256" s="125">
        <f t="shared" si="87"/>
        <v>200</v>
      </c>
      <c r="X256" s="125">
        <f t="shared" si="87"/>
        <v>10</v>
      </c>
      <c r="Y256" s="125">
        <f t="shared" si="87"/>
        <v>200</v>
      </c>
      <c r="Z256" s="125">
        <f t="shared" si="87"/>
        <v>10</v>
      </c>
      <c r="AA256" s="125">
        <f t="shared" si="87"/>
        <v>200</v>
      </c>
      <c r="AB256" s="125">
        <f t="shared" si="87"/>
        <v>10</v>
      </c>
      <c r="AC256" s="125">
        <f t="shared" si="87"/>
        <v>200</v>
      </c>
      <c r="AD256" s="119">
        <f t="shared" si="87"/>
        <v>40</v>
      </c>
      <c r="AE256" s="126">
        <f t="shared" si="88"/>
        <v>415</v>
      </c>
      <c r="AF256" s="66">
        <f t="shared" si="89"/>
        <v>500</v>
      </c>
      <c r="AG256" s="66" t="str">
        <f t="shared" si="90"/>
        <v>В25</v>
      </c>
      <c r="AH256" s="66">
        <f t="shared" si="90"/>
        <v>1</v>
      </c>
    </row>
    <row r="257" spans="1:35" ht="17.25" thickTop="1" thickBot="1" x14ac:dyDescent="0.3">
      <c r="A257" s="119" t="str">
        <f t="shared" si="91"/>
        <v>Пс8.2.1</v>
      </c>
      <c r="B257" s="119">
        <v>8</v>
      </c>
      <c r="C257" s="46" t="s">
        <v>2890</v>
      </c>
      <c r="D257" s="119">
        <f>AA257</f>
        <v>200</v>
      </c>
      <c r="E257" s="127">
        <f>IF(E262=0,(ROUNDUP(O257/D257,0)*2),0)</f>
        <v>0</v>
      </c>
      <c r="F257" s="119"/>
      <c r="G257" s="119"/>
      <c r="H257" s="127">
        <f>Арм_Элемент_П(AF257, (U257-2*AD257), I257, J257)</f>
        <v>1120</v>
      </c>
      <c r="I257" s="121">
        <f>Z257</f>
        <v>10</v>
      </c>
      <c r="J257" s="46" t="s">
        <v>2</v>
      </c>
      <c r="K257" s="128"/>
      <c r="L257" s="119"/>
      <c r="M257" s="124">
        <f t="shared" si="87"/>
        <v>0</v>
      </c>
      <c r="N257" s="125" t="str">
        <f t="shared" si="87"/>
        <v>Пс8.2.1</v>
      </c>
      <c r="O257" s="125">
        <f t="shared" si="87"/>
        <v>4020</v>
      </c>
      <c r="P257" s="125">
        <f t="shared" si="87"/>
        <v>950</v>
      </c>
      <c r="Q257" s="125">
        <f t="shared" si="87"/>
        <v>150</v>
      </c>
      <c r="R257" s="125">
        <f t="shared" si="87"/>
        <v>750</v>
      </c>
      <c r="S257" s="125">
        <f t="shared" si="87"/>
        <v>300</v>
      </c>
      <c r="T257" s="125">
        <f t="shared" si="87"/>
        <v>300</v>
      </c>
      <c r="U257" s="125">
        <f t="shared" si="87"/>
        <v>200</v>
      </c>
      <c r="V257" s="125">
        <f t="shared" si="87"/>
        <v>10</v>
      </c>
      <c r="W257" s="125">
        <f t="shared" si="87"/>
        <v>200</v>
      </c>
      <c r="X257" s="125">
        <f t="shared" si="87"/>
        <v>10</v>
      </c>
      <c r="Y257" s="125">
        <f t="shared" si="87"/>
        <v>200</v>
      </c>
      <c r="Z257" s="125">
        <f t="shared" si="87"/>
        <v>10</v>
      </c>
      <c r="AA257" s="125">
        <f t="shared" si="87"/>
        <v>200</v>
      </c>
      <c r="AB257" s="125">
        <f t="shared" si="87"/>
        <v>10</v>
      </c>
      <c r="AC257" s="125">
        <f t="shared" si="87"/>
        <v>200</v>
      </c>
      <c r="AD257" s="119">
        <v>30</v>
      </c>
      <c r="AE257" s="126">
        <f t="shared" si="88"/>
        <v>415</v>
      </c>
      <c r="AF257" s="66">
        <f t="shared" si="89"/>
        <v>500</v>
      </c>
      <c r="AG257" s="66" t="str">
        <f t="shared" si="90"/>
        <v>В25</v>
      </c>
      <c r="AH257" s="66">
        <f t="shared" si="90"/>
        <v>1</v>
      </c>
    </row>
    <row r="258" spans="1:35" ht="17.25" thickTop="1" thickBot="1" x14ac:dyDescent="0.3">
      <c r="A258" s="119" t="str">
        <f t="shared" si="91"/>
        <v>Пс8.2.1</v>
      </c>
      <c r="B258" s="119">
        <v>9</v>
      </c>
      <c r="C258" s="46" t="s">
        <v>2891</v>
      </c>
      <c r="D258" s="119">
        <f>AC258</f>
        <v>200</v>
      </c>
      <c r="E258" s="127">
        <f>MROUND(2*R258/AC258,2)</f>
        <v>8</v>
      </c>
      <c r="F258" s="119"/>
      <c r="G258" s="119"/>
      <c r="H258" s="127">
        <f>Арм_Элемент_П(AF258, (U258-2*AD258), I258, J258)</f>
        <v>1100</v>
      </c>
      <c r="I258" s="121">
        <f>AB258</f>
        <v>10</v>
      </c>
      <c r="J258" s="46" t="s">
        <v>2</v>
      </c>
      <c r="K258" s="128"/>
      <c r="L258" s="119"/>
      <c r="M258" s="124">
        <f t="shared" si="87"/>
        <v>0</v>
      </c>
      <c r="N258" s="125" t="str">
        <f t="shared" si="87"/>
        <v>Пс8.2.1</v>
      </c>
      <c r="O258" s="125">
        <f t="shared" si="87"/>
        <v>4020</v>
      </c>
      <c r="P258" s="125">
        <f t="shared" si="87"/>
        <v>950</v>
      </c>
      <c r="Q258" s="125">
        <f t="shared" si="87"/>
        <v>150</v>
      </c>
      <c r="R258" s="125">
        <f t="shared" si="87"/>
        <v>750</v>
      </c>
      <c r="S258" s="125">
        <f t="shared" si="87"/>
        <v>300</v>
      </c>
      <c r="T258" s="125">
        <f t="shared" si="87"/>
        <v>300</v>
      </c>
      <c r="U258" s="125">
        <f t="shared" si="87"/>
        <v>200</v>
      </c>
      <c r="V258" s="125">
        <f t="shared" si="87"/>
        <v>10</v>
      </c>
      <c r="W258" s="125">
        <f t="shared" si="87"/>
        <v>200</v>
      </c>
      <c r="X258" s="125">
        <f t="shared" si="87"/>
        <v>10</v>
      </c>
      <c r="Y258" s="125">
        <f t="shared" si="87"/>
        <v>200</v>
      </c>
      <c r="Z258" s="125">
        <f t="shared" si="87"/>
        <v>10</v>
      </c>
      <c r="AA258" s="125">
        <f t="shared" si="87"/>
        <v>200</v>
      </c>
      <c r="AB258" s="125">
        <f t="shared" si="87"/>
        <v>10</v>
      </c>
      <c r="AC258" s="125">
        <f t="shared" si="87"/>
        <v>200</v>
      </c>
      <c r="AD258" s="119">
        <v>40</v>
      </c>
      <c r="AE258" s="126">
        <f t="shared" si="88"/>
        <v>415</v>
      </c>
      <c r="AF258" s="66">
        <f t="shared" si="89"/>
        <v>500</v>
      </c>
      <c r="AG258" s="66" t="str">
        <f t="shared" si="90"/>
        <v>В25</v>
      </c>
      <c r="AH258" s="66">
        <f t="shared" si="90"/>
        <v>1</v>
      </c>
    </row>
    <row r="259" spans="1:35" ht="33" thickTop="1" thickBot="1" x14ac:dyDescent="0.3">
      <c r="A259" s="119" t="str">
        <f t="shared" si="91"/>
        <v>Пс8.2.1</v>
      </c>
      <c r="B259" s="119">
        <v>10</v>
      </c>
      <c r="C259" s="46" t="s">
        <v>2892</v>
      </c>
      <c r="D259" s="119">
        <f>Y259</f>
        <v>200</v>
      </c>
      <c r="E259" s="127">
        <f>ROUNDUP((IF(P259&lt;=3000,0,O259/Y259)),0)</f>
        <v>0</v>
      </c>
      <c r="F259" s="119"/>
      <c r="G259" s="119"/>
      <c r="H259" s="127">
        <f>IF(E259=0,0, (Арм_Округление(AE259+2*AF259)))</f>
        <v>0</v>
      </c>
      <c r="I259" s="121">
        <f>X259</f>
        <v>10</v>
      </c>
      <c r="J259" s="46" t="s">
        <v>2</v>
      </c>
      <c r="K259" s="128"/>
      <c r="L259" s="119"/>
      <c r="M259" s="124">
        <f t="shared" si="87"/>
        <v>0</v>
      </c>
      <c r="N259" s="125" t="str">
        <f t="shared" si="87"/>
        <v>Пс8.2.1</v>
      </c>
      <c r="O259" s="125">
        <f t="shared" si="87"/>
        <v>4020</v>
      </c>
      <c r="P259" s="125">
        <f t="shared" si="87"/>
        <v>950</v>
      </c>
      <c r="Q259" s="125">
        <f t="shared" si="87"/>
        <v>150</v>
      </c>
      <c r="R259" s="125">
        <f t="shared" si="87"/>
        <v>750</v>
      </c>
      <c r="S259" s="125">
        <f t="shared" si="87"/>
        <v>300</v>
      </c>
      <c r="T259" s="125">
        <f t="shared" si="87"/>
        <v>300</v>
      </c>
      <c r="U259" s="125">
        <f t="shared" si="87"/>
        <v>200</v>
      </c>
      <c r="V259" s="125">
        <f t="shared" si="87"/>
        <v>10</v>
      </c>
      <c r="W259" s="125">
        <f t="shared" si="87"/>
        <v>200</v>
      </c>
      <c r="X259" s="125">
        <f t="shared" si="87"/>
        <v>10</v>
      </c>
      <c r="Y259" s="125">
        <f t="shared" si="87"/>
        <v>200</v>
      </c>
      <c r="Z259" s="125">
        <f t="shared" si="87"/>
        <v>10</v>
      </c>
      <c r="AA259" s="125">
        <f t="shared" si="87"/>
        <v>200</v>
      </c>
      <c r="AB259" s="125">
        <f t="shared" si="87"/>
        <v>10</v>
      </c>
      <c r="AC259" s="125">
        <f t="shared" si="87"/>
        <v>200</v>
      </c>
      <c r="AD259" s="119">
        <f t="shared" si="87"/>
        <v>40</v>
      </c>
      <c r="AE259" s="126">
        <f t="shared" si="88"/>
        <v>415</v>
      </c>
      <c r="AF259" s="66">
        <f t="shared" si="89"/>
        <v>500</v>
      </c>
      <c r="AG259" s="66" t="str">
        <f t="shared" si="90"/>
        <v>В25</v>
      </c>
      <c r="AH259" s="66">
        <f t="shared" si="90"/>
        <v>1</v>
      </c>
    </row>
    <row r="260" spans="1:35" ht="33" thickTop="1" thickBot="1" x14ac:dyDescent="0.3">
      <c r="A260" s="119" t="str">
        <f t="shared" si="91"/>
        <v>Пс8.2.1</v>
      </c>
      <c r="B260" s="119">
        <v>11</v>
      </c>
      <c r="C260" s="46" t="s">
        <v>2893</v>
      </c>
      <c r="D260" s="119">
        <f>Y260</f>
        <v>200</v>
      </c>
      <c r="E260" s="127">
        <f>ROUNDUP((IF(P260&lt;=3000,0,O260/Y260)),0)</f>
        <v>0</v>
      </c>
      <c r="F260" s="119"/>
      <c r="G260" s="119"/>
      <c r="H260" s="127">
        <f>IF(E260=0,0, (Арм_Округление(AE260+AF260)))</f>
        <v>0</v>
      </c>
      <c r="I260" s="121">
        <f>X260</f>
        <v>10</v>
      </c>
      <c r="J260" s="46" t="s">
        <v>2</v>
      </c>
      <c r="K260" s="128"/>
      <c r="L260" s="119"/>
      <c r="M260" s="124">
        <f t="shared" si="87"/>
        <v>0</v>
      </c>
      <c r="N260" s="125" t="str">
        <f t="shared" si="87"/>
        <v>Пс8.2.1</v>
      </c>
      <c r="O260" s="125">
        <f t="shared" si="87"/>
        <v>4020</v>
      </c>
      <c r="P260" s="125">
        <f t="shared" si="87"/>
        <v>950</v>
      </c>
      <c r="Q260" s="125">
        <f t="shared" si="87"/>
        <v>150</v>
      </c>
      <c r="R260" s="125">
        <f t="shared" si="87"/>
        <v>750</v>
      </c>
      <c r="S260" s="125">
        <f t="shared" si="87"/>
        <v>300</v>
      </c>
      <c r="T260" s="125">
        <f t="shared" si="87"/>
        <v>300</v>
      </c>
      <c r="U260" s="125">
        <f t="shared" si="87"/>
        <v>200</v>
      </c>
      <c r="V260" s="125">
        <f t="shared" si="87"/>
        <v>10</v>
      </c>
      <c r="W260" s="125">
        <f t="shared" si="87"/>
        <v>200</v>
      </c>
      <c r="X260" s="125">
        <f t="shared" si="87"/>
        <v>10</v>
      </c>
      <c r="Y260" s="125">
        <f t="shared" si="87"/>
        <v>200</v>
      </c>
      <c r="Z260" s="125">
        <f t="shared" si="87"/>
        <v>10</v>
      </c>
      <c r="AA260" s="125">
        <f t="shared" si="87"/>
        <v>200</v>
      </c>
      <c r="AB260" s="125">
        <f t="shared" si="87"/>
        <v>10</v>
      </c>
      <c r="AC260" s="125">
        <f t="shared" si="87"/>
        <v>200</v>
      </c>
      <c r="AD260" s="119">
        <f t="shared" si="87"/>
        <v>40</v>
      </c>
      <c r="AE260" s="126">
        <f t="shared" si="88"/>
        <v>415</v>
      </c>
      <c r="AF260" s="66">
        <f t="shared" si="89"/>
        <v>500</v>
      </c>
      <c r="AG260" s="66" t="str">
        <f t="shared" si="90"/>
        <v>В25</v>
      </c>
      <c r="AH260" s="66">
        <f t="shared" si="90"/>
        <v>1</v>
      </c>
    </row>
    <row r="261" spans="1:35" ht="17.25" thickTop="1" thickBot="1" x14ac:dyDescent="0.3">
      <c r="A261" s="119" t="str">
        <f t="shared" si="91"/>
        <v>Пс8.2.1</v>
      </c>
      <c r="B261" s="119">
        <v>12</v>
      </c>
      <c r="C261" s="46" t="s">
        <v>2894</v>
      </c>
      <c r="D261" s="119">
        <f>W260</f>
        <v>200</v>
      </c>
      <c r="E261" s="127">
        <f>IF(M261=0, 0, M261*2*ROUNDUP((P261/W261),0))</f>
        <v>0</v>
      </c>
      <c r="F261" s="119"/>
      <c r="G261" s="119"/>
      <c r="H261" s="127">
        <f>IF(M261=0, 0, AF261*2)</f>
        <v>0</v>
      </c>
      <c r="I261" s="121">
        <f>V261</f>
        <v>10</v>
      </c>
      <c r="J261" s="46" t="s">
        <v>2</v>
      </c>
      <c r="K261" s="128"/>
      <c r="L261" s="119"/>
      <c r="M261" s="124">
        <f t="shared" si="87"/>
        <v>0</v>
      </c>
      <c r="N261" s="125" t="str">
        <f t="shared" si="87"/>
        <v>Пс8.2.1</v>
      </c>
      <c r="O261" s="125">
        <f t="shared" si="87"/>
        <v>4020</v>
      </c>
      <c r="P261" s="125">
        <f t="shared" si="87"/>
        <v>950</v>
      </c>
      <c r="Q261" s="125">
        <f t="shared" si="87"/>
        <v>150</v>
      </c>
      <c r="R261" s="125">
        <f t="shared" si="87"/>
        <v>750</v>
      </c>
      <c r="S261" s="125">
        <f t="shared" si="87"/>
        <v>300</v>
      </c>
      <c r="T261" s="125">
        <f t="shared" si="87"/>
        <v>300</v>
      </c>
      <c r="U261" s="125">
        <f t="shared" si="87"/>
        <v>200</v>
      </c>
      <c r="V261" s="125">
        <f t="shared" si="87"/>
        <v>10</v>
      </c>
      <c r="W261" s="125">
        <f t="shared" si="87"/>
        <v>200</v>
      </c>
      <c r="X261" s="125">
        <f t="shared" si="87"/>
        <v>10</v>
      </c>
      <c r="Y261" s="125">
        <f t="shared" si="87"/>
        <v>200</v>
      </c>
      <c r="Z261" s="125">
        <f t="shared" si="87"/>
        <v>10</v>
      </c>
      <c r="AA261" s="125">
        <f t="shared" si="87"/>
        <v>200</v>
      </c>
      <c r="AB261" s="125">
        <f t="shared" si="87"/>
        <v>10</v>
      </c>
      <c r="AC261" s="125">
        <f t="shared" si="87"/>
        <v>200</v>
      </c>
      <c r="AD261" s="119">
        <f t="shared" si="87"/>
        <v>40</v>
      </c>
      <c r="AE261" s="126">
        <f t="shared" si="88"/>
        <v>415</v>
      </c>
      <c r="AF261" s="66">
        <f t="shared" si="89"/>
        <v>500</v>
      </c>
      <c r="AG261" s="66" t="str">
        <f t="shared" si="90"/>
        <v>В25</v>
      </c>
      <c r="AH261" s="66">
        <f t="shared" si="90"/>
        <v>1</v>
      </c>
    </row>
    <row r="262" spans="1:35" ht="17.25" thickTop="1" thickBot="1" x14ac:dyDescent="0.3">
      <c r="A262" s="119" t="str">
        <f t="shared" si="91"/>
        <v>Пс8.2.1</v>
      </c>
      <c r="B262" s="119">
        <v>13</v>
      </c>
      <c r="C262" s="46" t="s">
        <v>2895</v>
      </c>
      <c r="D262" s="119">
        <f>W261</f>
        <v>200</v>
      </c>
      <c r="E262" s="127">
        <f>IF(R262&lt;=2000,(ROUNDUP(O262/D262,0)),(0))</f>
        <v>21</v>
      </c>
      <c r="F262" s="119"/>
      <c r="G262" s="119"/>
      <c r="H262" s="127">
        <f>IF(R262&lt;=2000,(ROUNDUP(R262-2*40+2*(U262-40-AB262), -1)),(0))</f>
        <v>970</v>
      </c>
      <c r="I262" s="121">
        <f>V262</f>
        <v>10</v>
      </c>
      <c r="J262" s="46" t="s">
        <v>2</v>
      </c>
      <c r="K262" s="128"/>
      <c r="L262" s="119"/>
      <c r="M262" s="124">
        <f t="shared" si="87"/>
        <v>0</v>
      </c>
      <c r="N262" s="125" t="str">
        <f t="shared" si="87"/>
        <v>Пс8.2.1</v>
      </c>
      <c r="O262" s="125">
        <f t="shared" si="87"/>
        <v>4020</v>
      </c>
      <c r="P262" s="125">
        <f t="shared" si="87"/>
        <v>950</v>
      </c>
      <c r="Q262" s="125">
        <f t="shared" si="87"/>
        <v>150</v>
      </c>
      <c r="R262" s="125">
        <f t="shared" si="87"/>
        <v>750</v>
      </c>
      <c r="S262" s="125">
        <f t="shared" si="87"/>
        <v>300</v>
      </c>
      <c r="T262" s="125">
        <f t="shared" si="87"/>
        <v>300</v>
      </c>
      <c r="U262" s="125">
        <f t="shared" si="87"/>
        <v>200</v>
      </c>
      <c r="V262" s="125">
        <f t="shared" si="87"/>
        <v>10</v>
      </c>
      <c r="W262" s="125">
        <f t="shared" si="87"/>
        <v>200</v>
      </c>
      <c r="X262" s="125">
        <f t="shared" si="87"/>
        <v>10</v>
      </c>
      <c r="Y262" s="125">
        <f t="shared" si="87"/>
        <v>200</v>
      </c>
      <c r="Z262" s="125">
        <f t="shared" si="87"/>
        <v>10</v>
      </c>
      <c r="AA262" s="125">
        <f t="shared" si="87"/>
        <v>200</v>
      </c>
      <c r="AB262" s="125">
        <f t="shared" si="87"/>
        <v>10</v>
      </c>
      <c r="AC262" s="125">
        <f t="shared" si="87"/>
        <v>200</v>
      </c>
      <c r="AD262" s="119">
        <f t="shared" si="87"/>
        <v>40</v>
      </c>
      <c r="AE262" s="126">
        <f t="shared" si="88"/>
        <v>415</v>
      </c>
      <c r="AF262" s="66">
        <f t="shared" si="89"/>
        <v>500</v>
      </c>
      <c r="AG262" s="66" t="str">
        <f t="shared" si="90"/>
        <v>В25</v>
      </c>
      <c r="AH262" s="66">
        <f t="shared" si="90"/>
        <v>1</v>
      </c>
    </row>
    <row r="263" spans="1:35" ht="15.75" thickTop="1" x14ac:dyDescent="0.25"/>
    <row r="266" spans="1:35" ht="15.75" thickBot="1" x14ac:dyDescent="0.3"/>
    <row r="267" spans="1:35" ht="91.5" thickTop="1" thickBot="1" x14ac:dyDescent="0.3">
      <c r="A267" s="133" t="s">
        <v>159</v>
      </c>
      <c r="B267" s="135" t="s">
        <v>160</v>
      </c>
      <c r="C267" s="135" t="s">
        <v>2750</v>
      </c>
      <c r="D267" s="135" t="s">
        <v>2856</v>
      </c>
      <c r="E267" s="138" t="s">
        <v>163</v>
      </c>
      <c r="F267" s="135" t="s">
        <v>2857</v>
      </c>
      <c r="G267" s="135" t="s">
        <v>2858</v>
      </c>
      <c r="H267" s="140" t="s">
        <v>166</v>
      </c>
      <c r="I267" s="141"/>
      <c r="J267" s="142"/>
      <c r="K267" s="143" t="s">
        <v>2859</v>
      </c>
      <c r="L267" s="143" t="s">
        <v>2860</v>
      </c>
      <c r="M267" s="146" t="s">
        <v>2861</v>
      </c>
      <c r="N267" s="107" t="s">
        <v>2714</v>
      </c>
      <c r="O267" s="108" t="s">
        <v>2862</v>
      </c>
      <c r="P267" s="109" t="s">
        <v>2863</v>
      </c>
      <c r="Q267" s="109" t="s">
        <v>2864</v>
      </c>
      <c r="R267" s="109" t="s">
        <v>2865</v>
      </c>
      <c r="S267" s="109" t="s">
        <v>2866</v>
      </c>
      <c r="T267" s="109" t="s">
        <v>2867</v>
      </c>
      <c r="U267" s="109" t="s">
        <v>2868</v>
      </c>
      <c r="V267" s="109" t="s">
        <v>2869</v>
      </c>
      <c r="W267" s="109" t="s">
        <v>2870</v>
      </c>
      <c r="X267" s="109" t="s">
        <v>2871</v>
      </c>
      <c r="Y267" s="109" t="s">
        <v>2872</v>
      </c>
      <c r="Z267" s="109" t="s">
        <v>2873</v>
      </c>
      <c r="AA267" s="109" t="s">
        <v>2874</v>
      </c>
      <c r="AB267" s="109" t="s">
        <v>2875</v>
      </c>
      <c r="AC267" s="110" t="s">
        <v>2876</v>
      </c>
      <c r="AD267" s="111" t="s">
        <v>2877</v>
      </c>
      <c r="AE267" s="143" t="s">
        <v>180</v>
      </c>
      <c r="AF267" s="131" t="s">
        <v>2878</v>
      </c>
      <c r="AG267" s="111" t="s">
        <v>2879</v>
      </c>
      <c r="AH267" s="111" t="s">
        <v>2880</v>
      </c>
      <c r="AI267" s="112" t="s">
        <v>2881</v>
      </c>
    </row>
    <row r="268" spans="1:35" ht="17.25" thickTop="1" thickBot="1" x14ac:dyDescent="0.3">
      <c r="A268" s="134"/>
      <c r="B268" s="136"/>
      <c r="C268" s="136"/>
      <c r="D268" s="137"/>
      <c r="E268" s="139"/>
      <c r="F268" s="137"/>
      <c r="G268" s="137"/>
      <c r="H268" s="113" t="s">
        <v>170</v>
      </c>
      <c r="I268" s="114" t="s">
        <v>171</v>
      </c>
      <c r="J268" s="115" t="s">
        <v>172</v>
      </c>
      <c r="K268" s="144"/>
      <c r="L268" s="145"/>
      <c r="M268" s="147"/>
      <c r="N268" s="116" t="str">
        <f>'[1]Исх.Таблица из архикада'!A17</f>
        <v>Пс8.2.2</v>
      </c>
      <c r="O268" s="116">
        <f>'[1]Исх.Таблица из архикада'!B17</f>
        <v>8000</v>
      </c>
      <c r="P268" s="116">
        <f>'[1]Исх.Таблица из архикада'!C17</f>
        <v>950</v>
      </c>
      <c r="Q268" s="116">
        <f>'[1]Исх.Таблица из архикада'!D17</f>
        <v>150</v>
      </c>
      <c r="R268" s="116">
        <f>'[1]Исх.Таблица из архикада'!E17</f>
        <v>750</v>
      </c>
      <c r="S268" s="116">
        <f>'[1]Исх.Таблица из архикада'!F17</f>
        <v>300</v>
      </c>
      <c r="T268" s="116">
        <f>'[1]Исх.Таблица из архикада'!G17</f>
        <v>300</v>
      </c>
      <c r="U268" s="116">
        <f>'[1]Исх.Таблица из архикада'!H17</f>
        <v>200</v>
      </c>
      <c r="V268" s="116">
        <f>'[1]Исх.Таблица из архикада'!I17</f>
        <v>10</v>
      </c>
      <c r="W268" s="116">
        <f>'[1]Исх.Таблица из архикада'!J17</f>
        <v>200</v>
      </c>
      <c r="X268" s="116">
        <f>'[1]Исх.Таблица из архикада'!K17</f>
        <v>10</v>
      </c>
      <c r="Y268" s="116">
        <f>'[1]Исх.Таблица из архикада'!L17</f>
        <v>200</v>
      </c>
      <c r="Z268" s="116">
        <f>'[1]Исх.Таблица из архикада'!M17</f>
        <v>10</v>
      </c>
      <c r="AA268" s="116">
        <f>'[1]Исх.Таблица из архикада'!N17</f>
        <v>200</v>
      </c>
      <c r="AB268" s="116">
        <f>'[1]Исх.Таблица из архикада'!O17</f>
        <v>10</v>
      </c>
      <c r="AC268" s="116">
        <f>'[1]Исх.Таблица из архикада'!P17</f>
        <v>200</v>
      </c>
      <c r="AD268" s="116">
        <v>40</v>
      </c>
      <c r="AE268" s="145"/>
      <c r="AF268" s="132"/>
      <c r="AG268" s="118" t="s">
        <v>2882</v>
      </c>
      <c r="AH268" s="118">
        <v>1</v>
      </c>
      <c r="AI268">
        <v>6000</v>
      </c>
    </row>
    <row r="269" spans="1:35" ht="17.25" thickTop="1" thickBot="1" x14ac:dyDescent="0.3">
      <c r="A269" s="119" t="str">
        <f>N268</f>
        <v>Пс8.2.2</v>
      </c>
      <c r="B269" s="119">
        <v>1</v>
      </c>
      <c r="C269" s="46" t="s">
        <v>2883</v>
      </c>
      <c r="D269" s="119">
        <f>W269</f>
        <v>200</v>
      </c>
      <c r="E269" s="120">
        <f>IF(O269&lt;=5700, ROUNDUP(P269*2/W269+1,0), 1)</f>
        <v>1</v>
      </c>
      <c r="F269" s="119">
        <f>ROUNDUP(((O269*R269*U269)*0.000000001+(O269*P269*Q269)*0.000000001),1)</f>
        <v>2.4</v>
      </c>
      <c r="G269" s="119">
        <f>ROUNDUP((0.1*(R269+200)*(O269)*0.000001),1)</f>
        <v>0.79999999999999993</v>
      </c>
      <c r="H269" s="120">
        <f>IF(O269&lt;=5700, O269-50, K269)</f>
        <v>44260</v>
      </c>
      <c r="I269" s="121">
        <f>V269</f>
        <v>10</v>
      </c>
      <c r="J269" s="46" t="s">
        <v>2</v>
      </c>
      <c r="K269" s="122">
        <f>Арм_ПоПлощади(O269*P269,W269,AF269,$AI$3)</f>
        <v>44260</v>
      </c>
      <c r="L269" s="123">
        <f>IF(R269&lt;=2000,(0),(ROUNDUP(O269*R269*0.000001/1+SQRT(O269*R269*0.000001),0)))</f>
        <v>0</v>
      </c>
      <c r="M269" s="124">
        <v>0</v>
      </c>
      <c r="N269" s="125" t="str">
        <f>N268</f>
        <v>Пс8.2.2</v>
      </c>
      <c r="O269" s="125">
        <f t="shared" ref="O269:AD269" si="92">O268</f>
        <v>8000</v>
      </c>
      <c r="P269" s="125">
        <f t="shared" si="92"/>
        <v>950</v>
      </c>
      <c r="Q269" s="125">
        <f t="shared" si="92"/>
        <v>150</v>
      </c>
      <c r="R269" s="125">
        <f t="shared" si="92"/>
        <v>750</v>
      </c>
      <c r="S269" s="125">
        <f t="shared" si="92"/>
        <v>300</v>
      </c>
      <c r="T269" s="125">
        <f t="shared" si="92"/>
        <v>300</v>
      </c>
      <c r="U269" s="125">
        <f t="shared" si="92"/>
        <v>200</v>
      </c>
      <c r="V269" s="125">
        <f t="shared" si="92"/>
        <v>10</v>
      </c>
      <c r="W269" s="125">
        <f t="shared" si="92"/>
        <v>200</v>
      </c>
      <c r="X269" s="125">
        <f t="shared" si="92"/>
        <v>10</v>
      </c>
      <c r="Y269" s="125">
        <f t="shared" si="92"/>
        <v>200</v>
      </c>
      <c r="Z269" s="125">
        <f t="shared" si="92"/>
        <v>10</v>
      </c>
      <c r="AA269" s="125">
        <f t="shared" si="92"/>
        <v>200</v>
      </c>
      <c r="AB269" s="125">
        <f t="shared" si="92"/>
        <v>10</v>
      </c>
      <c r="AC269" s="125">
        <f t="shared" si="92"/>
        <v>200</v>
      </c>
      <c r="AD269" s="119">
        <f t="shared" si="92"/>
        <v>40</v>
      </c>
      <c r="AE269" s="126">
        <f>Арм_Анкеровка(I269,J269,$AG$3,$AH$3)</f>
        <v>415</v>
      </c>
      <c r="AF269" s="66">
        <f>Арм_Нахлёст(I269,J269,$AG$3,$AH$3)</f>
        <v>500</v>
      </c>
      <c r="AG269" s="66" t="str">
        <f>AG268</f>
        <v>В25</v>
      </c>
      <c r="AH269" s="66">
        <f>AH268</f>
        <v>1</v>
      </c>
    </row>
    <row r="270" spans="1:35" ht="17.25" thickTop="1" thickBot="1" x14ac:dyDescent="0.3">
      <c r="A270" s="119" t="str">
        <f>A269</f>
        <v>Пс8.2.2</v>
      </c>
      <c r="B270" s="119">
        <v>2</v>
      </c>
      <c r="C270" s="46" t="s">
        <v>2884</v>
      </c>
      <c r="D270" s="119">
        <f>Y269</f>
        <v>200</v>
      </c>
      <c r="E270" s="127">
        <f>IF(Q270&lt;=150,0,(ROUNDUP(O270/Y270,0)))</f>
        <v>0</v>
      </c>
      <c r="F270" s="119"/>
      <c r="G270" s="119"/>
      <c r="H270" s="127">
        <f>Арм_Элемент_П(AF270, (Q270-2*AD270), I270, J270)</f>
        <v>1050</v>
      </c>
      <c r="I270" s="121">
        <f>X270</f>
        <v>10</v>
      </c>
      <c r="J270" s="46" t="s">
        <v>2</v>
      </c>
      <c r="K270" s="128"/>
      <c r="L270" s="119"/>
      <c r="M270" s="124">
        <f t="shared" ref="M270:AD281" si="93">M269</f>
        <v>0</v>
      </c>
      <c r="N270" s="125" t="str">
        <f t="shared" si="93"/>
        <v>Пс8.2.2</v>
      </c>
      <c r="O270" s="125">
        <f t="shared" si="93"/>
        <v>8000</v>
      </c>
      <c r="P270" s="125">
        <f t="shared" si="93"/>
        <v>950</v>
      </c>
      <c r="Q270" s="125">
        <f t="shared" si="93"/>
        <v>150</v>
      </c>
      <c r="R270" s="125">
        <f t="shared" si="93"/>
        <v>750</v>
      </c>
      <c r="S270" s="125">
        <f t="shared" si="93"/>
        <v>300</v>
      </c>
      <c r="T270" s="125">
        <f t="shared" si="93"/>
        <v>300</v>
      </c>
      <c r="U270" s="125">
        <f t="shared" si="93"/>
        <v>200</v>
      </c>
      <c r="V270" s="125">
        <f t="shared" si="93"/>
        <v>10</v>
      </c>
      <c r="W270" s="125">
        <f t="shared" si="93"/>
        <v>200</v>
      </c>
      <c r="X270" s="125">
        <f t="shared" si="93"/>
        <v>10</v>
      </c>
      <c r="Y270" s="125">
        <f t="shared" si="93"/>
        <v>200</v>
      </c>
      <c r="Z270" s="125">
        <f t="shared" si="93"/>
        <v>10</v>
      </c>
      <c r="AA270" s="125">
        <f t="shared" si="93"/>
        <v>200</v>
      </c>
      <c r="AB270" s="125">
        <f t="shared" si="93"/>
        <v>10</v>
      </c>
      <c r="AC270" s="125">
        <f t="shared" si="93"/>
        <v>200</v>
      </c>
      <c r="AD270" s="119">
        <f t="shared" si="93"/>
        <v>40</v>
      </c>
      <c r="AE270" s="126">
        <f t="shared" ref="AE270:AE281" si="94">Арм_Анкеровка(I270,J270,$AG$3,$AH$3)</f>
        <v>415</v>
      </c>
      <c r="AF270" s="66">
        <f t="shared" ref="AF270:AF281" si="95">Арм_Нахлёст(I270,J270,$AG$3,$AH$3)</f>
        <v>500</v>
      </c>
      <c r="AG270" s="66" t="str">
        <f t="shared" ref="AG270:AH281" si="96">AG269</f>
        <v>В25</v>
      </c>
      <c r="AH270" s="66">
        <f t="shared" si="96"/>
        <v>1</v>
      </c>
    </row>
    <row r="271" spans="1:35" ht="17.25" thickTop="1" thickBot="1" x14ac:dyDescent="0.3">
      <c r="A271" s="119" t="str">
        <f t="shared" ref="A271:A281" si="97">A270</f>
        <v>Пс8.2.2</v>
      </c>
      <c r="B271" s="119">
        <v>3</v>
      </c>
      <c r="C271" s="46" t="s">
        <v>2885</v>
      </c>
      <c r="D271" s="119">
        <f>W271</f>
        <v>200</v>
      </c>
      <c r="E271" s="127">
        <f>MROUND(2*P271/D271,2)</f>
        <v>10</v>
      </c>
      <c r="F271" s="119"/>
      <c r="G271" s="119"/>
      <c r="H271" s="127">
        <f>Арм_Элемент_П(AF271, (Q271-2*AD271), I271, J271)</f>
        <v>1070</v>
      </c>
      <c r="I271" s="121">
        <f>V271</f>
        <v>10</v>
      </c>
      <c r="J271" s="46" t="s">
        <v>2</v>
      </c>
      <c r="K271" s="128"/>
      <c r="L271" s="119"/>
      <c r="M271" s="124">
        <f t="shared" si="93"/>
        <v>0</v>
      </c>
      <c r="N271" s="125" t="str">
        <f t="shared" si="93"/>
        <v>Пс8.2.2</v>
      </c>
      <c r="O271" s="125">
        <f t="shared" si="93"/>
        <v>8000</v>
      </c>
      <c r="P271" s="125">
        <f t="shared" si="93"/>
        <v>950</v>
      </c>
      <c r="Q271" s="125">
        <f t="shared" si="93"/>
        <v>150</v>
      </c>
      <c r="R271" s="125">
        <f t="shared" si="93"/>
        <v>750</v>
      </c>
      <c r="S271" s="125">
        <f t="shared" si="93"/>
        <v>300</v>
      </c>
      <c r="T271" s="125">
        <f t="shared" si="93"/>
        <v>300</v>
      </c>
      <c r="U271" s="125">
        <f t="shared" si="93"/>
        <v>200</v>
      </c>
      <c r="V271" s="125">
        <f t="shared" si="93"/>
        <v>10</v>
      </c>
      <c r="W271" s="125">
        <f t="shared" si="93"/>
        <v>200</v>
      </c>
      <c r="X271" s="125">
        <f t="shared" si="93"/>
        <v>10</v>
      </c>
      <c r="Y271" s="125">
        <f t="shared" si="93"/>
        <v>200</v>
      </c>
      <c r="Z271" s="125">
        <f t="shared" si="93"/>
        <v>10</v>
      </c>
      <c r="AA271" s="125">
        <f t="shared" si="93"/>
        <v>200</v>
      </c>
      <c r="AB271" s="125">
        <f t="shared" si="93"/>
        <v>10</v>
      </c>
      <c r="AC271" s="125">
        <f t="shared" si="93"/>
        <v>200</v>
      </c>
      <c r="AD271" s="119">
        <v>30</v>
      </c>
      <c r="AE271" s="126">
        <f t="shared" si="94"/>
        <v>415</v>
      </c>
      <c r="AF271" s="66">
        <f t="shared" si="95"/>
        <v>500</v>
      </c>
      <c r="AG271" s="66" t="str">
        <f t="shared" si="96"/>
        <v>В25</v>
      </c>
      <c r="AH271" s="66">
        <f t="shared" si="96"/>
        <v>1</v>
      </c>
    </row>
    <row r="272" spans="1:35" ht="17.25" thickTop="1" thickBot="1" x14ac:dyDescent="0.3">
      <c r="A272" s="119" t="str">
        <f t="shared" si="97"/>
        <v>Пс8.2.2</v>
      </c>
      <c r="B272" s="119">
        <v>4</v>
      </c>
      <c r="C272" s="46" t="s">
        <v>2886</v>
      </c>
      <c r="D272" s="119">
        <f>Y272</f>
        <v>200</v>
      </c>
      <c r="E272" s="127">
        <f>ROUNDUP(O272/Y272,0)*2</f>
        <v>80</v>
      </c>
      <c r="F272" s="119"/>
      <c r="G272" s="119"/>
      <c r="H272" s="127">
        <f>IF(P272&lt;=3000,(IF(Q272&lt;=150,(P272-25+AE272+Q272-(35+V272)),(P272-25+AE272))),(P272-25))</f>
        <v>1445</v>
      </c>
      <c r="I272" s="121">
        <f>X272</f>
        <v>10</v>
      </c>
      <c r="J272" s="46" t="s">
        <v>2</v>
      </c>
      <c r="K272" s="128"/>
      <c r="L272" s="119"/>
      <c r="M272" s="124">
        <f t="shared" si="93"/>
        <v>0</v>
      </c>
      <c r="N272" s="125" t="str">
        <f t="shared" si="93"/>
        <v>Пс8.2.2</v>
      </c>
      <c r="O272" s="125">
        <f t="shared" si="93"/>
        <v>8000</v>
      </c>
      <c r="P272" s="125">
        <f t="shared" si="93"/>
        <v>950</v>
      </c>
      <c r="Q272" s="125">
        <f t="shared" si="93"/>
        <v>150</v>
      </c>
      <c r="R272" s="125">
        <f t="shared" si="93"/>
        <v>750</v>
      </c>
      <c r="S272" s="125">
        <f t="shared" si="93"/>
        <v>300</v>
      </c>
      <c r="T272" s="125">
        <f t="shared" si="93"/>
        <v>300</v>
      </c>
      <c r="U272" s="125">
        <f t="shared" si="93"/>
        <v>200</v>
      </c>
      <c r="V272" s="125">
        <f t="shared" si="93"/>
        <v>10</v>
      </c>
      <c r="W272" s="125">
        <f t="shared" si="93"/>
        <v>200</v>
      </c>
      <c r="X272" s="125">
        <f t="shared" si="93"/>
        <v>10</v>
      </c>
      <c r="Y272" s="125">
        <f t="shared" si="93"/>
        <v>200</v>
      </c>
      <c r="Z272" s="125">
        <f t="shared" si="93"/>
        <v>10</v>
      </c>
      <c r="AA272" s="125">
        <f t="shared" si="93"/>
        <v>200</v>
      </c>
      <c r="AB272" s="125">
        <f t="shared" si="93"/>
        <v>10</v>
      </c>
      <c r="AC272" s="125">
        <f t="shared" si="93"/>
        <v>200</v>
      </c>
      <c r="AD272" s="119">
        <v>40</v>
      </c>
      <c r="AE272" s="126">
        <f t="shared" si="94"/>
        <v>415</v>
      </c>
      <c r="AF272" s="66">
        <f t="shared" si="95"/>
        <v>500</v>
      </c>
      <c r="AG272" s="66" t="str">
        <f t="shared" si="96"/>
        <v>В25</v>
      </c>
      <c r="AH272" s="66">
        <f t="shared" si="96"/>
        <v>1</v>
      </c>
    </row>
    <row r="273" spans="1:35" ht="17.25" thickTop="1" thickBot="1" x14ac:dyDescent="0.3">
      <c r="A273" s="119" t="str">
        <f t="shared" si="97"/>
        <v>Пс8.2.2</v>
      </c>
      <c r="B273" s="119">
        <v>5</v>
      </c>
      <c r="C273" s="46" t="s">
        <v>2887</v>
      </c>
      <c r="D273" s="119">
        <v>400</v>
      </c>
      <c r="E273" s="127">
        <f>ROUNDUP((13*(O273*P273/1000000)),0)</f>
        <v>99</v>
      </c>
      <c r="F273" s="119"/>
      <c r="G273" s="119"/>
      <c r="H273" s="127">
        <f>Q273-AD273*2+150</f>
        <v>220</v>
      </c>
      <c r="I273" s="121">
        <v>6</v>
      </c>
      <c r="J273" s="46" t="s">
        <v>2</v>
      </c>
      <c r="K273" s="128"/>
      <c r="L273" s="119"/>
      <c r="M273" s="124">
        <f t="shared" si="93"/>
        <v>0</v>
      </c>
      <c r="N273" s="125" t="str">
        <f t="shared" si="93"/>
        <v>Пс8.2.2</v>
      </c>
      <c r="O273" s="125">
        <f t="shared" si="93"/>
        <v>8000</v>
      </c>
      <c r="P273" s="125">
        <f t="shared" si="93"/>
        <v>950</v>
      </c>
      <c r="Q273" s="125">
        <f t="shared" si="93"/>
        <v>150</v>
      </c>
      <c r="R273" s="125">
        <f t="shared" si="93"/>
        <v>750</v>
      </c>
      <c r="S273" s="125">
        <f t="shared" si="93"/>
        <v>300</v>
      </c>
      <c r="T273" s="125">
        <f t="shared" si="93"/>
        <v>300</v>
      </c>
      <c r="U273" s="125">
        <f t="shared" si="93"/>
        <v>200</v>
      </c>
      <c r="V273" s="125">
        <f t="shared" si="93"/>
        <v>10</v>
      </c>
      <c r="W273" s="125">
        <f t="shared" si="93"/>
        <v>200</v>
      </c>
      <c r="X273" s="125">
        <f t="shared" si="93"/>
        <v>10</v>
      </c>
      <c r="Y273" s="125">
        <f t="shared" si="93"/>
        <v>200</v>
      </c>
      <c r="Z273" s="125">
        <f t="shared" si="93"/>
        <v>10</v>
      </c>
      <c r="AA273" s="125">
        <f t="shared" si="93"/>
        <v>200</v>
      </c>
      <c r="AB273" s="125">
        <f t="shared" si="93"/>
        <v>10</v>
      </c>
      <c r="AC273" s="125">
        <f t="shared" si="93"/>
        <v>200</v>
      </c>
      <c r="AD273" s="119">
        <f t="shared" si="93"/>
        <v>40</v>
      </c>
      <c r="AE273" s="126">
        <f t="shared" si="94"/>
        <v>250</v>
      </c>
      <c r="AF273" s="66">
        <f t="shared" si="95"/>
        <v>300</v>
      </c>
      <c r="AG273" s="66" t="str">
        <f t="shared" si="96"/>
        <v>В25</v>
      </c>
      <c r="AH273" s="66">
        <f t="shared" si="96"/>
        <v>1</v>
      </c>
    </row>
    <row r="274" spans="1:35" ht="17.25" thickTop="1" thickBot="1" x14ac:dyDescent="0.3">
      <c r="A274" s="119" t="str">
        <f t="shared" si="97"/>
        <v>Пс8.2.2</v>
      </c>
      <c r="B274" s="119">
        <v>6</v>
      </c>
      <c r="C274" s="46" t="s">
        <v>2888</v>
      </c>
      <c r="D274" s="119">
        <f>AA274</f>
        <v>200</v>
      </c>
      <c r="E274" s="127">
        <f>IF(R274&lt;=2000,(ROUNDUP(O274/D274,0)),(ROUNDUP(O274/D274,0)))</f>
        <v>40</v>
      </c>
      <c r="F274" s="119"/>
      <c r="G274" s="119"/>
      <c r="H274" s="127">
        <f>R274-50</f>
        <v>700</v>
      </c>
      <c r="I274" s="121">
        <f>Z274</f>
        <v>10</v>
      </c>
      <c r="J274" s="46" t="s">
        <v>2</v>
      </c>
      <c r="K274" s="128"/>
      <c r="L274" s="119"/>
      <c r="M274" s="124">
        <f t="shared" si="93"/>
        <v>0</v>
      </c>
      <c r="N274" s="125" t="str">
        <f t="shared" si="93"/>
        <v>Пс8.2.2</v>
      </c>
      <c r="O274" s="125">
        <f t="shared" si="93"/>
        <v>8000</v>
      </c>
      <c r="P274" s="125">
        <f t="shared" si="93"/>
        <v>950</v>
      </c>
      <c r="Q274" s="125">
        <f t="shared" si="93"/>
        <v>150</v>
      </c>
      <c r="R274" s="125">
        <f t="shared" si="93"/>
        <v>750</v>
      </c>
      <c r="S274" s="125">
        <f t="shared" si="93"/>
        <v>300</v>
      </c>
      <c r="T274" s="125">
        <f t="shared" si="93"/>
        <v>300</v>
      </c>
      <c r="U274" s="125">
        <f t="shared" si="93"/>
        <v>200</v>
      </c>
      <c r="V274" s="125">
        <f t="shared" si="93"/>
        <v>10</v>
      </c>
      <c r="W274" s="125">
        <f t="shared" si="93"/>
        <v>200</v>
      </c>
      <c r="X274" s="125">
        <f t="shared" si="93"/>
        <v>10</v>
      </c>
      <c r="Y274" s="125">
        <f t="shared" si="93"/>
        <v>200</v>
      </c>
      <c r="Z274" s="125">
        <f t="shared" si="93"/>
        <v>10</v>
      </c>
      <c r="AA274" s="125">
        <f t="shared" si="93"/>
        <v>200</v>
      </c>
      <c r="AB274" s="125">
        <f t="shared" si="93"/>
        <v>10</v>
      </c>
      <c r="AC274" s="125">
        <f t="shared" si="93"/>
        <v>200</v>
      </c>
      <c r="AD274" s="119">
        <f t="shared" si="93"/>
        <v>40</v>
      </c>
      <c r="AE274" s="126">
        <f t="shared" si="94"/>
        <v>415</v>
      </c>
      <c r="AF274" s="66">
        <f t="shared" si="95"/>
        <v>500</v>
      </c>
      <c r="AG274" s="66" t="str">
        <f t="shared" si="96"/>
        <v>В25</v>
      </c>
      <c r="AH274" s="66">
        <f t="shared" si="96"/>
        <v>1</v>
      </c>
    </row>
    <row r="275" spans="1:35" ht="17.25" thickTop="1" thickBot="1" x14ac:dyDescent="0.3">
      <c r="A275" s="119" t="str">
        <f t="shared" si="97"/>
        <v>Пс8.2.2</v>
      </c>
      <c r="B275" s="119">
        <v>7</v>
      </c>
      <c r="C275" s="46" t="s">
        <v>2889</v>
      </c>
      <c r="D275" s="119">
        <f>AC275</f>
        <v>200</v>
      </c>
      <c r="E275" s="120">
        <f>IF(O275&lt;=5700, ROUNDUP(R275*2/AC275+1,0), 1)</f>
        <v>1</v>
      </c>
      <c r="F275" s="119"/>
      <c r="G275" s="119"/>
      <c r="H275" s="120">
        <f>IF(O275&lt;=5700, O275-50, K275)</f>
        <v>35450</v>
      </c>
      <c r="I275" s="121">
        <f>AB275</f>
        <v>10</v>
      </c>
      <c r="J275" s="46" t="s">
        <v>2</v>
      </c>
      <c r="K275" s="122">
        <f>Арм_ПоПлощади(O275*R275,AC275,AF275,$AI$3)</f>
        <v>35450</v>
      </c>
      <c r="L275" s="119"/>
      <c r="M275" s="124">
        <f t="shared" si="93"/>
        <v>0</v>
      </c>
      <c r="N275" s="125" t="str">
        <f t="shared" si="93"/>
        <v>Пс8.2.2</v>
      </c>
      <c r="O275" s="125">
        <f t="shared" si="93"/>
        <v>8000</v>
      </c>
      <c r="P275" s="125">
        <f t="shared" si="93"/>
        <v>950</v>
      </c>
      <c r="Q275" s="125">
        <f t="shared" si="93"/>
        <v>150</v>
      </c>
      <c r="R275" s="125">
        <f t="shared" si="93"/>
        <v>750</v>
      </c>
      <c r="S275" s="125">
        <f t="shared" si="93"/>
        <v>300</v>
      </c>
      <c r="T275" s="125">
        <f t="shared" si="93"/>
        <v>300</v>
      </c>
      <c r="U275" s="125">
        <f t="shared" si="93"/>
        <v>200</v>
      </c>
      <c r="V275" s="125">
        <f t="shared" si="93"/>
        <v>10</v>
      </c>
      <c r="W275" s="125">
        <f t="shared" si="93"/>
        <v>200</v>
      </c>
      <c r="X275" s="125">
        <f t="shared" si="93"/>
        <v>10</v>
      </c>
      <c r="Y275" s="125">
        <f t="shared" si="93"/>
        <v>200</v>
      </c>
      <c r="Z275" s="125">
        <f t="shared" si="93"/>
        <v>10</v>
      </c>
      <c r="AA275" s="125">
        <f t="shared" si="93"/>
        <v>200</v>
      </c>
      <c r="AB275" s="125">
        <f t="shared" si="93"/>
        <v>10</v>
      </c>
      <c r="AC275" s="125">
        <f t="shared" si="93"/>
        <v>200</v>
      </c>
      <c r="AD275" s="119">
        <f t="shared" si="93"/>
        <v>40</v>
      </c>
      <c r="AE275" s="126">
        <f t="shared" si="94"/>
        <v>415</v>
      </c>
      <c r="AF275" s="66">
        <f t="shared" si="95"/>
        <v>500</v>
      </c>
      <c r="AG275" s="66" t="str">
        <f t="shared" si="96"/>
        <v>В25</v>
      </c>
      <c r="AH275" s="66">
        <f t="shared" si="96"/>
        <v>1</v>
      </c>
    </row>
    <row r="276" spans="1:35" ht="17.25" thickTop="1" thickBot="1" x14ac:dyDescent="0.3">
      <c r="A276" s="119" t="str">
        <f t="shared" si="97"/>
        <v>Пс8.2.2</v>
      </c>
      <c r="B276" s="119">
        <v>8</v>
      </c>
      <c r="C276" s="46" t="s">
        <v>2890</v>
      </c>
      <c r="D276" s="119">
        <f>AA276</f>
        <v>200</v>
      </c>
      <c r="E276" s="127">
        <f>IF(E281=0,(ROUNDUP(O276/D276,0)*2),0)</f>
        <v>0</v>
      </c>
      <c r="F276" s="119"/>
      <c r="G276" s="119"/>
      <c r="H276" s="127">
        <f>Арм_Элемент_П(AF276, (U276-2*AD276), I276, J276)</f>
        <v>1120</v>
      </c>
      <c r="I276" s="121">
        <f>Z276</f>
        <v>10</v>
      </c>
      <c r="J276" s="46" t="s">
        <v>2</v>
      </c>
      <c r="K276" s="128"/>
      <c r="L276" s="119"/>
      <c r="M276" s="124">
        <f t="shared" si="93"/>
        <v>0</v>
      </c>
      <c r="N276" s="125" t="str">
        <f t="shared" si="93"/>
        <v>Пс8.2.2</v>
      </c>
      <c r="O276" s="125">
        <f t="shared" si="93"/>
        <v>8000</v>
      </c>
      <c r="P276" s="125">
        <f t="shared" si="93"/>
        <v>950</v>
      </c>
      <c r="Q276" s="125">
        <f t="shared" si="93"/>
        <v>150</v>
      </c>
      <c r="R276" s="125">
        <f t="shared" si="93"/>
        <v>750</v>
      </c>
      <c r="S276" s="125">
        <f t="shared" si="93"/>
        <v>300</v>
      </c>
      <c r="T276" s="125">
        <f t="shared" si="93"/>
        <v>300</v>
      </c>
      <c r="U276" s="125">
        <f t="shared" si="93"/>
        <v>200</v>
      </c>
      <c r="V276" s="125">
        <f t="shared" si="93"/>
        <v>10</v>
      </c>
      <c r="W276" s="125">
        <f t="shared" si="93"/>
        <v>200</v>
      </c>
      <c r="X276" s="125">
        <f t="shared" si="93"/>
        <v>10</v>
      </c>
      <c r="Y276" s="125">
        <f t="shared" si="93"/>
        <v>200</v>
      </c>
      <c r="Z276" s="125">
        <f t="shared" si="93"/>
        <v>10</v>
      </c>
      <c r="AA276" s="125">
        <f t="shared" si="93"/>
        <v>200</v>
      </c>
      <c r="AB276" s="125">
        <f t="shared" si="93"/>
        <v>10</v>
      </c>
      <c r="AC276" s="125">
        <f t="shared" si="93"/>
        <v>200</v>
      </c>
      <c r="AD276" s="119">
        <v>30</v>
      </c>
      <c r="AE276" s="126">
        <f t="shared" si="94"/>
        <v>415</v>
      </c>
      <c r="AF276" s="66">
        <f t="shared" si="95"/>
        <v>500</v>
      </c>
      <c r="AG276" s="66" t="str">
        <f t="shared" si="96"/>
        <v>В25</v>
      </c>
      <c r="AH276" s="66">
        <f t="shared" si="96"/>
        <v>1</v>
      </c>
    </row>
    <row r="277" spans="1:35" ht="17.25" thickTop="1" thickBot="1" x14ac:dyDescent="0.3">
      <c r="A277" s="119" t="str">
        <f t="shared" si="97"/>
        <v>Пс8.2.2</v>
      </c>
      <c r="B277" s="119">
        <v>9</v>
      </c>
      <c r="C277" s="46" t="s">
        <v>2891</v>
      </c>
      <c r="D277" s="119">
        <f>AC277</f>
        <v>200</v>
      </c>
      <c r="E277" s="127">
        <f>MROUND(2*R277/AC277,2)</f>
        <v>8</v>
      </c>
      <c r="F277" s="119"/>
      <c r="G277" s="119"/>
      <c r="H277" s="127">
        <f>Арм_Элемент_П(AF277, (U277-2*AD277), I277, J277)</f>
        <v>1100</v>
      </c>
      <c r="I277" s="121">
        <f>AB277</f>
        <v>10</v>
      </c>
      <c r="J277" s="46" t="s">
        <v>2</v>
      </c>
      <c r="K277" s="128"/>
      <c r="L277" s="119"/>
      <c r="M277" s="124">
        <f t="shared" si="93"/>
        <v>0</v>
      </c>
      <c r="N277" s="125" t="str">
        <f t="shared" si="93"/>
        <v>Пс8.2.2</v>
      </c>
      <c r="O277" s="125">
        <f t="shared" si="93"/>
        <v>8000</v>
      </c>
      <c r="P277" s="125">
        <f t="shared" si="93"/>
        <v>950</v>
      </c>
      <c r="Q277" s="125">
        <f t="shared" si="93"/>
        <v>150</v>
      </c>
      <c r="R277" s="125">
        <f t="shared" si="93"/>
        <v>750</v>
      </c>
      <c r="S277" s="125">
        <f t="shared" si="93"/>
        <v>300</v>
      </c>
      <c r="T277" s="125">
        <f t="shared" si="93"/>
        <v>300</v>
      </c>
      <c r="U277" s="125">
        <f t="shared" si="93"/>
        <v>200</v>
      </c>
      <c r="V277" s="125">
        <f t="shared" si="93"/>
        <v>10</v>
      </c>
      <c r="W277" s="125">
        <f t="shared" si="93"/>
        <v>200</v>
      </c>
      <c r="X277" s="125">
        <f t="shared" si="93"/>
        <v>10</v>
      </c>
      <c r="Y277" s="125">
        <f t="shared" si="93"/>
        <v>200</v>
      </c>
      <c r="Z277" s="125">
        <f t="shared" si="93"/>
        <v>10</v>
      </c>
      <c r="AA277" s="125">
        <f t="shared" si="93"/>
        <v>200</v>
      </c>
      <c r="AB277" s="125">
        <f t="shared" si="93"/>
        <v>10</v>
      </c>
      <c r="AC277" s="125">
        <f t="shared" si="93"/>
        <v>200</v>
      </c>
      <c r="AD277" s="119">
        <v>40</v>
      </c>
      <c r="AE277" s="126">
        <f t="shared" si="94"/>
        <v>415</v>
      </c>
      <c r="AF277" s="66">
        <f t="shared" si="95"/>
        <v>500</v>
      </c>
      <c r="AG277" s="66" t="str">
        <f t="shared" si="96"/>
        <v>В25</v>
      </c>
      <c r="AH277" s="66">
        <f t="shared" si="96"/>
        <v>1</v>
      </c>
    </row>
    <row r="278" spans="1:35" ht="33" thickTop="1" thickBot="1" x14ac:dyDescent="0.3">
      <c r="A278" s="119" t="str">
        <f t="shared" si="97"/>
        <v>Пс8.2.2</v>
      </c>
      <c r="B278" s="119">
        <v>10</v>
      </c>
      <c r="C278" s="46" t="s">
        <v>2892</v>
      </c>
      <c r="D278" s="119">
        <f>Y278</f>
        <v>200</v>
      </c>
      <c r="E278" s="127">
        <f>ROUNDUP((IF(P278&lt;=3000,0,O278/Y278)),0)</f>
        <v>0</v>
      </c>
      <c r="F278" s="119"/>
      <c r="G278" s="119"/>
      <c r="H278" s="127">
        <f>IF(E278=0,0, (Арм_Округление(AE278+2*AF278)))</f>
        <v>0</v>
      </c>
      <c r="I278" s="121">
        <f>X278</f>
        <v>10</v>
      </c>
      <c r="J278" s="46" t="s">
        <v>2</v>
      </c>
      <c r="K278" s="128"/>
      <c r="L278" s="119"/>
      <c r="M278" s="124">
        <f t="shared" si="93"/>
        <v>0</v>
      </c>
      <c r="N278" s="125" t="str">
        <f t="shared" si="93"/>
        <v>Пс8.2.2</v>
      </c>
      <c r="O278" s="125">
        <f t="shared" si="93"/>
        <v>8000</v>
      </c>
      <c r="P278" s="125">
        <f t="shared" si="93"/>
        <v>950</v>
      </c>
      <c r="Q278" s="125">
        <f t="shared" si="93"/>
        <v>150</v>
      </c>
      <c r="R278" s="125">
        <f t="shared" si="93"/>
        <v>750</v>
      </c>
      <c r="S278" s="125">
        <f t="shared" si="93"/>
        <v>300</v>
      </c>
      <c r="T278" s="125">
        <f t="shared" si="93"/>
        <v>300</v>
      </c>
      <c r="U278" s="125">
        <f t="shared" si="93"/>
        <v>200</v>
      </c>
      <c r="V278" s="125">
        <f t="shared" si="93"/>
        <v>10</v>
      </c>
      <c r="W278" s="125">
        <f t="shared" si="93"/>
        <v>200</v>
      </c>
      <c r="X278" s="125">
        <f t="shared" si="93"/>
        <v>10</v>
      </c>
      <c r="Y278" s="125">
        <f t="shared" si="93"/>
        <v>200</v>
      </c>
      <c r="Z278" s="125">
        <f t="shared" si="93"/>
        <v>10</v>
      </c>
      <c r="AA278" s="125">
        <f t="shared" si="93"/>
        <v>200</v>
      </c>
      <c r="AB278" s="125">
        <f t="shared" si="93"/>
        <v>10</v>
      </c>
      <c r="AC278" s="125">
        <f t="shared" si="93"/>
        <v>200</v>
      </c>
      <c r="AD278" s="119">
        <f t="shared" si="93"/>
        <v>40</v>
      </c>
      <c r="AE278" s="126">
        <f t="shared" si="94"/>
        <v>415</v>
      </c>
      <c r="AF278" s="66">
        <f t="shared" si="95"/>
        <v>500</v>
      </c>
      <c r="AG278" s="66" t="str">
        <f t="shared" si="96"/>
        <v>В25</v>
      </c>
      <c r="AH278" s="66">
        <f t="shared" si="96"/>
        <v>1</v>
      </c>
    </row>
    <row r="279" spans="1:35" ht="33" thickTop="1" thickBot="1" x14ac:dyDescent="0.3">
      <c r="A279" s="119" t="str">
        <f t="shared" si="97"/>
        <v>Пс8.2.2</v>
      </c>
      <c r="B279" s="119">
        <v>11</v>
      </c>
      <c r="C279" s="46" t="s">
        <v>2893</v>
      </c>
      <c r="D279" s="119">
        <f>Y279</f>
        <v>200</v>
      </c>
      <c r="E279" s="127">
        <f>ROUNDUP((IF(P279&lt;=3000,0,O279/Y279)),0)</f>
        <v>0</v>
      </c>
      <c r="F279" s="119"/>
      <c r="G279" s="119"/>
      <c r="H279" s="127">
        <f>IF(E279=0,0, (Арм_Округление(AE279+AF279)))</f>
        <v>0</v>
      </c>
      <c r="I279" s="121">
        <f>X279</f>
        <v>10</v>
      </c>
      <c r="J279" s="46" t="s">
        <v>2</v>
      </c>
      <c r="K279" s="128"/>
      <c r="L279" s="119"/>
      <c r="M279" s="124">
        <f t="shared" si="93"/>
        <v>0</v>
      </c>
      <c r="N279" s="125" t="str">
        <f t="shared" si="93"/>
        <v>Пс8.2.2</v>
      </c>
      <c r="O279" s="125">
        <f t="shared" si="93"/>
        <v>8000</v>
      </c>
      <c r="P279" s="125">
        <f t="shared" si="93"/>
        <v>950</v>
      </c>
      <c r="Q279" s="125">
        <f t="shared" si="93"/>
        <v>150</v>
      </c>
      <c r="R279" s="125">
        <f t="shared" si="93"/>
        <v>750</v>
      </c>
      <c r="S279" s="125">
        <f t="shared" si="93"/>
        <v>300</v>
      </c>
      <c r="T279" s="125">
        <f t="shared" si="93"/>
        <v>300</v>
      </c>
      <c r="U279" s="125">
        <f t="shared" si="93"/>
        <v>200</v>
      </c>
      <c r="V279" s="125">
        <f t="shared" si="93"/>
        <v>10</v>
      </c>
      <c r="W279" s="125">
        <f t="shared" si="93"/>
        <v>200</v>
      </c>
      <c r="X279" s="125">
        <f t="shared" si="93"/>
        <v>10</v>
      </c>
      <c r="Y279" s="125">
        <f t="shared" si="93"/>
        <v>200</v>
      </c>
      <c r="Z279" s="125">
        <f t="shared" si="93"/>
        <v>10</v>
      </c>
      <c r="AA279" s="125">
        <f t="shared" si="93"/>
        <v>200</v>
      </c>
      <c r="AB279" s="125">
        <f t="shared" si="93"/>
        <v>10</v>
      </c>
      <c r="AC279" s="125">
        <f t="shared" si="93"/>
        <v>200</v>
      </c>
      <c r="AD279" s="119">
        <f t="shared" si="93"/>
        <v>40</v>
      </c>
      <c r="AE279" s="126">
        <f t="shared" si="94"/>
        <v>415</v>
      </c>
      <c r="AF279" s="66">
        <f t="shared" si="95"/>
        <v>500</v>
      </c>
      <c r="AG279" s="66" t="str">
        <f t="shared" si="96"/>
        <v>В25</v>
      </c>
      <c r="AH279" s="66">
        <f t="shared" si="96"/>
        <v>1</v>
      </c>
    </row>
    <row r="280" spans="1:35" ht="17.25" thickTop="1" thickBot="1" x14ac:dyDescent="0.3">
      <c r="A280" s="119" t="str">
        <f t="shared" si="97"/>
        <v>Пс8.2.2</v>
      </c>
      <c r="B280" s="119">
        <v>12</v>
      </c>
      <c r="C280" s="46" t="s">
        <v>2894</v>
      </c>
      <c r="D280" s="119">
        <f>W279</f>
        <v>200</v>
      </c>
      <c r="E280" s="127">
        <f>IF(M280=0, 0, M280*2*ROUNDUP((P280/W280),0))</f>
        <v>0</v>
      </c>
      <c r="F280" s="119"/>
      <c r="G280" s="119"/>
      <c r="H280" s="127">
        <f>IF(M280=0, 0, AF280*2)</f>
        <v>0</v>
      </c>
      <c r="I280" s="121">
        <f>V280</f>
        <v>10</v>
      </c>
      <c r="J280" s="46" t="s">
        <v>2</v>
      </c>
      <c r="K280" s="128"/>
      <c r="L280" s="119"/>
      <c r="M280" s="124">
        <f t="shared" si="93"/>
        <v>0</v>
      </c>
      <c r="N280" s="125" t="str">
        <f t="shared" si="93"/>
        <v>Пс8.2.2</v>
      </c>
      <c r="O280" s="125">
        <f t="shared" si="93"/>
        <v>8000</v>
      </c>
      <c r="P280" s="125">
        <f t="shared" si="93"/>
        <v>950</v>
      </c>
      <c r="Q280" s="125">
        <f t="shared" si="93"/>
        <v>150</v>
      </c>
      <c r="R280" s="125">
        <f t="shared" si="93"/>
        <v>750</v>
      </c>
      <c r="S280" s="125">
        <f t="shared" si="93"/>
        <v>300</v>
      </c>
      <c r="T280" s="125">
        <f t="shared" si="93"/>
        <v>300</v>
      </c>
      <c r="U280" s="125">
        <f t="shared" si="93"/>
        <v>200</v>
      </c>
      <c r="V280" s="125">
        <f t="shared" si="93"/>
        <v>10</v>
      </c>
      <c r="W280" s="125">
        <f t="shared" si="93"/>
        <v>200</v>
      </c>
      <c r="X280" s="125">
        <f t="shared" si="93"/>
        <v>10</v>
      </c>
      <c r="Y280" s="125">
        <f t="shared" si="93"/>
        <v>200</v>
      </c>
      <c r="Z280" s="125">
        <f t="shared" si="93"/>
        <v>10</v>
      </c>
      <c r="AA280" s="125">
        <f t="shared" si="93"/>
        <v>200</v>
      </c>
      <c r="AB280" s="125">
        <f t="shared" si="93"/>
        <v>10</v>
      </c>
      <c r="AC280" s="125">
        <f t="shared" si="93"/>
        <v>200</v>
      </c>
      <c r="AD280" s="119">
        <f t="shared" si="93"/>
        <v>40</v>
      </c>
      <c r="AE280" s="126">
        <f t="shared" si="94"/>
        <v>415</v>
      </c>
      <c r="AF280" s="66">
        <f t="shared" si="95"/>
        <v>500</v>
      </c>
      <c r="AG280" s="66" t="str">
        <f t="shared" si="96"/>
        <v>В25</v>
      </c>
      <c r="AH280" s="66">
        <f t="shared" si="96"/>
        <v>1</v>
      </c>
    </row>
    <row r="281" spans="1:35" ht="17.25" thickTop="1" thickBot="1" x14ac:dyDescent="0.3">
      <c r="A281" s="119" t="str">
        <f t="shared" si="97"/>
        <v>Пс8.2.2</v>
      </c>
      <c r="B281" s="119">
        <v>13</v>
      </c>
      <c r="C281" s="46" t="s">
        <v>2895</v>
      </c>
      <c r="D281" s="119">
        <f>W280</f>
        <v>200</v>
      </c>
      <c r="E281" s="127">
        <f>IF(R281&lt;=2000,(ROUNDUP(O281/D281,0)),(0))</f>
        <v>40</v>
      </c>
      <c r="F281" s="119"/>
      <c r="G281" s="119"/>
      <c r="H281" s="127">
        <f>IF(R281&lt;=2000,(ROUNDUP(R281-2*40+2*(U281-40-AB281), -1)),(0))</f>
        <v>970</v>
      </c>
      <c r="I281" s="121">
        <f>V281</f>
        <v>10</v>
      </c>
      <c r="J281" s="46" t="s">
        <v>2</v>
      </c>
      <c r="K281" s="128"/>
      <c r="L281" s="119"/>
      <c r="M281" s="124">
        <f t="shared" si="93"/>
        <v>0</v>
      </c>
      <c r="N281" s="125" t="str">
        <f t="shared" si="93"/>
        <v>Пс8.2.2</v>
      </c>
      <c r="O281" s="125">
        <f t="shared" si="93"/>
        <v>8000</v>
      </c>
      <c r="P281" s="125">
        <f t="shared" si="93"/>
        <v>950</v>
      </c>
      <c r="Q281" s="125">
        <f t="shared" si="93"/>
        <v>150</v>
      </c>
      <c r="R281" s="125">
        <f t="shared" si="93"/>
        <v>750</v>
      </c>
      <c r="S281" s="125">
        <f t="shared" si="93"/>
        <v>300</v>
      </c>
      <c r="T281" s="125">
        <f t="shared" si="93"/>
        <v>300</v>
      </c>
      <c r="U281" s="125">
        <f t="shared" si="93"/>
        <v>200</v>
      </c>
      <c r="V281" s="125">
        <f t="shared" si="93"/>
        <v>10</v>
      </c>
      <c r="W281" s="125">
        <f t="shared" si="93"/>
        <v>200</v>
      </c>
      <c r="X281" s="125">
        <f t="shared" si="93"/>
        <v>10</v>
      </c>
      <c r="Y281" s="125">
        <f t="shared" si="93"/>
        <v>200</v>
      </c>
      <c r="Z281" s="125">
        <f t="shared" si="93"/>
        <v>10</v>
      </c>
      <c r="AA281" s="125">
        <f t="shared" si="93"/>
        <v>200</v>
      </c>
      <c r="AB281" s="125">
        <f t="shared" si="93"/>
        <v>10</v>
      </c>
      <c r="AC281" s="125">
        <f t="shared" si="93"/>
        <v>200</v>
      </c>
      <c r="AD281" s="119">
        <f t="shared" si="93"/>
        <v>40</v>
      </c>
      <c r="AE281" s="126">
        <f t="shared" si="94"/>
        <v>415</v>
      </c>
      <c r="AF281" s="66">
        <f t="shared" si="95"/>
        <v>500</v>
      </c>
      <c r="AG281" s="66" t="str">
        <f t="shared" si="96"/>
        <v>В25</v>
      </c>
      <c r="AH281" s="66">
        <f t="shared" si="96"/>
        <v>1</v>
      </c>
    </row>
    <row r="282" spans="1:35" ht="15.75" thickTop="1" x14ac:dyDescent="0.25"/>
    <row r="285" spans="1:35" ht="15.75" thickBot="1" x14ac:dyDescent="0.3"/>
    <row r="286" spans="1:35" ht="91.5" thickTop="1" thickBot="1" x14ac:dyDescent="0.3">
      <c r="A286" s="133" t="s">
        <v>159</v>
      </c>
      <c r="B286" s="135" t="s">
        <v>160</v>
      </c>
      <c r="C286" s="135" t="s">
        <v>2750</v>
      </c>
      <c r="D286" s="135" t="s">
        <v>2856</v>
      </c>
      <c r="E286" s="138" t="s">
        <v>163</v>
      </c>
      <c r="F286" s="135" t="s">
        <v>2857</v>
      </c>
      <c r="G286" s="135" t="s">
        <v>2858</v>
      </c>
      <c r="H286" s="140" t="s">
        <v>166</v>
      </c>
      <c r="I286" s="141"/>
      <c r="J286" s="142"/>
      <c r="K286" s="143" t="s">
        <v>2859</v>
      </c>
      <c r="L286" s="143" t="s">
        <v>2860</v>
      </c>
      <c r="M286" s="146" t="s">
        <v>2861</v>
      </c>
      <c r="N286" s="107" t="s">
        <v>2714</v>
      </c>
      <c r="O286" s="108" t="s">
        <v>2862</v>
      </c>
      <c r="P286" s="109" t="s">
        <v>2863</v>
      </c>
      <c r="Q286" s="109" t="s">
        <v>2864</v>
      </c>
      <c r="R286" s="109" t="s">
        <v>2865</v>
      </c>
      <c r="S286" s="109" t="s">
        <v>2866</v>
      </c>
      <c r="T286" s="109" t="s">
        <v>2867</v>
      </c>
      <c r="U286" s="109" t="s">
        <v>2868</v>
      </c>
      <c r="V286" s="109" t="s">
        <v>2869</v>
      </c>
      <c r="W286" s="109" t="s">
        <v>2870</v>
      </c>
      <c r="X286" s="109" t="s">
        <v>2871</v>
      </c>
      <c r="Y286" s="109" t="s">
        <v>2872</v>
      </c>
      <c r="Z286" s="109" t="s">
        <v>2873</v>
      </c>
      <c r="AA286" s="109" t="s">
        <v>2874</v>
      </c>
      <c r="AB286" s="109" t="s">
        <v>2875</v>
      </c>
      <c r="AC286" s="110" t="s">
        <v>2876</v>
      </c>
      <c r="AD286" s="111" t="s">
        <v>2877</v>
      </c>
      <c r="AE286" s="143" t="s">
        <v>180</v>
      </c>
      <c r="AF286" s="131" t="s">
        <v>2878</v>
      </c>
      <c r="AG286" s="111" t="s">
        <v>2879</v>
      </c>
      <c r="AH286" s="111" t="s">
        <v>2880</v>
      </c>
      <c r="AI286" s="112" t="s">
        <v>2881</v>
      </c>
    </row>
    <row r="287" spans="1:35" ht="17.25" thickTop="1" thickBot="1" x14ac:dyDescent="0.3">
      <c r="A287" s="134"/>
      <c r="B287" s="136"/>
      <c r="C287" s="136"/>
      <c r="D287" s="137"/>
      <c r="E287" s="139"/>
      <c r="F287" s="137"/>
      <c r="G287" s="137"/>
      <c r="H287" s="113" t="s">
        <v>170</v>
      </c>
      <c r="I287" s="114" t="s">
        <v>171</v>
      </c>
      <c r="J287" s="115" t="s">
        <v>172</v>
      </c>
      <c r="K287" s="144"/>
      <c r="L287" s="145"/>
      <c r="M287" s="147"/>
      <c r="N287" s="116" t="str">
        <f>'[1]Исх.Таблица из архикада'!A18</f>
        <v>Пс8.7.1</v>
      </c>
      <c r="O287" s="116">
        <f>'[1]Исх.Таблица из архикада'!B18</f>
        <v>6000</v>
      </c>
      <c r="P287" s="116">
        <f>'[1]Исх.Таблица из архикада'!C18</f>
        <v>2000</v>
      </c>
      <c r="Q287" s="116">
        <f>'[1]Исх.Таблица из архикада'!D18</f>
        <v>400</v>
      </c>
      <c r="R287" s="116">
        <f>'[1]Исх.Таблица из архикада'!E18</f>
        <v>1000</v>
      </c>
      <c r="S287" s="116">
        <f>'[1]Исх.Таблица из архикада'!F18</f>
        <v>300</v>
      </c>
      <c r="T287" s="116">
        <f>'[1]Исх.Таблица из архикада'!G18</f>
        <v>300</v>
      </c>
      <c r="U287" s="116">
        <f>'[1]Исх.Таблица из архикада'!H18</f>
        <v>300</v>
      </c>
      <c r="V287" s="116">
        <f>'[1]Исх.Таблица из архикада'!I18</f>
        <v>10</v>
      </c>
      <c r="W287" s="116">
        <f>'[1]Исх.Таблица из архикада'!J18</f>
        <v>200</v>
      </c>
      <c r="X287" s="116">
        <f>'[1]Исх.Таблица из архикада'!K18</f>
        <v>10</v>
      </c>
      <c r="Y287" s="116">
        <f>'[1]Исх.Таблица из архикада'!L18</f>
        <v>200</v>
      </c>
      <c r="Z287" s="116">
        <f>'[1]Исх.Таблица из архикада'!M18</f>
        <v>10</v>
      </c>
      <c r="AA287" s="116">
        <f>'[1]Исх.Таблица из архикада'!N18</f>
        <v>200</v>
      </c>
      <c r="AB287" s="116">
        <f>'[1]Исх.Таблица из архикада'!O18</f>
        <v>10</v>
      </c>
      <c r="AC287" s="116">
        <f>'[1]Исх.Таблица из архикада'!P18</f>
        <v>200</v>
      </c>
      <c r="AD287" s="116">
        <v>40</v>
      </c>
      <c r="AE287" s="145"/>
      <c r="AF287" s="132"/>
      <c r="AG287" s="118" t="s">
        <v>2882</v>
      </c>
      <c r="AH287" s="118">
        <v>1</v>
      </c>
      <c r="AI287">
        <v>6000</v>
      </c>
    </row>
    <row r="288" spans="1:35" ht="17.25" thickTop="1" thickBot="1" x14ac:dyDescent="0.3">
      <c r="A288" s="119" t="str">
        <f>N287</f>
        <v>Пс8.7.1</v>
      </c>
      <c r="B288" s="119">
        <v>1</v>
      </c>
      <c r="C288" s="46" t="s">
        <v>2883</v>
      </c>
      <c r="D288" s="119">
        <f>W288</f>
        <v>200</v>
      </c>
      <c r="E288" s="120">
        <f>IF(O288&lt;=5700, ROUNDUP(P288*2/W288+1,0), 1)</f>
        <v>1</v>
      </c>
      <c r="F288" s="119">
        <f>ROUNDUP(((O288*R288*U288)*0.000000001+(O288*P288*Q288)*0.000000001),1)</f>
        <v>6.6</v>
      </c>
      <c r="G288" s="119">
        <f>ROUNDUP((0.1*(R288+200)*(O288)*0.000001),1)</f>
        <v>0.79999999999999993</v>
      </c>
      <c r="H288" s="120">
        <f>IF(O288&lt;=5700, O288-50, K288)</f>
        <v>68970</v>
      </c>
      <c r="I288" s="121">
        <f>V288</f>
        <v>10</v>
      </c>
      <c r="J288" s="46" t="s">
        <v>2</v>
      </c>
      <c r="K288" s="122">
        <f>Арм_ПоПлощади(O288*P288,W288,AF288,$AI$3)</f>
        <v>68970</v>
      </c>
      <c r="L288" s="123">
        <f>IF(R288&lt;=2000,(0),(ROUNDUP(O288*R288*0.000001/1+SQRT(O288*R288*0.000001),0)))</f>
        <v>0</v>
      </c>
      <c r="M288" s="124">
        <v>0</v>
      </c>
      <c r="N288" s="125" t="str">
        <f>N287</f>
        <v>Пс8.7.1</v>
      </c>
      <c r="O288" s="125">
        <f t="shared" ref="O288:AD288" si="98">O287</f>
        <v>6000</v>
      </c>
      <c r="P288" s="125">
        <f t="shared" si="98"/>
        <v>2000</v>
      </c>
      <c r="Q288" s="125">
        <f t="shared" si="98"/>
        <v>400</v>
      </c>
      <c r="R288" s="125">
        <f t="shared" si="98"/>
        <v>1000</v>
      </c>
      <c r="S288" s="125">
        <f t="shared" si="98"/>
        <v>300</v>
      </c>
      <c r="T288" s="125">
        <f t="shared" si="98"/>
        <v>300</v>
      </c>
      <c r="U288" s="125">
        <f t="shared" si="98"/>
        <v>300</v>
      </c>
      <c r="V288" s="125">
        <f t="shared" si="98"/>
        <v>10</v>
      </c>
      <c r="W288" s="125">
        <f t="shared" si="98"/>
        <v>200</v>
      </c>
      <c r="X288" s="125">
        <f t="shared" si="98"/>
        <v>10</v>
      </c>
      <c r="Y288" s="125">
        <f t="shared" si="98"/>
        <v>200</v>
      </c>
      <c r="Z288" s="125">
        <f t="shared" si="98"/>
        <v>10</v>
      </c>
      <c r="AA288" s="125">
        <f t="shared" si="98"/>
        <v>200</v>
      </c>
      <c r="AB288" s="125">
        <f t="shared" si="98"/>
        <v>10</v>
      </c>
      <c r="AC288" s="125">
        <f t="shared" si="98"/>
        <v>200</v>
      </c>
      <c r="AD288" s="119">
        <f t="shared" si="98"/>
        <v>40</v>
      </c>
      <c r="AE288" s="126">
        <f>Арм_Анкеровка(I288,J288,$AG$3,$AH$3)</f>
        <v>415</v>
      </c>
      <c r="AF288" s="66">
        <f>Арм_Нахлёст(I288,J288,$AG$3,$AH$3)</f>
        <v>500</v>
      </c>
      <c r="AG288" s="66" t="str">
        <f>AG287</f>
        <v>В25</v>
      </c>
      <c r="AH288" s="66">
        <f>AH287</f>
        <v>1</v>
      </c>
    </row>
    <row r="289" spans="1:34" ht="17.25" thickTop="1" thickBot="1" x14ac:dyDescent="0.3">
      <c r="A289" s="119" t="str">
        <f>A288</f>
        <v>Пс8.7.1</v>
      </c>
      <c r="B289" s="119">
        <v>2</v>
      </c>
      <c r="C289" s="46" t="s">
        <v>2884</v>
      </c>
      <c r="D289" s="119">
        <f>Y288</f>
        <v>200</v>
      </c>
      <c r="E289" s="127">
        <f>IF(Q289&lt;=150,0,(ROUNDUP(O289/Y289,0)))</f>
        <v>30</v>
      </c>
      <c r="F289" s="119"/>
      <c r="G289" s="119"/>
      <c r="H289" s="127">
        <f>Арм_Элемент_П(AF289, (Q289-2*AD289), I289, J289)</f>
        <v>1300</v>
      </c>
      <c r="I289" s="121">
        <f>X289</f>
        <v>10</v>
      </c>
      <c r="J289" s="46" t="s">
        <v>2</v>
      </c>
      <c r="K289" s="128"/>
      <c r="L289" s="119"/>
      <c r="M289" s="124">
        <f t="shared" ref="M289:AD300" si="99">M288</f>
        <v>0</v>
      </c>
      <c r="N289" s="125" t="str">
        <f t="shared" si="99"/>
        <v>Пс8.7.1</v>
      </c>
      <c r="O289" s="125">
        <f t="shared" si="99"/>
        <v>6000</v>
      </c>
      <c r="P289" s="125">
        <f t="shared" si="99"/>
        <v>2000</v>
      </c>
      <c r="Q289" s="125">
        <f t="shared" si="99"/>
        <v>400</v>
      </c>
      <c r="R289" s="125">
        <f t="shared" si="99"/>
        <v>1000</v>
      </c>
      <c r="S289" s="125">
        <f t="shared" si="99"/>
        <v>300</v>
      </c>
      <c r="T289" s="125">
        <f t="shared" si="99"/>
        <v>300</v>
      </c>
      <c r="U289" s="125">
        <f t="shared" si="99"/>
        <v>300</v>
      </c>
      <c r="V289" s="125">
        <f t="shared" si="99"/>
        <v>10</v>
      </c>
      <c r="W289" s="125">
        <f t="shared" si="99"/>
        <v>200</v>
      </c>
      <c r="X289" s="125">
        <f t="shared" si="99"/>
        <v>10</v>
      </c>
      <c r="Y289" s="125">
        <f t="shared" si="99"/>
        <v>200</v>
      </c>
      <c r="Z289" s="125">
        <f t="shared" si="99"/>
        <v>10</v>
      </c>
      <c r="AA289" s="125">
        <f t="shared" si="99"/>
        <v>200</v>
      </c>
      <c r="AB289" s="125">
        <f t="shared" si="99"/>
        <v>10</v>
      </c>
      <c r="AC289" s="125">
        <f t="shared" si="99"/>
        <v>200</v>
      </c>
      <c r="AD289" s="119">
        <f t="shared" si="99"/>
        <v>40</v>
      </c>
      <c r="AE289" s="126">
        <f t="shared" ref="AE289:AE300" si="100">Арм_Анкеровка(I289,J289,$AG$3,$AH$3)</f>
        <v>415</v>
      </c>
      <c r="AF289" s="66">
        <f t="shared" ref="AF289:AF300" si="101">Арм_Нахлёст(I289,J289,$AG$3,$AH$3)</f>
        <v>500</v>
      </c>
      <c r="AG289" s="66" t="str">
        <f t="shared" ref="AG289:AH300" si="102">AG288</f>
        <v>В25</v>
      </c>
      <c r="AH289" s="66">
        <f t="shared" si="102"/>
        <v>1</v>
      </c>
    </row>
    <row r="290" spans="1:34" ht="17.25" thickTop="1" thickBot="1" x14ac:dyDescent="0.3">
      <c r="A290" s="119" t="str">
        <f t="shared" ref="A290:A300" si="103">A289</f>
        <v>Пс8.7.1</v>
      </c>
      <c r="B290" s="119">
        <v>3</v>
      </c>
      <c r="C290" s="46" t="s">
        <v>2885</v>
      </c>
      <c r="D290" s="119">
        <f>W290</f>
        <v>200</v>
      </c>
      <c r="E290" s="127">
        <f>MROUND(2*P290/D290,2)</f>
        <v>20</v>
      </c>
      <c r="F290" s="119"/>
      <c r="G290" s="119"/>
      <c r="H290" s="127">
        <f>Арм_Элемент_П(AF290, (Q290-2*AD290), I290, J290)</f>
        <v>1320</v>
      </c>
      <c r="I290" s="121">
        <f>V290</f>
        <v>10</v>
      </c>
      <c r="J290" s="46" t="s">
        <v>2</v>
      </c>
      <c r="K290" s="128"/>
      <c r="L290" s="119"/>
      <c r="M290" s="124">
        <f t="shared" si="99"/>
        <v>0</v>
      </c>
      <c r="N290" s="125" t="str">
        <f t="shared" si="99"/>
        <v>Пс8.7.1</v>
      </c>
      <c r="O290" s="125">
        <f t="shared" si="99"/>
        <v>6000</v>
      </c>
      <c r="P290" s="125">
        <f t="shared" si="99"/>
        <v>2000</v>
      </c>
      <c r="Q290" s="125">
        <f t="shared" si="99"/>
        <v>400</v>
      </c>
      <c r="R290" s="125">
        <f t="shared" si="99"/>
        <v>1000</v>
      </c>
      <c r="S290" s="125">
        <f t="shared" si="99"/>
        <v>300</v>
      </c>
      <c r="T290" s="125">
        <f t="shared" si="99"/>
        <v>300</v>
      </c>
      <c r="U290" s="125">
        <f t="shared" si="99"/>
        <v>300</v>
      </c>
      <c r="V290" s="125">
        <f t="shared" si="99"/>
        <v>10</v>
      </c>
      <c r="W290" s="125">
        <f t="shared" si="99"/>
        <v>200</v>
      </c>
      <c r="X290" s="125">
        <f t="shared" si="99"/>
        <v>10</v>
      </c>
      <c r="Y290" s="125">
        <f t="shared" si="99"/>
        <v>200</v>
      </c>
      <c r="Z290" s="125">
        <f t="shared" si="99"/>
        <v>10</v>
      </c>
      <c r="AA290" s="125">
        <f t="shared" si="99"/>
        <v>200</v>
      </c>
      <c r="AB290" s="125">
        <f t="shared" si="99"/>
        <v>10</v>
      </c>
      <c r="AC290" s="125">
        <f t="shared" si="99"/>
        <v>200</v>
      </c>
      <c r="AD290" s="119">
        <v>30</v>
      </c>
      <c r="AE290" s="126">
        <f t="shared" si="100"/>
        <v>415</v>
      </c>
      <c r="AF290" s="66">
        <f t="shared" si="101"/>
        <v>500</v>
      </c>
      <c r="AG290" s="66" t="str">
        <f t="shared" si="102"/>
        <v>В25</v>
      </c>
      <c r="AH290" s="66">
        <f t="shared" si="102"/>
        <v>1</v>
      </c>
    </row>
    <row r="291" spans="1:34" ht="17.25" thickTop="1" thickBot="1" x14ac:dyDescent="0.3">
      <c r="A291" s="119" t="str">
        <f t="shared" si="103"/>
        <v>Пс8.7.1</v>
      </c>
      <c r="B291" s="119">
        <v>4</v>
      </c>
      <c r="C291" s="46" t="s">
        <v>2886</v>
      </c>
      <c r="D291" s="119">
        <f>Y291</f>
        <v>200</v>
      </c>
      <c r="E291" s="127">
        <f>ROUNDUP(O291/Y291,0)*2</f>
        <v>60</v>
      </c>
      <c r="F291" s="119"/>
      <c r="G291" s="119"/>
      <c r="H291" s="127">
        <f>IF(P291&lt;=3000,(IF(Q291&lt;=150,(P291-25+AE291+Q291-(35+V291)),(P291-25+AE291))),(P291-25))</f>
        <v>2390</v>
      </c>
      <c r="I291" s="121">
        <f>X291</f>
        <v>10</v>
      </c>
      <c r="J291" s="46" t="s">
        <v>2</v>
      </c>
      <c r="K291" s="128"/>
      <c r="L291" s="119"/>
      <c r="M291" s="124">
        <f t="shared" si="99"/>
        <v>0</v>
      </c>
      <c r="N291" s="125" t="str">
        <f t="shared" si="99"/>
        <v>Пс8.7.1</v>
      </c>
      <c r="O291" s="125">
        <f t="shared" si="99"/>
        <v>6000</v>
      </c>
      <c r="P291" s="125">
        <f t="shared" si="99"/>
        <v>2000</v>
      </c>
      <c r="Q291" s="125">
        <f t="shared" si="99"/>
        <v>400</v>
      </c>
      <c r="R291" s="125">
        <f t="shared" si="99"/>
        <v>1000</v>
      </c>
      <c r="S291" s="125">
        <f t="shared" si="99"/>
        <v>300</v>
      </c>
      <c r="T291" s="125">
        <f t="shared" si="99"/>
        <v>300</v>
      </c>
      <c r="U291" s="125">
        <f t="shared" si="99"/>
        <v>300</v>
      </c>
      <c r="V291" s="125">
        <f t="shared" si="99"/>
        <v>10</v>
      </c>
      <c r="W291" s="125">
        <f t="shared" si="99"/>
        <v>200</v>
      </c>
      <c r="X291" s="125">
        <f t="shared" si="99"/>
        <v>10</v>
      </c>
      <c r="Y291" s="125">
        <f t="shared" si="99"/>
        <v>200</v>
      </c>
      <c r="Z291" s="125">
        <f t="shared" si="99"/>
        <v>10</v>
      </c>
      <c r="AA291" s="125">
        <f t="shared" si="99"/>
        <v>200</v>
      </c>
      <c r="AB291" s="125">
        <f t="shared" si="99"/>
        <v>10</v>
      </c>
      <c r="AC291" s="125">
        <f t="shared" si="99"/>
        <v>200</v>
      </c>
      <c r="AD291" s="119">
        <v>40</v>
      </c>
      <c r="AE291" s="126">
        <f t="shared" si="100"/>
        <v>415</v>
      </c>
      <c r="AF291" s="66">
        <f t="shared" si="101"/>
        <v>500</v>
      </c>
      <c r="AG291" s="66" t="str">
        <f t="shared" si="102"/>
        <v>В25</v>
      </c>
      <c r="AH291" s="66">
        <f t="shared" si="102"/>
        <v>1</v>
      </c>
    </row>
    <row r="292" spans="1:34" ht="17.25" thickTop="1" thickBot="1" x14ac:dyDescent="0.3">
      <c r="A292" s="119" t="str">
        <f t="shared" si="103"/>
        <v>Пс8.7.1</v>
      </c>
      <c r="B292" s="119">
        <v>5</v>
      </c>
      <c r="C292" s="46" t="s">
        <v>2887</v>
      </c>
      <c r="D292" s="119">
        <v>400</v>
      </c>
      <c r="E292" s="127">
        <f>ROUNDUP((13*(O292*P292/1000000)),0)</f>
        <v>156</v>
      </c>
      <c r="F292" s="119"/>
      <c r="G292" s="119"/>
      <c r="H292" s="127">
        <f>Q292-AD292*2+150</f>
        <v>470</v>
      </c>
      <c r="I292" s="121">
        <v>6</v>
      </c>
      <c r="J292" s="46" t="s">
        <v>2</v>
      </c>
      <c r="K292" s="128"/>
      <c r="L292" s="119"/>
      <c r="M292" s="124">
        <f t="shared" si="99"/>
        <v>0</v>
      </c>
      <c r="N292" s="125" t="str">
        <f t="shared" si="99"/>
        <v>Пс8.7.1</v>
      </c>
      <c r="O292" s="125">
        <f t="shared" si="99"/>
        <v>6000</v>
      </c>
      <c r="P292" s="125">
        <f t="shared" si="99"/>
        <v>2000</v>
      </c>
      <c r="Q292" s="125">
        <f t="shared" si="99"/>
        <v>400</v>
      </c>
      <c r="R292" s="125">
        <f t="shared" si="99"/>
        <v>1000</v>
      </c>
      <c r="S292" s="125">
        <f t="shared" si="99"/>
        <v>300</v>
      </c>
      <c r="T292" s="125">
        <f t="shared" si="99"/>
        <v>300</v>
      </c>
      <c r="U292" s="125">
        <f t="shared" si="99"/>
        <v>300</v>
      </c>
      <c r="V292" s="125">
        <f t="shared" si="99"/>
        <v>10</v>
      </c>
      <c r="W292" s="125">
        <f t="shared" si="99"/>
        <v>200</v>
      </c>
      <c r="X292" s="125">
        <f t="shared" si="99"/>
        <v>10</v>
      </c>
      <c r="Y292" s="125">
        <f t="shared" si="99"/>
        <v>200</v>
      </c>
      <c r="Z292" s="125">
        <f t="shared" si="99"/>
        <v>10</v>
      </c>
      <c r="AA292" s="125">
        <f t="shared" si="99"/>
        <v>200</v>
      </c>
      <c r="AB292" s="125">
        <f t="shared" si="99"/>
        <v>10</v>
      </c>
      <c r="AC292" s="125">
        <f t="shared" si="99"/>
        <v>200</v>
      </c>
      <c r="AD292" s="119">
        <f t="shared" si="99"/>
        <v>40</v>
      </c>
      <c r="AE292" s="126">
        <f t="shared" si="100"/>
        <v>250</v>
      </c>
      <c r="AF292" s="66">
        <f t="shared" si="101"/>
        <v>300</v>
      </c>
      <c r="AG292" s="66" t="str">
        <f t="shared" si="102"/>
        <v>В25</v>
      </c>
      <c r="AH292" s="66">
        <f t="shared" si="102"/>
        <v>1</v>
      </c>
    </row>
    <row r="293" spans="1:34" ht="17.25" thickTop="1" thickBot="1" x14ac:dyDescent="0.3">
      <c r="A293" s="119" t="str">
        <f t="shared" si="103"/>
        <v>Пс8.7.1</v>
      </c>
      <c r="B293" s="119">
        <v>6</v>
      </c>
      <c r="C293" s="46" t="s">
        <v>2888</v>
      </c>
      <c r="D293" s="119">
        <f>AA293</f>
        <v>200</v>
      </c>
      <c r="E293" s="127">
        <f>IF(R293&lt;=2000,(ROUNDUP(O293/D293,0)),(ROUNDUP(O293/D293,0)))</f>
        <v>30</v>
      </c>
      <c r="F293" s="119"/>
      <c r="G293" s="119"/>
      <c r="H293" s="127">
        <f>R293-50</f>
        <v>950</v>
      </c>
      <c r="I293" s="121">
        <f>Z293</f>
        <v>10</v>
      </c>
      <c r="J293" s="46" t="s">
        <v>2</v>
      </c>
      <c r="K293" s="128"/>
      <c r="L293" s="119"/>
      <c r="M293" s="124">
        <f t="shared" si="99"/>
        <v>0</v>
      </c>
      <c r="N293" s="125" t="str">
        <f t="shared" si="99"/>
        <v>Пс8.7.1</v>
      </c>
      <c r="O293" s="125">
        <f t="shared" si="99"/>
        <v>6000</v>
      </c>
      <c r="P293" s="125">
        <f t="shared" si="99"/>
        <v>2000</v>
      </c>
      <c r="Q293" s="125">
        <f t="shared" si="99"/>
        <v>400</v>
      </c>
      <c r="R293" s="125">
        <f t="shared" si="99"/>
        <v>1000</v>
      </c>
      <c r="S293" s="125">
        <f t="shared" si="99"/>
        <v>300</v>
      </c>
      <c r="T293" s="125">
        <f t="shared" si="99"/>
        <v>300</v>
      </c>
      <c r="U293" s="125">
        <f t="shared" si="99"/>
        <v>300</v>
      </c>
      <c r="V293" s="125">
        <f t="shared" si="99"/>
        <v>10</v>
      </c>
      <c r="W293" s="125">
        <f t="shared" si="99"/>
        <v>200</v>
      </c>
      <c r="X293" s="125">
        <f t="shared" si="99"/>
        <v>10</v>
      </c>
      <c r="Y293" s="125">
        <f t="shared" si="99"/>
        <v>200</v>
      </c>
      <c r="Z293" s="125">
        <f t="shared" si="99"/>
        <v>10</v>
      </c>
      <c r="AA293" s="125">
        <f t="shared" si="99"/>
        <v>200</v>
      </c>
      <c r="AB293" s="125">
        <f t="shared" si="99"/>
        <v>10</v>
      </c>
      <c r="AC293" s="125">
        <f t="shared" si="99"/>
        <v>200</v>
      </c>
      <c r="AD293" s="119">
        <f t="shared" si="99"/>
        <v>40</v>
      </c>
      <c r="AE293" s="126">
        <f t="shared" si="100"/>
        <v>415</v>
      </c>
      <c r="AF293" s="66">
        <f t="shared" si="101"/>
        <v>500</v>
      </c>
      <c r="AG293" s="66" t="str">
        <f t="shared" si="102"/>
        <v>В25</v>
      </c>
      <c r="AH293" s="66">
        <f t="shared" si="102"/>
        <v>1</v>
      </c>
    </row>
    <row r="294" spans="1:34" ht="17.25" thickTop="1" thickBot="1" x14ac:dyDescent="0.3">
      <c r="A294" s="119" t="str">
        <f t="shared" si="103"/>
        <v>Пс8.7.1</v>
      </c>
      <c r="B294" s="119">
        <v>7</v>
      </c>
      <c r="C294" s="46" t="s">
        <v>2889</v>
      </c>
      <c r="D294" s="119">
        <f>AC294</f>
        <v>200</v>
      </c>
      <c r="E294" s="120">
        <f>IF(O294&lt;=5700, ROUNDUP(R294*2/AC294+1,0), 1)</f>
        <v>1</v>
      </c>
      <c r="F294" s="119"/>
      <c r="G294" s="119"/>
      <c r="H294" s="120">
        <f>IF(O294&lt;=5700, O294-50, K294)</f>
        <v>35450</v>
      </c>
      <c r="I294" s="121">
        <f>AB294</f>
        <v>10</v>
      </c>
      <c r="J294" s="46" t="s">
        <v>2</v>
      </c>
      <c r="K294" s="122">
        <f>Арм_ПоПлощади(O294*R294,AC294,AF294,$AI$3)</f>
        <v>35450</v>
      </c>
      <c r="L294" s="119"/>
      <c r="M294" s="124">
        <f t="shared" si="99"/>
        <v>0</v>
      </c>
      <c r="N294" s="125" t="str">
        <f t="shared" si="99"/>
        <v>Пс8.7.1</v>
      </c>
      <c r="O294" s="125">
        <f t="shared" si="99"/>
        <v>6000</v>
      </c>
      <c r="P294" s="125">
        <f t="shared" si="99"/>
        <v>2000</v>
      </c>
      <c r="Q294" s="125">
        <f t="shared" si="99"/>
        <v>400</v>
      </c>
      <c r="R294" s="125">
        <f t="shared" si="99"/>
        <v>1000</v>
      </c>
      <c r="S294" s="125">
        <f t="shared" si="99"/>
        <v>300</v>
      </c>
      <c r="T294" s="125">
        <f t="shared" si="99"/>
        <v>300</v>
      </c>
      <c r="U294" s="125">
        <f t="shared" si="99"/>
        <v>300</v>
      </c>
      <c r="V294" s="125">
        <f t="shared" si="99"/>
        <v>10</v>
      </c>
      <c r="W294" s="125">
        <f t="shared" si="99"/>
        <v>200</v>
      </c>
      <c r="X294" s="125">
        <f t="shared" si="99"/>
        <v>10</v>
      </c>
      <c r="Y294" s="125">
        <f t="shared" si="99"/>
        <v>200</v>
      </c>
      <c r="Z294" s="125">
        <f t="shared" si="99"/>
        <v>10</v>
      </c>
      <c r="AA294" s="125">
        <f t="shared" si="99"/>
        <v>200</v>
      </c>
      <c r="AB294" s="125">
        <f t="shared" si="99"/>
        <v>10</v>
      </c>
      <c r="AC294" s="125">
        <f t="shared" si="99"/>
        <v>200</v>
      </c>
      <c r="AD294" s="119">
        <f t="shared" si="99"/>
        <v>40</v>
      </c>
      <c r="AE294" s="126">
        <f t="shared" si="100"/>
        <v>415</v>
      </c>
      <c r="AF294" s="66">
        <f t="shared" si="101"/>
        <v>500</v>
      </c>
      <c r="AG294" s="66" t="str">
        <f t="shared" si="102"/>
        <v>В25</v>
      </c>
      <c r="AH294" s="66">
        <f t="shared" si="102"/>
        <v>1</v>
      </c>
    </row>
    <row r="295" spans="1:34" ht="17.25" thickTop="1" thickBot="1" x14ac:dyDescent="0.3">
      <c r="A295" s="119" t="str">
        <f t="shared" si="103"/>
        <v>Пс8.7.1</v>
      </c>
      <c r="B295" s="119">
        <v>8</v>
      </c>
      <c r="C295" s="46" t="s">
        <v>2890</v>
      </c>
      <c r="D295" s="119">
        <f>AA295</f>
        <v>200</v>
      </c>
      <c r="E295" s="127">
        <f>IF(E300=0,(ROUNDUP(O295/D295,0)*2),0)</f>
        <v>0</v>
      </c>
      <c r="F295" s="119"/>
      <c r="G295" s="119"/>
      <c r="H295" s="127">
        <f>Арм_Элемент_П(AF295, (U295-2*AD295), I295, J295)</f>
        <v>1220</v>
      </c>
      <c r="I295" s="121">
        <f>Z295</f>
        <v>10</v>
      </c>
      <c r="J295" s="46" t="s">
        <v>2</v>
      </c>
      <c r="K295" s="128"/>
      <c r="L295" s="119"/>
      <c r="M295" s="124">
        <f t="shared" si="99"/>
        <v>0</v>
      </c>
      <c r="N295" s="125" t="str">
        <f t="shared" si="99"/>
        <v>Пс8.7.1</v>
      </c>
      <c r="O295" s="125">
        <f t="shared" si="99"/>
        <v>6000</v>
      </c>
      <c r="P295" s="125">
        <f t="shared" si="99"/>
        <v>2000</v>
      </c>
      <c r="Q295" s="125">
        <f t="shared" si="99"/>
        <v>400</v>
      </c>
      <c r="R295" s="125">
        <f t="shared" si="99"/>
        <v>1000</v>
      </c>
      <c r="S295" s="125">
        <f t="shared" si="99"/>
        <v>300</v>
      </c>
      <c r="T295" s="125">
        <f t="shared" si="99"/>
        <v>300</v>
      </c>
      <c r="U295" s="125">
        <f t="shared" si="99"/>
        <v>300</v>
      </c>
      <c r="V295" s="125">
        <f t="shared" si="99"/>
        <v>10</v>
      </c>
      <c r="W295" s="125">
        <f t="shared" si="99"/>
        <v>200</v>
      </c>
      <c r="X295" s="125">
        <f t="shared" si="99"/>
        <v>10</v>
      </c>
      <c r="Y295" s="125">
        <f t="shared" si="99"/>
        <v>200</v>
      </c>
      <c r="Z295" s="125">
        <f t="shared" si="99"/>
        <v>10</v>
      </c>
      <c r="AA295" s="125">
        <f t="shared" si="99"/>
        <v>200</v>
      </c>
      <c r="AB295" s="125">
        <f t="shared" si="99"/>
        <v>10</v>
      </c>
      <c r="AC295" s="125">
        <f t="shared" si="99"/>
        <v>200</v>
      </c>
      <c r="AD295" s="119">
        <v>30</v>
      </c>
      <c r="AE295" s="126">
        <f t="shared" si="100"/>
        <v>415</v>
      </c>
      <c r="AF295" s="66">
        <f t="shared" si="101"/>
        <v>500</v>
      </c>
      <c r="AG295" s="66" t="str">
        <f t="shared" si="102"/>
        <v>В25</v>
      </c>
      <c r="AH295" s="66">
        <f t="shared" si="102"/>
        <v>1</v>
      </c>
    </row>
    <row r="296" spans="1:34" ht="17.25" thickTop="1" thickBot="1" x14ac:dyDescent="0.3">
      <c r="A296" s="119" t="str">
        <f t="shared" si="103"/>
        <v>Пс8.7.1</v>
      </c>
      <c r="B296" s="119">
        <v>9</v>
      </c>
      <c r="C296" s="46" t="s">
        <v>2891</v>
      </c>
      <c r="D296" s="119">
        <f>AC296</f>
        <v>200</v>
      </c>
      <c r="E296" s="127">
        <f>MROUND(2*R296/AC296,2)</f>
        <v>10</v>
      </c>
      <c r="F296" s="119"/>
      <c r="G296" s="119"/>
      <c r="H296" s="127">
        <f>Арм_Элемент_П(AF296, (U296-2*AD296), I296, J296)</f>
        <v>1200</v>
      </c>
      <c r="I296" s="121">
        <f>AB296</f>
        <v>10</v>
      </c>
      <c r="J296" s="46" t="s">
        <v>2</v>
      </c>
      <c r="K296" s="128"/>
      <c r="L296" s="119"/>
      <c r="M296" s="124">
        <f t="shared" si="99"/>
        <v>0</v>
      </c>
      <c r="N296" s="125" t="str">
        <f t="shared" si="99"/>
        <v>Пс8.7.1</v>
      </c>
      <c r="O296" s="125">
        <f t="shared" si="99"/>
        <v>6000</v>
      </c>
      <c r="P296" s="125">
        <f t="shared" si="99"/>
        <v>2000</v>
      </c>
      <c r="Q296" s="125">
        <f t="shared" si="99"/>
        <v>400</v>
      </c>
      <c r="R296" s="125">
        <f t="shared" si="99"/>
        <v>1000</v>
      </c>
      <c r="S296" s="125">
        <f t="shared" si="99"/>
        <v>300</v>
      </c>
      <c r="T296" s="125">
        <f t="shared" si="99"/>
        <v>300</v>
      </c>
      <c r="U296" s="125">
        <f t="shared" si="99"/>
        <v>300</v>
      </c>
      <c r="V296" s="125">
        <f t="shared" si="99"/>
        <v>10</v>
      </c>
      <c r="W296" s="125">
        <f t="shared" si="99"/>
        <v>200</v>
      </c>
      <c r="X296" s="125">
        <f t="shared" si="99"/>
        <v>10</v>
      </c>
      <c r="Y296" s="125">
        <f t="shared" si="99"/>
        <v>200</v>
      </c>
      <c r="Z296" s="125">
        <f t="shared" si="99"/>
        <v>10</v>
      </c>
      <c r="AA296" s="125">
        <f t="shared" si="99"/>
        <v>200</v>
      </c>
      <c r="AB296" s="125">
        <f t="shared" si="99"/>
        <v>10</v>
      </c>
      <c r="AC296" s="125">
        <f t="shared" si="99"/>
        <v>200</v>
      </c>
      <c r="AD296" s="119">
        <v>40</v>
      </c>
      <c r="AE296" s="126">
        <f t="shared" si="100"/>
        <v>415</v>
      </c>
      <c r="AF296" s="66">
        <f t="shared" si="101"/>
        <v>500</v>
      </c>
      <c r="AG296" s="66" t="str">
        <f t="shared" si="102"/>
        <v>В25</v>
      </c>
      <c r="AH296" s="66">
        <f t="shared" si="102"/>
        <v>1</v>
      </c>
    </row>
    <row r="297" spans="1:34" ht="33" thickTop="1" thickBot="1" x14ac:dyDescent="0.3">
      <c r="A297" s="119" t="str">
        <f t="shared" si="103"/>
        <v>Пс8.7.1</v>
      </c>
      <c r="B297" s="119">
        <v>10</v>
      </c>
      <c r="C297" s="46" t="s">
        <v>2892</v>
      </c>
      <c r="D297" s="119">
        <f>Y297</f>
        <v>200</v>
      </c>
      <c r="E297" s="127">
        <f>ROUNDUP((IF(P297&lt;=3000,0,O297/Y297)),0)</f>
        <v>0</v>
      </c>
      <c r="F297" s="119"/>
      <c r="G297" s="119"/>
      <c r="H297" s="127">
        <f>IF(E297=0,0, (Арм_Округление(AE297+2*AF297)))</f>
        <v>0</v>
      </c>
      <c r="I297" s="121">
        <f>X297</f>
        <v>10</v>
      </c>
      <c r="J297" s="46" t="s">
        <v>2</v>
      </c>
      <c r="K297" s="128"/>
      <c r="L297" s="119"/>
      <c r="M297" s="124">
        <f t="shared" si="99"/>
        <v>0</v>
      </c>
      <c r="N297" s="125" t="str">
        <f t="shared" si="99"/>
        <v>Пс8.7.1</v>
      </c>
      <c r="O297" s="125">
        <f t="shared" si="99"/>
        <v>6000</v>
      </c>
      <c r="P297" s="125">
        <f t="shared" si="99"/>
        <v>2000</v>
      </c>
      <c r="Q297" s="125">
        <f t="shared" si="99"/>
        <v>400</v>
      </c>
      <c r="R297" s="125">
        <f t="shared" si="99"/>
        <v>1000</v>
      </c>
      <c r="S297" s="125">
        <f t="shared" si="99"/>
        <v>300</v>
      </c>
      <c r="T297" s="125">
        <f t="shared" si="99"/>
        <v>300</v>
      </c>
      <c r="U297" s="125">
        <f t="shared" si="99"/>
        <v>300</v>
      </c>
      <c r="V297" s="125">
        <f t="shared" si="99"/>
        <v>10</v>
      </c>
      <c r="W297" s="125">
        <f t="shared" si="99"/>
        <v>200</v>
      </c>
      <c r="X297" s="125">
        <f t="shared" si="99"/>
        <v>10</v>
      </c>
      <c r="Y297" s="125">
        <f t="shared" si="99"/>
        <v>200</v>
      </c>
      <c r="Z297" s="125">
        <f t="shared" si="99"/>
        <v>10</v>
      </c>
      <c r="AA297" s="125">
        <f t="shared" si="99"/>
        <v>200</v>
      </c>
      <c r="AB297" s="125">
        <f t="shared" si="99"/>
        <v>10</v>
      </c>
      <c r="AC297" s="125">
        <f t="shared" si="99"/>
        <v>200</v>
      </c>
      <c r="AD297" s="119">
        <f t="shared" si="99"/>
        <v>40</v>
      </c>
      <c r="AE297" s="126">
        <f t="shared" si="100"/>
        <v>415</v>
      </c>
      <c r="AF297" s="66">
        <f t="shared" si="101"/>
        <v>500</v>
      </c>
      <c r="AG297" s="66" t="str">
        <f t="shared" si="102"/>
        <v>В25</v>
      </c>
      <c r="AH297" s="66">
        <f t="shared" si="102"/>
        <v>1</v>
      </c>
    </row>
    <row r="298" spans="1:34" ht="33" thickTop="1" thickBot="1" x14ac:dyDescent="0.3">
      <c r="A298" s="119" t="str">
        <f t="shared" si="103"/>
        <v>Пс8.7.1</v>
      </c>
      <c r="B298" s="119">
        <v>11</v>
      </c>
      <c r="C298" s="46" t="s">
        <v>2893</v>
      </c>
      <c r="D298" s="119">
        <f>Y298</f>
        <v>200</v>
      </c>
      <c r="E298" s="127">
        <f>ROUNDUP((IF(P298&lt;=3000,0,O298/Y298)),0)</f>
        <v>0</v>
      </c>
      <c r="F298" s="119"/>
      <c r="G298" s="119"/>
      <c r="H298" s="127">
        <f>IF(E298=0,0, (Арм_Округление(AE298+AF298)))</f>
        <v>0</v>
      </c>
      <c r="I298" s="121">
        <f>X298</f>
        <v>10</v>
      </c>
      <c r="J298" s="46" t="s">
        <v>2</v>
      </c>
      <c r="K298" s="128"/>
      <c r="L298" s="119"/>
      <c r="M298" s="124">
        <f t="shared" si="99"/>
        <v>0</v>
      </c>
      <c r="N298" s="125" t="str">
        <f t="shared" si="99"/>
        <v>Пс8.7.1</v>
      </c>
      <c r="O298" s="125">
        <f t="shared" si="99"/>
        <v>6000</v>
      </c>
      <c r="P298" s="125">
        <f t="shared" si="99"/>
        <v>2000</v>
      </c>
      <c r="Q298" s="125">
        <f t="shared" si="99"/>
        <v>400</v>
      </c>
      <c r="R298" s="125">
        <f t="shared" si="99"/>
        <v>1000</v>
      </c>
      <c r="S298" s="125">
        <f t="shared" si="99"/>
        <v>300</v>
      </c>
      <c r="T298" s="125">
        <f t="shared" si="99"/>
        <v>300</v>
      </c>
      <c r="U298" s="125">
        <f t="shared" si="99"/>
        <v>300</v>
      </c>
      <c r="V298" s="125">
        <f t="shared" si="99"/>
        <v>10</v>
      </c>
      <c r="W298" s="125">
        <f t="shared" si="99"/>
        <v>200</v>
      </c>
      <c r="X298" s="125">
        <f t="shared" si="99"/>
        <v>10</v>
      </c>
      <c r="Y298" s="125">
        <f t="shared" si="99"/>
        <v>200</v>
      </c>
      <c r="Z298" s="125">
        <f t="shared" si="99"/>
        <v>10</v>
      </c>
      <c r="AA298" s="125">
        <f t="shared" si="99"/>
        <v>200</v>
      </c>
      <c r="AB298" s="125">
        <f t="shared" si="99"/>
        <v>10</v>
      </c>
      <c r="AC298" s="125">
        <f t="shared" si="99"/>
        <v>200</v>
      </c>
      <c r="AD298" s="119">
        <f t="shared" si="99"/>
        <v>40</v>
      </c>
      <c r="AE298" s="126">
        <f t="shared" si="100"/>
        <v>415</v>
      </c>
      <c r="AF298" s="66">
        <f t="shared" si="101"/>
        <v>500</v>
      </c>
      <c r="AG298" s="66" t="str">
        <f t="shared" si="102"/>
        <v>В25</v>
      </c>
      <c r="AH298" s="66">
        <f t="shared" si="102"/>
        <v>1</v>
      </c>
    </row>
    <row r="299" spans="1:34" ht="17.25" thickTop="1" thickBot="1" x14ac:dyDescent="0.3">
      <c r="A299" s="119" t="str">
        <f t="shared" si="103"/>
        <v>Пс8.7.1</v>
      </c>
      <c r="B299" s="119">
        <v>12</v>
      </c>
      <c r="C299" s="46" t="s">
        <v>2894</v>
      </c>
      <c r="D299" s="119">
        <f>W298</f>
        <v>200</v>
      </c>
      <c r="E299" s="127">
        <f>IF(M299=0, 0, M299*2*ROUNDUP((P299/W299),0))</f>
        <v>0</v>
      </c>
      <c r="F299" s="119"/>
      <c r="G299" s="119"/>
      <c r="H299" s="127">
        <f>IF(M299=0, 0, AF299*2)</f>
        <v>0</v>
      </c>
      <c r="I299" s="121">
        <f>V299</f>
        <v>10</v>
      </c>
      <c r="J299" s="46" t="s">
        <v>2</v>
      </c>
      <c r="K299" s="128"/>
      <c r="L299" s="119"/>
      <c r="M299" s="124">
        <f t="shared" si="99"/>
        <v>0</v>
      </c>
      <c r="N299" s="125" t="str">
        <f t="shared" si="99"/>
        <v>Пс8.7.1</v>
      </c>
      <c r="O299" s="125">
        <f t="shared" si="99"/>
        <v>6000</v>
      </c>
      <c r="P299" s="125">
        <f t="shared" si="99"/>
        <v>2000</v>
      </c>
      <c r="Q299" s="125">
        <f t="shared" si="99"/>
        <v>400</v>
      </c>
      <c r="R299" s="125">
        <f t="shared" si="99"/>
        <v>1000</v>
      </c>
      <c r="S299" s="125">
        <f t="shared" si="99"/>
        <v>300</v>
      </c>
      <c r="T299" s="125">
        <f t="shared" si="99"/>
        <v>300</v>
      </c>
      <c r="U299" s="125">
        <f t="shared" si="99"/>
        <v>300</v>
      </c>
      <c r="V299" s="125">
        <f t="shared" si="99"/>
        <v>10</v>
      </c>
      <c r="W299" s="125">
        <f t="shared" si="99"/>
        <v>200</v>
      </c>
      <c r="X299" s="125">
        <f t="shared" si="99"/>
        <v>10</v>
      </c>
      <c r="Y299" s="125">
        <f t="shared" si="99"/>
        <v>200</v>
      </c>
      <c r="Z299" s="125">
        <f t="shared" si="99"/>
        <v>10</v>
      </c>
      <c r="AA299" s="125">
        <f t="shared" si="99"/>
        <v>200</v>
      </c>
      <c r="AB299" s="125">
        <f t="shared" si="99"/>
        <v>10</v>
      </c>
      <c r="AC299" s="125">
        <f t="shared" si="99"/>
        <v>200</v>
      </c>
      <c r="AD299" s="119">
        <f t="shared" si="99"/>
        <v>40</v>
      </c>
      <c r="AE299" s="126">
        <f t="shared" si="100"/>
        <v>415</v>
      </c>
      <c r="AF299" s="66">
        <f t="shared" si="101"/>
        <v>500</v>
      </c>
      <c r="AG299" s="66" t="str">
        <f t="shared" si="102"/>
        <v>В25</v>
      </c>
      <c r="AH299" s="66">
        <f t="shared" si="102"/>
        <v>1</v>
      </c>
    </row>
    <row r="300" spans="1:34" ht="17.25" thickTop="1" thickBot="1" x14ac:dyDescent="0.3">
      <c r="A300" s="119" t="str">
        <f t="shared" si="103"/>
        <v>Пс8.7.1</v>
      </c>
      <c r="B300" s="119">
        <v>13</v>
      </c>
      <c r="C300" s="46" t="s">
        <v>2895</v>
      </c>
      <c r="D300" s="119">
        <f>W299</f>
        <v>200</v>
      </c>
      <c r="E300" s="127">
        <f>IF(R300&lt;=2000,(ROUNDUP(O300/D300,0)),(0))</f>
        <v>30</v>
      </c>
      <c r="F300" s="119"/>
      <c r="G300" s="119"/>
      <c r="H300" s="127">
        <f>IF(R300&lt;=2000,(ROUNDUP(R300-2*40+2*(U300-40-AB300), -1)),(0))</f>
        <v>1420</v>
      </c>
      <c r="I300" s="121">
        <f>V300</f>
        <v>10</v>
      </c>
      <c r="J300" s="46" t="s">
        <v>2</v>
      </c>
      <c r="K300" s="128"/>
      <c r="L300" s="119"/>
      <c r="M300" s="124">
        <f t="shared" si="99"/>
        <v>0</v>
      </c>
      <c r="N300" s="125" t="str">
        <f t="shared" si="99"/>
        <v>Пс8.7.1</v>
      </c>
      <c r="O300" s="125">
        <f t="shared" si="99"/>
        <v>6000</v>
      </c>
      <c r="P300" s="125">
        <f t="shared" si="99"/>
        <v>2000</v>
      </c>
      <c r="Q300" s="125">
        <f t="shared" si="99"/>
        <v>400</v>
      </c>
      <c r="R300" s="125">
        <f t="shared" si="99"/>
        <v>1000</v>
      </c>
      <c r="S300" s="125">
        <f t="shared" si="99"/>
        <v>300</v>
      </c>
      <c r="T300" s="125">
        <f t="shared" si="99"/>
        <v>300</v>
      </c>
      <c r="U300" s="125">
        <f t="shared" si="99"/>
        <v>300</v>
      </c>
      <c r="V300" s="125">
        <f t="shared" si="99"/>
        <v>10</v>
      </c>
      <c r="W300" s="125">
        <f t="shared" si="99"/>
        <v>200</v>
      </c>
      <c r="X300" s="125">
        <f t="shared" si="99"/>
        <v>10</v>
      </c>
      <c r="Y300" s="125">
        <f t="shared" si="99"/>
        <v>200</v>
      </c>
      <c r="Z300" s="125">
        <f t="shared" si="99"/>
        <v>10</v>
      </c>
      <c r="AA300" s="125">
        <f t="shared" si="99"/>
        <v>200</v>
      </c>
      <c r="AB300" s="125">
        <f t="shared" si="99"/>
        <v>10</v>
      </c>
      <c r="AC300" s="125">
        <f t="shared" si="99"/>
        <v>200</v>
      </c>
      <c r="AD300" s="119">
        <f t="shared" si="99"/>
        <v>40</v>
      </c>
      <c r="AE300" s="126">
        <f t="shared" si="100"/>
        <v>415</v>
      </c>
      <c r="AF300" s="66">
        <f t="shared" si="101"/>
        <v>500</v>
      </c>
      <c r="AG300" s="66" t="str">
        <f t="shared" si="102"/>
        <v>В25</v>
      </c>
      <c r="AH300" s="66">
        <f t="shared" si="102"/>
        <v>1</v>
      </c>
    </row>
    <row r="301" spans="1:34" ht="15.75" thickTop="1" x14ac:dyDescent="0.25"/>
    <row r="304" spans="1:34" ht="15.75" thickBot="1" x14ac:dyDescent="0.3"/>
    <row r="305" spans="1:35" ht="91.5" thickTop="1" thickBot="1" x14ac:dyDescent="0.3">
      <c r="A305" s="133" t="s">
        <v>159</v>
      </c>
      <c r="B305" s="135" t="s">
        <v>160</v>
      </c>
      <c r="C305" s="135" t="s">
        <v>2750</v>
      </c>
      <c r="D305" s="135" t="s">
        <v>2856</v>
      </c>
      <c r="E305" s="138" t="s">
        <v>163</v>
      </c>
      <c r="F305" s="135" t="s">
        <v>2857</v>
      </c>
      <c r="G305" s="135" t="s">
        <v>2858</v>
      </c>
      <c r="H305" s="140" t="s">
        <v>166</v>
      </c>
      <c r="I305" s="141"/>
      <c r="J305" s="142"/>
      <c r="K305" s="143" t="s">
        <v>2859</v>
      </c>
      <c r="L305" s="143" t="s">
        <v>2860</v>
      </c>
      <c r="M305" s="146" t="s">
        <v>2861</v>
      </c>
      <c r="N305" s="107" t="s">
        <v>2714</v>
      </c>
      <c r="O305" s="108" t="s">
        <v>2862</v>
      </c>
      <c r="P305" s="109" t="s">
        <v>2863</v>
      </c>
      <c r="Q305" s="109" t="s">
        <v>2864</v>
      </c>
      <c r="R305" s="109" t="s">
        <v>2865</v>
      </c>
      <c r="S305" s="109" t="s">
        <v>2866</v>
      </c>
      <c r="T305" s="109" t="s">
        <v>2867</v>
      </c>
      <c r="U305" s="109" t="s">
        <v>2868</v>
      </c>
      <c r="V305" s="109" t="s">
        <v>2869</v>
      </c>
      <c r="W305" s="109" t="s">
        <v>2870</v>
      </c>
      <c r="X305" s="109" t="s">
        <v>2871</v>
      </c>
      <c r="Y305" s="109" t="s">
        <v>2872</v>
      </c>
      <c r="Z305" s="109" t="s">
        <v>2873</v>
      </c>
      <c r="AA305" s="109" t="s">
        <v>2874</v>
      </c>
      <c r="AB305" s="109" t="s">
        <v>2875</v>
      </c>
      <c r="AC305" s="110" t="s">
        <v>2876</v>
      </c>
      <c r="AD305" s="111" t="s">
        <v>2877</v>
      </c>
      <c r="AE305" s="143" t="s">
        <v>180</v>
      </c>
      <c r="AF305" s="131" t="s">
        <v>2878</v>
      </c>
      <c r="AG305" s="111" t="s">
        <v>2879</v>
      </c>
      <c r="AH305" s="111" t="s">
        <v>2880</v>
      </c>
      <c r="AI305" s="112" t="s">
        <v>2881</v>
      </c>
    </row>
    <row r="306" spans="1:35" ht="17.25" thickTop="1" thickBot="1" x14ac:dyDescent="0.3">
      <c r="A306" s="134"/>
      <c r="B306" s="136"/>
      <c r="C306" s="136"/>
      <c r="D306" s="137"/>
      <c r="E306" s="139"/>
      <c r="F306" s="137"/>
      <c r="G306" s="137"/>
      <c r="H306" s="113" t="s">
        <v>170</v>
      </c>
      <c r="I306" s="114" t="s">
        <v>171</v>
      </c>
      <c r="J306" s="115" t="s">
        <v>172</v>
      </c>
      <c r="K306" s="144"/>
      <c r="L306" s="145"/>
      <c r="M306" s="147"/>
      <c r="N306" s="116" t="str">
        <f>'[1]Исх.Таблица из архикада'!A19</f>
        <v>Пс8.7.2</v>
      </c>
      <c r="O306" s="116">
        <f>'[1]Исх.Таблица из архикада'!B19</f>
        <v>8460</v>
      </c>
      <c r="P306" s="116">
        <f>'[1]Исх.Таблица из архикада'!C19</f>
        <v>2850</v>
      </c>
      <c r="Q306" s="116">
        <f>'[1]Исх.Таблица из архикада'!D19</f>
        <v>400</v>
      </c>
      <c r="R306" s="116">
        <f>'[1]Исх.Таблица из архикада'!E19</f>
        <v>1900</v>
      </c>
      <c r="S306" s="116">
        <f>'[1]Исх.Таблица из архикада'!F19</f>
        <v>300</v>
      </c>
      <c r="T306" s="116">
        <f>'[1]Исх.Таблица из архикада'!G19</f>
        <v>1200</v>
      </c>
      <c r="U306" s="116">
        <f>'[1]Исх.Таблица из архикада'!H19</f>
        <v>300</v>
      </c>
      <c r="V306" s="116">
        <f>'[1]Исх.Таблица из архикада'!I19</f>
        <v>10</v>
      </c>
      <c r="W306" s="116">
        <f>'[1]Исх.Таблица из архикада'!J19</f>
        <v>200</v>
      </c>
      <c r="X306" s="116">
        <f>'[1]Исх.Таблица из архикада'!K19</f>
        <v>10</v>
      </c>
      <c r="Y306" s="116">
        <f>'[1]Исх.Таблица из архикада'!L19</f>
        <v>200</v>
      </c>
      <c r="Z306" s="116">
        <f>'[1]Исх.Таблица из архикада'!M19</f>
        <v>10</v>
      </c>
      <c r="AA306" s="116">
        <f>'[1]Исх.Таблица из архикада'!N19</f>
        <v>200</v>
      </c>
      <c r="AB306" s="116">
        <f>'[1]Исх.Таблица из архикада'!O19</f>
        <v>10</v>
      </c>
      <c r="AC306" s="116">
        <f>'[1]Исх.Таблица из архикада'!P19</f>
        <v>200</v>
      </c>
      <c r="AD306" s="116">
        <v>40</v>
      </c>
      <c r="AE306" s="145"/>
      <c r="AF306" s="132"/>
      <c r="AG306" s="118" t="s">
        <v>2882</v>
      </c>
      <c r="AH306" s="118">
        <v>1</v>
      </c>
      <c r="AI306">
        <v>6000</v>
      </c>
    </row>
    <row r="307" spans="1:35" ht="17.25" thickTop="1" thickBot="1" x14ac:dyDescent="0.3">
      <c r="A307" s="119" t="str">
        <f>N306</f>
        <v>Пс8.7.2</v>
      </c>
      <c r="B307" s="119">
        <v>1</v>
      </c>
      <c r="C307" s="46" t="s">
        <v>2883</v>
      </c>
      <c r="D307" s="119">
        <f>W307</f>
        <v>200</v>
      </c>
      <c r="E307" s="120">
        <f>IF(O307&lt;=5700, ROUNDUP(P307*2/W307+1,0), 1)</f>
        <v>1</v>
      </c>
      <c r="F307" s="119">
        <f>ROUNDUP(((O307*R307*U307)*0.000000001+(O307*P307*Q307)*0.000000001),1)</f>
        <v>14.5</v>
      </c>
      <c r="G307" s="119">
        <f>ROUNDUP((0.1*(R307+200)*(O307)*0.000001),1)</f>
        <v>1.8</v>
      </c>
      <c r="H307" s="120">
        <f>IF(O307&lt;=5700, O307-50, K307)</f>
        <v>135970</v>
      </c>
      <c r="I307" s="121">
        <f>V307</f>
        <v>10</v>
      </c>
      <c r="J307" s="46" t="s">
        <v>2</v>
      </c>
      <c r="K307" s="122">
        <f>Арм_ПоПлощади(O307*P307,W307,AF307,$AI$3)</f>
        <v>135970</v>
      </c>
      <c r="L307" s="123">
        <f>IF(R307&lt;=2000,(0),(ROUNDUP(O307*R307*0.000001/1+SQRT(O307*R307*0.000001),0)))</f>
        <v>0</v>
      </c>
      <c r="M307" s="124">
        <v>1</v>
      </c>
      <c r="N307" s="125" t="str">
        <f>N306</f>
        <v>Пс8.7.2</v>
      </c>
      <c r="O307" s="125">
        <f t="shared" ref="O307:AD307" si="104">O306</f>
        <v>8460</v>
      </c>
      <c r="P307" s="125">
        <f t="shared" si="104"/>
        <v>2850</v>
      </c>
      <c r="Q307" s="125">
        <f t="shared" si="104"/>
        <v>400</v>
      </c>
      <c r="R307" s="125">
        <f t="shared" si="104"/>
        <v>1900</v>
      </c>
      <c r="S307" s="125">
        <f t="shared" si="104"/>
        <v>300</v>
      </c>
      <c r="T307" s="125">
        <f t="shared" si="104"/>
        <v>1200</v>
      </c>
      <c r="U307" s="125">
        <f t="shared" si="104"/>
        <v>300</v>
      </c>
      <c r="V307" s="125">
        <f t="shared" si="104"/>
        <v>10</v>
      </c>
      <c r="W307" s="125">
        <f t="shared" si="104"/>
        <v>200</v>
      </c>
      <c r="X307" s="125">
        <f t="shared" si="104"/>
        <v>10</v>
      </c>
      <c r="Y307" s="125">
        <f t="shared" si="104"/>
        <v>200</v>
      </c>
      <c r="Z307" s="125">
        <f t="shared" si="104"/>
        <v>10</v>
      </c>
      <c r="AA307" s="125">
        <f t="shared" si="104"/>
        <v>200</v>
      </c>
      <c r="AB307" s="125">
        <f t="shared" si="104"/>
        <v>10</v>
      </c>
      <c r="AC307" s="125">
        <f t="shared" si="104"/>
        <v>200</v>
      </c>
      <c r="AD307" s="119">
        <f t="shared" si="104"/>
        <v>40</v>
      </c>
      <c r="AE307" s="126">
        <f>Арм_Анкеровка(I307,J307,$AG$3,$AH$3)</f>
        <v>415</v>
      </c>
      <c r="AF307" s="66">
        <f>Арм_Нахлёст(I307,J307,$AG$3,$AH$3)</f>
        <v>500</v>
      </c>
      <c r="AG307" s="66" t="str">
        <f>AG306</f>
        <v>В25</v>
      </c>
      <c r="AH307" s="66">
        <f>AH306</f>
        <v>1</v>
      </c>
    </row>
    <row r="308" spans="1:35" ht="17.25" thickTop="1" thickBot="1" x14ac:dyDescent="0.3">
      <c r="A308" s="119" t="str">
        <f>A307</f>
        <v>Пс8.7.2</v>
      </c>
      <c r="B308" s="119">
        <v>2</v>
      </c>
      <c r="C308" s="46" t="s">
        <v>2884</v>
      </c>
      <c r="D308" s="119">
        <f>Y307</f>
        <v>200</v>
      </c>
      <c r="E308" s="127">
        <f>ROUNDUP(O308/Y308,0)</f>
        <v>43</v>
      </c>
      <c r="F308" s="119"/>
      <c r="G308" s="119"/>
      <c r="H308" s="127">
        <f>Арм_Элемент_П(AF308, (Q308-2*AD308), I308, J308)</f>
        <v>1300</v>
      </c>
      <c r="I308" s="121">
        <f>X308</f>
        <v>10</v>
      </c>
      <c r="J308" s="46" t="s">
        <v>2</v>
      </c>
      <c r="K308" s="128"/>
      <c r="L308" s="119"/>
      <c r="M308" s="124">
        <f t="shared" ref="M308:AD319" si="105">M307</f>
        <v>1</v>
      </c>
      <c r="N308" s="125" t="str">
        <f t="shared" si="105"/>
        <v>Пс8.7.2</v>
      </c>
      <c r="O308" s="125">
        <f t="shared" si="105"/>
        <v>8460</v>
      </c>
      <c r="P308" s="125">
        <f t="shared" si="105"/>
        <v>2850</v>
      </c>
      <c r="Q308" s="125">
        <f t="shared" si="105"/>
        <v>400</v>
      </c>
      <c r="R308" s="125">
        <f t="shared" si="105"/>
        <v>1900</v>
      </c>
      <c r="S308" s="125">
        <f t="shared" si="105"/>
        <v>300</v>
      </c>
      <c r="T308" s="125">
        <f t="shared" si="105"/>
        <v>1200</v>
      </c>
      <c r="U308" s="125">
        <f t="shared" si="105"/>
        <v>300</v>
      </c>
      <c r="V308" s="125">
        <f t="shared" si="105"/>
        <v>10</v>
      </c>
      <c r="W308" s="125">
        <f t="shared" si="105"/>
        <v>200</v>
      </c>
      <c r="X308" s="125">
        <f t="shared" si="105"/>
        <v>10</v>
      </c>
      <c r="Y308" s="125">
        <f t="shared" si="105"/>
        <v>200</v>
      </c>
      <c r="Z308" s="125">
        <f t="shared" si="105"/>
        <v>10</v>
      </c>
      <c r="AA308" s="125">
        <f t="shared" si="105"/>
        <v>200</v>
      </c>
      <c r="AB308" s="125">
        <f t="shared" si="105"/>
        <v>10</v>
      </c>
      <c r="AC308" s="125">
        <f t="shared" si="105"/>
        <v>200</v>
      </c>
      <c r="AD308" s="119">
        <f t="shared" si="105"/>
        <v>40</v>
      </c>
      <c r="AE308" s="126">
        <f t="shared" ref="AE308:AE319" si="106">Арм_Анкеровка(I308,J308,$AG$3,$AH$3)</f>
        <v>415</v>
      </c>
      <c r="AF308" s="66">
        <f t="shared" ref="AF308:AF319" si="107">Арм_Нахлёст(I308,J308,$AG$3,$AH$3)</f>
        <v>500</v>
      </c>
      <c r="AG308" s="66" t="str">
        <f t="shared" ref="AG308:AH319" si="108">AG307</f>
        <v>В25</v>
      </c>
      <c r="AH308" s="66">
        <f t="shared" si="108"/>
        <v>1</v>
      </c>
    </row>
    <row r="309" spans="1:35" ht="17.25" thickTop="1" thickBot="1" x14ac:dyDescent="0.3">
      <c r="A309" s="119" t="str">
        <f t="shared" ref="A309:A319" si="109">A308</f>
        <v>Пс8.7.2</v>
      </c>
      <c r="B309" s="119">
        <v>3</v>
      </c>
      <c r="C309" s="46" t="s">
        <v>2885</v>
      </c>
      <c r="D309" s="119">
        <f>W309</f>
        <v>200</v>
      </c>
      <c r="E309" s="127">
        <f>MROUND(2*P309/D309,2)</f>
        <v>28</v>
      </c>
      <c r="F309" s="119"/>
      <c r="G309" s="119"/>
      <c r="H309" s="127">
        <f>Арм_Элемент_П(AF309, (Q309-2*AD309), I309, J309)</f>
        <v>1320</v>
      </c>
      <c r="I309" s="121">
        <f>V309</f>
        <v>10</v>
      </c>
      <c r="J309" s="46" t="s">
        <v>2</v>
      </c>
      <c r="K309" s="128"/>
      <c r="L309" s="119"/>
      <c r="M309" s="124">
        <f t="shared" si="105"/>
        <v>1</v>
      </c>
      <c r="N309" s="125" t="str">
        <f t="shared" si="105"/>
        <v>Пс8.7.2</v>
      </c>
      <c r="O309" s="125">
        <f t="shared" si="105"/>
        <v>8460</v>
      </c>
      <c r="P309" s="125">
        <f t="shared" si="105"/>
        <v>2850</v>
      </c>
      <c r="Q309" s="125">
        <f t="shared" si="105"/>
        <v>400</v>
      </c>
      <c r="R309" s="125">
        <f t="shared" si="105"/>
        <v>1900</v>
      </c>
      <c r="S309" s="125">
        <f t="shared" si="105"/>
        <v>300</v>
      </c>
      <c r="T309" s="125">
        <f t="shared" si="105"/>
        <v>1200</v>
      </c>
      <c r="U309" s="125">
        <f t="shared" si="105"/>
        <v>300</v>
      </c>
      <c r="V309" s="125">
        <f t="shared" si="105"/>
        <v>10</v>
      </c>
      <c r="W309" s="125">
        <f t="shared" si="105"/>
        <v>200</v>
      </c>
      <c r="X309" s="125">
        <f t="shared" si="105"/>
        <v>10</v>
      </c>
      <c r="Y309" s="125">
        <f t="shared" si="105"/>
        <v>200</v>
      </c>
      <c r="Z309" s="125">
        <f t="shared" si="105"/>
        <v>10</v>
      </c>
      <c r="AA309" s="125">
        <f t="shared" si="105"/>
        <v>200</v>
      </c>
      <c r="AB309" s="125">
        <f t="shared" si="105"/>
        <v>10</v>
      </c>
      <c r="AC309" s="125">
        <f t="shared" si="105"/>
        <v>200</v>
      </c>
      <c r="AD309" s="119">
        <v>30</v>
      </c>
      <c r="AE309" s="126">
        <f t="shared" si="106"/>
        <v>415</v>
      </c>
      <c r="AF309" s="66">
        <f t="shared" si="107"/>
        <v>500</v>
      </c>
      <c r="AG309" s="66" t="str">
        <f t="shared" si="108"/>
        <v>В25</v>
      </c>
      <c r="AH309" s="66">
        <f t="shared" si="108"/>
        <v>1</v>
      </c>
    </row>
    <row r="310" spans="1:35" ht="17.25" thickTop="1" thickBot="1" x14ac:dyDescent="0.3">
      <c r="A310" s="119" t="str">
        <f t="shared" si="109"/>
        <v>Пс8.7.2</v>
      </c>
      <c r="B310" s="119">
        <v>4</v>
      </c>
      <c r="C310" s="46" t="s">
        <v>2886</v>
      </c>
      <c r="D310" s="119">
        <f>Y310</f>
        <v>200</v>
      </c>
      <c r="E310" s="127">
        <f>ROUNDUP(O310/Y310,0)*2</f>
        <v>86</v>
      </c>
      <c r="F310" s="119"/>
      <c r="G310" s="119"/>
      <c r="H310" s="127">
        <f>IF(P310&lt;=3000,(IF(Q310&lt;=150,(P310-25+AE310+Q310-(35+V310)),(P310-25+AE310))),(P310-25))</f>
        <v>3240</v>
      </c>
      <c r="I310" s="121">
        <f>X310</f>
        <v>10</v>
      </c>
      <c r="J310" s="46" t="s">
        <v>2</v>
      </c>
      <c r="K310" s="128"/>
      <c r="L310" s="119"/>
      <c r="M310" s="124">
        <f t="shared" si="105"/>
        <v>1</v>
      </c>
      <c r="N310" s="125" t="str">
        <f t="shared" si="105"/>
        <v>Пс8.7.2</v>
      </c>
      <c r="O310" s="125">
        <f t="shared" si="105"/>
        <v>8460</v>
      </c>
      <c r="P310" s="125">
        <f t="shared" si="105"/>
        <v>2850</v>
      </c>
      <c r="Q310" s="125">
        <f t="shared" si="105"/>
        <v>400</v>
      </c>
      <c r="R310" s="125">
        <f t="shared" si="105"/>
        <v>1900</v>
      </c>
      <c r="S310" s="125">
        <f t="shared" si="105"/>
        <v>300</v>
      </c>
      <c r="T310" s="125">
        <f t="shared" si="105"/>
        <v>1200</v>
      </c>
      <c r="U310" s="125">
        <f t="shared" si="105"/>
        <v>300</v>
      </c>
      <c r="V310" s="125">
        <f t="shared" si="105"/>
        <v>10</v>
      </c>
      <c r="W310" s="125">
        <f t="shared" si="105"/>
        <v>200</v>
      </c>
      <c r="X310" s="125">
        <f t="shared" si="105"/>
        <v>10</v>
      </c>
      <c r="Y310" s="125">
        <f t="shared" si="105"/>
        <v>200</v>
      </c>
      <c r="Z310" s="125">
        <f t="shared" si="105"/>
        <v>10</v>
      </c>
      <c r="AA310" s="125">
        <f t="shared" si="105"/>
        <v>200</v>
      </c>
      <c r="AB310" s="125">
        <f t="shared" si="105"/>
        <v>10</v>
      </c>
      <c r="AC310" s="125">
        <f t="shared" si="105"/>
        <v>200</v>
      </c>
      <c r="AD310" s="119">
        <v>40</v>
      </c>
      <c r="AE310" s="126">
        <f t="shared" si="106"/>
        <v>415</v>
      </c>
      <c r="AF310" s="66">
        <f t="shared" si="107"/>
        <v>500</v>
      </c>
      <c r="AG310" s="66" t="str">
        <f t="shared" si="108"/>
        <v>В25</v>
      </c>
      <c r="AH310" s="66">
        <f t="shared" si="108"/>
        <v>1</v>
      </c>
    </row>
    <row r="311" spans="1:35" ht="17.25" thickTop="1" thickBot="1" x14ac:dyDescent="0.3">
      <c r="A311" s="119" t="str">
        <f t="shared" si="109"/>
        <v>Пс8.7.2</v>
      </c>
      <c r="B311" s="119">
        <v>5</v>
      </c>
      <c r="C311" s="46" t="s">
        <v>2887</v>
      </c>
      <c r="D311" s="119">
        <v>400</v>
      </c>
      <c r="E311" s="127">
        <f>ROUNDUP((13*(O311*P311/1000000)),0)</f>
        <v>314</v>
      </c>
      <c r="F311" s="119"/>
      <c r="G311" s="119"/>
      <c r="H311" s="127">
        <f>Q311-AD311*2+150</f>
        <v>470</v>
      </c>
      <c r="I311" s="121">
        <v>6</v>
      </c>
      <c r="J311" s="46" t="s">
        <v>2</v>
      </c>
      <c r="K311" s="128"/>
      <c r="L311" s="119"/>
      <c r="M311" s="124">
        <f t="shared" si="105"/>
        <v>1</v>
      </c>
      <c r="N311" s="125" t="str">
        <f t="shared" si="105"/>
        <v>Пс8.7.2</v>
      </c>
      <c r="O311" s="125">
        <f t="shared" si="105"/>
        <v>8460</v>
      </c>
      <c r="P311" s="125">
        <f t="shared" si="105"/>
        <v>2850</v>
      </c>
      <c r="Q311" s="125">
        <f t="shared" si="105"/>
        <v>400</v>
      </c>
      <c r="R311" s="125">
        <f t="shared" si="105"/>
        <v>1900</v>
      </c>
      <c r="S311" s="125">
        <f t="shared" si="105"/>
        <v>300</v>
      </c>
      <c r="T311" s="125">
        <f t="shared" si="105"/>
        <v>1200</v>
      </c>
      <c r="U311" s="125">
        <f t="shared" si="105"/>
        <v>300</v>
      </c>
      <c r="V311" s="125">
        <f t="shared" si="105"/>
        <v>10</v>
      </c>
      <c r="W311" s="125">
        <f t="shared" si="105"/>
        <v>200</v>
      </c>
      <c r="X311" s="125">
        <f t="shared" si="105"/>
        <v>10</v>
      </c>
      <c r="Y311" s="125">
        <f t="shared" si="105"/>
        <v>200</v>
      </c>
      <c r="Z311" s="125">
        <f t="shared" si="105"/>
        <v>10</v>
      </c>
      <c r="AA311" s="125">
        <f t="shared" si="105"/>
        <v>200</v>
      </c>
      <c r="AB311" s="125">
        <f t="shared" si="105"/>
        <v>10</v>
      </c>
      <c r="AC311" s="125">
        <f t="shared" si="105"/>
        <v>200</v>
      </c>
      <c r="AD311" s="119">
        <f t="shared" si="105"/>
        <v>40</v>
      </c>
      <c r="AE311" s="126">
        <f t="shared" si="106"/>
        <v>250</v>
      </c>
      <c r="AF311" s="66">
        <f t="shared" si="107"/>
        <v>300</v>
      </c>
      <c r="AG311" s="66" t="str">
        <f t="shared" si="108"/>
        <v>В25</v>
      </c>
      <c r="AH311" s="66">
        <f t="shared" si="108"/>
        <v>1</v>
      </c>
    </row>
    <row r="312" spans="1:35" ht="17.25" thickTop="1" thickBot="1" x14ac:dyDescent="0.3">
      <c r="A312" s="119" t="str">
        <f t="shared" si="109"/>
        <v>Пс8.7.2</v>
      </c>
      <c r="B312" s="119">
        <v>6</v>
      </c>
      <c r="C312" s="46" t="s">
        <v>2888</v>
      </c>
      <c r="D312" s="119">
        <f>AA312</f>
        <v>200</v>
      </c>
      <c r="E312" s="127">
        <f>IF(R312&lt;=2000,(ROUNDUP(O312/D312,0)),(ROUNDUP(O312/D312,0)*2))</f>
        <v>43</v>
      </c>
      <c r="F312" s="119"/>
      <c r="G312" s="119"/>
      <c r="H312" s="127">
        <f>R312-50</f>
        <v>1850</v>
      </c>
      <c r="I312" s="121">
        <f>Z312</f>
        <v>10</v>
      </c>
      <c r="J312" s="46" t="s">
        <v>2</v>
      </c>
      <c r="K312" s="128"/>
      <c r="L312" s="119"/>
      <c r="M312" s="124">
        <f t="shared" si="105"/>
        <v>1</v>
      </c>
      <c r="N312" s="125" t="str">
        <f t="shared" si="105"/>
        <v>Пс8.7.2</v>
      </c>
      <c r="O312" s="125">
        <f t="shared" si="105"/>
        <v>8460</v>
      </c>
      <c r="P312" s="125">
        <f t="shared" si="105"/>
        <v>2850</v>
      </c>
      <c r="Q312" s="125">
        <f t="shared" si="105"/>
        <v>400</v>
      </c>
      <c r="R312" s="125">
        <f t="shared" si="105"/>
        <v>1900</v>
      </c>
      <c r="S312" s="125">
        <f t="shared" si="105"/>
        <v>300</v>
      </c>
      <c r="T312" s="125">
        <f t="shared" si="105"/>
        <v>1200</v>
      </c>
      <c r="U312" s="125">
        <f t="shared" si="105"/>
        <v>300</v>
      </c>
      <c r="V312" s="125">
        <f t="shared" si="105"/>
        <v>10</v>
      </c>
      <c r="W312" s="125">
        <f t="shared" si="105"/>
        <v>200</v>
      </c>
      <c r="X312" s="125">
        <f t="shared" si="105"/>
        <v>10</v>
      </c>
      <c r="Y312" s="125">
        <f t="shared" si="105"/>
        <v>200</v>
      </c>
      <c r="Z312" s="125">
        <f t="shared" si="105"/>
        <v>10</v>
      </c>
      <c r="AA312" s="125">
        <f t="shared" si="105"/>
        <v>200</v>
      </c>
      <c r="AB312" s="125">
        <f t="shared" si="105"/>
        <v>10</v>
      </c>
      <c r="AC312" s="125">
        <f t="shared" si="105"/>
        <v>200</v>
      </c>
      <c r="AD312" s="119">
        <f t="shared" si="105"/>
        <v>40</v>
      </c>
      <c r="AE312" s="126">
        <f t="shared" si="106"/>
        <v>415</v>
      </c>
      <c r="AF312" s="66">
        <f t="shared" si="107"/>
        <v>500</v>
      </c>
      <c r="AG312" s="66" t="str">
        <f t="shared" si="108"/>
        <v>В25</v>
      </c>
      <c r="AH312" s="66">
        <f t="shared" si="108"/>
        <v>1</v>
      </c>
    </row>
    <row r="313" spans="1:35" ht="17.25" thickTop="1" thickBot="1" x14ac:dyDescent="0.3">
      <c r="A313" s="119" t="str">
        <f t="shared" si="109"/>
        <v>Пс8.7.2</v>
      </c>
      <c r="B313" s="119">
        <v>7</v>
      </c>
      <c r="C313" s="46" t="s">
        <v>2889</v>
      </c>
      <c r="D313" s="119">
        <f>AC313</f>
        <v>200</v>
      </c>
      <c r="E313" s="120">
        <f>IF(O313&lt;=5700, ROUNDUP(R313*2/AC313,0), 1)</f>
        <v>1</v>
      </c>
      <c r="F313" s="119"/>
      <c r="G313" s="119"/>
      <c r="H313" s="120">
        <f>IF(O313&lt;=5700, O313-50, K313)</f>
        <v>91880</v>
      </c>
      <c r="I313" s="121">
        <f>AB313</f>
        <v>10</v>
      </c>
      <c r="J313" s="46" t="s">
        <v>2</v>
      </c>
      <c r="K313" s="122">
        <f>Арм_ПоПлощади(O313*R313,AC313,AF313,$AI$3)</f>
        <v>91880</v>
      </c>
      <c r="L313" s="119"/>
      <c r="M313" s="124">
        <f t="shared" si="105"/>
        <v>1</v>
      </c>
      <c r="N313" s="125" t="str">
        <f t="shared" si="105"/>
        <v>Пс8.7.2</v>
      </c>
      <c r="O313" s="125">
        <f t="shared" si="105"/>
        <v>8460</v>
      </c>
      <c r="P313" s="125">
        <f t="shared" si="105"/>
        <v>2850</v>
      </c>
      <c r="Q313" s="125">
        <f t="shared" si="105"/>
        <v>400</v>
      </c>
      <c r="R313" s="125">
        <f t="shared" si="105"/>
        <v>1900</v>
      </c>
      <c r="S313" s="125">
        <f t="shared" si="105"/>
        <v>300</v>
      </c>
      <c r="T313" s="125">
        <f t="shared" si="105"/>
        <v>1200</v>
      </c>
      <c r="U313" s="125">
        <f t="shared" si="105"/>
        <v>300</v>
      </c>
      <c r="V313" s="125">
        <f t="shared" si="105"/>
        <v>10</v>
      </c>
      <c r="W313" s="125">
        <f t="shared" si="105"/>
        <v>200</v>
      </c>
      <c r="X313" s="125">
        <f t="shared" si="105"/>
        <v>10</v>
      </c>
      <c r="Y313" s="125">
        <f t="shared" si="105"/>
        <v>200</v>
      </c>
      <c r="Z313" s="125">
        <f t="shared" si="105"/>
        <v>10</v>
      </c>
      <c r="AA313" s="125">
        <f t="shared" si="105"/>
        <v>200</v>
      </c>
      <c r="AB313" s="125">
        <f t="shared" si="105"/>
        <v>10</v>
      </c>
      <c r="AC313" s="125">
        <f t="shared" si="105"/>
        <v>200</v>
      </c>
      <c r="AD313" s="119">
        <f t="shared" si="105"/>
        <v>40</v>
      </c>
      <c r="AE313" s="126">
        <f t="shared" si="106"/>
        <v>415</v>
      </c>
      <c r="AF313" s="66">
        <f t="shared" si="107"/>
        <v>500</v>
      </c>
      <c r="AG313" s="66" t="str">
        <f t="shared" si="108"/>
        <v>В25</v>
      </c>
      <c r="AH313" s="66">
        <f t="shared" si="108"/>
        <v>1</v>
      </c>
    </row>
    <row r="314" spans="1:35" ht="17.25" thickTop="1" thickBot="1" x14ac:dyDescent="0.3">
      <c r="A314" s="119" t="str">
        <f t="shared" si="109"/>
        <v>Пс8.7.2</v>
      </c>
      <c r="B314" s="119">
        <v>8</v>
      </c>
      <c r="C314" s="46" t="s">
        <v>2890</v>
      </c>
      <c r="D314" s="119">
        <f>AA314</f>
        <v>200</v>
      </c>
      <c r="E314" s="127">
        <f>IF(E319=0, (ROUNDUP(O314/D314,0)*2), 0)</f>
        <v>0</v>
      </c>
      <c r="F314" s="119"/>
      <c r="G314" s="119"/>
      <c r="H314" s="127">
        <f>Арм_Элемент_П(AF314, (U314-2*AD314), I314, J314)</f>
        <v>1220</v>
      </c>
      <c r="I314" s="121">
        <f>Z314</f>
        <v>10</v>
      </c>
      <c r="J314" s="46" t="s">
        <v>2</v>
      </c>
      <c r="K314" s="128"/>
      <c r="L314" s="119"/>
      <c r="M314" s="124">
        <f t="shared" si="105"/>
        <v>1</v>
      </c>
      <c r="N314" s="125" t="str">
        <f t="shared" si="105"/>
        <v>Пс8.7.2</v>
      </c>
      <c r="O314" s="125">
        <f t="shared" si="105"/>
        <v>8460</v>
      </c>
      <c r="P314" s="125">
        <f t="shared" si="105"/>
        <v>2850</v>
      </c>
      <c r="Q314" s="125">
        <f t="shared" si="105"/>
        <v>400</v>
      </c>
      <c r="R314" s="125">
        <f t="shared" si="105"/>
        <v>1900</v>
      </c>
      <c r="S314" s="125">
        <f t="shared" si="105"/>
        <v>300</v>
      </c>
      <c r="T314" s="125">
        <f t="shared" si="105"/>
        <v>1200</v>
      </c>
      <c r="U314" s="125">
        <f t="shared" si="105"/>
        <v>300</v>
      </c>
      <c r="V314" s="125">
        <f t="shared" si="105"/>
        <v>10</v>
      </c>
      <c r="W314" s="125">
        <f t="shared" si="105"/>
        <v>200</v>
      </c>
      <c r="X314" s="125">
        <f t="shared" si="105"/>
        <v>10</v>
      </c>
      <c r="Y314" s="125">
        <f t="shared" si="105"/>
        <v>200</v>
      </c>
      <c r="Z314" s="125">
        <f t="shared" si="105"/>
        <v>10</v>
      </c>
      <c r="AA314" s="125">
        <f t="shared" si="105"/>
        <v>200</v>
      </c>
      <c r="AB314" s="125">
        <f t="shared" si="105"/>
        <v>10</v>
      </c>
      <c r="AC314" s="125">
        <f t="shared" si="105"/>
        <v>200</v>
      </c>
      <c r="AD314" s="119">
        <v>30</v>
      </c>
      <c r="AE314" s="126">
        <f t="shared" si="106"/>
        <v>415</v>
      </c>
      <c r="AF314" s="66">
        <f t="shared" si="107"/>
        <v>500</v>
      </c>
      <c r="AG314" s="66" t="str">
        <f t="shared" si="108"/>
        <v>В25</v>
      </c>
      <c r="AH314" s="66">
        <f t="shared" si="108"/>
        <v>1</v>
      </c>
    </row>
    <row r="315" spans="1:35" ht="17.25" thickTop="1" thickBot="1" x14ac:dyDescent="0.3">
      <c r="A315" s="119" t="str">
        <f t="shared" si="109"/>
        <v>Пс8.7.2</v>
      </c>
      <c r="B315" s="119">
        <v>9</v>
      </c>
      <c r="C315" s="46" t="s">
        <v>2891</v>
      </c>
      <c r="D315" s="119">
        <f>AC315</f>
        <v>200</v>
      </c>
      <c r="E315" s="127">
        <f>MROUND(2*R315/AC315,2)</f>
        <v>20</v>
      </c>
      <c r="F315" s="119"/>
      <c r="G315" s="119"/>
      <c r="H315" s="127">
        <f>Арм_Элемент_П(AF315, (U315-2*AD315), I315, J315)</f>
        <v>1200</v>
      </c>
      <c r="I315" s="121">
        <f>AB315</f>
        <v>10</v>
      </c>
      <c r="J315" s="46" t="s">
        <v>2</v>
      </c>
      <c r="K315" s="128"/>
      <c r="L315" s="119"/>
      <c r="M315" s="124">
        <f t="shared" si="105"/>
        <v>1</v>
      </c>
      <c r="N315" s="125" t="str">
        <f t="shared" si="105"/>
        <v>Пс8.7.2</v>
      </c>
      <c r="O315" s="125">
        <f t="shared" si="105"/>
        <v>8460</v>
      </c>
      <c r="P315" s="125">
        <f t="shared" si="105"/>
        <v>2850</v>
      </c>
      <c r="Q315" s="125">
        <f t="shared" si="105"/>
        <v>400</v>
      </c>
      <c r="R315" s="125">
        <f t="shared" si="105"/>
        <v>1900</v>
      </c>
      <c r="S315" s="125">
        <f t="shared" si="105"/>
        <v>300</v>
      </c>
      <c r="T315" s="125">
        <f t="shared" si="105"/>
        <v>1200</v>
      </c>
      <c r="U315" s="125">
        <f t="shared" si="105"/>
        <v>300</v>
      </c>
      <c r="V315" s="125">
        <f t="shared" si="105"/>
        <v>10</v>
      </c>
      <c r="W315" s="125">
        <f t="shared" si="105"/>
        <v>200</v>
      </c>
      <c r="X315" s="125">
        <f t="shared" si="105"/>
        <v>10</v>
      </c>
      <c r="Y315" s="125">
        <f t="shared" si="105"/>
        <v>200</v>
      </c>
      <c r="Z315" s="125">
        <f t="shared" si="105"/>
        <v>10</v>
      </c>
      <c r="AA315" s="125">
        <f t="shared" si="105"/>
        <v>200</v>
      </c>
      <c r="AB315" s="125">
        <f t="shared" si="105"/>
        <v>10</v>
      </c>
      <c r="AC315" s="125">
        <f t="shared" si="105"/>
        <v>200</v>
      </c>
      <c r="AD315" s="119">
        <v>40</v>
      </c>
      <c r="AE315" s="126">
        <f t="shared" si="106"/>
        <v>415</v>
      </c>
      <c r="AF315" s="66">
        <f t="shared" si="107"/>
        <v>500</v>
      </c>
      <c r="AG315" s="66" t="str">
        <f t="shared" si="108"/>
        <v>В25</v>
      </c>
      <c r="AH315" s="66">
        <f t="shared" si="108"/>
        <v>1</v>
      </c>
    </row>
    <row r="316" spans="1:35" ht="33" thickTop="1" thickBot="1" x14ac:dyDescent="0.3">
      <c r="A316" s="119" t="str">
        <f t="shared" si="109"/>
        <v>Пс8.7.2</v>
      </c>
      <c r="B316" s="119">
        <v>10</v>
      </c>
      <c r="C316" s="46" t="s">
        <v>2892</v>
      </c>
      <c r="D316" s="119">
        <f>Y316</f>
        <v>200</v>
      </c>
      <c r="E316" s="127">
        <f>ROUNDUP((IF(P316&lt;=3000,0,O316/Y316)),0)</f>
        <v>0</v>
      </c>
      <c r="F316" s="119"/>
      <c r="G316" s="119"/>
      <c r="H316" s="127">
        <f>IF(E316=0,0, (Арм_Округление(AE316+2*AF316)))</f>
        <v>0</v>
      </c>
      <c r="I316" s="121">
        <f>X316</f>
        <v>10</v>
      </c>
      <c r="J316" s="46" t="s">
        <v>2</v>
      </c>
      <c r="K316" s="128"/>
      <c r="L316" s="119"/>
      <c r="M316" s="124">
        <f t="shared" si="105"/>
        <v>1</v>
      </c>
      <c r="N316" s="125" t="str">
        <f t="shared" si="105"/>
        <v>Пс8.7.2</v>
      </c>
      <c r="O316" s="125">
        <f t="shared" si="105"/>
        <v>8460</v>
      </c>
      <c r="P316" s="125">
        <f t="shared" si="105"/>
        <v>2850</v>
      </c>
      <c r="Q316" s="125">
        <f t="shared" si="105"/>
        <v>400</v>
      </c>
      <c r="R316" s="125">
        <f t="shared" si="105"/>
        <v>1900</v>
      </c>
      <c r="S316" s="125">
        <f t="shared" si="105"/>
        <v>300</v>
      </c>
      <c r="T316" s="125">
        <f t="shared" si="105"/>
        <v>1200</v>
      </c>
      <c r="U316" s="125">
        <f t="shared" si="105"/>
        <v>300</v>
      </c>
      <c r="V316" s="125">
        <f t="shared" si="105"/>
        <v>10</v>
      </c>
      <c r="W316" s="125">
        <f t="shared" si="105"/>
        <v>200</v>
      </c>
      <c r="X316" s="125">
        <f t="shared" si="105"/>
        <v>10</v>
      </c>
      <c r="Y316" s="125">
        <f t="shared" si="105"/>
        <v>200</v>
      </c>
      <c r="Z316" s="125">
        <f t="shared" si="105"/>
        <v>10</v>
      </c>
      <c r="AA316" s="125">
        <f t="shared" si="105"/>
        <v>200</v>
      </c>
      <c r="AB316" s="125">
        <f t="shared" si="105"/>
        <v>10</v>
      </c>
      <c r="AC316" s="125">
        <f t="shared" si="105"/>
        <v>200</v>
      </c>
      <c r="AD316" s="119">
        <f t="shared" si="105"/>
        <v>40</v>
      </c>
      <c r="AE316" s="126">
        <f t="shared" si="106"/>
        <v>415</v>
      </c>
      <c r="AF316" s="66">
        <f t="shared" si="107"/>
        <v>500</v>
      </c>
      <c r="AG316" s="66" t="str">
        <f t="shared" si="108"/>
        <v>В25</v>
      </c>
      <c r="AH316" s="66">
        <f t="shared" si="108"/>
        <v>1</v>
      </c>
    </row>
    <row r="317" spans="1:35" ht="33" thickTop="1" thickBot="1" x14ac:dyDescent="0.3">
      <c r="A317" s="119" t="str">
        <f t="shared" si="109"/>
        <v>Пс8.7.2</v>
      </c>
      <c r="B317" s="119">
        <v>11</v>
      </c>
      <c r="C317" s="46" t="s">
        <v>2893</v>
      </c>
      <c r="D317" s="119">
        <f>Y317</f>
        <v>200</v>
      </c>
      <c r="E317" s="127">
        <f>ROUNDUP((IF(P317&lt;=3000,0,O317/Y317)),0)</f>
        <v>0</v>
      </c>
      <c r="F317" s="119"/>
      <c r="G317" s="119"/>
      <c r="H317" s="127">
        <f>IF(E317=0,0, (Арм_Округление(AE317+AF317)))</f>
        <v>0</v>
      </c>
      <c r="I317" s="121">
        <f>X317</f>
        <v>10</v>
      </c>
      <c r="J317" s="46" t="s">
        <v>2</v>
      </c>
      <c r="K317" s="128"/>
      <c r="L317" s="119"/>
      <c r="M317" s="124">
        <f t="shared" si="105"/>
        <v>1</v>
      </c>
      <c r="N317" s="125" t="str">
        <f t="shared" si="105"/>
        <v>Пс8.7.2</v>
      </c>
      <c r="O317" s="125">
        <f t="shared" si="105"/>
        <v>8460</v>
      </c>
      <c r="P317" s="125">
        <f t="shared" si="105"/>
        <v>2850</v>
      </c>
      <c r="Q317" s="125">
        <f t="shared" si="105"/>
        <v>400</v>
      </c>
      <c r="R317" s="125">
        <f t="shared" si="105"/>
        <v>1900</v>
      </c>
      <c r="S317" s="125">
        <f t="shared" si="105"/>
        <v>300</v>
      </c>
      <c r="T317" s="125">
        <f t="shared" si="105"/>
        <v>1200</v>
      </c>
      <c r="U317" s="125">
        <f t="shared" si="105"/>
        <v>300</v>
      </c>
      <c r="V317" s="125">
        <f t="shared" si="105"/>
        <v>10</v>
      </c>
      <c r="W317" s="125">
        <f t="shared" si="105"/>
        <v>200</v>
      </c>
      <c r="X317" s="125">
        <f t="shared" si="105"/>
        <v>10</v>
      </c>
      <c r="Y317" s="125">
        <f t="shared" si="105"/>
        <v>200</v>
      </c>
      <c r="Z317" s="125">
        <f t="shared" si="105"/>
        <v>10</v>
      </c>
      <c r="AA317" s="125">
        <f t="shared" si="105"/>
        <v>200</v>
      </c>
      <c r="AB317" s="125">
        <f t="shared" si="105"/>
        <v>10</v>
      </c>
      <c r="AC317" s="125">
        <f t="shared" si="105"/>
        <v>200</v>
      </c>
      <c r="AD317" s="119">
        <f t="shared" si="105"/>
        <v>40</v>
      </c>
      <c r="AE317" s="126">
        <f t="shared" si="106"/>
        <v>415</v>
      </c>
      <c r="AF317" s="66">
        <f t="shared" si="107"/>
        <v>500</v>
      </c>
      <c r="AG317" s="66" t="str">
        <f t="shared" si="108"/>
        <v>В25</v>
      </c>
      <c r="AH317" s="66">
        <f t="shared" si="108"/>
        <v>1</v>
      </c>
    </row>
    <row r="318" spans="1:35" ht="17.25" thickTop="1" thickBot="1" x14ac:dyDescent="0.3">
      <c r="A318" s="119" t="str">
        <f t="shared" si="109"/>
        <v>Пс8.7.2</v>
      </c>
      <c r="B318" s="119">
        <v>12</v>
      </c>
      <c r="C318" s="46" t="s">
        <v>2894</v>
      </c>
      <c r="D318" s="119">
        <f>W317</f>
        <v>200</v>
      </c>
      <c r="E318" s="127">
        <f>IF(M318=0, 0, M318*2*ROUNDUP((P318/W318),0))</f>
        <v>30</v>
      </c>
      <c r="F318" s="119"/>
      <c r="G318" s="119"/>
      <c r="H318" s="127">
        <f>IF(M318=0, 0, AF318*2)</f>
        <v>1000</v>
      </c>
      <c r="I318" s="121">
        <f>V318</f>
        <v>10</v>
      </c>
      <c r="J318" s="46" t="s">
        <v>2</v>
      </c>
      <c r="K318" s="128"/>
      <c r="L318" s="119"/>
      <c r="M318" s="124">
        <f t="shared" si="105"/>
        <v>1</v>
      </c>
      <c r="N318" s="125" t="str">
        <f t="shared" si="105"/>
        <v>Пс8.7.2</v>
      </c>
      <c r="O318" s="125">
        <f t="shared" si="105"/>
        <v>8460</v>
      </c>
      <c r="P318" s="125">
        <f t="shared" si="105"/>
        <v>2850</v>
      </c>
      <c r="Q318" s="125">
        <f t="shared" si="105"/>
        <v>400</v>
      </c>
      <c r="R318" s="125">
        <f t="shared" si="105"/>
        <v>1900</v>
      </c>
      <c r="S318" s="125">
        <f t="shared" si="105"/>
        <v>300</v>
      </c>
      <c r="T318" s="125">
        <f t="shared" si="105"/>
        <v>1200</v>
      </c>
      <c r="U318" s="125">
        <f t="shared" si="105"/>
        <v>300</v>
      </c>
      <c r="V318" s="125">
        <f t="shared" si="105"/>
        <v>10</v>
      </c>
      <c r="W318" s="125">
        <f t="shared" si="105"/>
        <v>200</v>
      </c>
      <c r="X318" s="125">
        <f t="shared" si="105"/>
        <v>10</v>
      </c>
      <c r="Y318" s="125">
        <f t="shared" si="105"/>
        <v>200</v>
      </c>
      <c r="Z318" s="125">
        <f t="shared" si="105"/>
        <v>10</v>
      </c>
      <c r="AA318" s="125">
        <f t="shared" si="105"/>
        <v>200</v>
      </c>
      <c r="AB318" s="125">
        <f t="shared" si="105"/>
        <v>10</v>
      </c>
      <c r="AC318" s="125">
        <f t="shared" si="105"/>
        <v>200</v>
      </c>
      <c r="AD318" s="119">
        <f t="shared" si="105"/>
        <v>40</v>
      </c>
      <c r="AE318" s="126">
        <f t="shared" si="106"/>
        <v>415</v>
      </c>
      <c r="AF318" s="66">
        <f t="shared" si="107"/>
        <v>500</v>
      </c>
      <c r="AG318" s="66" t="str">
        <f t="shared" si="108"/>
        <v>В25</v>
      </c>
      <c r="AH318" s="66">
        <f t="shared" si="108"/>
        <v>1</v>
      </c>
    </row>
    <row r="319" spans="1:35" ht="17.25" thickTop="1" thickBot="1" x14ac:dyDescent="0.3">
      <c r="A319" s="119" t="str">
        <f t="shared" si="109"/>
        <v>Пс8.7.2</v>
      </c>
      <c r="B319" s="119">
        <v>13</v>
      </c>
      <c r="C319" s="46" t="s">
        <v>2895</v>
      </c>
      <c r="D319" s="119">
        <f>W318</f>
        <v>200</v>
      </c>
      <c r="E319" s="127">
        <f>IF(R319&lt;=2000,(ROUNDUP(O319/D319,0)),(0))</f>
        <v>43</v>
      </c>
      <c r="F319" s="119"/>
      <c r="G319" s="119"/>
      <c r="H319" s="127">
        <f>IF(R319&lt;=2000,(ROUNDUP(R319-2*40+2*(U319-40-AB319), -1)),(0))</f>
        <v>2320</v>
      </c>
      <c r="I319" s="121">
        <f>V319</f>
        <v>10</v>
      </c>
      <c r="J319" s="46" t="s">
        <v>2</v>
      </c>
      <c r="K319" s="128"/>
      <c r="L319" s="119"/>
      <c r="M319" s="124">
        <f t="shared" si="105"/>
        <v>1</v>
      </c>
      <c r="N319" s="125" t="str">
        <f t="shared" si="105"/>
        <v>Пс8.7.2</v>
      </c>
      <c r="O319" s="125">
        <f t="shared" si="105"/>
        <v>8460</v>
      </c>
      <c r="P319" s="125">
        <f t="shared" si="105"/>
        <v>2850</v>
      </c>
      <c r="Q319" s="125">
        <f t="shared" si="105"/>
        <v>400</v>
      </c>
      <c r="R319" s="125">
        <f t="shared" si="105"/>
        <v>1900</v>
      </c>
      <c r="S319" s="125">
        <f t="shared" si="105"/>
        <v>300</v>
      </c>
      <c r="T319" s="125">
        <f t="shared" si="105"/>
        <v>1200</v>
      </c>
      <c r="U319" s="125">
        <f t="shared" si="105"/>
        <v>300</v>
      </c>
      <c r="V319" s="125">
        <f t="shared" si="105"/>
        <v>10</v>
      </c>
      <c r="W319" s="125">
        <f t="shared" si="105"/>
        <v>200</v>
      </c>
      <c r="X319" s="125">
        <f t="shared" si="105"/>
        <v>10</v>
      </c>
      <c r="Y319" s="125">
        <f t="shared" si="105"/>
        <v>200</v>
      </c>
      <c r="Z319" s="125">
        <f t="shared" si="105"/>
        <v>10</v>
      </c>
      <c r="AA319" s="125">
        <f t="shared" si="105"/>
        <v>200</v>
      </c>
      <c r="AB319" s="125">
        <f t="shared" si="105"/>
        <v>10</v>
      </c>
      <c r="AC319" s="125">
        <f t="shared" si="105"/>
        <v>200</v>
      </c>
      <c r="AD319" s="119">
        <f t="shared" si="105"/>
        <v>40</v>
      </c>
      <c r="AE319" s="126">
        <f t="shared" si="106"/>
        <v>415</v>
      </c>
      <c r="AF319" s="66">
        <f t="shared" si="107"/>
        <v>500</v>
      </c>
      <c r="AG319" s="66" t="str">
        <f t="shared" si="108"/>
        <v>В25</v>
      </c>
      <c r="AH319" s="66">
        <f t="shared" si="108"/>
        <v>1</v>
      </c>
    </row>
    <row r="320" spans="1:35" ht="15.75" thickTop="1" x14ac:dyDescent="0.25"/>
    <row r="323" spans="1:35" ht="15.75" thickBot="1" x14ac:dyDescent="0.3"/>
    <row r="324" spans="1:35" ht="91.5" thickTop="1" thickBot="1" x14ac:dyDescent="0.3">
      <c r="A324" s="133" t="s">
        <v>159</v>
      </c>
      <c r="B324" s="135" t="s">
        <v>160</v>
      </c>
      <c r="C324" s="135" t="s">
        <v>2750</v>
      </c>
      <c r="D324" s="135" t="s">
        <v>2856</v>
      </c>
      <c r="E324" s="138" t="s">
        <v>163</v>
      </c>
      <c r="F324" s="135" t="s">
        <v>2857</v>
      </c>
      <c r="G324" s="135" t="s">
        <v>2858</v>
      </c>
      <c r="H324" s="140" t="s">
        <v>166</v>
      </c>
      <c r="I324" s="141"/>
      <c r="J324" s="142"/>
      <c r="K324" s="143" t="s">
        <v>2859</v>
      </c>
      <c r="L324" s="143" t="s">
        <v>2860</v>
      </c>
      <c r="M324" s="146" t="s">
        <v>2861</v>
      </c>
      <c r="N324" s="107" t="s">
        <v>2714</v>
      </c>
      <c r="O324" s="108" t="s">
        <v>2862</v>
      </c>
      <c r="P324" s="109" t="s">
        <v>2863</v>
      </c>
      <c r="Q324" s="109" t="s">
        <v>2864</v>
      </c>
      <c r="R324" s="109" t="s">
        <v>2865</v>
      </c>
      <c r="S324" s="109" t="s">
        <v>2866</v>
      </c>
      <c r="T324" s="109" t="s">
        <v>2867</v>
      </c>
      <c r="U324" s="109" t="s">
        <v>2868</v>
      </c>
      <c r="V324" s="109" t="s">
        <v>2869</v>
      </c>
      <c r="W324" s="109" t="s">
        <v>2870</v>
      </c>
      <c r="X324" s="109" t="s">
        <v>2871</v>
      </c>
      <c r="Y324" s="109" t="s">
        <v>2872</v>
      </c>
      <c r="Z324" s="109" t="s">
        <v>2873</v>
      </c>
      <c r="AA324" s="109" t="s">
        <v>2874</v>
      </c>
      <c r="AB324" s="109" t="s">
        <v>2875</v>
      </c>
      <c r="AC324" s="110" t="s">
        <v>2876</v>
      </c>
      <c r="AD324" s="111" t="s">
        <v>2877</v>
      </c>
      <c r="AE324" s="143" t="s">
        <v>180</v>
      </c>
      <c r="AF324" s="131" t="s">
        <v>2878</v>
      </c>
      <c r="AG324" s="111" t="s">
        <v>2879</v>
      </c>
      <c r="AH324" s="111" t="s">
        <v>2880</v>
      </c>
      <c r="AI324" s="112" t="s">
        <v>2881</v>
      </c>
    </row>
    <row r="325" spans="1:35" ht="17.25" thickTop="1" thickBot="1" x14ac:dyDescent="0.3">
      <c r="A325" s="134"/>
      <c r="B325" s="136"/>
      <c r="C325" s="136"/>
      <c r="D325" s="137"/>
      <c r="E325" s="139"/>
      <c r="F325" s="137"/>
      <c r="G325" s="137"/>
      <c r="H325" s="113" t="s">
        <v>170</v>
      </c>
      <c r="I325" s="114" t="s">
        <v>171</v>
      </c>
      <c r="J325" s="115" t="s">
        <v>172</v>
      </c>
      <c r="K325" s="144"/>
      <c r="L325" s="145"/>
      <c r="M325" s="147"/>
      <c r="N325" s="116" t="str">
        <f>'[1]Исх.Таблица из архикада'!A20</f>
        <v>Пс8.7.3</v>
      </c>
      <c r="O325" s="116">
        <f>'[1]Исх.Таблица из архикада'!B20</f>
        <v>9300</v>
      </c>
      <c r="P325" s="116">
        <f>'[1]Исх.Таблица из архикада'!C20</f>
        <v>2850</v>
      </c>
      <c r="Q325" s="116">
        <f>'[1]Исх.Таблица из архикада'!D20</f>
        <v>400</v>
      </c>
      <c r="R325" s="116">
        <f>'[1]Исх.Таблица из архикада'!E20</f>
        <v>2100</v>
      </c>
      <c r="S325" s="116">
        <f>'[1]Исх.Таблица из архикада'!F20</f>
        <v>300</v>
      </c>
      <c r="T325" s="116">
        <f>'[1]Исх.Таблица из архикада'!G20</f>
        <v>1400</v>
      </c>
      <c r="U325" s="116">
        <f>'[1]Исх.Таблица из архикада'!H20</f>
        <v>300</v>
      </c>
      <c r="V325" s="116">
        <f>'[1]Исх.Таблица из архикада'!I20</f>
        <v>10</v>
      </c>
      <c r="W325" s="116">
        <f>'[1]Исх.Таблица из архикада'!J20</f>
        <v>200</v>
      </c>
      <c r="X325" s="116">
        <f>'[1]Исх.Таблица из архикада'!K20</f>
        <v>10</v>
      </c>
      <c r="Y325" s="116">
        <f>'[1]Исх.Таблица из архикада'!L20</f>
        <v>200</v>
      </c>
      <c r="Z325" s="116">
        <f>'[1]Исх.Таблица из архикада'!M20</f>
        <v>10</v>
      </c>
      <c r="AA325" s="116">
        <f>'[1]Исх.Таблица из архикада'!N20</f>
        <v>200</v>
      </c>
      <c r="AB325" s="116">
        <f>'[1]Исх.Таблица из архикада'!O20</f>
        <v>10</v>
      </c>
      <c r="AC325" s="116">
        <f>'[1]Исх.Таблица из архикада'!P20</f>
        <v>200</v>
      </c>
      <c r="AD325" s="116">
        <v>40</v>
      </c>
      <c r="AE325" s="145"/>
      <c r="AF325" s="132"/>
      <c r="AG325" s="118" t="s">
        <v>2882</v>
      </c>
      <c r="AH325" s="118">
        <v>1</v>
      </c>
      <c r="AI325">
        <v>6000</v>
      </c>
    </row>
    <row r="326" spans="1:35" ht="17.25" thickTop="1" thickBot="1" x14ac:dyDescent="0.3">
      <c r="A326" s="119" t="str">
        <f>N325</f>
        <v>Пс8.7.3</v>
      </c>
      <c r="B326" s="119">
        <v>1</v>
      </c>
      <c r="C326" s="46" t="s">
        <v>2883</v>
      </c>
      <c r="D326" s="119">
        <f>W326</f>
        <v>200</v>
      </c>
      <c r="E326" s="120">
        <f>IF(O326&lt;=5700, ROUNDUP(P326*2/W326+1,0), 1)</f>
        <v>1</v>
      </c>
      <c r="F326" s="119">
        <f>ROUNDUP(((O326*R326*U326)*0.000000001+(O326*P326*Q326)*0.000000001),1)</f>
        <v>16.5</v>
      </c>
      <c r="G326" s="119">
        <f>ROUNDUP((0.1*(R326+200)*(O326)*0.000001),1)</f>
        <v>2.2000000000000002</v>
      </c>
      <c r="H326" s="120">
        <f>IF(O326&lt;=5700, O326-50, K326)</f>
        <v>149180</v>
      </c>
      <c r="I326" s="121">
        <f>V326</f>
        <v>10</v>
      </c>
      <c r="J326" s="46" t="s">
        <v>2</v>
      </c>
      <c r="K326" s="122">
        <f>Арм_ПоПлощади(O326*P326,W326,AF326,$AI$3)</f>
        <v>149180</v>
      </c>
      <c r="L326" s="123">
        <f>IF(R326&lt;=2000,(0),(ROUNDUP(O326*R326*0.000001/1+SQRT(O326*R326*0.000001),0)))</f>
        <v>24</v>
      </c>
      <c r="M326" s="124">
        <v>0</v>
      </c>
      <c r="N326" s="125" t="str">
        <f>N325</f>
        <v>Пс8.7.3</v>
      </c>
      <c r="O326" s="125">
        <f t="shared" ref="O326:AD326" si="110">O325</f>
        <v>9300</v>
      </c>
      <c r="P326" s="125">
        <f t="shared" si="110"/>
        <v>2850</v>
      </c>
      <c r="Q326" s="125">
        <f t="shared" si="110"/>
        <v>400</v>
      </c>
      <c r="R326" s="125">
        <f t="shared" si="110"/>
        <v>2100</v>
      </c>
      <c r="S326" s="125">
        <f t="shared" si="110"/>
        <v>300</v>
      </c>
      <c r="T326" s="125">
        <f t="shared" si="110"/>
        <v>1400</v>
      </c>
      <c r="U326" s="125">
        <f t="shared" si="110"/>
        <v>300</v>
      </c>
      <c r="V326" s="125">
        <f t="shared" si="110"/>
        <v>10</v>
      </c>
      <c r="W326" s="125">
        <f t="shared" si="110"/>
        <v>200</v>
      </c>
      <c r="X326" s="125">
        <f t="shared" si="110"/>
        <v>10</v>
      </c>
      <c r="Y326" s="125">
        <f t="shared" si="110"/>
        <v>200</v>
      </c>
      <c r="Z326" s="125">
        <f t="shared" si="110"/>
        <v>10</v>
      </c>
      <c r="AA326" s="125">
        <f t="shared" si="110"/>
        <v>200</v>
      </c>
      <c r="AB326" s="125">
        <f t="shared" si="110"/>
        <v>10</v>
      </c>
      <c r="AC326" s="125">
        <f t="shared" si="110"/>
        <v>200</v>
      </c>
      <c r="AD326" s="119">
        <f t="shared" si="110"/>
        <v>40</v>
      </c>
      <c r="AE326" s="126">
        <f>Арм_Анкеровка(I326,J326,$AG$3,$AH$3)</f>
        <v>415</v>
      </c>
      <c r="AF326" s="66">
        <f>Арм_Нахлёст(I326,J326,$AG$3,$AH$3)</f>
        <v>500</v>
      </c>
      <c r="AG326" s="66" t="str">
        <f>AG325</f>
        <v>В25</v>
      </c>
      <c r="AH326" s="66">
        <f>AH325</f>
        <v>1</v>
      </c>
    </row>
    <row r="327" spans="1:35" ht="17.25" thickTop="1" thickBot="1" x14ac:dyDescent="0.3">
      <c r="A327" s="119" t="str">
        <f>A326</f>
        <v>Пс8.7.3</v>
      </c>
      <c r="B327" s="119">
        <v>2</v>
      </c>
      <c r="C327" s="46" t="s">
        <v>2884</v>
      </c>
      <c r="D327" s="119">
        <f>Y326</f>
        <v>200</v>
      </c>
      <c r="E327" s="127">
        <f>IF(Q327&lt;=150,0,(ROUNDUP(O327/Y327,0)))</f>
        <v>47</v>
      </c>
      <c r="F327" s="119"/>
      <c r="G327" s="119"/>
      <c r="H327" s="127">
        <f>Арм_Элемент_П(AF327, (Q327-2*AD327), I327, J327)</f>
        <v>1300</v>
      </c>
      <c r="I327" s="121">
        <f>X327</f>
        <v>10</v>
      </c>
      <c r="J327" s="46" t="s">
        <v>2</v>
      </c>
      <c r="K327" s="128"/>
      <c r="L327" s="119"/>
      <c r="M327" s="124">
        <f t="shared" ref="M327:AD338" si="111">M326</f>
        <v>0</v>
      </c>
      <c r="N327" s="125" t="str">
        <f t="shared" si="111"/>
        <v>Пс8.7.3</v>
      </c>
      <c r="O327" s="125">
        <f t="shared" si="111"/>
        <v>9300</v>
      </c>
      <c r="P327" s="125">
        <f t="shared" si="111"/>
        <v>2850</v>
      </c>
      <c r="Q327" s="125">
        <f t="shared" si="111"/>
        <v>400</v>
      </c>
      <c r="R327" s="125">
        <f t="shared" si="111"/>
        <v>2100</v>
      </c>
      <c r="S327" s="125">
        <f t="shared" si="111"/>
        <v>300</v>
      </c>
      <c r="T327" s="125">
        <f t="shared" si="111"/>
        <v>1400</v>
      </c>
      <c r="U327" s="125">
        <f t="shared" si="111"/>
        <v>300</v>
      </c>
      <c r="V327" s="125">
        <f t="shared" si="111"/>
        <v>10</v>
      </c>
      <c r="W327" s="125">
        <f t="shared" si="111"/>
        <v>200</v>
      </c>
      <c r="X327" s="125">
        <f t="shared" si="111"/>
        <v>10</v>
      </c>
      <c r="Y327" s="125">
        <f t="shared" si="111"/>
        <v>200</v>
      </c>
      <c r="Z327" s="125">
        <f t="shared" si="111"/>
        <v>10</v>
      </c>
      <c r="AA327" s="125">
        <f t="shared" si="111"/>
        <v>200</v>
      </c>
      <c r="AB327" s="125">
        <f t="shared" si="111"/>
        <v>10</v>
      </c>
      <c r="AC327" s="125">
        <f t="shared" si="111"/>
        <v>200</v>
      </c>
      <c r="AD327" s="119">
        <f t="shared" si="111"/>
        <v>40</v>
      </c>
      <c r="AE327" s="126">
        <f t="shared" ref="AE327:AE338" si="112">Арм_Анкеровка(I327,J327,$AG$3,$AH$3)</f>
        <v>415</v>
      </c>
      <c r="AF327" s="66">
        <f t="shared" ref="AF327:AF338" si="113">Арм_Нахлёст(I327,J327,$AG$3,$AH$3)</f>
        <v>500</v>
      </c>
      <c r="AG327" s="66" t="str">
        <f t="shared" ref="AG327:AH338" si="114">AG326</f>
        <v>В25</v>
      </c>
      <c r="AH327" s="66">
        <f t="shared" si="114"/>
        <v>1</v>
      </c>
    </row>
    <row r="328" spans="1:35" ht="17.25" thickTop="1" thickBot="1" x14ac:dyDescent="0.3">
      <c r="A328" s="119" t="str">
        <f t="shared" ref="A328:A338" si="115">A327</f>
        <v>Пс8.7.3</v>
      </c>
      <c r="B328" s="119">
        <v>3</v>
      </c>
      <c r="C328" s="46" t="s">
        <v>2885</v>
      </c>
      <c r="D328" s="119">
        <f>W328</f>
        <v>200</v>
      </c>
      <c r="E328" s="127">
        <f>MROUND(2*P328/D328,2)</f>
        <v>28</v>
      </c>
      <c r="F328" s="119"/>
      <c r="G328" s="119"/>
      <c r="H328" s="127">
        <f>Арм_Элемент_П(AF328, (Q328-2*AD328), I328, J328)</f>
        <v>1320</v>
      </c>
      <c r="I328" s="121">
        <f>V328</f>
        <v>10</v>
      </c>
      <c r="J328" s="46" t="s">
        <v>2</v>
      </c>
      <c r="K328" s="128"/>
      <c r="L328" s="119"/>
      <c r="M328" s="124">
        <f t="shared" si="111"/>
        <v>0</v>
      </c>
      <c r="N328" s="125" t="str">
        <f t="shared" si="111"/>
        <v>Пс8.7.3</v>
      </c>
      <c r="O328" s="125">
        <f t="shared" si="111"/>
        <v>9300</v>
      </c>
      <c r="P328" s="125">
        <f t="shared" si="111"/>
        <v>2850</v>
      </c>
      <c r="Q328" s="125">
        <f t="shared" si="111"/>
        <v>400</v>
      </c>
      <c r="R328" s="125">
        <f t="shared" si="111"/>
        <v>2100</v>
      </c>
      <c r="S328" s="125">
        <f t="shared" si="111"/>
        <v>300</v>
      </c>
      <c r="T328" s="125">
        <f t="shared" si="111"/>
        <v>1400</v>
      </c>
      <c r="U328" s="125">
        <f t="shared" si="111"/>
        <v>300</v>
      </c>
      <c r="V328" s="125">
        <f t="shared" si="111"/>
        <v>10</v>
      </c>
      <c r="W328" s="125">
        <f t="shared" si="111"/>
        <v>200</v>
      </c>
      <c r="X328" s="125">
        <f t="shared" si="111"/>
        <v>10</v>
      </c>
      <c r="Y328" s="125">
        <f t="shared" si="111"/>
        <v>200</v>
      </c>
      <c r="Z328" s="125">
        <f t="shared" si="111"/>
        <v>10</v>
      </c>
      <c r="AA328" s="125">
        <f t="shared" si="111"/>
        <v>200</v>
      </c>
      <c r="AB328" s="125">
        <f t="shared" si="111"/>
        <v>10</v>
      </c>
      <c r="AC328" s="125">
        <f t="shared" si="111"/>
        <v>200</v>
      </c>
      <c r="AD328" s="119">
        <v>30</v>
      </c>
      <c r="AE328" s="126">
        <f t="shared" si="112"/>
        <v>415</v>
      </c>
      <c r="AF328" s="66">
        <f t="shared" si="113"/>
        <v>500</v>
      </c>
      <c r="AG328" s="66" t="str">
        <f t="shared" si="114"/>
        <v>В25</v>
      </c>
      <c r="AH328" s="66">
        <f t="shared" si="114"/>
        <v>1</v>
      </c>
    </row>
    <row r="329" spans="1:35" ht="17.25" thickTop="1" thickBot="1" x14ac:dyDescent="0.3">
      <c r="A329" s="119" t="str">
        <f t="shared" si="115"/>
        <v>Пс8.7.3</v>
      </c>
      <c r="B329" s="119">
        <v>4</v>
      </c>
      <c r="C329" s="46" t="s">
        <v>2886</v>
      </c>
      <c r="D329" s="119">
        <f>Y329</f>
        <v>200</v>
      </c>
      <c r="E329" s="127">
        <f>ROUNDUP(O329/Y329,0)*2</f>
        <v>94</v>
      </c>
      <c r="F329" s="119"/>
      <c r="G329" s="119"/>
      <c r="H329" s="127">
        <f>IF(P329&lt;=3000,(IF(Q329&lt;=150,(P329-25+AE329+Q329-(35+V329)),(P329-25+AE329))),(P329-25))</f>
        <v>3240</v>
      </c>
      <c r="I329" s="121">
        <f>X329</f>
        <v>10</v>
      </c>
      <c r="J329" s="46" t="s">
        <v>2</v>
      </c>
      <c r="K329" s="128"/>
      <c r="L329" s="119"/>
      <c r="M329" s="124">
        <f t="shared" si="111"/>
        <v>0</v>
      </c>
      <c r="N329" s="125" t="str">
        <f t="shared" si="111"/>
        <v>Пс8.7.3</v>
      </c>
      <c r="O329" s="125">
        <f t="shared" si="111"/>
        <v>9300</v>
      </c>
      <c r="P329" s="125">
        <f t="shared" si="111"/>
        <v>2850</v>
      </c>
      <c r="Q329" s="125">
        <f t="shared" si="111"/>
        <v>400</v>
      </c>
      <c r="R329" s="125">
        <f t="shared" si="111"/>
        <v>2100</v>
      </c>
      <c r="S329" s="125">
        <f t="shared" si="111"/>
        <v>300</v>
      </c>
      <c r="T329" s="125">
        <f t="shared" si="111"/>
        <v>1400</v>
      </c>
      <c r="U329" s="125">
        <f t="shared" si="111"/>
        <v>300</v>
      </c>
      <c r="V329" s="125">
        <f t="shared" si="111"/>
        <v>10</v>
      </c>
      <c r="W329" s="125">
        <f t="shared" si="111"/>
        <v>200</v>
      </c>
      <c r="X329" s="125">
        <f t="shared" si="111"/>
        <v>10</v>
      </c>
      <c r="Y329" s="125">
        <f t="shared" si="111"/>
        <v>200</v>
      </c>
      <c r="Z329" s="125">
        <f t="shared" si="111"/>
        <v>10</v>
      </c>
      <c r="AA329" s="125">
        <f t="shared" si="111"/>
        <v>200</v>
      </c>
      <c r="AB329" s="125">
        <f t="shared" si="111"/>
        <v>10</v>
      </c>
      <c r="AC329" s="125">
        <f t="shared" si="111"/>
        <v>200</v>
      </c>
      <c r="AD329" s="119">
        <v>40</v>
      </c>
      <c r="AE329" s="126">
        <f t="shared" si="112"/>
        <v>415</v>
      </c>
      <c r="AF329" s="66">
        <f t="shared" si="113"/>
        <v>500</v>
      </c>
      <c r="AG329" s="66" t="str">
        <f t="shared" si="114"/>
        <v>В25</v>
      </c>
      <c r="AH329" s="66">
        <f t="shared" si="114"/>
        <v>1</v>
      </c>
    </row>
    <row r="330" spans="1:35" ht="17.25" thickTop="1" thickBot="1" x14ac:dyDescent="0.3">
      <c r="A330" s="119" t="str">
        <f t="shared" si="115"/>
        <v>Пс8.7.3</v>
      </c>
      <c r="B330" s="119">
        <v>5</v>
      </c>
      <c r="C330" s="46" t="s">
        <v>2887</v>
      </c>
      <c r="D330" s="119">
        <v>400</v>
      </c>
      <c r="E330" s="127">
        <f>ROUNDUP((13*(O330*P330/1000000)),0)</f>
        <v>345</v>
      </c>
      <c r="F330" s="119"/>
      <c r="G330" s="119"/>
      <c r="H330" s="127">
        <f>Q330-AD330*2+150</f>
        <v>470</v>
      </c>
      <c r="I330" s="121">
        <v>6</v>
      </c>
      <c r="J330" s="46" t="s">
        <v>2</v>
      </c>
      <c r="K330" s="128"/>
      <c r="L330" s="119"/>
      <c r="M330" s="124">
        <f t="shared" si="111"/>
        <v>0</v>
      </c>
      <c r="N330" s="125" t="str">
        <f t="shared" si="111"/>
        <v>Пс8.7.3</v>
      </c>
      <c r="O330" s="125">
        <f t="shared" si="111"/>
        <v>9300</v>
      </c>
      <c r="P330" s="125">
        <f t="shared" si="111"/>
        <v>2850</v>
      </c>
      <c r="Q330" s="125">
        <f t="shared" si="111"/>
        <v>400</v>
      </c>
      <c r="R330" s="125">
        <f t="shared" si="111"/>
        <v>2100</v>
      </c>
      <c r="S330" s="125">
        <f t="shared" si="111"/>
        <v>300</v>
      </c>
      <c r="T330" s="125">
        <f t="shared" si="111"/>
        <v>1400</v>
      </c>
      <c r="U330" s="125">
        <f t="shared" si="111"/>
        <v>300</v>
      </c>
      <c r="V330" s="125">
        <f t="shared" si="111"/>
        <v>10</v>
      </c>
      <c r="W330" s="125">
        <f t="shared" si="111"/>
        <v>200</v>
      </c>
      <c r="X330" s="125">
        <f t="shared" si="111"/>
        <v>10</v>
      </c>
      <c r="Y330" s="125">
        <f t="shared" si="111"/>
        <v>200</v>
      </c>
      <c r="Z330" s="125">
        <f t="shared" si="111"/>
        <v>10</v>
      </c>
      <c r="AA330" s="125">
        <f t="shared" si="111"/>
        <v>200</v>
      </c>
      <c r="AB330" s="125">
        <f t="shared" si="111"/>
        <v>10</v>
      </c>
      <c r="AC330" s="125">
        <f t="shared" si="111"/>
        <v>200</v>
      </c>
      <c r="AD330" s="119">
        <f t="shared" si="111"/>
        <v>40</v>
      </c>
      <c r="AE330" s="126">
        <f t="shared" si="112"/>
        <v>250</v>
      </c>
      <c r="AF330" s="66">
        <f t="shared" si="113"/>
        <v>300</v>
      </c>
      <c r="AG330" s="66" t="str">
        <f t="shared" si="114"/>
        <v>В25</v>
      </c>
      <c r="AH330" s="66">
        <f t="shared" si="114"/>
        <v>1</v>
      </c>
    </row>
    <row r="331" spans="1:35" ht="17.25" thickTop="1" thickBot="1" x14ac:dyDescent="0.3">
      <c r="A331" s="119" t="str">
        <f t="shared" si="115"/>
        <v>Пс8.7.3</v>
      </c>
      <c r="B331" s="119">
        <v>6</v>
      </c>
      <c r="C331" s="46" t="s">
        <v>2888</v>
      </c>
      <c r="D331" s="119">
        <f>AA331</f>
        <v>200</v>
      </c>
      <c r="E331" s="127">
        <f>IF(R331&lt;=2000,(ROUNDUP(O331/D331,0)),(ROUNDUP(O331/D331,0)))</f>
        <v>47</v>
      </c>
      <c r="F331" s="119"/>
      <c r="G331" s="119"/>
      <c r="H331" s="127">
        <f>R331-50</f>
        <v>2050</v>
      </c>
      <c r="I331" s="121">
        <f>Z331</f>
        <v>10</v>
      </c>
      <c r="J331" s="46" t="s">
        <v>2</v>
      </c>
      <c r="K331" s="128"/>
      <c r="L331" s="119"/>
      <c r="M331" s="124">
        <f t="shared" si="111"/>
        <v>0</v>
      </c>
      <c r="N331" s="125" t="str">
        <f t="shared" si="111"/>
        <v>Пс8.7.3</v>
      </c>
      <c r="O331" s="125">
        <f t="shared" si="111"/>
        <v>9300</v>
      </c>
      <c r="P331" s="125">
        <f t="shared" si="111"/>
        <v>2850</v>
      </c>
      <c r="Q331" s="125">
        <f t="shared" si="111"/>
        <v>400</v>
      </c>
      <c r="R331" s="125">
        <f t="shared" si="111"/>
        <v>2100</v>
      </c>
      <c r="S331" s="125">
        <f t="shared" si="111"/>
        <v>300</v>
      </c>
      <c r="T331" s="125">
        <f t="shared" si="111"/>
        <v>1400</v>
      </c>
      <c r="U331" s="125">
        <f t="shared" si="111"/>
        <v>300</v>
      </c>
      <c r="V331" s="125">
        <f t="shared" si="111"/>
        <v>10</v>
      </c>
      <c r="W331" s="125">
        <f t="shared" si="111"/>
        <v>200</v>
      </c>
      <c r="X331" s="125">
        <f t="shared" si="111"/>
        <v>10</v>
      </c>
      <c r="Y331" s="125">
        <f t="shared" si="111"/>
        <v>200</v>
      </c>
      <c r="Z331" s="125">
        <f t="shared" si="111"/>
        <v>10</v>
      </c>
      <c r="AA331" s="125">
        <f t="shared" si="111"/>
        <v>200</v>
      </c>
      <c r="AB331" s="125">
        <f t="shared" si="111"/>
        <v>10</v>
      </c>
      <c r="AC331" s="125">
        <f t="shared" si="111"/>
        <v>200</v>
      </c>
      <c r="AD331" s="119">
        <f t="shared" si="111"/>
        <v>40</v>
      </c>
      <c r="AE331" s="126">
        <f t="shared" si="112"/>
        <v>415</v>
      </c>
      <c r="AF331" s="66">
        <f t="shared" si="113"/>
        <v>500</v>
      </c>
      <c r="AG331" s="66" t="str">
        <f t="shared" si="114"/>
        <v>В25</v>
      </c>
      <c r="AH331" s="66">
        <f t="shared" si="114"/>
        <v>1</v>
      </c>
    </row>
    <row r="332" spans="1:35" ht="17.25" thickTop="1" thickBot="1" x14ac:dyDescent="0.3">
      <c r="A332" s="119" t="str">
        <f t="shared" si="115"/>
        <v>Пс8.7.3</v>
      </c>
      <c r="B332" s="119">
        <v>7</v>
      </c>
      <c r="C332" s="46" t="s">
        <v>2889</v>
      </c>
      <c r="D332" s="119">
        <f>AC332</f>
        <v>200</v>
      </c>
      <c r="E332" s="120">
        <f>IF(O332&lt;=5700, ROUNDUP(R332*2/AC332+1,0), 1)</f>
        <v>1</v>
      </c>
      <c r="F332" s="119"/>
      <c r="G332" s="119"/>
      <c r="H332" s="120">
        <f>IF(O332&lt;=5700, O332-50, K332)</f>
        <v>111070</v>
      </c>
      <c r="I332" s="121">
        <f>AB332</f>
        <v>10</v>
      </c>
      <c r="J332" s="46" t="s">
        <v>2</v>
      </c>
      <c r="K332" s="122">
        <f>Арм_ПоПлощади(O332*R332,AC332,AF332,$AI$3)</f>
        <v>111070</v>
      </c>
      <c r="L332" s="119"/>
      <c r="M332" s="124">
        <f t="shared" si="111"/>
        <v>0</v>
      </c>
      <c r="N332" s="125" t="str">
        <f t="shared" si="111"/>
        <v>Пс8.7.3</v>
      </c>
      <c r="O332" s="125">
        <f t="shared" si="111"/>
        <v>9300</v>
      </c>
      <c r="P332" s="125">
        <f t="shared" si="111"/>
        <v>2850</v>
      </c>
      <c r="Q332" s="125">
        <f t="shared" si="111"/>
        <v>400</v>
      </c>
      <c r="R332" s="125">
        <f t="shared" si="111"/>
        <v>2100</v>
      </c>
      <c r="S332" s="125">
        <f t="shared" si="111"/>
        <v>300</v>
      </c>
      <c r="T332" s="125">
        <f t="shared" si="111"/>
        <v>1400</v>
      </c>
      <c r="U332" s="125">
        <f t="shared" si="111"/>
        <v>300</v>
      </c>
      <c r="V332" s="125">
        <f t="shared" si="111"/>
        <v>10</v>
      </c>
      <c r="W332" s="125">
        <f t="shared" si="111"/>
        <v>200</v>
      </c>
      <c r="X332" s="125">
        <f t="shared" si="111"/>
        <v>10</v>
      </c>
      <c r="Y332" s="125">
        <f t="shared" si="111"/>
        <v>200</v>
      </c>
      <c r="Z332" s="125">
        <f t="shared" si="111"/>
        <v>10</v>
      </c>
      <c r="AA332" s="125">
        <f t="shared" si="111"/>
        <v>200</v>
      </c>
      <c r="AB332" s="125">
        <f t="shared" si="111"/>
        <v>10</v>
      </c>
      <c r="AC332" s="125">
        <f t="shared" si="111"/>
        <v>200</v>
      </c>
      <c r="AD332" s="119">
        <f t="shared" si="111"/>
        <v>40</v>
      </c>
      <c r="AE332" s="126">
        <f t="shared" si="112"/>
        <v>415</v>
      </c>
      <c r="AF332" s="66">
        <f t="shared" si="113"/>
        <v>500</v>
      </c>
      <c r="AG332" s="66" t="str">
        <f t="shared" si="114"/>
        <v>В25</v>
      </c>
      <c r="AH332" s="66">
        <f t="shared" si="114"/>
        <v>1</v>
      </c>
    </row>
    <row r="333" spans="1:35" ht="17.25" thickTop="1" thickBot="1" x14ac:dyDescent="0.3">
      <c r="A333" s="119" t="str">
        <f t="shared" si="115"/>
        <v>Пс8.7.3</v>
      </c>
      <c r="B333" s="119">
        <v>8</v>
      </c>
      <c r="C333" s="46" t="s">
        <v>2890</v>
      </c>
      <c r="D333" s="119">
        <f>AA333</f>
        <v>200</v>
      </c>
      <c r="E333" s="127">
        <f>IF(E338=0,(ROUNDUP(O333/D333,0)*2),0)</f>
        <v>94</v>
      </c>
      <c r="F333" s="119"/>
      <c r="G333" s="119"/>
      <c r="H333" s="127">
        <f>Арм_Элемент_П(AF333, (U333-2*AD333), I333, J333)</f>
        <v>1220</v>
      </c>
      <c r="I333" s="121">
        <f>Z333</f>
        <v>10</v>
      </c>
      <c r="J333" s="46" t="s">
        <v>2</v>
      </c>
      <c r="K333" s="128"/>
      <c r="L333" s="119"/>
      <c r="M333" s="124">
        <f t="shared" si="111"/>
        <v>0</v>
      </c>
      <c r="N333" s="125" t="str">
        <f t="shared" si="111"/>
        <v>Пс8.7.3</v>
      </c>
      <c r="O333" s="125">
        <f t="shared" si="111"/>
        <v>9300</v>
      </c>
      <c r="P333" s="125">
        <f t="shared" si="111"/>
        <v>2850</v>
      </c>
      <c r="Q333" s="125">
        <f t="shared" si="111"/>
        <v>400</v>
      </c>
      <c r="R333" s="125">
        <f t="shared" si="111"/>
        <v>2100</v>
      </c>
      <c r="S333" s="125">
        <f t="shared" si="111"/>
        <v>300</v>
      </c>
      <c r="T333" s="125">
        <f t="shared" si="111"/>
        <v>1400</v>
      </c>
      <c r="U333" s="125">
        <f t="shared" si="111"/>
        <v>300</v>
      </c>
      <c r="V333" s="125">
        <f t="shared" si="111"/>
        <v>10</v>
      </c>
      <c r="W333" s="125">
        <f t="shared" si="111"/>
        <v>200</v>
      </c>
      <c r="X333" s="125">
        <f t="shared" si="111"/>
        <v>10</v>
      </c>
      <c r="Y333" s="125">
        <f t="shared" si="111"/>
        <v>200</v>
      </c>
      <c r="Z333" s="125">
        <f t="shared" si="111"/>
        <v>10</v>
      </c>
      <c r="AA333" s="125">
        <f t="shared" si="111"/>
        <v>200</v>
      </c>
      <c r="AB333" s="125">
        <f t="shared" si="111"/>
        <v>10</v>
      </c>
      <c r="AC333" s="125">
        <f t="shared" si="111"/>
        <v>200</v>
      </c>
      <c r="AD333" s="119">
        <v>30</v>
      </c>
      <c r="AE333" s="126">
        <f t="shared" si="112"/>
        <v>415</v>
      </c>
      <c r="AF333" s="66">
        <f t="shared" si="113"/>
        <v>500</v>
      </c>
      <c r="AG333" s="66" t="str">
        <f t="shared" si="114"/>
        <v>В25</v>
      </c>
      <c r="AH333" s="66">
        <f t="shared" si="114"/>
        <v>1</v>
      </c>
    </row>
    <row r="334" spans="1:35" ht="17.25" thickTop="1" thickBot="1" x14ac:dyDescent="0.3">
      <c r="A334" s="119" t="str">
        <f t="shared" si="115"/>
        <v>Пс8.7.3</v>
      </c>
      <c r="B334" s="119">
        <v>9</v>
      </c>
      <c r="C334" s="46" t="s">
        <v>2891</v>
      </c>
      <c r="D334" s="119">
        <f>AC334</f>
        <v>200</v>
      </c>
      <c r="E334" s="127">
        <f>MROUND(2*R334/AC334,2)</f>
        <v>22</v>
      </c>
      <c r="F334" s="119"/>
      <c r="G334" s="119"/>
      <c r="H334" s="127">
        <f>Арм_Элемент_П(AF334, (U334-2*AD334), I334, J334)</f>
        <v>1200</v>
      </c>
      <c r="I334" s="121">
        <f>AB334</f>
        <v>10</v>
      </c>
      <c r="J334" s="46" t="s">
        <v>2</v>
      </c>
      <c r="K334" s="128"/>
      <c r="L334" s="119"/>
      <c r="M334" s="124">
        <f t="shared" si="111"/>
        <v>0</v>
      </c>
      <c r="N334" s="125" t="str">
        <f t="shared" si="111"/>
        <v>Пс8.7.3</v>
      </c>
      <c r="O334" s="125">
        <f t="shared" si="111"/>
        <v>9300</v>
      </c>
      <c r="P334" s="125">
        <f t="shared" si="111"/>
        <v>2850</v>
      </c>
      <c r="Q334" s="125">
        <f t="shared" si="111"/>
        <v>400</v>
      </c>
      <c r="R334" s="125">
        <f t="shared" si="111"/>
        <v>2100</v>
      </c>
      <c r="S334" s="125">
        <f t="shared" si="111"/>
        <v>300</v>
      </c>
      <c r="T334" s="125">
        <f t="shared" si="111"/>
        <v>1400</v>
      </c>
      <c r="U334" s="125">
        <f t="shared" si="111"/>
        <v>300</v>
      </c>
      <c r="V334" s="125">
        <f t="shared" si="111"/>
        <v>10</v>
      </c>
      <c r="W334" s="125">
        <f t="shared" si="111"/>
        <v>200</v>
      </c>
      <c r="X334" s="125">
        <f t="shared" si="111"/>
        <v>10</v>
      </c>
      <c r="Y334" s="125">
        <f t="shared" si="111"/>
        <v>200</v>
      </c>
      <c r="Z334" s="125">
        <f t="shared" si="111"/>
        <v>10</v>
      </c>
      <c r="AA334" s="125">
        <f t="shared" si="111"/>
        <v>200</v>
      </c>
      <c r="AB334" s="125">
        <f t="shared" si="111"/>
        <v>10</v>
      </c>
      <c r="AC334" s="125">
        <f t="shared" si="111"/>
        <v>200</v>
      </c>
      <c r="AD334" s="119">
        <v>40</v>
      </c>
      <c r="AE334" s="126">
        <f t="shared" si="112"/>
        <v>415</v>
      </c>
      <c r="AF334" s="66">
        <f t="shared" si="113"/>
        <v>500</v>
      </c>
      <c r="AG334" s="66" t="str">
        <f t="shared" si="114"/>
        <v>В25</v>
      </c>
      <c r="AH334" s="66">
        <f t="shared" si="114"/>
        <v>1</v>
      </c>
    </row>
    <row r="335" spans="1:35" ht="33" thickTop="1" thickBot="1" x14ac:dyDescent="0.3">
      <c r="A335" s="119" t="str">
        <f t="shared" si="115"/>
        <v>Пс8.7.3</v>
      </c>
      <c r="B335" s="119">
        <v>10</v>
      </c>
      <c r="C335" s="46" t="s">
        <v>2892</v>
      </c>
      <c r="D335" s="119">
        <f>Y335</f>
        <v>200</v>
      </c>
      <c r="E335" s="127">
        <f>ROUNDUP((IF(P335&lt;=3000,0,O335/Y335)),0)</f>
        <v>0</v>
      </c>
      <c r="F335" s="119"/>
      <c r="G335" s="119"/>
      <c r="H335" s="127">
        <f>IF(E335=0,0, (Арм_Округление(AE335+2*AF335)))</f>
        <v>0</v>
      </c>
      <c r="I335" s="121">
        <f>X335</f>
        <v>10</v>
      </c>
      <c r="J335" s="46" t="s">
        <v>2</v>
      </c>
      <c r="K335" s="128"/>
      <c r="L335" s="119"/>
      <c r="M335" s="124">
        <f t="shared" si="111"/>
        <v>0</v>
      </c>
      <c r="N335" s="125" t="str">
        <f t="shared" si="111"/>
        <v>Пс8.7.3</v>
      </c>
      <c r="O335" s="125">
        <f t="shared" si="111"/>
        <v>9300</v>
      </c>
      <c r="P335" s="125">
        <f t="shared" si="111"/>
        <v>2850</v>
      </c>
      <c r="Q335" s="125">
        <f t="shared" si="111"/>
        <v>400</v>
      </c>
      <c r="R335" s="125">
        <f t="shared" si="111"/>
        <v>2100</v>
      </c>
      <c r="S335" s="125">
        <f t="shared" si="111"/>
        <v>300</v>
      </c>
      <c r="T335" s="125">
        <f t="shared" si="111"/>
        <v>1400</v>
      </c>
      <c r="U335" s="125">
        <f t="shared" si="111"/>
        <v>300</v>
      </c>
      <c r="V335" s="125">
        <f t="shared" si="111"/>
        <v>10</v>
      </c>
      <c r="W335" s="125">
        <f t="shared" si="111"/>
        <v>200</v>
      </c>
      <c r="X335" s="125">
        <f t="shared" si="111"/>
        <v>10</v>
      </c>
      <c r="Y335" s="125">
        <f t="shared" si="111"/>
        <v>200</v>
      </c>
      <c r="Z335" s="125">
        <f t="shared" si="111"/>
        <v>10</v>
      </c>
      <c r="AA335" s="125">
        <f t="shared" si="111"/>
        <v>200</v>
      </c>
      <c r="AB335" s="125">
        <f t="shared" si="111"/>
        <v>10</v>
      </c>
      <c r="AC335" s="125">
        <f t="shared" si="111"/>
        <v>200</v>
      </c>
      <c r="AD335" s="119">
        <f t="shared" si="111"/>
        <v>40</v>
      </c>
      <c r="AE335" s="126">
        <f t="shared" si="112"/>
        <v>415</v>
      </c>
      <c r="AF335" s="66">
        <f t="shared" si="113"/>
        <v>500</v>
      </c>
      <c r="AG335" s="66" t="str">
        <f t="shared" si="114"/>
        <v>В25</v>
      </c>
      <c r="AH335" s="66">
        <f t="shared" si="114"/>
        <v>1</v>
      </c>
    </row>
    <row r="336" spans="1:35" ht="33" thickTop="1" thickBot="1" x14ac:dyDescent="0.3">
      <c r="A336" s="119" t="str">
        <f t="shared" si="115"/>
        <v>Пс8.7.3</v>
      </c>
      <c r="B336" s="119">
        <v>11</v>
      </c>
      <c r="C336" s="46" t="s">
        <v>2893</v>
      </c>
      <c r="D336" s="119">
        <f>Y336</f>
        <v>200</v>
      </c>
      <c r="E336" s="127">
        <f>ROUNDUP((IF(P336&lt;=3000,0,O336/Y336)),0)</f>
        <v>0</v>
      </c>
      <c r="F336" s="119"/>
      <c r="G336" s="119"/>
      <c r="H336" s="127">
        <f>IF(E336=0,0, (Арм_Округление(AE336+AF336)))</f>
        <v>0</v>
      </c>
      <c r="I336" s="121">
        <f>X336</f>
        <v>10</v>
      </c>
      <c r="J336" s="46" t="s">
        <v>2</v>
      </c>
      <c r="K336" s="128"/>
      <c r="L336" s="119"/>
      <c r="M336" s="124">
        <f t="shared" si="111"/>
        <v>0</v>
      </c>
      <c r="N336" s="125" t="str">
        <f t="shared" si="111"/>
        <v>Пс8.7.3</v>
      </c>
      <c r="O336" s="125">
        <f t="shared" si="111"/>
        <v>9300</v>
      </c>
      <c r="P336" s="125">
        <f t="shared" si="111"/>
        <v>2850</v>
      </c>
      <c r="Q336" s="125">
        <f t="shared" si="111"/>
        <v>400</v>
      </c>
      <c r="R336" s="125">
        <f t="shared" si="111"/>
        <v>2100</v>
      </c>
      <c r="S336" s="125">
        <f t="shared" si="111"/>
        <v>300</v>
      </c>
      <c r="T336" s="125">
        <f t="shared" si="111"/>
        <v>1400</v>
      </c>
      <c r="U336" s="125">
        <f t="shared" si="111"/>
        <v>300</v>
      </c>
      <c r="V336" s="125">
        <f t="shared" si="111"/>
        <v>10</v>
      </c>
      <c r="W336" s="125">
        <f t="shared" si="111"/>
        <v>200</v>
      </c>
      <c r="X336" s="125">
        <f t="shared" si="111"/>
        <v>10</v>
      </c>
      <c r="Y336" s="125">
        <f t="shared" si="111"/>
        <v>200</v>
      </c>
      <c r="Z336" s="125">
        <f t="shared" si="111"/>
        <v>10</v>
      </c>
      <c r="AA336" s="125">
        <f t="shared" si="111"/>
        <v>200</v>
      </c>
      <c r="AB336" s="125">
        <f t="shared" si="111"/>
        <v>10</v>
      </c>
      <c r="AC336" s="125">
        <f t="shared" si="111"/>
        <v>200</v>
      </c>
      <c r="AD336" s="119">
        <f t="shared" si="111"/>
        <v>40</v>
      </c>
      <c r="AE336" s="126">
        <f t="shared" si="112"/>
        <v>415</v>
      </c>
      <c r="AF336" s="66">
        <f t="shared" si="113"/>
        <v>500</v>
      </c>
      <c r="AG336" s="66" t="str">
        <f t="shared" si="114"/>
        <v>В25</v>
      </c>
      <c r="AH336" s="66">
        <f t="shared" si="114"/>
        <v>1</v>
      </c>
    </row>
    <row r="337" spans="1:35" ht="17.25" thickTop="1" thickBot="1" x14ac:dyDescent="0.3">
      <c r="A337" s="119" t="str">
        <f t="shared" si="115"/>
        <v>Пс8.7.3</v>
      </c>
      <c r="B337" s="119">
        <v>12</v>
      </c>
      <c r="C337" s="46" t="s">
        <v>2894</v>
      </c>
      <c r="D337" s="119">
        <f>W336</f>
        <v>200</v>
      </c>
      <c r="E337" s="127">
        <f>IF(M337=0, 0, M337*2*ROUNDUP((P337/W337),0))</f>
        <v>0</v>
      </c>
      <c r="F337" s="119"/>
      <c r="G337" s="119"/>
      <c r="H337" s="127">
        <f>IF(M337=0, 0, AF337*2)</f>
        <v>0</v>
      </c>
      <c r="I337" s="121">
        <f>V337</f>
        <v>10</v>
      </c>
      <c r="J337" s="46" t="s">
        <v>2</v>
      </c>
      <c r="K337" s="128"/>
      <c r="L337" s="119"/>
      <c r="M337" s="124">
        <f t="shared" si="111"/>
        <v>0</v>
      </c>
      <c r="N337" s="125" t="str">
        <f t="shared" si="111"/>
        <v>Пс8.7.3</v>
      </c>
      <c r="O337" s="125">
        <f t="shared" si="111"/>
        <v>9300</v>
      </c>
      <c r="P337" s="125">
        <f t="shared" si="111"/>
        <v>2850</v>
      </c>
      <c r="Q337" s="125">
        <f t="shared" si="111"/>
        <v>400</v>
      </c>
      <c r="R337" s="125">
        <f t="shared" si="111"/>
        <v>2100</v>
      </c>
      <c r="S337" s="125">
        <f t="shared" si="111"/>
        <v>300</v>
      </c>
      <c r="T337" s="125">
        <f t="shared" si="111"/>
        <v>1400</v>
      </c>
      <c r="U337" s="125">
        <f t="shared" si="111"/>
        <v>300</v>
      </c>
      <c r="V337" s="125">
        <f t="shared" si="111"/>
        <v>10</v>
      </c>
      <c r="W337" s="125">
        <f t="shared" si="111"/>
        <v>200</v>
      </c>
      <c r="X337" s="125">
        <f t="shared" si="111"/>
        <v>10</v>
      </c>
      <c r="Y337" s="125">
        <f t="shared" si="111"/>
        <v>200</v>
      </c>
      <c r="Z337" s="125">
        <f t="shared" si="111"/>
        <v>10</v>
      </c>
      <c r="AA337" s="125">
        <f t="shared" si="111"/>
        <v>200</v>
      </c>
      <c r="AB337" s="125">
        <f t="shared" si="111"/>
        <v>10</v>
      </c>
      <c r="AC337" s="125">
        <f t="shared" si="111"/>
        <v>200</v>
      </c>
      <c r="AD337" s="119">
        <f t="shared" si="111"/>
        <v>40</v>
      </c>
      <c r="AE337" s="126">
        <f t="shared" si="112"/>
        <v>415</v>
      </c>
      <c r="AF337" s="66">
        <f t="shared" si="113"/>
        <v>500</v>
      </c>
      <c r="AG337" s="66" t="str">
        <f t="shared" si="114"/>
        <v>В25</v>
      </c>
      <c r="AH337" s="66">
        <f t="shared" si="114"/>
        <v>1</v>
      </c>
    </row>
    <row r="338" spans="1:35" ht="17.25" thickTop="1" thickBot="1" x14ac:dyDescent="0.3">
      <c r="A338" s="119" t="str">
        <f t="shared" si="115"/>
        <v>Пс8.7.3</v>
      </c>
      <c r="B338" s="119">
        <v>13</v>
      </c>
      <c r="C338" s="46" t="s">
        <v>2895</v>
      </c>
      <c r="D338" s="119">
        <f>W337</f>
        <v>200</v>
      </c>
      <c r="E338" s="127">
        <f>IF(R338&lt;=2000,(ROUNDUP(O338/D338,0)),(0))</f>
        <v>0</v>
      </c>
      <c r="F338" s="119"/>
      <c r="G338" s="119"/>
      <c r="H338" s="127">
        <f>IF(R338&lt;=2000,(ROUNDUP(R338-2*40+2*(U338-40-AB338), -1)),(0))</f>
        <v>0</v>
      </c>
      <c r="I338" s="121">
        <f>V338</f>
        <v>10</v>
      </c>
      <c r="J338" s="46" t="s">
        <v>2</v>
      </c>
      <c r="K338" s="128"/>
      <c r="L338" s="119"/>
      <c r="M338" s="124">
        <f t="shared" si="111"/>
        <v>0</v>
      </c>
      <c r="N338" s="125" t="str">
        <f t="shared" si="111"/>
        <v>Пс8.7.3</v>
      </c>
      <c r="O338" s="125">
        <f t="shared" si="111"/>
        <v>9300</v>
      </c>
      <c r="P338" s="125">
        <f t="shared" si="111"/>
        <v>2850</v>
      </c>
      <c r="Q338" s="125">
        <f t="shared" si="111"/>
        <v>400</v>
      </c>
      <c r="R338" s="125">
        <f t="shared" si="111"/>
        <v>2100</v>
      </c>
      <c r="S338" s="125">
        <f t="shared" si="111"/>
        <v>300</v>
      </c>
      <c r="T338" s="125">
        <f t="shared" si="111"/>
        <v>1400</v>
      </c>
      <c r="U338" s="125">
        <f t="shared" si="111"/>
        <v>300</v>
      </c>
      <c r="V338" s="125">
        <f t="shared" si="111"/>
        <v>10</v>
      </c>
      <c r="W338" s="125">
        <f t="shared" si="111"/>
        <v>200</v>
      </c>
      <c r="X338" s="125">
        <f t="shared" si="111"/>
        <v>10</v>
      </c>
      <c r="Y338" s="125">
        <f t="shared" si="111"/>
        <v>200</v>
      </c>
      <c r="Z338" s="125">
        <f t="shared" si="111"/>
        <v>10</v>
      </c>
      <c r="AA338" s="125">
        <f t="shared" si="111"/>
        <v>200</v>
      </c>
      <c r="AB338" s="125">
        <f t="shared" si="111"/>
        <v>10</v>
      </c>
      <c r="AC338" s="125">
        <f t="shared" si="111"/>
        <v>200</v>
      </c>
      <c r="AD338" s="119">
        <f t="shared" si="111"/>
        <v>40</v>
      </c>
      <c r="AE338" s="126">
        <f t="shared" si="112"/>
        <v>415</v>
      </c>
      <c r="AF338" s="66">
        <f t="shared" si="113"/>
        <v>500</v>
      </c>
      <c r="AG338" s="66" t="str">
        <f t="shared" si="114"/>
        <v>В25</v>
      </c>
      <c r="AH338" s="66">
        <f t="shared" si="114"/>
        <v>1</v>
      </c>
    </row>
    <row r="339" spans="1:35" ht="15.75" thickTop="1" x14ac:dyDescent="0.25"/>
    <row r="342" spans="1:35" ht="15.75" thickBot="1" x14ac:dyDescent="0.3"/>
    <row r="343" spans="1:35" ht="91.5" thickTop="1" thickBot="1" x14ac:dyDescent="0.3">
      <c r="A343" s="133" t="s">
        <v>159</v>
      </c>
      <c r="B343" s="135" t="s">
        <v>160</v>
      </c>
      <c r="C343" s="135" t="s">
        <v>2750</v>
      </c>
      <c r="D343" s="135" t="s">
        <v>2856</v>
      </c>
      <c r="E343" s="138" t="s">
        <v>163</v>
      </c>
      <c r="F343" s="135" t="s">
        <v>2857</v>
      </c>
      <c r="G343" s="135" t="s">
        <v>2858</v>
      </c>
      <c r="H343" s="140" t="s">
        <v>166</v>
      </c>
      <c r="I343" s="141"/>
      <c r="J343" s="142"/>
      <c r="K343" s="143" t="s">
        <v>2859</v>
      </c>
      <c r="L343" s="143" t="s">
        <v>2860</v>
      </c>
      <c r="M343" s="146" t="s">
        <v>2861</v>
      </c>
      <c r="N343" s="107" t="s">
        <v>2714</v>
      </c>
      <c r="O343" s="108" t="s">
        <v>2862</v>
      </c>
      <c r="P343" s="109" t="s">
        <v>2863</v>
      </c>
      <c r="Q343" s="109" t="s">
        <v>2864</v>
      </c>
      <c r="R343" s="109" t="s">
        <v>2865</v>
      </c>
      <c r="S343" s="109" t="s">
        <v>2866</v>
      </c>
      <c r="T343" s="109" t="s">
        <v>2867</v>
      </c>
      <c r="U343" s="109" t="s">
        <v>2868</v>
      </c>
      <c r="V343" s="109" t="s">
        <v>2869</v>
      </c>
      <c r="W343" s="109" t="s">
        <v>2870</v>
      </c>
      <c r="X343" s="109" t="s">
        <v>2871</v>
      </c>
      <c r="Y343" s="109" t="s">
        <v>2872</v>
      </c>
      <c r="Z343" s="109" t="s">
        <v>2873</v>
      </c>
      <c r="AA343" s="109" t="s">
        <v>2874</v>
      </c>
      <c r="AB343" s="109" t="s">
        <v>2875</v>
      </c>
      <c r="AC343" s="110" t="s">
        <v>2876</v>
      </c>
      <c r="AD343" s="111" t="s">
        <v>2877</v>
      </c>
      <c r="AE343" s="143" t="s">
        <v>180</v>
      </c>
      <c r="AF343" s="131" t="s">
        <v>2878</v>
      </c>
      <c r="AG343" s="111" t="s">
        <v>2879</v>
      </c>
      <c r="AH343" s="111" t="s">
        <v>2880</v>
      </c>
      <c r="AI343" s="112" t="s">
        <v>2881</v>
      </c>
    </row>
    <row r="344" spans="1:35" ht="17.25" thickTop="1" thickBot="1" x14ac:dyDescent="0.3">
      <c r="A344" s="134"/>
      <c r="B344" s="136"/>
      <c r="C344" s="136"/>
      <c r="D344" s="137"/>
      <c r="E344" s="139"/>
      <c r="F344" s="137"/>
      <c r="G344" s="137"/>
      <c r="H344" s="113" t="s">
        <v>170</v>
      </c>
      <c r="I344" s="114" t="s">
        <v>171</v>
      </c>
      <c r="J344" s="115" t="s">
        <v>172</v>
      </c>
      <c r="K344" s="144"/>
      <c r="L344" s="145"/>
      <c r="M344" s="147"/>
      <c r="N344" s="116" t="str">
        <f>'[1]Исх.Таблица из архикада'!A21</f>
        <v>Пс8.7.4</v>
      </c>
      <c r="O344" s="116">
        <f>'[1]Исх.Таблица из архикада'!B21</f>
        <v>9800</v>
      </c>
      <c r="P344" s="116">
        <f>'[1]Исх.Таблица из архикада'!C21</f>
        <v>2850</v>
      </c>
      <c r="Q344" s="116">
        <f>'[1]Исх.Таблица из архикада'!D21</f>
        <v>400</v>
      </c>
      <c r="R344" s="116">
        <f>'[1]Исх.Таблица из архикада'!E21</f>
        <v>2100</v>
      </c>
      <c r="S344" s="116">
        <f>'[1]Исх.Таблица из архикада'!F21</f>
        <v>300</v>
      </c>
      <c r="T344" s="116">
        <f>'[1]Исх.Таблица из архикада'!G21</f>
        <v>1400</v>
      </c>
      <c r="U344" s="116">
        <f>'[1]Исх.Таблица из архикада'!H21</f>
        <v>300</v>
      </c>
      <c r="V344" s="116">
        <f>'[1]Исх.Таблица из архикада'!I21</f>
        <v>10</v>
      </c>
      <c r="W344" s="116">
        <f>'[1]Исх.Таблица из архикада'!J21</f>
        <v>200</v>
      </c>
      <c r="X344" s="116">
        <f>'[1]Исх.Таблица из архикада'!K21</f>
        <v>10</v>
      </c>
      <c r="Y344" s="116">
        <f>'[1]Исх.Таблица из архикада'!L21</f>
        <v>200</v>
      </c>
      <c r="Z344" s="116">
        <f>'[1]Исх.Таблица из архикада'!M21</f>
        <v>10</v>
      </c>
      <c r="AA344" s="116">
        <f>'[1]Исх.Таблица из архикада'!N21</f>
        <v>200</v>
      </c>
      <c r="AB344" s="116">
        <f>'[1]Исх.Таблица из архикада'!O21</f>
        <v>10</v>
      </c>
      <c r="AC344" s="116">
        <f>'[1]Исх.Таблица из архикада'!P21</f>
        <v>200</v>
      </c>
      <c r="AD344" s="116">
        <v>40</v>
      </c>
      <c r="AE344" s="145"/>
      <c r="AF344" s="132"/>
      <c r="AG344" s="118" t="s">
        <v>2882</v>
      </c>
      <c r="AH344" s="118">
        <v>1</v>
      </c>
      <c r="AI344">
        <v>6000</v>
      </c>
    </row>
    <row r="345" spans="1:35" ht="17.25" thickTop="1" thickBot="1" x14ac:dyDescent="0.3">
      <c r="A345" s="119" t="str">
        <f>N344</f>
        <v>Пс8.7.4</v>
      </c>
      <c r="B345" s="119">
        <v>1</v>
      </c>
      <c r="C345" s="46" t="s">
        <v>2883</v>
      </c>
      <c r="D345" s="119">
        <f>W345</f>
        <v>200</v>
      </c>
      <c r="E345" s="120">
        <f>IF(O345&lt;=5700, ROUNDUP(P345*2/W345+1,0), 1)</f>
        <v>1</v>
      </c>
      <c r="F345" s="119">
        <f>ROUNDUP(((O345*R345*U345)*0.000000001+(O345*P345*Q345)*0.000000001),1)</f>
        <v>17.400000000000002</v>
      </c>
      <c r="G345" s="119">
        <f>ROUNDUP((0.1*(R345+200)*(O345)*0.000001),1)</f>
        <v>2.3000000000000003</v>
      </c>
      <c r="H345" s="120">
        <f>IF(O345&lt;=5700, O345-50, K345)</f>
        <v>157440</v>
      </c>
      <c r="I345" s="121">
        <f>V345</f>
        <v>10</v>
      </c>
      <c r="J345" s="46" t="s">
        <v>2</v>
      </c>
      <c r="K345" s="122">
        <f>Арм_ПоПлощади(O345*P345,W345,AF345,$AI$3)</f>
        <v>157440</v>
      </c>
      <c r="L345" s="123">
        <f>IF(R345&lt;=2000,(0),(ROUNDUP(O345*R345*0.000001/1+SQRT(O345*R345*0.000001),0)))</f>
        <v>26</v>
      </c>
      <c r="M345" s="124">
        <v>1</v>
      </c>
      <c r="N345" s="125" t="str">
        <f>N344</f>
        <v>Пс8.7.4</v>
      </c>
      <c r="O345" s="125">
        <f t="shared" ref="O345:AD345" si="116">O344</f>
        <v>9800</v>
      </c>
      <c r="P345" s="125">
        <f t="shared" si="116"/>
        <v>2850</v>
      </c>
      <c r="Q345" s="125">
        <f t="shared" si="116"/>
        <v>400</v>
      </c>
      <c r="R345" s="125">
        <f t="shared" si="116"/>
        <v>2100</v>
      </c>
      <c r="S345" s="125">
        <f t="shared" si="116"/>
        <v>300</v>
      </c>
      <c r="T345" s="125">
        <f t="shared" si="116"/>
        <v>1400</v>
      </c>
      <c r="U345" s="125">
        <f t="shared" si="116"/>
        <v>300</v>
      </c>
      <c r="V345" s="125">
        <f t="shared" si="116"/>
        <v>10</v>
      </c>
      <c r="W345" s="125">
        <f t="shared" si="116"/>
        <v>200</v>
      </c>
      <c r="X345" s="125">
        <f t="shared" si="116"/>
        <v>10</v>
      </c>
      <c r="Y345" s="125">
        <f t="shared" si="116"/>
        <v>200</v>
      </c>
      <c r="Z345" s="125">
        <f t="shared" si="116"/>
        <v>10</v>
      </c>
      <c r="AA345" s="125">
        <f t="shared" si="116"/>
        <v>200</v>
      </c>
      <c r="AB345" s="125">
        <f t="shared" si="116"/>
        <v>10</v>
      </c>
      <c r="AC345" s="125">
        <f t="shared" si="116"/>
        <v>200</v>
      </c>
      <c r="AD345" s="119">
        <f t="shared" si="116"/>
        <v>40</v>
      </c>
      <c r="AE345" s="126">
        <f>Арм_Анкеровка(I345,J345,$AG$3,$AH$3)</f>
        <v>415</v>
      </c>
      <c r="AF345" s="66">
        <f>Арм_Нахлёст(I345,J345,$AG$3,$AH$3)</f>
        <v>500</v>
      </c>
      <c r="AG345" s="66" t="str">
        <f>AG344</f>
        <v>В25</v>
      </c>
      <c r="AH345" s="66">
        <f>AH344</f>
        <v>1</v>
      </c>
    </row>
    <row r="346" spans="1:35" ht="17.25" thickTop="1" thickBot="1" x14ac:dyDescent="0.3">
      <c r="A346" s="119" t="str">
        <f>A345</f>
        <v>Пс8.7.4</v>
      </c>
      <c r="B346" s="119">
        <v>2</v>
      </c>
      <c r="C346" s="46" t="s">
        <v>2884</v>
      </c>
      <c r="D346" s="119">
        <f>Y345</f>
        <v>200</v>
      </c>
      <c r="E346" s="127">
        <f>IF(Q346&lt;=150,0,(ROUNDUP(O346/Y346,0)))</f>
        <v>49</v>
      </c>
      <c r="F346" s="119"/>
      <c r="G346" s="119"/>
      <c r="H346" s="127">
        <f>Арм_Элемент_П(AF346, (Q346-2*AD346), I346, J346)</f>
        <v>1300</v>
      </c>
      <c r="I346" s="121">
        <f>X346</f>
        <v>10</v>
      </c>
      <c r="J346" s="46" t="s">
        <v>2</v>
      </c>
      <c r="K346" s="128"/>
      <c r="L346" s="119"/>
      <c r="M346" s="124">
        <f t="shared" ref="M346:AD357" si="117">M345</f>
        <v>1</v>
      </c>
      <c r="N346" s="125" t="str">
        <f t="shared" si="117"/>
        <v>Пс8.7.4</v>
      </c>
      <c r="O346" s="125">
        <f t="shared" si="117"/>
        <v>9800</v>
      </c>
      <c r="P346" s="125">
        <f t="shared" si="117"/>
        <v>2850</v>
      </c>
      <c r="Q346" s="125">
        <f t="shared" si="117"/>
        <v>400</v>
      </c>
      <c r="R346" s="125">
        <f t="shared" si="117"/>
        <v>2100</v>
      </c>
      <c r="S346" s="125">
        <f t="shared" si="117"/>
        <v>300</v>
      </c>
      <c r="T346" s="125">
        <f t="shared" si="117"/>
        <v>1400</v>
      </c>
      <c r="U346" s="125">
        <f t="shared" si="117"/>
        <v>300</v>
      </c>
      <c r="V346" s="125">
        <f t="shared" si="117"/>
        <v>10</v>
      </c>
      <c r="W346" s="125">
        <f t="shared" si="117"/>
        <v>200</v>
      </c>
      <c r="X346" s="125">
        <f t="shared" si="117"/>
        <v>10</v>
      </c>
      <c r="Y346" s="125">
        <f t="shared" si="117"/>
        <v>200</v>
      </c>
      <c r="Z346" s="125">
        <f t="shared" si="117"/>
        <v>10</v>
      </c>
      <c r="AA346" s="125">
        <f t="shared" si="117"/>
        <v>200</v>
      </c>
      <c r="AB346" s="125">
        <f t="shared" si="117"/>
        <v>10</v>
      </c>
      <c r="AC346" s="125">
        <f t="shared" si="117"/>
        <v>200</v>
      </c>
      <c r="AD346" s="119">
        <f t="shared" si="117"/>
        <v>40</v>
      </c>
      <c r="AE346" s="126">
        <f t="shared" ref="AE346:AE357" si="118">Арм_Анкеровка(I346,J346,$AG$3,$AH$3)</f>
        <v>415</v>
      </c>
      <c r="AF346" s="66">
        <f t="shared" ref="AF346:AF357" si="119">Арм_Нахлёст(I346,J346,$AG$3,$AH$3)</f>
        <v>500</v>
      </c>
      <c r="AG346" s="66" t="str">
        <f t="shared" ref="AG346:AH357" si="120">AG345</f>
        <v>В25</v>
      </c>
      <c r="AH346" s="66">
        <f t="shared" si="120"/>
        <v>1</v>
      </c>
    </row>
    <row r="347" spans="1:35" ht="17.25" thickTop="1" thickBot="1" x14ac:dyDescent="0.3">
      <c r="A347" s="119" t="str">
        <f t="shared" ref="A347:A357" si="121">A346</f>
        <v>Пс8.7.4</v>
      </c>
      <c r="B347" s="119">
        <v>3</v>
      </c>
      <c r="C347" s="46" t="s">
        <v>2885</v>
      </c>
      <c r="D347" s="119">
        <f>W347</f>
        <v>200</v>
      </c>
      <c r="E347" s="127">
        <f>MROUND(2*P347/D347,2)</f>
        <v>28</v>
      </c>
      <c r="F347" s="119"/>
      <c r="G347" s="119"/>
      <c r="H347" s="127">
        <f>Арм_Элемент_П(AF347, (Q347-2*AD347), I347, J347)</f>
        <v>1320</v>
      </c>
      <c r="I347" s="121">
        <f>V347</f>
        <v>10</v>
      </c>
      <c r="J347" s="46" t="s">
        <v>2</v>
      </c>
      <c r="K347" s="128"/>
      <c r="L347" s="119"/>
      <c r="M347" s="124">
        <f t="shared" si="117"/>
        <v>1</v>
      </c>
      <c r="N347" s="125" t="str">
        <f t="shared" si="117"/>
        <v>Пс8.7.4</v>
      </c>
      <c r="O347" s="125">
        <f t="shared" si="117"/>
        <v>9800</v>
      </c>
      <c r="P347" s="125">
        <f t="shared" si="117"/>
        <v>2850</v>
      </c>
      <c r="Q347" s="125">
        <f t="shared" si="117"/>
        <v>400</v>
      </c>
      <c r="R347" s="125">
        <f t="shared" si="117"/>
        <v>2100</v>
      </c>
      <c r="S347" s="125">
        <f t="shared" si="117"/>
        <v>300</v>
      </c>
      <c r="T347" s="125">
        <f t="shared" si="117"/>
        <v>1400</v>
      </c>
      <c r="U347" s="125">
        <f t="shared" si="117"/>
        <v>300</v>
      </c>
      <c r="V347" s="125">
        <f t="shared" si="117"/>
        <v>10</v>
      </c>
      <c r="W347" s="125">
        <f t="shared" si="117"/>
        <v>200</v>
      </c>
      <c r="X347" s="125">
        <f t="shared" si="117"/>
        <v>10</v>
      </c>
      <c r="Y347" s="125">
        <f t="shared" si="117"/>
        <v>200</v>
      </c>
      <c r="Z347" s="125">
        <f t="shared" si="117"/>
        <v>10</v>
      </c>
      <c r="AA347" s="125">
        <f t="shared" si="117"/>
        <v>200</v>
      </c>
      <c r="AB347" s="125">
        <f t="shared" si="117"/>
        <v>10</v>
      </c>
      <c r="AC347" s="125">
        <f t="shared" si="117"/>
        <v>200</v>
      </c>
      <c r="AD347" s="119">
        <v>30</v>
      </c>
      <c r="AE347" s="126">
        <f t="shared" si="118"/>
        <v>415</v>
      </c>
      <c r="AF347" s="66">
        <f t="shared" si="119"/>
        <v>500</v>
      </c>
      <c r="AG347" s="66" t="str">
        <f t="shared" si="120"/>
        <v>В25</v>
      </c>
      <c r="AH347" s="66">
        <f t="shared" si="120"/>
        <v>1</v>
      </c>
    </row>
    <row r="348" spans="1:35" ht="17.25" thickTop="1" thickBot="1" x14ac:dyDescent="0.3">
      <c r="A348" s="119" t="str">
        <f t="shared" si="121"/>
        <v>Пс8.7.4</v>
      </c>
      <c r="B348" s="119">
        <v>4</v>
      </c>
      <c r="C348" s="46" t="s">
        <v>2886</v>
      </c>
      <c r="D348" s="119">
        <f>Y348</f>
        <v>200</v>
      </c>
      <c r="E348" s="127">
        <f>ROUNDUP(O348/Y348,0)*2</f>
        <v>98</v>
      </c>
      <c r="F348" s="119"/>
      <c r="G348" s="119"/>
      <c r="H348" s="127">
        <f>IF(P348&lt;=3000,(IF(Q348&lt;=150,(P348-25+AE348+Q348-(35+V348)),(P348-25+AE348))),(P348-25))</f>
        <v>3240</v>
      </c>
      <c r="I348" s="121">
        <f>X348</f>
        <v>10</v>
      </c>
      <c r="J348" s="46" t="s">
        <v>2</v>
      </c>
      <c r="K348" s="128"/>
      <c r="L348" s="119"/>
      <c r="M348" s="124">
        <f t="shared" si="117"/>
        <v>1</v>
      </c>
      <c r="N348" s="125" t="str">
        <f t="shared" si="117"/>
        <v>Пс8.7.4</v>
      </c>
      <c r="O348" s="125">
        <f t="shared" si="117"/>
        <v>9800</v>
      </c>
      <c r="P348" s="125">
        <f t="shared" si="117"/>
        <v>2850</v>
      </c>
      <c r="Q348" s="125">
        <f t="shared" si="117"/>
        <v>400</v>
      </c>
      <c r="R348" s="125">
        <f t="shared" si="117"/>
        <v>2100</v>
      </c>
      <c r="S348" s="125">
        <f t="shared" si="117"/>
        <v>300</v>
      </c>
      <c r="T348" s="125">
        <f t="shared" si="117"/>
        <v>1400</v>
      </c>
      <c r="U348" s="125">
        <f t="shared" si="117"/>
        <v>300</v>
      </c>
      <c r="V348" s="125">
        <f t="shared" si="117"/>
        <v>10</v>
      </c>
      <c r="W348" s="125">
        <f t="shared" si="117"/>
        <v>200</v>
      </c>
      <c r="X348" s="125">
        <f t="shared" si="117"/>
        <v>10</v>
      </c>
      <c r="Y348" s="125">
        <f t="shared" si="117"/>
        <v>200</v>
      </c>
      <c r="Z348" s="125">
        <f t="shared" si="117"/>
        <v>10</v>
      </c>
      <c r="AA348" s="125">
        <f t="shared" si="117"/>
        <v>200</v>
      </c>
      <c r="AB348" s="125">
        <f t="shared" si="117"/>
        <v>10</v>
      </c>
      <c r="AC348" s="125">
        <f t="shared" si="117"/>
        <v>200</v>
      </c>
      <c r="AD348" s="119">
        <v>40</v>
      </c>
      <c r="AE348" s="126">
        <f t="shared" si="118"/>
        <v>415</v>
      </c>
      <c r="AF348" s="66">
        <f t="shared" si="119"/>
        <v>500</v>
      </c>
      <c r="AG348" s="66" t="str">
        <f t="shared" si="120"/>
        <v>В25</v>
      </c>
      <c r="AH348" s="66">
        <f t="shared" si="120"/>
        <v>1</v>
      </c>
    </row>
    <row r="349" spans="1:35" ht="17.25" thickTop="1" thickBot="1" x14ac:dyDescent="0.3">
      <c r="A349" s="119" t="str">
        <f t="shared" si="121"/>
        <v>Пс8.7.4</v>
      </c>
      <c r="B349" s="119">
        <v>5</v>
      </c>
      <c r="C349" s="46" t="s">
        <v>2887</v>
      </c>
      <c r="D349" s="119">
        <v>400</v>
      </c>
      <c r="E349" s="127">
        <f>ROUNDUP((13*(O349*P349/1000000)),0)</f>
        <v>364</v>
      </c>
      <c r="F349" s="119"/>
      <c r="G349" s="119"/>
      <c r="H349" s="127">
        <f>Q349-AD349*2+150</f>
        <v>470</v>
      </c>
      <c r="I349" s="121">
        <v>6</v>
      </c>
      <c r="J349" s="46" t="s">
        <v>2</v>
      </c>
      <c r="K349" s="128"/>
      <c r="L349" s="119"/>
      <c r="M349" s="124">
        <f t="shared" si="117"/>
        <v>1</v>
      </c>
      <c r="N349" s="125" t="str">
        <f t="shared" si="117"/>
        <v>Пс8.7.4</v>
      </c>
      <c r="O349" s="125">
        <f t="shared" si="117"/>
        <v>9800</v>
      </c>
      <c r="P349" s="125">
        <f t="shared" si="117"/>
        <v>2850</v>
      </c>
      <c r="Q349" s="125">
        <f t="shared" si="117"/>
        <v>400</v>
      </c>
      <c r="R349" s="125">
        <f t="shared" si="117"/>
        <v>2100</v>
      </c>
      <c r="S349" s="125">
        <f t="shared" si="117"/>
        <v>300</v>
      </c>
      <c r="T349" s="125">
        <f t="shared" si="117"/>
        <v>1400</v>
      </c>
      <c r="U349" s="125">
        <f t="shared" si="117"/>
        <v>300</v>
      </c>
      <c r="V349" s="125">
        <f t="shared" si="117"/>
        <v>10</v>
      </c>
      <c r="W349" s="125">
        <f t="shared" si="117"/>
        <v>200</v>
      </c>
      <c r="X349" s="125">
        <f t="shared" si="117"/>
        <v>10</v>
      </c>
      <c r="Y349" s="125">
        <f t="shared" si="117"/>
        <v>200</v>
      </c>
      <c r="Z349" s="125">
        <f t="shared" si="117"/>
        <v>10</v>
      </c>
      <c r="AA349" s="125">
        <f t="shared" si="117"/>
        <v>200</v>
      </c>
      <c r="AB349" s="125">
        <f t="shared" si="117"/>
        <v>10</v>
      </c>
      <c r="AC349" s="125">
        <f t="shared" si="117"/>
        <v>200</v>
      </c>
      <c r="AD349" s="119">
        <f t="shared" si="117"/>
        <v>40</v>
      </c>
      <c r="AE349" s="126">
        <f t="shared" si="118"/>
        <v>250</v>
      </c>
      <c r="AF349" s="66">
        <f t="shared" si="119"/>
        <v>300</v>
      </c>
      <c r="AG349" s="66" t="str">
        <f t="shared" si="120"/>
        <v>В25</v>
      </c>
      <c r="AH349" s="66">
        <f t="shared" si="120"/>
        <v>1</v>
      </c>
    </row>
    <row r="350" spans="1:35" ht="17.25" thickTop="1" thickBot="1" x14ac:dyDescent="0.3">
      <c r="A350" s="119" t="str">
        <f t="shared" si="121"/>
        <v>Пс8.7.4</v>
      </c>
      <c r="B350" s="119">
        <v>6</v>
      </c>
      <c r="C350" s="46" t="s">
        <v>2888</v>
      </c>
      <c r="D350" s="119">
        <f>AA350</f>
        <v>200</v>
      </c>
      <c r="E350" s="127">
        <f>IF(R350&lt;=2000,(ROUNDUP(O350/D350,0)),(ROUNDUP(O350/D350,0)))</f>
        <v>49</v>
      </c>
      <c r="F350" s="119"/>
      <c r="G350" s="119"/>
      <c r="H350" s="127">
        <f>R350-50</f>
        <v>2050</v>
      </c>
      <c r="I350" s="121">
        <f>Z350</f>
        <v>10</v>
      </c>
      <c r="J350" s="46" t="s">
        <v>2</v>
      </c>
      <c r="K350" s="128"/>
      <c r="L350" s="119"/>
      <c r="M350" s="124">
        <f t="shared" si="117"/>
        <v>1</v>
      </c>
      <c r="N350" s="125" t="str">
        <f t="shared" si="117"/>
        <v>Пс8.7.4</v>
      </c>
      <c r="O350" s="125">
        <f t="shared" si="117"/>
        <v>9800</v>
      </c>
      <c r="P350" s="125">
        <f t="shared" si="117"/>
        <v>2850</v>
      </c>
      <c r="Q350" s="125">
        <f t="shared" si="117"/>
        <v>400</v>
      </c>
      <c r="R350" s="125">
        <f t="shared" si="117"/>
        <v>2100</v>
      </c>
      <c r="S350" s="125">
        <f t="shared" si="117"/>
        <v>300</v>
      </c>
      <c r="T350" s="125">
        <f t="shared" si="117"/>
        <v>1400</v>
      </c>
      <c r="U350" s="125">
        <f t="shared" si="117"/>
        <v>300</v>
      </c>
      <c r="V350" s="125">
        <f t="shared" si="117"/>
        <v>10</v>
      </c>
      <c r="W350" s="125">
        <f t="shared" si="117"/>
        <v>200</v>
      </c>
      <c r="X350" s="125">
        <f t="shared" si="117"/>
        <v>10</v>
      </c>
      <c r="Y350" s="125">
        <f t="shared" si="117"/>
        <v>200</v>
      </c>
      <c r="Z350" s="125">
        <f t="shared" si="117"/>
        <v>10</v>
      </c>
      <c r="AA350" s="125">
        <f t="shared" si="117"/>
        <v>200</v>
      </c>
      <c r="AB350" s="125">
        <f t="shared" si="117"/>
        <v>10</v>
      </c>
      <c r="AC350" s="125">
        <f t="shared" si="117"/>
        <v>200</v>
      </c>
      <c r="AD350" s="119">
        <f t="shared" si="117"/>
        <v>40</v>
      </c>
      <c r="AE350" s="126">
        <f t="shared" si="118"/>
        <v>415</v>
      </c>
      <c r="AF350" s="66">
        <f t="shared" si="119"/>
        <v>500</v>
      </c>
      <c r="AG350" s="66" t="str">
        <f t="shared" si="120"/>
        <v>В25</v>
      </c>
      <c r="AH350" s="66">
        <f t="shared" si="120"/>
        <v>1</v>
      </c>
    </row>
    <row r="351" spans="1:35" ht="17.25" thickTop="1" thickBot="1" x14ac:dyDescent="0.3">
      <c r="A351" s="119" t="str">
        <f t="shared" si="121"/>
        <v>Пс8.7.4</v>
      </c>
      <c r="B351" s="119">
        <v>7</v>
      </c>
      <c r="C351" s="46" t="s">
        <v>2889</v>
      </c>
      <c r="D351" s="119">
        <f>AC351</f>
        <v>200</v>
      </c>
      <c r="E351" s="120">
        <f>IF(O351&lt;=5700, ROUNDUP(R351*2/AC351+1,0), 1)</f>
        <v>1</v>
      </c>
      <c r="F351" s="119"/>
      <c r="G351" s="119"/>
      <c r="H351" s="120">
        <f>IF(O351&lt;=5700, O351-50, K351)</f>
        <v>116440</v>
      </c>
      <c r="I351" s="121">
        <f>AB351</f>
        <v>10</v>
      </c>
      <c r="J351" s="46" t="s">
        <v>2</v>
      </c>
      <c r="K351" s="122">
        <f>Арм_ПоПлощади(O351*R351,AC351,AF351,$AI$3)</f>
        <v>116440</v>
      </c>
      <c r="L351" s="119"/>
      <c r="M351" s="124">
        <f t="shared" si="117"/>
        <v>1</v>
      </c>
      <c r="N351" s="125" t="str">
        <f t="shared" si="117"/>
        <v>Пс8.7.4</v>
      </c>
      <c r="O351" s="125">
        <f t="shared" si="117"/>
        <v>9800</v>
      </c>
      <c r="P351" s="125">
        <f t="shared" si="117"/>
        <v>2850</v>
      </c>
      <c r="Q351" s="125">
        <f t="shared" si="117"/>
        <v>400</v>
      </c>
      <c r="R351" s="125">
        <f t="shared" si="117"/>
        <v>2100</v>
      </c>
      <c r="S351" s="125">
        <f t="shared" si="117"/>
        <v>300</v>
      </c>
      <c r="T351" s="125">
        <f t="shared" si="117"/>
        <v>1400</v>
      </c>
      <c r="U351" s="125">
        <f t="shared" si="117"/>
        <v>300</v>
      </c>
      <c r="V351" s="125">
        <f t="shared" si="117"/>
        <v>10</v>
      </c>
      <c r="W351" s="125">
        <f t="shared" si="117"/>
        <v>200</v>
      </c>
      <c r="X351" s="125">
        <f t="shared" si="117"/>
        <v>10</v>
      </c>
      <c r="Y351" s="125">
        <f t="shared" si="117"/>
        <v>200</v>
      </c>
      <c r="Z351" s="125">
        <f t="shared" si="117"/>
        <v>10</v>
      </c>
      <c r="AA351" s="125">
        <f t="shared" si="117"/>
        <v>200</v>
      </c>
      <c r="AB351" s="125">
        <f t="shared" si="117"/>
        <v>10</v>
      </c>
      <c r="AC351" s="125">
        <f t="shared" si="117"/>
        <v>200</v>
      </c>
      <c r="AD351" s="119">
        <f t="shared" si="117"/>
        <v>40</v>
      </c>
      <c r="AE351" s="126">
        <f t="shared" si="118"/>
        <v>415</v>
      </c>
      <c r="AF351" s="66">
        <f t="shared" si="119"/>
        <v>500</v>
      </c>
      <c r="AG351" s="66" t="str">
        <f t="shared" si="120"/>
        <v>В25</v>
      </c>
      <c r="AH351" s="66">
        <f t="shared" si="120"/>
        <v>1</v>
      </c>
    </row>
    <row r="352" spans="1:35" ht="17.25" thickTop="1" thickBot="1" x14ac:dyDescent="0.3">
      <c r="A352" s="119" t="str">
        <f t="shared" si="121"/>
        <v>Пс8.7.4</v>
      </c>
      <c r="B352" s="119">
        <v>8</v>
      </c>
      <c r="C352" s="46" t="s">
        <v>2890</v>
      </c>
      <c r="D352" s="119">
        <f>AA352</f>
        <v>200</v>
      </c>
      <c r="E352" s="127">
        <f>IF(E357=0,(ROUNDUP(O352/D352,0)*2),0)</f>
        <v>98</v>
      </c>
      <c r="F352" s="119"/>
      <c r="G352" s="119"/>
      <c r="H352" s="127">
        <f>Арм_Элемент_П(AF352, (U352-2*AD352), I352, J352)</f>
        <v>1220</v>
      </c>
      <c r="I352" s="121">
        <f>Z352</f>
        <v>10</v>
      </c>
      <c r="J352" s="46" t="s">
        <v>2</v>
      </c>
      <c r="K352" s="128"/>
      <c r="L352" s="119"/>
      <c r="M352" s="124">
        <f t="shared" si="117"/>
        <v>1</v>
      </c>
      <c r="N352" s="125" t="str">
        <f t="shared" si="117"/>
        <v>Пс8.7.4</v>
      </c>
      <c r="O352" s="125">
        <f t="shared" si="117"/>
        <v>9800</v>
      </c>
      <c r="P352" s="125">
        <f t="shared" si="117"/>
        <v>2850</v>
      </c>
      <c r="Q352" s="125">
        <f t="shared" si="117"/>
        <v>400</v>
      </c>
      <c r="R352" s="125">
        <f t="shared" si="117"/>
        <v>2100</v>
      </c>
      <c r="S352" s="125">
        <f t="shared" si="117"/>
        <v>300</v>
      </c>
      <c r="T352" s="125">
        <f t="shared" si="117"/>
        <v>1400</v>
      </c>
      <c r="U352" s="125">
        <f t="shared" si="117"/>
        <v>300</v>
      </c>
      <c r="V352" s="125">
        <f t="shared" si="117"/>
        <v>10</v>
      </c>
      <c r="W352" s="125">
        <f t="shared" si="117"/>
        <v>200</v>
      </c>
      <c r="X352" s="125">
        <f t="shared" si="117"/>
        <v>10</v>
      </c>
      <c r="Y352" s="125">
        <f t="shared" si="117"/>
        <v>200</v>
      </c>
      <c r="Z352" s="125">
        <f t="shared" si="117"/>
        <v>10</v>
      </c>
      <c r="AA352" s="125">
        <f t="shared" si="117"/>
        <v>200</v>
      </c>
      <c r="AB352" s="125">
        <f t="shared" si="117"/>
        <v>10</v>
      </c>
      <c r="AC352" s="125">
        <f t="shared" si="117"/>
        <v>200</v>
      </c>
      <c r="AD352" s="119">
        <v>30</v>
      </c>
      <c r="AE352" s="126">
        <f t="shared" si="118"/>
        <v>415</v>
      </c>
      <c r="AF352" s="66">
        <f t="shared" si="119"/>
        <v>500</v>
      </c>
      <c r="AG352" s="66" t="str">
        <f t="shared" si="120"/>
        <v>В25</v>
      </c>
      <c r="AH352" s="66">
        <f t="shared" si="120"/>
        <v>1</v>
      </c>
    </row>
    <row r="353" spans="1:35" ht="17.25" thickTop="1" thickBot="1" x14ac:dyDescent="0.3">
      <c r="A353" s="119" t="str">
        <f t="shared" si="121"/>
        <v>Пс8.7.4</v>
      </c>
      <c r="B353" s="119">
        <v>9</v>
      </c>
      <c r="C353" s="46" t="s">
        <v>2891</v>
      </c>
      <c r="D353" s="119">
        <f>AC353</f>
        <v>200</v>
      </c>
      <c r="E353" s="127">
        <f>MROUND(2*R353/AC353,2)</f>
        <v>22</v>
      </c>
      <c r="F353" s="119"/>
      <c r="G353" s="119"/>
      <c r="H353" s="127">
        <f>Арм_Элемент_П(AF353, (U353-2*AD353), I353, J353)</f>
        <v>1200</v>
      </c>
      <c r="I353" s="121">
        <f>AB353</f>
        <v>10</v>
      </c>
      <c r="J353" s="46" t="s">
        <v>2</v>
      </c>
      <c r="K353" s="128"/>
      <c r="L353" s="119"/>
      <c r="M353" s="124">
        <f t="shared" si="117"/>
        <v>1</v>
      </c>
      <c r="N353" s="125" t="str">
        <f t="shared" si="117"/>
        <v>Пс8.7.4</v>
      </c>
      <c r="O353" s="125">
        <f t="shared" si="117"/>
        <v>9800</v>
      </c>
      <c r="P353" s="125">
        <f t="shared" si="117"/>
        <v>2850</v>
      </c>
      <c r="Q353" s="125">
        <f t="shared" si="117"/>
        <v>400</v>
      </c>
      <c r="R353" s="125">
        <f t="shared" si="117"/>
        <v>2100</v>
      </c>
      <c r="S353" s="125">
        <f t="shared" si="117"/>
        <v>300</v>
      </c>
      <c r="T353" s="125">
        <f t="shared" si="117"/>
        <v>1400</v>
      </c>
      <c r="U353" s="125">
        <f t="shared" si="117"/>
        <v>300</v>
      </c>
      <c r="V353" s="125">
        <f t="shared" si="117"/>
        <v>10</v>
      </c>
      <c r="W353" s="125">
        <f t="shared" si="117"/>
        <v>200</v>
      </c>
      <c r="X353" s="125">
        <f t="shared" si="117"/>
        <v>10</v>
      </c>
      <c r="Y353" s="125">
        <f t="shared" si="117"/>
        <v>200</v>
      </c>
      <c r="Z353" s="125">
        <f t="shared" si="117"/>
        <v>10</v>
      </c>
      <c r="AA353" s="125">
        <f t="shared" si="117"/>
        <v>200</v>
      </c>
      <c r="AB353" s="125">
        <f t="shared" si="117"/>
        <v>10</v>
      </c>
      <c r="AC353" s="125">
        <f t="shared" si="117"/>
        <v>200</v>
      </c>
      <c r="AD353" s="119">
        <v>40</v>
      </c>
      <c r="AE353" s="126">
        <f t="shared" si="118"/>
        <v>415</v>
      </c>
      <c r="AF353" s="66">
        <f t="shared" si="119"/>
        <v>500</v>
      </c>
      <c r="AG353" s="66" t="str">
        <f t="shared" si="120"/>
        <v>В25</v>
      </c>
      <c r="AH353" s="66">
        <f t="shared" si="120"/>
        <v>1</v>
      </c>
    </row>
    <row r="354" spans="1:35" ht="33" thickTop="1" thickBot="1" x14ac:dyDescent="0.3">
      <c r="A354" s="119" t="str">
        <f t="shared" si="121"/>
        <v>Пс8.7.4</v>
      </c>
      <c r="B354" s="119">
        <v>10</v>
      </c>
      <c r="C354" s="46" t="s">
        <v>2892</v>
      </c>
      <c r="D354" s="119">
        <f>Y354</f>
        <v>200</v>
      </c>
      <c r="E354" s="127">
        <f>ROUNDUP((IF(P354&lt;=3000,0,O354/Y354)),0)</f>
        <v>0</v>
      </c>
      <c r="F354" s="119"/>
      <c r="G354" s="119"/>
      <c r="H354" s="127">
        <f>IF(E354=0,0, (Арм_Округление(AE354+2*AF354)))</f>
        <v>0</v>
      </c>
      <c r="I354" s="121">
        <f>X354</f>
        <v>10</v>
      </c>
      <c r="J354" s="46" t="s">
        <v>2</v>
      </c>
      <c r="K354" s="128"/>
      <c r="L354" s="119"/>
      <c r="M354" s="124">
        <f t="shared" si="117"/>
        <v>1</v>
      </c>
      <c r="N354" s="125" t="str">
        <f t="shared" si="117"/>
        <v>Пс8.7.4</v>
      </c>
      <c r="O354" s="125">
        <f t="shared" si="117"/>
        <v>9800</v>
      </c>
      <c r="P354" s="125">
        <f t="shared" si="117"/>
        <v>2850</v>
      </c>
      <c r="Q354" s="125">
        <f t="shared" si="117"/>
        <v>400</v>
      </c>
      <c r="R354" s="125">
        <f t="shared" si="117"/>
        <v>2100</v>
      </c>
      <c r="S354" s="125">
        <f t="shared" si="117"/>
        <v>300</v>
      </c>
      <c r="T354" s="125">
        <f t="shared" si="117"/>
        <v>1400</v>
      </c>
      <c r="U354" s="125">
        <f t="shared" si="117"/>
        <v>300</v>
      </c>
      <c r="V354" s="125">
        <f t="shared" si="117"/>
        <v>10</v>
      </c>
      <c r="W354" s="125">
        <f t="shared" si="117"/>
        <v>200</v>
      </c>
      <c r="X354" s="125">
        <f t="shared" si="117"/>
        <v>10</v>
      </c>
      <c r="Y354" s="125">
        <f t="shared" si="117"/>
        <v>200</v>
      </c>
      <c r="Z354" s="125">
        <f t="shared" si="117"/>
        <v>10</v>
      </c>
      <c r="AA354" s="125">
        <f t="shared" si="117"/>
        <v>200</v>
      </c>
      <c r="AB354" s="125">
        <f t="shared" si="117"/>
        <v>10</v>
      </c>
      <c r="AC354" s="125">
        <f t="shared" si="117"/>
        <v>200</v>
      </c>
      <c r="AD354" s="119">
        <f t="shared" si="117"/>
        <v>40</v>
      </c>
      <c r="AE354" s="126">
        <f t="shared" si="118"/>
        <v>415</v>
      </c>
      <c r="AF354" s="66">
        <f t="shared" si="119"/>
        <v>500</v>
      </c>
      <c r="AG354" s="66" t="str">
        <f t="shared" si="120"/>
        <v>В25</v>
      </c>
      <c r="AH354" s="66">
        <f t="shared" si="120"/>
        <v>1</v>
      </c>
    </row>
    <row r="355" spans="1:35" ht="33" thickTop="1" thickBot="1" x14ac:dyDescent="0.3">
      <c r="A355" s="119" t="str">
        <f t="shared" si="121"/>
        <v>Пс8.7.4</v>
      </c>
      <c r="B355" s="119">
        <v>11</v>
      </c>
      <c r="C355" s="46" t="s">
        <v>2893</v>
      </c>
      <c r="D355" s="119">
        <f>Y355</f>
        <v>200</v>
      </c>
      <c r="E355" s="127">
        <f>ROUNDUP((IF(P355&lt;=3000,0,O355/Y355)),0)</f>
        <v>0</v>
      </c>
      <c r="F355" s="119"/>
      <c r="G355" s="119"/>
      <c r="H355" s="127">
        <f>IF(E355=0,0, (Арм_Округление(AE355+AF355)))</f>
        <v>0</v>
      </c>
      <c r="I355" s="121">
        <f>X355</f>
        <v>10</v>
      </c>
      <c r="J355" s="46" t="s">
        <v>2</v>
      </c>
      <c r="K355" s="128"/>
      <c r="L355" s="119"/>
      <c r="M355" s="124">
        <f t="shared" si="117"/>
        <v>1</v>
      </c>
      <c r="N355" s="125" t="str">
        <f t="shared" si="117"/>
        <v>Пс8.7.4</v>
      </c>
      <c r="O355" s="125">
        <f t="shared" si="117"/>
        <v>9800</v>
      </c>
      <c r="P355" s="125">
        <f t="shared" si="117"/>
        <v>2850</v>
      </c>
      <c r="Q355" s="125">
        <f t="shared" si="117"/>
        <v>400</v>
      </c>
      <c r="R355" s="125">
        <f t="shared" si="117"/>
        <v>2100</v>
      </c>
      <c r="S355" s="125">
        <f t="shared" si="117"/>
        <v>300</v>
      </c>
      <c r="T355" s="125">
        <f t="shared" si="117"/>
        <v>1400</v>
      </c>
      <c r="U355" s="125">
        <f t="shared" si="117"/>
        <v>300</v>
      </c>
      <c r="V355" s="125">
        <f t="shared" si="117"/>
        <v>10</v>
      </c>
      <c r="W355" s="125">
        <f t="shared" si="117"/>
        <v>200</v>
      </c>
      <c r="X355" s="125">
        <f t="shared" si="117"/>
        <v>10</v>
      </c>
      <c r="Y355" s="125">
        <f t="shared" si="117"/>
        <v>200</v>
      </c>
      <c r="Z355" s="125">
        <f t="shared" si="117"/>
        <v>10</v>
      </c>
      <c r="AA355" s="125">
        <f t="shared" si="117"/>
        <v>200</v>
      </c>
      <c r="AB355" s="125">
        <f t="shared" si="117"/>
        <v>10</v>
      </c>
      <c r="AC355" s="125">
        <f t="shared" si="117"/>
        <v>200</v>
      </c>
      <c r="AD355" s="119">
        <f t="shared" si="117"/>
        <v>40</v>
      </c>
      <c r="AE355" s="126">
        <f t="shared" si="118"/>
        <v>415</v>
      </c>
      <c r="AF355" s="66">
        <f t="shared" si="119"/>
        <v>500</v>
      </c>
      <c r="AG355" s="66" t="str">
        <f t="shared" si="120"/>
        <v>В25</v>
      </c>
      <c r="AH355" s="66">
        <f t="shared" si="120"/>
        <v>1</v>
      </c>
    </row>
    <row r="356" spans="1:35" ht="17.25" thickTop="1" thickBot="1" x14ac:dyDescent="0.3">
      <c r="A356" s="119" t="str">
        <f t="shared" si="121"/>
        <v>Пс8.7.4</v>
      </c>
      <c r="B356" s="119">
        <v>12</v>
      </c>
      <c r="C356" s="46" t="s">
        <v>2894</v>
      </c>
      <c r="D356" s="119">
        <f>W355</f>
        <v>200</v>
      </c>
      <c r="E356" s="127">
        <f>IF(M356=0, 0, M356*2*ROUNDUP((P356/W356),0))</f>
        <v>30</v>
      </c>
      <c r="F356" s="119"/>
      <c r="G356" s="119"/>
      <c r="H356" s="127">
        <f>IF(M356=0, 0, AF356*2)</f>
        <v>1000</v>
      </c>
      <c r="I356" s="121">
        <f>V356</f>
        <v>10</v>
      </c>
      <c r="J356" s="46" t="s">
        <v>2</v>
      </c>
      <c r="K356" s="128"/>
      <c r="L356" s="119"/>
      <c r="M356" s="124">
        <f t="shared" si="117"/>
        <v>1</v>
      </c>
      <c r="N356" s="125" t="str">
        <f t="shared" si="117"/>
        <v>Пс8.7.4</v>
      </c>
      <c r="O356" s="125">
        <f t="shared" si="117"/>
        <v>9800</v>
      </c>
      <c r="P356" s="125">
        <f t="shared" si="117"/>
        <v>2850</v>
      </c>
      <c r="Q356" s="125">
        <f t="shared" si="117"/>
        <v>400</v>
      </c>
      <c r="R356" s="125">
        <f t="shared" si="117"/>
        <v>2100</v>
      </c>
      <c r="S356" s="125">
        <f t="shared" si="117"/>
        <v>300</v>
      </c>
      <c r="T356" s="125">
        <f t="shared" si="117"/>
        <v>1400</v>
      </c>
      <c r="U356" s="125">
        <f t="shared" si="117"/>
        <v>300</v>
      </c>
      <c r="V356" s="125">
        <f t="shared" si="117"/>
        <v>10</v>
      </c>
      <c r="W356" s="125">
        <f t="shared" si="117"/>
        <v>200</v>
      </c>
      <c r="X356" s="125">
        <f t="shared" si="117"/>
        <v>10</v>
      </c>
      <c r="Y356" s="125">
        <f t="shared" si="117"/>
        <v>200</v>
      </c>
      <c r="Z356" s="125">
        <f t="shared" si="117"/>
        <v>10</v>
      </c>
      <c r="AA356" s="125">
        <f t="shared" si="117"/>
        <v>200</v>
      </c>
      <c r="AB356" s="125">
        <f t="shared" si="117"/>
        <v>10</v>
      </c>
      <c r="AC356" s="125">
        <f t="shared" si="117"/>
        <v>200</v>
      </c>
      <c r="AD356" s="119">
        <f t="shared" si="117"/>
        <v>40</v>
      </c>
      <c r="AE356" s="126">
        <f t="shared" si="118"/>
        <v>415</v>
      </c>
      <c r="AF356" s="66">
        <f t="shared" si="119"/>
        <v>500</v>
      </c>
      <c r="AG356" s="66" t="str">
        <f t="shared" si="120"/>
        <v>В25</v>
      </c>
      <c r="AH356" s="66">
        <f t="shared" si="120"/>
        <v>1</v>
      </c>
    </row>
    <row r="357" spans="1:35" ht="17.25" thickTop="1" thickBot="1" x14ac:dyDescent="0.3">
      <c r="A357" s="119" t="str">
        <f t="shared" si="121"/>
        <v>Пс8.7.4</v>
      </c>
      <c r="B357" s="119">
        <v>13</v>
      </c>
      <c r="C357" s="46" t="s">
        <v>2895</v>
      </c>
      <c r="D357" s="119">
        <f>W356</f>
        <v>200</v>
      </c>
      <c r="E357" s="127">
        <f>IF(R357&lt;=2000,(ROUNDUP(O357/D357,0)),(0))</f>
        <v>0</v>
      </c>
      <c r="F357" s="119"/>
      <c r="G357" s="119"/>
      <c r="H357" s="127">
        <f>IF(R357&lt;=2000,(ROUNDUP(R357-2*40+2*(U357-40-AB357), -1)),(0))</f>
        <v>0</v>
      </c>
      <c r="I357" s="121">
        <f>V357</f>
        <v>10</v>
      </c>
      <c r="J357" s="46" t="s">
        <v>2</v>
      </c>
      <c r="K357" s="128"/>
      <c r="L357" s="119"/>
      <c r="M357" s="124">
        <f t="shared" si="117"/>
        <v>1</v>
      </c>
      <c r="N357" s="125" t="str">
        <f t="shared" si="117"/>
        <v>Пс8.7.4</v>
      </c>
      <c r="O357" s="125">
        <f t="shared" si="117"/>
        <v>9800</v>
      </c>
      <c r="P357" s="125">
        <f t="shared" si="117"/>
        <v>2850</v>
      </c>
      <c r="Q357" s="125">
        <f t="shared" si="117"/>
        <v>400</v>
      </c>
      <c r="R357" s="125">
        <f t="shared" si="117"/>
        <v>2100</v>
      </c>
      <c r="S357" s="125">
        <f t="shared" si="117"/>
        <v>300</v>
      </c>
      <c r="T357" s="125">
        <f t="shared" si="117"/>
        <v>1400</v>
      </c>
      <c r="U357" s="125">
        <f t="shared" si="117"/>
        <v>300</v>
      </c>
      <c r="V357" s="125">
        <f t="shared" si="117"/>
        <v>10</v>
      </c>
      <c r="W357" s="125">
        <f t="shared" si="117"/>
        <v>200</v>
      </c>
      <c r="X357" s="125">
        <f t="shared" si="117"/>
        <v>10</v>
      </c>
      <c r="Y357" s="125">
        <f t="shared" si="117"/>
        <v>200</v>
      </c>
      <c r="Z357" s="125">
        <f t="shared" si="117"/>
        <v>10</v>
      </c>
      <c r="AA357" s="125">
        <f t="shared" si="117"/>
        <v>200</v>
      </c>
      <c r="AB357" s="125">
        <f t="shared" si="117"/>
        <v>10</v>
      </c>
      <c r="AC357" s="125">
        <f t="shared" si="117"/>
        <v>200</v>
      </c>
      <c r="AD357" s="119">
        <f t="shared" si="117"/>
        <v>40</v>
      </c>
      <c r="AE357" s="126">
        <f t="shared" si="118"/>
        <v>415</v>
      </c>
      <c r="AF357" s="66">
        <f t="shared" si="119"/>
        <v>500</v>
      </c>
      <c r="AG357" s="66" t="str">
        <f t="shared" si="120"/>
        <v>В25</v>
      </c>
      <c r="AH357" s="66">
        <f t="shared" si="120"/>
        <v>1</v>
      </c>
    </row>
    <row r="358" spans="1:35" ht="15.75" thickTop="1" x14ac:dyDescent="0.25"/>
    <row r="361" spans="1:35" ht="15.75" thickBot="1" x14ac:dyDescent="0.3"/>
    <row r="362" spans="1:35" ht="91.5" thickTop="1" thickBot="1" x14ac:dyDescent="0.3">
      <c r="A362" s="133" t="s">
        <v>159</v>
      </c>
      <c r="B362" s="135" t="s">
        <v>160</v>
      </c>
      <c r="C362" s="135" t="s">
        <v>2750</v>
      </c>
      <c r="D362" s="135" t="s">
        <v>2856</v>
      </c>
      <c r="E362" s="138" t="s">
        <v>163</v>
      </c>
      <c r="F362" s="135" t="s">
        <v>2857</v>
      </c>
      <c r="G362" s="135" t="s">
        <v>2858</v>
      </c>
      <c r="H362" s="140" t="s">
        <v>166</v>
      </c>
      <c r="I362" s="141"/>
      <c r="J362" s="142"/>
      <c r="K362" s="143" t="s">
        <v>2859</v>
      </c>
      <c r="L362" s="143" t="s">
        <v>2860</v>
      </c>
      <c r="M362" s="146" t="s">
        <v>2861</v>
      </c>
      <c r="N362" s="107" t="s">
        <v>2714</v>
      </c>
      <c r="O362" s="108" t="s">
        <v>2862</v>
      </c>
      <c r="P362" s="109" t="s">
        <v>2863</v>
      </c>
      <c r="Q362" s="109" t="s">
        <v>2864</v>
      </c>
      <c r="R362" s="109" t="s">
        <v>2865</v>
      </c>
      <c r="S362" s="109" t="s">
        <v>2866</v>
      </c>
      <c r="T362" s="109" t="s">
        <v>2867</v>
      </c>
      <c r="U362" s="109" t="s">
        <v>2868</v>
      </c>
      <c r="V362" s="109" t="s">
        <v>2869</v>
      </c>
      <c r="W362" s="109" t="s">
        <v>2870</v>
      </c>
      <c r="X362" s="109" t="s">
        <v>2871</v>
      </c>
      <c r="Y362" s="109" t="s">
        <v>2872</v>
      </c>
      <c r="Z362" s="109" t="s">
        <v>2873</v>
      </c>
      <c r="AA362" s="109" t="s">
        <v>2874</v>
      </c>
      <c r="AB362" s="109" t="s">
        <v>2875</v>
      </c>
      <c r="AC362" s="110" t="s">
        <v>2876</v>
      </c>
      <c r="AD362" s="111" t="s">
        <v>2877</v>
      </c>
      <c r="AE362" s="143" t="s">
        <v>180</v>
      </c>
      <c r="AF362" s="131" t="s">
        <v>2878</v>
      </c>
      <c r="AG362" s="111" t="s">
        <v>2879</v>
      </c>
      <c r="AH362" s="111" t="s">
        <v>2880</v>
      </c>
      <c r="AI362" s="112" t="s">
        <v>2881</v>
      </c>
    </row>
    <row r="363" spans="1:35" ht="17.25" thickTop="1" thickBot="1" x14ac:dyDescent="0.3">
      <c r="A363" s="134"/>
      <c r="B363" s="136"/>
      <c r="C363" s="136"/>
      <c r="D363" s="137"/>
      <c r="E363" s="139"/>
      <c r="F363" s="137"/>
      <c r="G363" s="137"/>
      <c r="H363" s="113" t="s">
        <v>170</v>
      </c>
      <c r="I363" s="114" t="s">
        <v>171</v>
      </c>
      <c r="J363" s="115" t="s">
        <v>172</v>
      </c>
      <c r="K363" s="144"/>
      <c r="L363" s="145"/>
      <c r="M363" s="147"/>
      <c r="N363" s="116" t="str">
        <f>'[1]Исх.Таблица из архикада'!A22</f>
        <v>Пс8.7.5</v>
      </c>
      <c r="O363" s="116">
        <f>'[1]Исх.Таблица из архикада'!B22</f>
        <v>3300</v>
      </c>
      <c r="P363" s="116">
        <f>'[1]Исх.Таблица из архикада'!C22</f>
        <v>2850</v>
      </c>
      <c r="Q363" s="116">
        <f>'[1]Исх.Таблица из архикада'!D22</f>
        <v>400</v>
      </c>
      <c r="R363" s="116">
        <f>'[1]Исх.Таблица из архикада'!E22</f>
        <v>2100</v>
      </c>
      <c r="S363" s="116">
        <f>'[1]Исх.Таблица из архикада'!F22</f>
        <v>300</v>
      </c>
      <c r="T363" s="116">
        <f>'[1]Исх.Таблица из архикада'!G22</f>
        <v>1400</v>
      </c>
      <c r="U363" s="116">
        <f>'[1]Исх.Таблица из архикада'!H22</f>
        <v>300</v>
      </c>
      <c r="V363" s="116">
        <f>'[1]Исх.Таблица из архикада'!I22</f>
        <v>10</v>
      </c>
      <c r="W363" s="116">
        <f>'[1]Исх.Таблица из архикада'!J22</f>
        <v>200</v>
      </c>
      <c r="X363" s="116">
        <f>'[1]Исх.Таблица из архикада'!K22</f>
        <v>10</v>
      </c>
      <c r="Y363" s="116">
        <f>'[1]Исх.Таблица из архикада'!L22</f>
        <v>200</v>
      </c>
      <c r="Z363" s="116">
        <f>'[1]Исх.Таблица из архикада'!M22</f>
        <v>10</v>
      </c>
      <c r="AA363" s="116">
        <f>'[1]Исх.Таблица из архикада'!N22</f>
        <v>200</v>
      </c>
      <c r="AB363" s="116">
        <f>'[1]Исх.Таблица из архикада'!O22</f>
        <v>10</v>
      </c>
      <c r="AC363" s="116">
        <f>'[1]Исх.Таблица из архикада'!P22</f>
        <v>200</v>
      </c>
      <c r="AD363" s="116">
        <v>40</v>
      </c>
      <c r="AE363" s="145"/>
      <c r="AF363" s="132"/>
      <c r="AG363" s="118" t="s">
        <v>2882</v>
      </c>
      <c r="AH363" s="118">
        <v>1</v>
      </c>
      <c r="AI363">
        <v>6000</v>
      </c>
    </row>
    <row r="364" spans="1:35" ht="17.25" thickTop="1" thickBot="1" x14ac:dyDescent="0.3">
      <c r="A364" s="119" t="str">
        <f>N363</f>
        <v>Пс8.7.5</v>
      </c>
      <c r="B364" s="119">
        <v>1</v>
      </c>
      <c r="C364" s="46" t="s">
        <v>2883</v>
      </c>
      <c r="D364" s="119">
        <f>W364</f>
        <v>200</v>
      </c>
      <c r="E364" s="120">
        <f>IF(O364&lt;=5700, ROUNDUP(P364*2/W364+1,0), 1)</f>
        <v>30</v>
      </c>
      <c r="F364" s="119">
        <f>ROUNDUP(((O364*R364*U364)*0.000000001+(O364*P364*Q364)*0.000000001),1)</f>
        <v>5.8999999999999995</v>
      </c>
      <c r="G364" s="119">
        <f>ROUNDUP((0.1*(R364+200)*(O364)*0.000001),1)</f>
        <v>0.79999999999999993</v>
      </c>
      <c r="H364" s="120">
        <f>IF(O364&lt;=5700, O364-50, K364)</f>
        <v>3250</v>
      </c>
      <c r="I364" s="121">
        <f>V364</f>
        <v>10</v>
      </c>
      <c r="J364" s="46" t="s">
        <v>2</v>
      </c>
      <c r="K364" s="122">
        <f>Арм_ПоПлощади(O364*P364,W364,AF364,$AI$3)</f>
        <v>54600</v>
      </c>
      <c r="L364" s="123">
        <f>IF(R364&lt;=2000,(0),(ROUNDUP(O364*R364*0.000001/1+SQRT(O364*R364*0.000001),0)))</f>
        <v>10</v>
      </c>
      <c r="M364" s="124">
        <v>0</v>
      </c>
      <c r="N364" s="125" t="str">
        <f>N363</f>
        <v>Пс8.7.5</v>
      </c>
      <c r="O364" s="125">
        <f t="shared" ref="O364:AD364" si="122">O363</f>
        <v>3300</v>
      </c>
      <c r="P364" s="125">
        <f t="shared" si="122"/>
        <v>2850</v>
      </c>
      <c r="Q364" s="125">
        <f t="shared" si="122"/>
        <v>400</v>
      </c>
      <c r="R364" s="125">
        <f t="shared" si="122"/>
        <v>2100</v>
      </c>
      <c r="S364" s="125">
        <f t="shared" si="122"/>
        <v>300</v>
      </c>
      <c r="T364" s="125">
        <f t="shared" si="122"/>
        <v>1400</v>
      </c>
      <c r="U364" s="125">
        <f t="shared" si="122"/>
        <v>300</v>
      </c>
      <c r="V364" s="125">
        <f t="shared" si="122"/>
        <v>10</v>
      </c>
      <c r="W364" s="125">
        <f t="shared" si="122"/>
        <v>200</v>
      </c>
      <c r="X364" s="125">
        <f t="shared" si="122"/>
        <v>10</v>
      </c>
      <c r="Y364" s="125">
        <f t="shared" si="122"/>
        <v>200</v>
      </c>
      <c r="Z364" s="125">
        <f t="shared" si="122"/>
        <v>10</v>
      </c>
      <c r="AA364" s="125">
        <f t="shared" si="122"/>
        <v>200</v>
      </c>
      <c r="AB364" s="125">
        <f t="shared" si="122"/>
        <v>10</v>
      </c>
      <c r="AC364" s="125">
        <f t="shared" si="122"/>
        <v>200</v>
      </c>
      <c r="AD364" s="119">
        <f t="shared" si="122"/>
        <v>40</v>
      </c>
      <c r="AE364" s="126">
        <f>Арм_Анкеровка(I364,J364,$AG$3,$AH$3)</f>
        <v>415</v>
      </c>
      <c r="AF364" s="66">
        <f>Арм_Нахлёст(I364,J364,$AG$3,$AH$3)</f>
        <v>500</v>
      </c>
      <c r="AG364" s="66" t="str">
        <f>AG363</f>
        <v>В25</v>
      </c>
      <c r="AH364" s="66">
        <f>AH363</f>
        <v>1</v>
      </c>
    </row>
    <row r="365" spans="1:35" ht="17.25" thickTop="1" thickBot="1" x14ac:dyDescent="0.3">
      <c r="A365" s="119" t="str">
        <f>A364</f>
        <v>Пс8.7.5</v>
      </c>
      <c r="B365" s="119">
        <v>2</v>
      </c>
      <c r="C365" s="46" t="s">
        <v>2884</v>
      </c>
      <c r="D365" s="119">
        <f>Y364</f>
        <v>200</v>
      </c>
      <c r="E365" s="127">
        <f>IF(Q365&lt;=150,0,(ROUNDUP(O365/Y365,0)))</f>
        <v>17</v>
      </c>
      <c r="F365" s="119"/>
      <c r="G365" s="119"/>
      <c r="H365" s="127">
        <f>Арм_Элемент_П(AF365, (Q365-2*AD365), I365, J365)</f>
        <v>1300</v>
      </c>
      <c r="I365" s="121">
        <f>X365</f>
        <v>10</v>
      </c>
      <c r="J365" s="46" t="s">
        <v>2</v>
      </c>
      <c r="K365" s="128"/>
      <c r="L365" s="119"/>
      <c r="M365" s="124">
        <f t="shared" ref="M365:AD376" si="123">M364</f>
        <v>0</v>
      </c>
      <c r="N365" s="125" t="str">
        <f t="shared" si="123"/>
        <v>Пс8.7.5</v>
      </c>
      <c r="O365" s="125">
        <f t="shared" si="123"/>
        <v>3300</v>
      </c>
      <c r="P365" s="125">
        <f t="shared" si="123"/>
        <v>2850</v>
      </c>
      <c r="Q365" s="125">
        <f t="shared" si="123"/>
        <v>400</v>
      </c>
      <c r="R365" s="125">
        <f t="shared" si="123"/>
        <v>2100</v>
      </c>
      <c r="S365" s="125">
        <f t="shared" si="123"/>
        <v>300</v>
      </c>
      <c r="T365" s="125">
        <f t="shared" si="123"/>
        <v>1400</v>
      </c>
      <c r="U365" s="125">
        <f t="shared" si="123"/>
        <v>300</v>
      </c>
      <c r="V365" s="125">
        <f t="shared" si="123"/>
        <v>10</v>
      </c>
      <c r="W365" s="125">
        <f t="shared" si="123"/>
        <v>200</v>
      </c>
      <c r="X365" s="125">
        <f t="shared" si="123"/>
        <v>10</v>
      </c>
      <c r="Y365" s="125">
        <f t="shared" si="123"/>
        <v>200</v>
      </c>
      <c r="Z365" s="125">
        <f t="shared" si="123"/>
        <v>10</v>
      </c>
      <c r="AA365" s="125">
        <f t="shared" si="123"/>
        <v>200</v>
      </c>
      <c r="AB365" s="125">
        <f t="shared" si="123"/>
        <v>10</v>
      </c>
      <c r="AC365" s="125">
        <f t="shared" si="123"/>
        <v>200</v>
      </c>
      <c r="AD365" s="119">
        <f t="shared" si="123"/>
        <v>40</v>
      </c>
      <c r="AE365" s="126">
        <f t="shared" ref="AE365:AE376" si="124">Арм_Анкеровка(I365,J365,$AG$3,$AH$3)</f>
        <v>415</v>
      </c>
      <c r="AF365" s="66">
        <f t="shared" ref="AF365:AF376" si="125">Арм_Нахлёст(I365,J365,$AG$3,$AH$3)</f>
        <v>500</v>
      </c>
      <c r="AG365" s="66" t="str">
        <f t="shared" ref="AG365:AH376" si="126">AG364</f>
        <v>В25</v>
      </c>
      <c r="AH365" s="66">
        <f t="shared" si="126"/>
        <v>1</v>
      </c>
    </row>
    <row r="366" spans="1:35" ht="17.25" thickTop="1" thickBot="1" x14ac:dyDescent="0.3">
      <c r="A366" s="119" t="str">
        <f t="shared" ref="A366:A376" si="127">A365</f>
        <v>Пс8.7.5</v>
      </c>
      <c r="B366" s="119">
        <v>3</v>
      </c>
      <c r="C366" s="46" t="s">
        <v>2885</v>
      </c>
      <c r="D366" s="119">
        <f>W366</f>
        <v>200</v>
      </c>
      <c r="E366" s="127">
        <f>MROUND(2*P366/D366,2)</f>
        <v>28</v>
      </c>
      <c r="F366" s="119"/>
      <c r="G366" s="119"/>
      <c r="H366" s="127">
        <f>Арм_Элемент_П(AF366, (Q366-2*AD366), I366, J366)</f>
        <v>1320</v>
      </c>
      <c r="I366" s="121">
        <f>V366</f>
        <v>10</v>
      </c>
      <c r="J366" s="46" t="s">
        <v>2</v>
      </c>
      <c r="K366" s="128"/>
      <c r="L366" s="119"/>
      <c r="M366" s="124">
        <f t="shared" si="123"/>
        <v>0</v>
      </c>
      <c r="N366" s="125" t="str">
        <f t="shared" si="123"/>
        <v>Пс8.7.5</v>
      </c>
      <c r="O366" s="125">
        <f t="shared" si="123"/>
        <v>3300</v>
      </c>
      <c r="P366" s="125">
        <f t="shared" si="123"/>
        <v>2850</v>
      </c>
      <c r="Q366" s="125">
        <f t="shared" si="123"/>
        <v>400</v>
      </c>
      <c r="R366" s="125">
        <f t="shared" si="123"/>
        <v>2100</v>
      </c>
      <c r="S366" s="125">
        <f t="shared" si="123"/>
        <v>300</v>
      </c>
      <c r="T366" s="125">
        <f t="shared" si="123"/>
        <v>1400</v>
      </c>
      <c r="U366" s="125">
        <f t="shared" si="123"/>
        <v>300</v>
      </c>
      <c r="V366" s="125">
        <f t="shared" si="123"/>
        <v>10</v>
      </c>
      <c r="W366" s="125">
        <f t="shared" si="123"/>
        <v>200</v>
      </c>
      <c r="X366" s="125">
        <f t="shared" si="123"/>
        <v>10</v>
      </c>
      <c r="Y366" s="125">
        <f t="shared" si="123"/>
        <v>200</v>
      </c>
      <c r="Z366" s="125">
        <f t="shared" si="123"/>
        <v>10</v>
      </c>
      <c r="AA366" s="125">
        <f t="shared" si="123"/>
        <v>200</v>
      </c>
      <c r="AB366" s="125">
        <f t="shared" si="123"/>
        <v>10</v>
      </c>
      <c r="AC366" s="125">
        <f t="shared" si="123"/>
        <v>200</v>
      </c>
      <c r="AD366" s="119">
        <v>30</v>
      </c>
      <c r="AE366" s="126">
        <f t="shared" si="124"/>
        <v>415</v>
      </c>
      <c r="AF366" s="66">
        <f t="shared" si="125"/>
        <v>500</v>
      </c>
      <c r="AG366" s="66" t="str">
        <f t="shared" si="126"/>
        <v>В25</v>
      </c>
      <c r="AH366" s="66">
        <f t="shared" si="126"/>
        <v>1</v>
      </c>
    </row>
    <row r="367" spans="1:35" ht="17.25" thickTop="1" thickBot="1" x14ac:dyDescent="0.3">
      <c r="A367" s="119" t="str">
        <f t="shared" si="127"/>
        <v>Пс8.7.5</v>
      </c>
      <c r="B367" s="119">
        <v>4</v>
      </c>
      <c r="C367" s="46" t="s">
        <v>2886</v>
      </c>
      <c r="D367" s="119">
        <f>Y367</f>
        <v>200</v>
      </c>
      <c r="E367" s="127">
        <f>ROUNDUP(O367/Y367,0)*2</f>
        <v>34</v>
      </c>
      <c r="F367" s="119"/>
      <c r="G367" s="119"/>
      <c r="H367" s="127">
        <f>IF(P367&lt;=3000,(IF(Q367&lt;=150,(P367-25+AE367+Q367-(35+V367)),(P367-25+AE367))),(P367-25))</f>
        <v>3240</v>
      </c>
      <c r="I367" s="121">
        <f>X367</f>
        <v>10</v>
      </c>
      <c r="J367" s="46" t="s">
        <v>2</v>
      </c>
      <c r="K367" s="128"/>
      <c r="L367" s="119"/>
      <c r="M367" s="124">
        <f t="shared" si="123"/>
        <v>0</v>
      </c>
      <c r="N367" s="125" t="str">
        <f t="shared" si="123"/>
        <v>Пс8.7.5</v>
      </c>
      <c r="O367" s="125">
        <f t="shared" si="123"/>
        <v>3300</v>
      </c>
      <c r="P367" s="125">
        <f t="shared" si="123"/>
        <v>2850</v>
      </c>
      <c r="Q367" s="125">
        <f t="shared" si="123"/>
        <v>400</v>
      </c>
      <c r="R367" s="125">
        <f t="shared" si="123"/>
        <v>2100</v>
      </c>
      <c r="S367" s="125">
        <f t="shared" si="123"/>
        <v>300</v>
      </c>
      <c r="T367" s="125">
        <f t="shared" si="123"/>
        <v>1400</v>
      </c>
      <c r="U367" s="125">
        <f t="shared" si="123"/>
        <v>300</v>
      </c>
      <c r="V367" s="125">
        <f t="shared" si="123"/>
        <v>10</v>
      </c>
      <c r="W367" s="125">
        <f t="shared" si="123"/>
        <v>200</v>
      </c>
      <c r="X367" s="125">
        <f t="shared" si="123"/>
        <v>10</v>
      </c>
      <c r="Y367" s="125">
        <f t="shared" si="123"/>
        <v>200</v>
      </c>
      <c r="Z367" s="125">
        <f t="shared" si="123"/>
        <v>10</v>
      </c>
      <c r="AA367" s="125">
        <f t="shared" si="123"/>
        <v>200</v>
      </c>
      <c r="AB367" s="125">
        <f t="shared" si="123"/>
        <v>10</v>
      </c>
      <c r="AC367" s="125">
        <f t="shared" si="123"/>
        <v>200</v>
      </c>
      <c r="AD367" s="119">
        <v>40</v>
      </c>
      <c r="AE367" s="126">
        <f t="shared" si="124"/>
        <v>415</v>
      </c>
      <c r="AF367" s="66">
        <f t="shared" si="125"/>
        <v>500</v>
      </c>
      <c r="AG367" s="66" t="str">
        <f t="shared" si="126"/>
        <v>В25</v>
      </c>
      <c r="AH367" s="66">
        <f t="shared" si="126"/>
        <v>1</v>
      </c>
    </row>
    <row r="368" spans="1:35" ht="17.25" thickTop="1" thickBot="1" x14ac:dyDescent="0.3">
      <c r="A368" s="119" t="str">
        <f t="shared" si="127"/>
        <v>Пс8.7.5</v>
      </c>
      <c r="B368" s="119">
        <v>5</v>
      </c>
      <c r="C368" s="46" t="s">
        <v>2887</v>
      </c>
      <c r="D368" s="119">
        <v>400</v>
      </c>
      <c r="E368" s="127">
        <f>ROUNDUP((13*(O368*P368/1000000)),0)</f>
        <v>123</v>
      </c>
      <c r="F368" s="119"/>
      <c r="G368" s="119"/>
      <c r="H368" s="127">
        <f>Q368-AD368*2+150</f>
        <v>470</v>
      </c>
      <c r="I368" s="121">
        <v>6</v>
      </c>
      <c r="J368" s="46" t="s">
        <v>2</v>
      </c>
      <c r="K368" s="128"/>
      <c r="L368" s="119"/>
      <c r="M368" s="124">
        <f t="shared" si="123"/>
        <v>0</v>
      </c>
      <c r="N368" s="125" t="str">
        <f t="shared" si="123"/>
        <v>Пс8.7.5</v>
      </c>
      <c r="O368" s="125">
        <f t="shared" si="123"/>
        <v>3300</v>
      </c>
      <c r="P368" s="125">
        <f t="shared" si="123"/>
        <v>2850</v>
      </c>
      <c r="Q368" s="125">
        <f t="shared" si="123"/>
        <v>400</v>
      </c>
      <c r="R368" s="125">
        <f t="shared" si="123"/>
        <v>2100</v>
      </c>
      <c r="S368" s="125">
        <f t="shared" si="123"/>
        <v>300</v>
      </c>
      <c r="T368" s="125">
        <f t="shared" si="123"/>
        <v>1400</v>
      </c>
      <c r="U368" s="125">
        <f t="shared" si="123"/>
        <v>300</v>
      </c>
      <c r="V368" s="125">
        <f t="shared" si="123"/>
        <v>10</v>
      </c>
      <c r="W368" s="125">
        <f t="shared" si="123"/>
        <v>200</v>
      </c>
      <c r="X368" s="125">
        <f t="shared" si="123"/>
        <v>10</v>
      </c>
      <c r="Y368" s="125">
        <f t="shared" si="123"/>
        <v>200</v>
      </c>
      <c r="Z368" s="125">
        <f t="shared" si="123"/>
        <v>10</v>
      </c>
      <c r="AA368" s="125">
        <f t="shared" si="123"/>
        <v>200</v>
      </c>
      <c r="AB368" s="125">
        <f t="shared" si="123"/>
        <v>10</v>
      </c>
      <c r="AC368" s="125">
        <f t="shared" si="123"/>
        <v>200</v>
      </c>
      <c r="AD368" s="119">
        <f t="shared" si="123"/>
        <v>40</v>
      </c>
      <c r="AE368" s="126">
        <f t="shared" si="124"/>
        <v>250</v>
      </c>
      <c r="AF368" s="66">
        <f t="shared" si="125"/>
        <v>300</v>
      </c>
      <c r="AG368" s="66" t="str">
        <f t="shared" si="126"/>
        <v>В25</v>
      </c>
      <c r="AH368" s="66">
        <f t="shared" si="126"/>
        <v>1</v>
      </c>
    </row>
    <row r="369" spans="1:35" ht="17.25" thickTop="1" thickBot="1" x14ac:dyDescent="0.3">
      <c r="A369" s="119" t="str">
        <f t="shared" si="127"/>
        <v>Пс8.7.5</v>
      </c>
      <c r="B369" s="119">
        <v>6</v>
      </c>
      <c r="C369" s="46" t="s">
        <v>2888</v>
      </c>
      <c r="D369" s="119">
        <f>AA369</f>
        <v>200</v>
      </c>
      <c r="E369" s="127">
        <f>IF(R369&lt;=2000,(ROUNDUP(O369/D369,0)),(ROUNDUP(O369/D369,0)))</f>
        <v>17</v>
      </c>
      <c r="F369" s="119"/>
      <c r="G369" s="119"/>
      <c r="H369" s="127">
        <f>R369-50</f>
        <v>2050</v>
      </c>
      <c r="I369" s="121">
        <f>Z369</f>
        <v>10</v>
      </c>
      <c r="J369" s="46" t="s">
        <v>2</v>
      </c>
      <c r="K369" s="128"/>
      <c r="L369" s="119"/>
      <c r="M369" s="124">
        <f t="shared" si="123"/>
        <v>0</v>
      </c>
      <c r="N369" s="125" t="str">
        <f t="shared" si="123"/>
        <v>Пс8.7.5</v>
      </c>
      <c r="O369" s="125">
        <f t="shared" si="123"/>
        <v>3300</v>
      </c>
      <c r="P369" s="125">
        <f t="shared" si="123"/>
        <v>2850</v>
      </c>
      <c r="Q369" s="125">
        <f t="shared" si="123"/>
        <v>400</v>
      </c>
      <c r="R369" s="125">
        <f t="shared" si="123"/>
        <v>2100</v>
      </c>
      <c r="S369" s="125">
        <f t="shared" si="123"/>
        <v>300</v>
      </c>
      <c r="T369" s="125">
        <f t="shared" si="123"/>
        <v>1400</v>
      </c>
      <c r="U369" s="125">
        <f t="shared" si="123"/>
        <v>300</v>
      </c>
      <c r="V369" s="125">
        <f t="shared" si="123"/>
        <v>10</v>
      </c>
      <c r="W369" s="125">
        <f t="shared" si="123"/>
        <v>200</v>
      </c>
      <c r="X369" s="125">
        <f t="shared" si="123"/>
        <v>10</v>
      </c>
      <c r="Y369" s="125">
        <f t="shared" si="123"/>
        <v>200</v>
      </c>
      <c r="Z369" s="125">
        <f t="shared" si="123"/>
        <v>10</v>
      </c>
      <c r="AA369" s="125">
        <f t="shared" si="123"/>
        <v>200</v>
      </c>
      <c r="AB369" s="125">
        <f t="shared" si="123"/>
        <v>10</v>
      </c>
      <c r="AC369" s="125">
        <f t="shared" si="123"/>
        <v>200</v>
      </c>
      <c r="AD369" s="119">
        <f t="shared" si="123"/>
        <v>40</v>
      </c>
      <c r="AE369" s="126">
        <f t="shared" si="124"/>
        <v>415</v>
      </c>
      <c r="AF369" s="66">
        <f t="shared" si="125"/>
        <v>500</v>
      </c>
      <c r="AG369" s="66" t="str">
        <f t="shared" si="126"/>
        <v>В25</v>
      </c>
      <c r="AH369" s="66">
        <f t="shared" si="126"/>
        <v>1</v>
      </c>
    </row>
    <row r="370" spans="1:35" ht="17.25" thickTop="1" thickBot="1" x14ac:dyDescent="0.3">
      <c r="A370" s="119" t="str">
        <f t="shared" si="127"/>
        <v>Пс8.7.5</v>
      </c>
      <c r="B370" s="119">
        <v>7</v>
      </c>
      <c r="C370" s="46" t="s">
        <v>2889</v>
      </c>
      <c r="D370" s="119">
        <f>AC370</f>
        <v>200</v>
      </c>
      <c r="E370" s="120">
        <f>IF(O370&lt;=5700, ROUNDUP(R370*2/AC370+1,0), 1)</f>
        <v>22</v>
      </c>
      <c r="F370" s="119"/>
      <c r="G370" s="119"/>
      <c r="H370" s="120">
        <f>IF(O370&lt;=5700, O370-50, K370)</f>
        <v>3250</v>
      </c>
      <c r="I370" s="121">
        <f>AB370</f>
        <v>10</v>
      </c>
      <c r="J370" s="46" t="s">
        <v>2</v>
      </c>
      <c r="K370" s="122">
        <f>Арм_ПоПлощади(O370*R370,AC370,AF370,$AI$3)</f>
        <v>40790</v>
      </c>
      <c r="L370" s="119"/>
      <c r="M370" s="124">
        <f t="shared" si="123"/>
        <v>0</v>
      </c>
      <c r="N370" s="125" t="str">
        <f t="shared" si="123"/>
        <v>Пс8.7.5</v>
      </c>
      <c r="O370" s="125">
        <f t="shared" si="123"/>
        <v>3300</v>
      </c>
      <c r="P370" s="125">
        <f t="shared" si="123"/>
        <v>2850</v>
      </c>
      <c r="Q370" s="125">
        <f t="shared" si="123"/>
        <v>400</v>
      </c>
      <c r="R370" s="125">
        <f t="shared" si="123"/>
        <v>2100</v>
      </c>
      <c r="S370" s="125">
        <f t="shared" si="123"/>
        <v>300</v>
      </c>
      <c r="T370" s="125">
        <f t="shared" si="123"/>
        <v>1400</v>
      </c>
      <c r="U370" s="125">
        <f t="shared" si="123"/>
        <v>300</v>
      </c>
      <c r="V370" s="125">
        <f t="shared" si="123"/>
        <v>10</v>
      </c>
      <c r="W370" s="125">
        <f t="shared" si="123"/>
        <v>200</v>
      </c>
      <c r="X370" s="125">
        <f t="shared" si="123"/>
        <v>10</v>
      </c>
      <c r="Y370" s="125">
        <f t="shared" si="123"/>
        <v>200</v>
      </c>
      <c r="Z370" s="125">
        <f t="shared" si="123"/>
        <v>10</v>
      </c>
      <c r="AA370" s="125">
        <f t="shared" si="123"/>
        <v>200</v>
      </c>
      <c r="AB370" s="125">
        <f t="shared" si="123"/>
        <v>10</v>
      </c>
      <c r="AC370" s="125">
        <f t="shared" si="123"/>
        <v>200</v>
      </c>
      <c r="AD370" s="119">
        <f t="shared" si="123"/>
        <v>40</v>
      </c>
      <c r="AE370" s="126">
        <f t="shared" si="124"/>
        <v>415</v>
      </c>
      <c r="AF370" s="66">
        <f t="shared" si="125"/>
        <v>500</v>
      </c>
      <c r="AG370" s="66" t="str">
        <f t="shared" si="126"/>
        <v>В25</v>
      </c>
      <c r="AH370" s="66">
        <f t="shared" si="126"/>
        <v>1</v>
      </c>
    </row>
    <row r="371" spans="1:35" ht="17.25" thickTop="1" thickBot="1" x14ac:dyDescent="0.3">
      <c r="A371" s="119" t="str">
        <f t="shared" si="127"/>
        <v>Пс8.7.5</v>
      </c>
      <c r="B371" s="119">
        <v>8</v>
      </c>
      <c r="C371" s="46" t="s">
        <v>2890</v>
      </c>
      <c r="D371" s="119">
        <f>AA371</f>
        <v>200</v>
      </c>
      <c r="E371" s="127">
        <f>IF(E376=0,(ROUNDUP(O371/D371,0)*2),0)</f>
        <v>34</v>
      </c>
      <c r="F371" s="119"/>
      <c r="G371" s="119"/>
      <c r="H371" s="127">
        <f>Арм_Элемент_П(AF371, (U371-2*AD371), I371, J371)</f>
        <v>1220</v>
      </c>
      <c r="I371" s="121">
        <f>Z371</f>
        <v>10</v>
      </c>
      <c r="J371" s="46" t="s">
        <v>2</v>
      </c>
      <c r="K371" s="128"/>
      <c r="L371" s="119"/>
      <c r="M371" s="124">
        <f t="shared" si="123"/>
        <v>0</v>
      </c>
      <c r="N371" s="125" t="str">
        <f t="shared" si="123"/>
        <v>Пс8.7.5</v>
      </c>
      <c r="O371" s="125">
        <f t="shared" si="123"/>
        <v>3300</v>
      </c>
      <c r="P371" s="125">
        <f t="shared" si="123"/>
        <v>2850</v>
      </c>
      <c r="Q371" s="125">
        <f t="shared" si="123"/>
        <v>400</v>
      </c>
      <c r="R371" s="125">
        <f t="shared" si="123"/>
        <v>2100</v>
      </c>
      <c r="S371" s="125">
        <f t="shared" si="123"/>
        <v>300</v>
      </c>
      <c r="T371" s="125">
        <f t="shared" si="123"/>
        <v>1400</v>
      </c>
      <c r="U371" s="125">
        <f t="shared" si="123"/>
        <v>300</v>
      </c>
      <c r="V371" s="125">
        <f t="shared" si="123"/>
        <v>10</v>
      </c>
      <c r="W371" s="125">
        <f t="shared" si="123"/>
        <v>200</v>
      </c>
      <c r="X371" s="125">
        <f t="shared" si="123"/>
        <v>10</v>
      </c>
      <c r="Y371" s="125">
        <f t="shared" si="123"/>
        <v>200</v>
      </c>
      <c r="Z371" s="125">
        <f t="shared" si="123"/>
        <v>10</v>
      </c>
      <c r="AA371" s="125">
        <f t="shared" si="123"/>
        <v>200</v>
      </c>
      <c r="AB371" s="125">
        <f t="shared" si="123"/>
        <v>10</v>
      </c>
      <c r="AC371" s="125">
        <f t="shared" si="123"/>
        <v>200</v>
      </c>
      <c r="AD371" s="119">
        <v>30</v>
      </c>
      <c r="AE371" s="126">
        <f t="shared" si="124"/>
        <v>415</v>
      </c>
      <c r="AF371" s="66">
        <f t="shared" si="125"/>
        <v>500</v>
      </c>
      <c r="AG371" s="66" t="str">
        <f t="shared" si="126"/>
        <v>В25</v>
      </c>
      <c r="AH371" s="66">
        <f t="shared" si="126"/>
        <v>1</v>
      </c>
    </row>
    <row r="372" spans="1:35" ht="17.25" thickTop="1" thickBot="1" x14ac:dyDescent="0.3">
      <c r="A372" s="119" t="str">
        <f t="shared" si="127"/>
        <v>Пс8.7.5</v>
      </c>
      <c r="B372" s="119">
        <v>9</v>
      </c>
      <c r="C372" s="46" t="s">
        <v>2891</v>
      </c>
      <c r="D372" s="119">
        <f>AC372</f>
        <v>200</v>
      </c>
      <c r="E372" s="127">
        <f>MROUND(2*R372/AC372,2)</f>
        <v>22</v>
      </c>
      <c r="F372" s="119"/>
      <c r="G372" s="119"/>
      <c r="H372" s="127">
        <f>Арм_Элемент_П(AF372, (U372-2*AD372), I372, J372)</f>
        <v>1200</v>
      </c>
      <c r="I372" s="121">
        <f>AB372</f>
        <v>10</v>
      </c>
      <c r="J372" s="46" t="s">
        <v>2</v>
      </c>
      <c r="K372" s="128"/>
      <c r="L372" s="119"/>
      <c r="M372" s="124">
        <f t="shared" si="123"/>
        <v>0</v>
      </c>
      <c r="N372" s="125" t="str">
        <f t="shared" si="123"/>
        <v>Пс8.7.5</v>
      </c>
      <c r="O372" s="125">
        <f t="shared" si="123"/>
        <v>3300</v>
      </c>
      <c r="P372" s="125">
        <f t="shared" si="123"/>
        <v>2850</v>
      </c>
      <c r="Q372" s="125">
        <f t="shared" si="123"/>
        <v>400</v>
      </c>
      <c r="R372" s="125">
        <f t="shared" si="123"/>
        <v>2100</v>
      </c>
      <c r="S372" s="125">
        <f t="shared" si="123"/>
        <v>300</v>
      </c>
      <c r="T372" s="125">
        <f t="shared" si="123"/>
        <v>1400</v>
      </c>
      <c r="U372" s="125">
        <f t="shared" si="123"/>
        <v>300</v>
      </c>
      <c r="V372" s="125">
        <f t="shared" si="123"/>
        <v>10</v>
      </c>
      <c r="W372" s="125">
        <f t="shared" si="123"/>
        <v>200</v>
      </c>
      <c r="X372" s="125">
        <f t="shared" si="123"/>
        <v>10</v>
      </c>
      <c r="Y372" s="125">
        <f t="shared" si="123"/>
        <v>200</v>
      </c>
      <c r="Z372" s="125">
        <f t="shared" si="123"/>
        <v>10</v>
      </c>
      <c r="AA372" s="125">
        <f t="shared" si="123"/>
        <v>200</v>
      </c>
      <c r="AB372" s="125">
        <f t="shared" si="123"/>
        <v>10</v>
      </c>
      <c r="AC372" s="125">
        <f t="shared" si="123"/>
        <v>200</v>
      </c>
      <c r="AD372" s="119">
        <v>40</v>
      </c>
      <c r="AE372" s="126">
        <f t="shared" si="124"/>
        <v>415</v>
      </c>
      <c r="AF372" s="66">
        <f t="shared" si="125"/>
        <v>500</v>
      </c>
      <c r="AG372" s="66" t="str">
        <f t="shared" si="126"/>
        <v>В25</v>
      </c>
      <c r="AH372" s="66">
        <f t="shared" si="126"/>
        <v>1</v>
      </c>
    </row>
    <row r="373" spans="1:35" ht="33" thickTop="1" thickBot="1" x14ac:dyDescent="0.3">
      <c r="A373" s="119" t="str">
        <f t="shared" si="127"/>
        <v>Пс8.7.5</v>
      </c>
      <c r="B373" s="119">
        <v>10</v>
      </c>
      <c r="C373" s="46" t="s">
        <v>2892</v>
      </c>
      <c r="D373" s="119">
        <f>Y373</f>
        <v>200</v>
      </c>
      <c r="E373" s="127">
        <f>ROUNDUP((IF(P373&lt;=3000,0,O373/Y373)),0)</f>
        <v>0</v>
      </c>
      <c r="F373" s="119"/>
      <c r="G373" s="119"/>
      <c r="H373" s="127">
        <f>IF(E373=0,0, (Арм_Округление(AE373+2*AF373)))</f>
        <v>0</v>
      </c>
      <c r="I373" s="121">
        <f>X373</f>
        <v>10</v>
      </c>
      <c r="J373" s="46" t="s">
        <v>2</v>
      </c>
      <c r="K373" s="128"/>
      <c r="L373" s="119"/>
      <c r="M373" s="124">
        <f t="shared" si="123"/>
        <v>0</v>
      </c>
      <c r="N373" s="125" t="str">
        <f t="shared" si="123"/>
        <v>Пс8.7.5</v>
      </c>
      <c r="O373" s="125">
        <f t="shared" si="123"/>
        <v>3300</v>
      </c>
      <c r="P373" s="125">
        <f t="shared" si="123"/>
        <v>2850</v>
      </c>
      <c r="Q373" s="125">
        <f t="shared" si="123"/>
        <v>400</v>
      </c>
      <c r="R373" s="125">
        <f t="shared" si="123"/>
        <v>2100</v>
      </c>
      <c r="S373" s="125">
        <f t="shared" si="123"/>
        <v>300</v>
      </c>
      <c r="T373" s="125">
        <f t="shared" si="123"/>
        <v>1400</v>
      </c>
      <c r="U373" s="125">
        <f t="shared" si="123"/>
        <v>300</v>
      </c>
      <c r="V373" s="125">
        <f t="shared" si="123"/>
        <v>10</v>
      </c>
      <c r="W373" s="125">
        <f t="shared" si="123"/>
        <v>200</v>
      </c>
      <c r="X373" s="125">
        <f t="shared" si="123"/>
        <v>10</v>
      </c>
      <c r="Y373" s="125">
        <f t="shared" si="123"/>
        <v>200</v>
      </c>
      <c r="Z373" s="125">
        <f t="shared" si="123"/>
        <v>10</v>
      </c>
      <c r="AA373" s="125">
        <f t="shared" si="123"/>
        <v>200</v>
      </c>
      <c r="AB373" s="125">
        <f t="shared" si="123"/>
        <v>10</v>
      </c>
      <c r="AC373" s="125">
        <f t="shared" si="123"/>
        <v>200</v>
      </c>
      <c r="AD373" s="119">
        <f t="shared" si="123"/>
        <v>40</v>
      </c>
      <c r="AE373" s="126">
        <f t="shared" si="124"/>
        <v>415</v>
      </c>
      <c r="AF373" s="66">
        <f t="shared" si="125"/>
        <v>500</v>
      </c>
      <c r="AG373" s="66" t="str">
        <f t="shared" si="126"/>
        <v>В25</v>
      </c>
      <c r="AH373" s="66">
        <f t="shared" si="126"/>
        <v>1</v>
      </c>
    </row>
    <row r="374" spans="1:35" ht="33" thickTop="1" thickBot="1" x14ac:dyDescent="0.3">
      <c r="A374" s="119" t="str">
        <f t="shared" si="127"/>
        <v>Пс8.7.5</v>
      </c>
      <c r="B374" s="119">
        <v>11</v>
      </c>
      <c r="C374" s="46" t="s">
        <v>2893</v>
      </c>
      <c r="D374" s="119">
        <f>Y374</f>
        <v>200</v>
      </c>
      <c r="E374" s="127">
        <f>ROUNDUP((IF(P374&lt;=3000,0,O374/Y374)),0)</f>
        <v>0</v>
      </c>
      <c r="F374" s="119"/>
      <c r="G374" s="119"/>
      <c r="H374" s="127">
        <f>IF(E374=0,0, (Арм_Округление(AE374+AF374)))</f>
        <v>0</v>
      </c>
      <c r="I374" s="121">
        <f>X374</f>
        <v>10</v>
      </c>
      <c r="J374" s="46" t="s">
        <v>2</v>
      </c>
      <c r="K374" s="128"/>
      <c r="L374" s="119"/>
      <c r="M374" s="124">
        <f t="shared" si="123"/>
        <v>0</v>
      </c>
      <c r="N374" s="125" t="str">
        <f t="shared" si="123"/>
        <v>Пс8.7.5</v>
      </c>
      <c r="O374" s="125">
        <f t="shared" si="123"/>
        <v>3300</v>
      </c>
      <c r="P374" s="125">
        <f t="shared" si="123"/>
        <v>2850</v>
      </c>
      <c r="Q374" s="125">
        <f t="shared" si="123"/>
        <v>400</v>
      </c>
      <c r="R374" s="125">
        <f t="shared" si="123"/>
        <v>2100</v>
      </c>
      <c r="S374" s="125">
        <f t="shared" si="123"/>
        <v>300</v>
      </c>
      <c r="T374" s="125">
        <f t="shared" si="123"/>
        <v>1400</v>
      </c>
      <c r="U374" s="125">
        <f t="shared" si="123"/>
        <v>300</v>
      </c>
      <c r="V374" s="125">
        <f t="shared" si="123"/>
        <v>10</v>
      </c>
      <c r="W374" s="125">
        <f t="shared" si="123"/>
        <v>200</v>
      </c>
      <c r="X374" s="125">
        <f t="shared" si="123"/>
        <v>10</v>
      </c>
      <c r="Y374" s="125">
        <f t="shared" si="123"/>
        <v>200</v>
      </c>
      <c r="Z374" s="125">
        <f t="shared" si="123"/>
        <v>10</v>
      </c>
      <c r="AA374" s="125">
        <f t="shared" si="123"/>
        <v>200</v>
      </c>
      <c r="AB374" s="125">
        <f t="shared" si="123"/>
        <v>10</v>
      </c>
      <c r="AC374" s="125">
        <f t="shared" si="123"/>
        <v>200</v>
      </c>
      <c r="AD374" s="119">
        <f t="shared" si="123"/>
        <v>40</v>
      </c>
      <c r="AE374" s="126">
        <f t="shared" si="124"/>
        <v>415</v>
      </c>
      <c r="AF374" s="66">
        <f t="shared" si="125"/>
        <v>500</v>
      </c>
      <c r="AG374" s="66" t="str">
        <f t="shared" si="126"/>
        <v>В25</v>
      </c>
      <c r="AH374" s="66">
        <f t="shared" si="126"/>
        <v>1</v>
      </c>
    </row>
    <row r="375" spans="1:35" ht="17.25" thickTop="1" thickBot="1" x14ac:dyDescent="0.3">
      <c r="A375" s="119" t="str">
        <f t="shared" si="127"/>
        <v>Пс8.7.5</v>
      </c>
      <c r="B375" s="119">
        <v>12</v>
      </c>
      <c r="C375" s="46" t="s">
        <v>2894</v>
      </c>
      <c r="D375" s="119">
        <f>W374</f>
        <v>200</v>
      </c>
      <c r="E375" s="127">
        <f>IF(M375=0, 0, M375*2*ROUNDUP((P375/W375),0))</f>
        <v>0</v>
      </c>
      <c r="F375" s="119"/>
      <c r="G375" s="119"/>
      <c r="H375" s="127">
        <f>IF(M375=0, 0, AF375*2)</f>
        <v>0</v>
      </c>
      <c r="I375" s="121">
        <f>V375</f>
        <v>10</v>
      </c>
      <c r="J375" s="46" t="s">
        <v>2</v>
      </c>
      <c r="K375" s="128"/>
      <c r="L375" s="119"/>
      <c r="M375" s="124">
        <f t="shared" si="123"/>
        <v>0</v>
      </c>
      <c r="N375" s="125" t="str">
        <f t="shared" si="123"/>
        <v>Пс8.7.5</v>
      </c>
      <c r="O375" s="125">
        <f t="shared" si="123"/>
        <v>3300</v>
      </c>
      <c r="P375" s="125">
        <f t="shared" si="123"/>
        <v>2850</v>
      </c>
      <c r="Q375" s="125">
        <f t="shared" si="123"/>
        <v>400</v>
      </c>
      <c r="R375" s="125">
        <f t="shared" si="123"/>
        <v>2100</v>
      </c>
      <c r="S375" s="125">
        <f t="shared" si="123"/>
        <v>300</v>
      </c>
      <c r="T375" s="125">
        <f t="shared" si="123"/>
        <v>1400</v>
      </c>
      <c r="U375" s="125">
        <f t="shared" si="123"/>
        <v>300</v>
      </c>
      <c r="V375" s="125">
        <f t="shared" si="123"/>
        <v>10</v>
      </c>
      <c r="W375" s="125">
        <f t="shared" si="123"/>
        <v>200</v>
      </c>
      <c r="X375" s="125">
        <f t="shared" si="123"/>
        <v>10</v>
      </c>
      <c r="Y375" s="125">
        <f t="shared" si="123"/>
        <v>200</v>
      </c>
      <c r="Z375" s="125">
        <f t="shared" si="123"/>
        <v>10</v>
      </c>
      <c r="AA375" s="125">
        <f t="shared" si="123"/>
        <v>200</v>
      </c>
      <c r="AB375" s="125">
        <f t="shared" si="123"/>
        <v>10</v>
      </c>
      <c r="AC375" s="125">
        <f t="shared" si="123"/>
        <v>200</v>
      </c>
      <c r="AD375" s="119">
        <f t="shared" si="123"/>
        <v>40</v>
      </c>
      <c r="AE375" s="126">
        <f t="shared" si="124"/>
        <v>415</v>
      </c>
      <c r="AF375" s="66">
        <f t="shared" si="125"/>
        <v>500</v>
      </c>
      <c r="AG375" s="66" t="str">
        <f t="shared" si="126"/>
        <v>В25</v>
      </c>
      <c r="AH375" s="66">
        <f t="shared" si="126"/>
        <v>1</v>
      </c>
    </row>
    <row r="376" spans="1:35" ht="17.25" thickTop="1" thickBot="1" x14ac:dyDescent="0.3">
      <c r="A376" s="119" t="str">
        <f t="shared" si="127"/>
        <v>Пс8.7.5</v>
      </c>
      <c r="B376" s="119">
        <v>13</v>
      </c>
      <c r="C376" s="46" t="s">
        <v>2895</v>
      </c>
      <c r="D376" s="119">
        <f>W375</f>
        <v>200</v>
      </c>
      <c r="E376" s="127">
        <f>IF(R376&lt;=2000,(ROUNDUP(O376/D376,0)),(0))</f>
        <v>0</v>
      </c>
      <c r="F376" s="119"/>
      <c r="G376" s="119"/>
      <c r="H376" s="127">
        <f>IF(R376&lt;=2000,(ROUNDUP(R376-2*40+2*(U376-40-AB376), -1)),(0))</f>
        <v>0</v>
      </c>
      <c r="I376" s="121">
        <f>V376</f>
        <v>10</v>
      </c>
      <c r="J376" s="46" t="s">
        <v>2</v>
      </c>
      <c r="K376" s="128"/>
      <c r="L376" s="119"/>
      <c r="M376" s="124">
        <f t="shared" si="123"/>
        <v>0</v>
      </c>
      <c r="N376" s="125" t="str">
        <f t="shared" si="123"/>
        <v>Пс8.7.5</v>
      </c>
      <c r="O376" s="125">
        <f t="shared" si="123"/>
        <v>3300</v>
      </c>
      <c r="P376" s="125">
        <f t="shared" si="123"/>
        <v>2850</v>
      </c>
      <c r="Q376" s="125">
        <f t="shared" si="123"/>
        <v>400</v>
      </c>
      <c r="R376" s="125">
        <f t="shared" si="123"/>
        <v>2100</v>
      </c>
      <c r="S376" s="125">
        <f t="shared" si="123"/>
        <v>300</v>
      </c>
      <c r="T376" s="125">
        <f t="shared" si="123"/>
        <v>1400</v>
      </c>
      <c r="U376" s="125">
        <f t="shared" si="123"/>
        <v>300</v>
      </c>
      <c r="V376" s="125">
        <f t="shared" si="123"/>
        <v>10</v>
      </c>
      <c r="W376" s="125">
        <f t="shared" si="123"/>
        <v>200</v>
      </c>
      <c r="X376" s="125">
        <f t="shared" si="123"/>
        <v>10</v>
      </c>
      <c r="Y376" s="125">
        <f t="shared" si="123"/>
        <v>200</v>
      </c>
      <c r="Z376" s="125">
        <f t="shared" si="123"/>
        <v>10</v>
      </c>
      <c r="AA376" s="125">
        <f t="shared" si="123"/>
        <v>200</v>
      </c>
      <c r="AB376" s="125">
        <f t="shared" si="123"/>
        <v>10</v>
      </c>
      <c r="AC376" s="125">
        <f t="shared" si="123"/>
        <v>200</v>
      </c>
      <c r="AD376" s="119">
        <f t="shared" si="123"/>
        <v>40</v>
      </c>
      <c r="AE376" s="126">
        <f t="shared" si="124"/>
        <v>415</v>
      </c>
      <c r="AF376" s="66">
        <f t="shared" si="125"/>
        <v>500</v>
      </c>
      <c r="AG376" s="66" t="str">
        <f t="shared" si="126"/>
        <v>В25</v>
      </c>
      <c r="AH376" s="66">
        <f t="shared" si="126"/>
        <v>1</v>
      </c>
    </row>
    <row r="377" spans="1:35" ht="15.75" thickTop="1" x14ac:dyDescent="0.25"/>
    <row r="380" spans="1:35" ht="15.75" thickBot="1" x14ac:dyDescent="0.3"/>
    <row r="381" spans="1:35" ht="91.5" thickTop="1" thickBot="1" x14ac:dyDescent="0.3">
      <c r="A381" s="133" t="s">
        <v>159</v>
      </c>
      <c r="B381" s="135" t="s">
        <v>160</v>
      </c>
      <c r="C381" s="135" t="s">
        <v>2750</v>
      </c>
      <c r="D381" s="135" t="s">
        <v>2856</v>
      </c>
      <c r="E381" s="138" t="s">
        <v>163</v>
      </c>
      <c r="F381" s="135" t="s">
        <v>2857</v>
      </c>
      <c r="G381" s="135" t="s">
        <v>2858</v>
      </c>
      <c r="H381" s="140" t="s">
        <v>166</v>
      </c>
      <c r="I381" s="141"/>
      <c r="J381" s="142"/>
      <c r="K381" s="143" t="s">
        <v>2859</v>
      </c>
      <c r="L381" s="143" t="s">
        <v>2860</v>
      </c>
      <c r="M381" s="146" t="s">
        <v>2861</v>
      </c>
      <c r="N381" s="107" t="s">
        <v>2714</v>
      </c>
      <c r="O381" s="108" t="s">
        <v>2862</v>
      </c>
      <c r="P381" s="109" t="s">
        <v>2863</v>
      </c>
      <c r="Q381" s="109" t="s">
        <v>2864</v>
      </c>
      <c r="R381" s="109" t="s">
        <v>2865</v>
      </c>
      <c r="S381" s="109" t="s">
        <v>2866</v>
      </c>
      <c r="T381" s="109" t="s">
        <v>2867</v>
      </c>
      <c r="U381" s="109" t="s">
        <v>2868</v>
      </c>
      <c r="V381" s="109" t="s">
        <v>2869</v>
      </c>
      <c r="W381" s="109" t="s">
        <v>2870</v>
      </c>
      <c r="X381" s="109" t="s">
        <v>2871</v>
      </c>
      <c r="Y381" s="109" t="s">
        <v>2872</v>
      </c>
      <c r="Z381" s="109" t="s">
        <v>2873</v>
      </c>
      <c r="AA381" s="109" t="s">
        <v>2874</v>
      </c>
      <c r="AB381" s="109" t="s">
        <v>2875</v>
      </c>
      <c r="AC381" s="110" t="s">
        <v>2876</v>
      </c>
      <c r="AD381" s="111" t="s">
        <v>2877</v>
      </c>
      <c r="AE381" s="143" t="s">
        <v>180</v>
      </c>
      <c r="AF381" s="131" t="s">
        <v>2878</v>
      </c>
      <c r="AG381" s="111" t="s">
        <v>2879</v>
      </c>
      <c r="AH381" s="111" t="s">
        <v>2880</v>
      </c>
      <c r="AI381" s="112" t="s">
        <v>2881</v>
      </c>
    </row>
    <row r="382" spans="1:35" ht="17.25" thickTop="1" thickBot="1" x14ac:dyDescent="0.3">
      <c r="A382" s="134"/>
      <c r="B382" s="136"/>
      <c r="C382" s="136"/>
      <c r="D382" s="137"/>
      <c r="E382" s="139"/>
      <c r="F382" s="137"/>
      <c r="G382" s="137"/>
      <c r="H382" s="113" t="s">
        <v>170</v>
      </c>
      <c r="I382" s="114" t="s">
        <v>171</v>
      </c>
      <c r="J382" s="115" t="s">
        <v>172</v>
      </c>
      <c r="K382" s="144"/>
      <c r="L382" s="145"/>
      <c r="M382" s="147"/>
      <c r="N382" s="116" t="str">
        <f>'[1]Исх.Таблица из архикада'!A23</f>
        <v>Пс8.7.6</v>
      </c>
      <c r="O382" s="116">
        <f>'[1]Исх.Таблица из архикада'!B23</f>
        <v>3300</v>
      </c>
      <c r="P382" s="116">
        <f>'[1]Исх.Таблица из архикада'!C23</f>
        <v>1780</v>
      </c>
      <c r="Q382" s="116">
        <f>'[1]Исх.Таблица из архикада'!D23</f>
        <v>400</v>
      </c>
      <c r="R382" s="116">
        <f>'[1]Исх.Таблица из архикада'!E23</f>
        <v>1000</v>
      </c>
      <c r="S382" s="116">
        <f>'[1]Исх.Таблица из архикада'!F23</f>
        <v>300</v>
      </c>
      <c r="T382" s="116">
        <f>'[1]Исх.Таблица из архикада'!G23</f>
        <v>300</v>
      </c>
      <c r="U382" s="116">
        <f>'[1]Исх.Таблица из архикада'!H23</f>
        <v>300</v>
      </c>
      <c r="V382" s="116">
        <f>'[1]Исх.Таблица из архикада'!I23</f>
        <v>10</v>
      </c>
      <c r="W382" s="116">
        <f>'[1]Исх.Таблица из архикада'!J23</f>
        <v>200</v>
      </c>
      <c r="X382" s="116">
        <f>'[1]Исх.Таблица из архикада'!K23</f>
        <v>10</v>
      </c>
      <c r="Y382" s="116">
        <f>'[1]Исх.Таблица из архикада'!L23</f>
        <v>200</v>
      </c>
      <c r="Z382" s="116">
        <f>'[1]Исх.Таблица из архикада'!M23</f>
        <v>10</v>
      </c>
      <c r="AA382" s="116">
        <f>'[1]Исх.Таблица из архикада'!N23</f>
        <v>200</v>
      </c>
      <c r="AB382" s="116">
        <f>'[1]Исх.Таблица из архикада'!O23</f>
        <v>10</v>
      </c>
      <c r="AC382" s="116">
        <f>'[1]Исх.Таблица из архикада'!P23</f>
        <v>200</v>
      </c>
      <c r="AD382" s="116">
        <v>40</v>
      </c>
      <c r="AE382" s="145"/>
      <c r="AF382" s="132"/>
      <c r="AG382" s="118" t="s">
        <v>2882</v>
      </c>
      <c r="AH382" s="118">
        <v>1</v>
      </c>
      <c r="AI382">
        <v>6000</v>
      </c>
    </row>
    <row r="383" spans="1:35" ht="17.25" thickTop="1" thickBot="1" x14ac:dyDescent="0.3">
      <c r="A383" s="119" t="str">
        <f>N382</f>
        <v>Пс8.7.6</v>
      </c>
      <c r="B383" s="119">
        <v>1</v>
      </c>
      <c r="C383" s="46" t="s">
        <v>2883</v>
      </c>
      <c r="D383" s="119">
        <f>W383</f>
        <v>200</v>
      </c>
      <c r="E383" s="120">
        <f>IF(O383&lt;=5700, ROUNDUP(P383*2/W383+1,0), 1)</f>
        <v>19</v>
      </c>
      <c r="F383" s="119">
        <f>ROUNDUP(((O383*R383*U383)*0.000000001+(O383*P383*Q383)*0.000000001),1)</f>
        <v>3.4</v>
      </c>
      <c r="G383" s="119">
        <f>ROUNDUP((0.1*(R383+200)*(O383)*0.000001),1)</f>
        <v>0.4</v>
      </c>
      <c r="H383" s="120">
        <f>IF(O383&lt;=5700, O383-50, K383)</f>
        <v>3250</v>
      </c>
      <c r="I383" s="121">
        <f>V383</f>
        <v>10</v>
      </c>
      <c r="J383" s="46" t="s">
        <v>2</v>
      </c>
      <c r="K383" s="122">
        <f>Арм_ПоПлощади(O383*P383,W383,AF383,$AI$3)</f>
        <v>34800</v>
      </c>
      <c r="L383" s="123">
        <f>IF(R383&lt;=2000,(0),(ROUNDUP(O383*R383*0.000001/1+SQRT(O383*R383*0.000001),0)))</f>
        <v>0</v>
      </c>
      <c r="M383" s="124">
        <v>0</v>
      </c>
      <c r="N383" s="125" t="str">
        <f>N382</f>
        <v>Пс8.7.6</v>
      </c>
      <c r="O383" s="125">
        <f t="shared" ref="O383:AD383" si="128">O382</f>
        <v>3300</v>
      </c>
      <c r="P383" s="125">
        <f t="shared" si="128"/>
        <v>1780</v>
      </c>
      <c r="Q383" s="125">
        <f t="shared" si="128"/>
        <v>400</v>
      </c>
      <c r="R383" s="125">
        <f t="shared" si="128"/>
        <v>1000</v>
      </c>
      <c r="S383" s="125">
        <f t="shared" si="128"/>
        <v>300</v>
      </c>
      <c r="T383" s="125">
        <f t="shared" si="128"/>
        <v>300</v>
      </c>
      <c r="U383" s="125">
        <f t="shared" si="128"/>
        <v>300</v>
      </c>
      <c r="V383" s="125">
        <f t="shared" si="128"/>
        <v>10</v>
      </c>
      <c r="W383" s="125">
        <f t="shared" si="128"/>
        <v>200</v>
      </c>
      <c r="X383" s="125">
        <f t="shared" si="128"/>
        <v>10</v>
      </c>
      <c r="Y383" s="125">
        <f t="shared" si="128"/>
        <v>200</v>
      </c>
      <c r="Z383" s="125">
        <f t="shared" si="128"/>
        <v>10</v>
      </c>
      <c r="AA383" s="125">
        <f t="shared" si="128"/>
        <v>200</v>
      </c>
      <c r="AB383" s="125">
        <f t="shared" si="128"/>
        <v>10</v>
      </c>
      <c r="AC383" s="125">
        <f t="shared" si="128"/>
        <v>200</v>
      </c>
      <c r="AD383" s="119">
        <f t="shared" si="128"/>
        <v>40</v>
      </c>
      <c r="AE383" s="126">
        <f>Арм_Анкеровка(I383,J383,$AG$3,$AH$3)</f>
        <v>415</v>
      </c>
      <c r="AF383" s="66">
        <f>Арм_Нахлёст(I383,J383,$AG$3,$AH$3)</f>
        <v>500</v>
      </c>
      <c r="AG383" s="66" t="str">
        <f>AG382</f>
        <v>В25</v>
      </c>
      <c r="AH383" s="66">
        <f>AH382</f>
        <v>1</v>
      </c>
    </row>
    <row r="384" spans="1:35" ht="17.25" thickTop="1" thickBot="1" x14ac:dyDescent="0.3">
      <c r="A384" s="119" t="str">
        <f>A383</f>
        <v>Пс8.7.6</v>
      </c>
      <c r="B384" s="119">
        <v>2</v>
      </c>
      <c r="C384" s="46" t="s">
        <v>2884</v>
      </c>
      <c r="D384" s="119">
        <f>Y383</f>
        <v>200</v>
      </c>
      <c r="E384" s="127">
        <f>IF(Q384&lt;=150,0,(ROUNDUP(O384/Y384,0)))</f>
        <v>17</v>
      </c>
      <c r="F384" s="119"/>
      <c r="G384" s="119"/>
      <c r="H384" s="127">
        <f>Арм_Элемент_П(AF384, (Q384-2*AD384), I384, J384)</f>
        <v>1300</v>
      </c>
      <c r="I384" s="121">
        <f>X384</f>
        <v>10</v>
      </c>
      <c r="J384" s="46" t="s">
        <v>2</v>
      </c>
      <c r="K384" s="128"/>
      <c r="L384" s="119"/>
      <c r="M384" s="124">
        <f t="shared" ref="M384:AD395" si="129">M383</f>
        <v>0</v>
      </c>
      <c r="N384" s="125" t="str">
        <f t="shared" si="129"/>
        <v>Пс8.7.6</v>
      </c>
      <c r="O384" s="125">
        <f t="shared" si="129"/>
        <v>3300</v>
      </c>
      <c r="P384" s="125">
        <f t="shared" si="129"/>
        <v>1780</v>
      </c>
      <c r="Q384" s="125">
        <f t="shared" si="129"/>
        <v>400</v>
      </c>
      <c r="R384" s="125">
        <f t="shared" si="129"/>
        <v>1000</v>
      </c>
      <c r="S384" s="125">
        <f t="shared" si="129"/>
        <v>300</v>
      </c>
      <c r="T384" s="125">
        <f t="shared" si="129"/>
        <v>300</v>
      </c>
      <c r="U384" s="125">
        <f t="shared" si="129"/>
        <v>300</v>
      </c>
      <c r="V384" s="125">
        <f t="shared" si="129"/>
        <v>10</v>
      </c>
      <c r="W384" s="125">
        <f t="shared" si="129"/>
        <v>200</v>
      </c>
      <c r="X384" s="125">
        <f t="shared" si="129"/>
        <v>10</v>
      </c>
      <c r="Y384" s="125">
        <f t="shared" si="129"/>
        <v>200</v>
      </c>
      <c r="Z384" s="125">
        <f t="shared" si="129"/>
        <v>10</v>
      </c>
      <c r="AA384" s="125">
        <f t="shared" si="129"/>
        <v>200</v>
      </c>
      <c r="AB384" s="125">
        <f t="shared" si="129"/>
        <v>10</v>
      </c>
      <c r="AC384" s="125">
        <f t="shared" si="129"/>
        <v>200</v>
      </c>
      <c r="AD384" s="119">
        <f t="shared" si="129"/>
        <v>40</v>
      </c>
      <c r="AE384" s="126">
        <f t="shared" ref="AE384:AE395" si="130">Арм_Анкеровка(I384,J384,$AG$3,$AH$3)</f>
        <v>415</v>
      </c>
      <c r="AF384" s="66">
        <f t="shared" ref="AF384:AF395" si="131">Арм_Нахлёст(I384,J384,$AG$3,$AH$3)</f>
        <v>500</v>
      </c>
      <c r="AG384" s="66" t="str">
        <f t="shared" ref="AG384:AH395" si="132">AG383</f>
        <v>В25</v>
      </c>
      <c r="AH384" s="66">
        <f t="shared" si="132"/>
        <v>1</v>
      </c>
    </row>
    <row r="385" spans="1:35" ht="17.25" thickTop="1" thickBot="1" x14ac:dyDescent="0.3">
      <c r="A385" s="119" t="str">
        <f t="shared" ref="A385:A395" si="133">A384</f>
        <v>Пс8.7.6</v>
      </c>
      <c r="B385" s="119">
        <v>3</v>
      </c>
      <c r="C385" s="46" t="s">
        <v>2885</v>
      </c>
      <c r="D385" s="119">
        <f>W385</f>
        <v>200</v>
      </c>
      <c r="E385" s="127">
        <f>MROUND(2*P385/D385,2)</f>
        <v>18</v>
      </c>
      <c r="F385" s="119"/>
      <c r="G385" s="119"/>
      <c r="H385" s="127">
        <f>Арм_Элемент_П(AF385, (Q385-2*AD385), I385, J385)</f>
        <v>1320</v>
      </c>
      <c r="I385" s="121">
        <f>V385</f>
        <v>10</v>
      </c>
      <c r="J385" s="46" t="s">
        <v>2</v>
      </c>
      <c r="K385" s="128"/>
      <c r="L385" s="119"/>
      <c r="M385" s="124">
        <f t="shared" si="129"/>
        <v>0</v>
      </c>
      <c r="N385" s="125" t="str">
        <f t="shared" si="129"/>
        <v>Пс8.7.6</v>
      </c>
      <c r="O385" s="125">
        <f t="shared" si="129"/>
        <v>3300</v>
      </c>
      <c r="P385" s="125">
        <f t="shared" si="129"/>
        <v>1780</v>
      </c>
      <c r="Q385" s="125">
        <f t="shared" si="129"/>
        <v>400</v>
      </c>
      <c r="R385" s="125">
        <f t="shared" si="129"/>
        <v>1000</v>
      </c>
      <c r="S385" s="125">
        <f t="shared" si="129"/>
        <v>300</v>
      </c>
      <c r="T385" s="125">
        <f t="shared" si="129"/>
        <v>300</v>
      </c>
      <c r="U385" s="125">
        <f t="shared" si="129"/>
        <v>300</v>
      </c>
      <c r="V385" s="125">
        <f t="shared" si="129"/>
        <v>10</v>
      </c>
      <c r="W385" s="125">
        <f t="shared" si="129"/>
        <v>200</v>
      </c>
      <c r="X385" s="125">
        <f t="shared" si="129"/>
        <v>10</v>
      </c>
      <c r="Y385" s="125">
        <f t="shared" si="129"/>
        <v>200</v>
      </c>
      <c r="Z385" s="125">
        <f t="shared" si="129"/>
        <v>10</v>
      </c>
      <c r="AA385" s="125">
        <f t="shared" si="129"/>
        <v>200</v>
      </c>
      <c r="AB385" s="125">
        <f t="shared" si="129"/>
        <v>10</v>
      </c>
      <c r="AC385" s="125">
        <f t="shared" si="129"/>
        <v>200</v>
      </c>
      <c r="AD385" s="119">
        <v>30</v>
      </c>
      <c r="AE385" s="126">
        <f t="shared" si="130"/>
        <v>415</v>
      </c>
      <c r="AF385" s="66">
        <f t="shared" si="131"/>
        <v>500</v>
      </c>
      <c r="AG385" s="66" t="str">
        <f t="shared" si="132"/>
        <v>В25</v>
      </c>
      <c r="AH385" s="66">
        <f t="shared" si="132"/>
        <v>1</v>
      </c>
    </row>
    <row r="386" spans="1:35" ht="17.25" thickTop="1" thickBot="1" x14ac:dyDescent="0.3">
      <c r="A386" s="119" t="str">
        <f t="shared" si="133"/>
        <v>Пс8.7.6</v>
      </c>
      <c r="B386" s="119">
        <v>4</v>
      </c>
      <c r="C386" s="46" t="s">
        <v>2886</v>
      </c>
      <c r="D386" s="119">
        <f>Y386</f>
        <v>200</v>
      </c>
      <c r="E386" s="127">
        <f>ROUNDUP(O386/Y386,0)*2</f>
        <v>34</v>
      </c>
      <c r="F386" s="119"/>
      <c r="G386" s="119"/>
      <c r="H386" s="127">
        <f>IF(P386&lt;=3000,(IF(Q386&lt;=150,(P386-25+AE386+Q386-(35+V386)),(P386-25+AE386))),(P386-25))</f>
        <v>2170</v>
      </c>
      <c r="I386" s="121">
        <f>X386</f>
        <v>10</v>
      </c>
      <c r="J386" s="46" t="s">
        <v>2</v>
      </c>
      <c r="K386" s="128"/>
      <c r="L386" s="119"/>
      <c r="M386" s="124">
        <f t="shared" si="129"/>
        <v>0</v>
      </c>
      <c r="N386" s="125" t="str">
        <f t="shared" si="129"/>
        <v>Пс8.7.6</v>
      </c>
      <c r="O386" s="125">
        <f t="shared" si="129"/>
        <v>3300</v>
      </c>
      <c r="P386" s="125">
        <f t="shared" si="129"/>
        <v>1780</v>
      </c>
      <c r="Q386" s="125">
        <f t="shared" si="129"/>
        <v>400</v>
      </c>
      <c r="R386" s="125">
        <f t="shared" si="129"/>
        <v>1000</v>
      </c>
      <c r="S386" s="125">
        <f t="shared" si="129"/>
        <v>300</v>
      </c>
      <c r="T386" s="125">
        <f t="shared" si="129"/>
        <v>300</v>
      </c>
      <c r="U386" s="125">
        <f t="shared" si="129"/>
        <v>300</v>
      </c>
      <c r="V386" s="125">
        <f t="shared" si="129"/>
        <v>10</v>
      </c>
      <c r="W386" s="125">
        <f t="shared" si="129"/>
        <v>200</v>
      </c>
      <c r="X386" s="125">
        <f t="shared" si="129"/>
        <v>10</v>
      </c>
      <c r="Y386" s="125">
        <f t="shared" si="129"/>
        <v>200</v>
      </c>
      <c r="Z386" s="125">
        <f t="shared" si="129"/>
        <v>10</v>
      </c>
      <c r="AA386" s="125">
        <f t="shared" si="129"/>
        <v>200</v>
      </c>
      <c r="AB386" s="125">
        <f t="shared" si="129"/>
        <v>10</v>
      </c>
      <c r="AC386" s="125">
        <f t="shared" si="129"/>
        <v>200</v>
      </c>
      <c r="AD386" s="119">
        <v>40</v>
      </c>
      <c r="AE386" s="126">
        <f t="shared" si="130"/>
        <v>415</v>
      </c>
      <c r="AF386" s="66">
        <f t="shared" si="131"/>
        <v>500</v>
      </c>
      <c r="AG386" s="66" t="str">
        <f t="shared" si="132"/>
        <v>В25</v>
      </c>
      <c r="AH386" s="66">
        <f t="shared" si="132"/>
        <v>1</v>
      </c>
    </row>
    <row r="387" spans="1:35" ht="17.25" thickTop="1" thickBot="1" x14ac:dyDescent="0.3">
      <c r="A387" s="119" t="str">
        <f t="shared" si="133"/>
        <v>Пс8.7.6</v>
      </c>
      <c r="B387" s="119">
        <v>5</v>
      </c>
      <c r="C387" s="46" t="s">
        <v>2887</v>
      </c>
      <c r="D387" s="119">
        <v>400</v>
      </c>
      <c r="E387" s="127">
        <f>ROUNDUP((13*(O387*P387/1000000)),0)</f>
        <v>77</v>
      </c>
      <c r="F387" s="119"/>
      <c r="G387" s="119"/>
      <c r="H387" s="127">
        <f>Q387-AD387*2+150</f>
        <v>470</v>
      </c>
      <c r="I387" s="121">
        <v>6</v>
      </c>
      <c r="J387" s="46" t="s">
        <v>2</v>
      </c>
      <c r="K387" s="128"/>
      <c r="L387" s="119"/>
      <c r="M387" s="124">
        <f t="shared" si="129"/>
        <v>0</v>
      </c>
      <c r="N387" s="125" t="str">
        <f t="shared" si="129"/>
        <v>Пс8.7.6</v>
      </c>
      <c r="O387" s="125">
        <f t="shared" si="129"/>
        <v>3300</v>
      </c>
      <c r="P387" s="125">
        <f t="shared" si="129"/>
        <v>1780</v>
      </c>
      <c r="Q387" s="125">
        <f t="shared" si="129"/>
        <v>400</v>
      </c>
      <c r="R387" s="125">
        <f t="shared" si="129"/>
        <v>1000</v>
      </c>
      <c r="S387" s="125">
        <f t="shared" si="129"/>
        <v>300</v>
      </c>
      <c r="T387" s="125">
        <f t="shared" si="129"/>
        <v>300</v>
      </c>
      <c r="U387" s="125">
        <f t="shared" si="129"/>
        <v>300</v>
      </c>
      <c r="V387" s="125">
        <f t="shared" si="129"/>
        <v>10</v>
      </c>
      <c r="W387" s="125">
        <f t="shared" si="129"/>
        <v>200</v>
      </c>
      <c r="X387" s="125">
        <f t="shared" si="129"/>
        <v>10</v>
      </c>
      <c r="Y387" s="125">
        <f t="shared" si="129"/>
        <v>200</v>
      </c>
      <c r="Z387" s="125">
        <f t="shared" si="129"/>
        <v>10</v>
      </c>
      <c r="AA387" s="125">
        <f t="shared" si="129"/>
        <v>200</v>
      </c>
      <c r="AB387" s="125">
        <f t="shared" si="129"/>
        <v>10</v>
      </c>
      <c r="AC387" s="125">
        <f t="shared" si="129"/>
        <v>200</v>
      </c>
      <c r="AD387" s="119">
        <f t="shared" si="129"/>
        <v>40</v>
      </c>
      <c r="AE387" s="126">
        <f t="shared" si="130"/>
        <v>250</v>
      </c>
      <c r="AF387" s="66">
        <f t="shared" si="131"/>
        <v>300</v>
      </c>
      <c r="AG387" s="66" t="str">
        <f t="shared" si="132"/>
        <v>В25</v>
      </c>
      <c r="AH387" s="66">
        <f t="shared" si="132"/>
        <v>1</v>
      </c>
    </row>
    <row r="388" spans="1:35" ht="17.25" thickTop="1" thickBot="1" x14ac:dyDescent="0.3">
      <c r="A388" s="119" t="str">
        <f t="shared" si="133"/>
        <v>Пс8.7.6</v>
      </c>
      <c r="B388" s="119">
        <v>6</v>
      </c>
      <c r="C388" s="46" t="s">
        <v>2888</v>
      </c>
      <c r="D388" s="119">
        <f>AA388</f>
        <v>200</v>
      </c>
      <c r="E388" s="127">
        <f>IF(R388&lt;=2000,(ROUNDUP(O388/D388,0)),(ROUNDUP(O388/D388,0)))</f>
        <v>17</v>
      </c>
      <c r="F388" s="119"/>
      <c r="G388" s="119"/>
      <c r="H388" s="127">
        <f>R388-50</f>
        <v>950</v>
      </c>
      <c r="I388" s="121">
        <f>Z388</f>
        <v>10</v>
      </c>
      <c r="J388" s="46" t="s">
        <v>2</v>
      </c>
      <c r="K388" s="128"/>
      <c r="L388" s="119"/>
      <c r="M388" s="124">
        <f t="shared" si="129"/>
        <v>0</v>
      </c>
      <c r="N388" s="125" t="str">
        <f t="shared" si="129"/>
        <v>Пс8.7.6</v>
      </c>
      <c r="O388" s="125">
        <f t="shared" si="129"/>
        <v>3300</v>
      </c>
      <c r="P388" s="125">
        <f t="shared" si="129"/>
        <v>1780</v>
      </c>
      <c r="Q388" s="125">
        <f t="shared" si="129"/>
        <v>400</v>
      </c>
      <c r="R388" s="125">
        <f t="shared" si="129"/>
        <v>1000</v>
      </c>
      <c r="S388" s="125">
        <f t="shared" si="129"/>
        <v>300</v>
      </c>
      <c r="T388" s="125">
        <f t="shared" si="129"/>
        <v>300</v>
      </c>
      <c r="U388" s="125">
        <f t="shared" si="129"/>
        <v>300</v>
      </c>
      <c r="V388" s="125">
        <f t="shared" si="129"/>
        <v>10</v>
      </c>
      <c r="W388" s="125">
        <f t="shared" si="129"/>
        <v>200</v>
      </c>
      <c r="X388" s="125">
        <f t="shared" si="129"/>
        <v>10</v>
      </c>
      <c r="Y388" s="125">
        <f t="shared" si="129"/>
        <v>200</v>
      </c>
      <c r="Z388" s="125">
        <f t="shared" si="129"/>
        <v>10</v>
      </c>
      <c r="AA388" s="125">
        <f t="shared" si="129"/>
        <v>200</v>
      </c>
      <c r="AB388" s="125">
        <f t="shared" si="129"/>
        <v>10</v>
      </c>
      <c r="AC388" s="125">
        <f t="shared" si="129"/>
        <v>200</v>
      </c>
      <c r="AD388" s="119">
        <f t="shared" si="129"/>
        <v>40</v>
      </c>
      <c r="AE388" s="126">
        <f t="shared" si="130"/>
        <v>415</v>
      </c>
      <c r="AF388" s="66">
        <f t="shared" si="131"/>
        <v>500</v>
      </c>
      <c r="AG388" s="66" t="str">
        <f t="shared" si="132"/>
        <v>В25</v>
      </c>
      <c r="AH388" s="66">
        <f t="shared" si="132"/>
        <v>1</v>
      </c>
    </row>
    <row r="389" spans="1:35" ht="17.25" thickTop="1" thickBot="1" x14ac:dyDescent="0.3">
      <c r="A389" s="119" t="str">
        <f t="shared" si="133"/>
        <v>Пс8.7.6</v>
      </c>
      <c r="B389" s="119">
        <v>7</v>
      </c>
      <c r="C389" s="46" t="s">
        <v>2889</v>
      </c>
      <c r="D389" s="119">
        <f>AC389</f>
        <v>200</v>
      </c>
      <c r="E389" s="120">
        <f>IF(O389&lt;=5700, ROUNDUP(R389*2/AC389+1,0), 1)-1</f>
        <v>10</v>
      </c>
      <c r="F389" s="119"/>
      <c r="G389" s="119"/>
      <c r="H389" s="120">
        <f>IF(O389&lt;=5700, O389-50, K389)</f>
        <v>3250</v>
      </c>
      <c r="I389" s="121">
        <f>AB389</f>
        <v>10</v>
      </c>
      <c r="J389" s="46" t="s">
        <v>2</v>
      </c>
      <c r="K389" s="122">
        <f>Арм_ПоПлощади(O389*R389,AC389,AF389,$AI$3)</f>
        <v>20320</v>
      </c>
      <c r="L389" s="119"/>
      <c r="M389" s="124">
        <f t="shared" si="129"/>
        <v>0</v>
      </c>
      <c r="N389" s="125" t="str">
        <f t="shared" si="129"/>
        <v>Пс8.7.6</v>
      </c>
      <c r="O389" s="125">
        <f t="shared" si="129"/>
        <v>3300</v>
      </c>
      <c r="P389" s="125">
        <f t="shared" si="129"/>
        <v>1780</v>
      </c>
      <c r="Q389" s="125">
        <f t="shared" si="129"/>
        <v>400</v>
      </c>
      <c r="R389" s="125">
        <f t="shared" si="129"/>
        <v>1000</v>
      </c>
      <c r="S389" s="125">
        <f t="shared" si="129"/>
        <v>300</v>
      </c>
      <c r="T389" s="125">
        <f t="shared" si="129"/>
        <v>300</v>
      </c>
      <c r="U389" s="125">
        <f t="shared" si="129"/>
        <v>300</v>
      </c>
      <c r="V389" s="125">
        <f t="shared" si="129"/>
        <v>10</v>
      </c>
      <c r="W389" s="125">
        <f t="shared" si="129"/>
        <v>200</v>
      </c>
      <c r="X389" s="125">
        <f t="shared" si="129"/>
        <v>10</v>
      </c>
      <c r="Y389" s="125">
        <f t="shared" si="129"/>
        <v>200</v>
      </c>
      <c r="Z389" s="125">
        <f t="shared" si="129"/>
        <v>10</v>
      </c>
      <c r="AA389" s="125">
        <f t="shared" si="129"/>
        <v>200</v>
      </c>
      <c r="AB389" s="125">
        <f t="shared" si="129"/>
        <v>10</v>
      </c>
      <c r="AC389" s="125">
        <f t="shared" si="129"/>
        <v>200</v>
      </c>
      <c r="AD389" s="119">
        <f t="shared" si="129"/>
        <v>40</v>
      </c>
      <c r="AE389" s="126">
        <f t="shared" si="130"/>
        <v>415</v>
      </c>
      <c r="AF389" s="66">
        <f t="shared" si="131"/>
        <v>500</v>
      </c>
      <c r="AG389" s="66" t="str">
        <f t="shared" si="132"/>
        <v>В25</v>
      </c>
      <c r="AH389" s="66">
        <f t="shared" si="132"/>
        <v>1</v>
      </c>
    </row>
    <row r="390" spans="1:35" ht="17.25" thickTop="1" thickBot="1" x14ac:dyDescent="0.3">
      <c r="A390" s="119" t="str">
        <f t="shared" si="133"/>
        <v>Пс8.7.6</v>
      </c>
      <c r="B390" s="119">
        <v>8</v>
      </c>
      <c r="C390" s="46" t="s">
        <v>2890</v>
      </c>
      <c r="D390" s="119">
        <f>AA390</f>
        <v>200</v>
      </c>
      <c r="E390" s="127">
        <f>IF(E395=0,(ROUNDUP(O390/D390,0)*2),0)</f>
        <v>0</v>
      </c>
      <c r="F390" s="119"/>
      <c r="G390" s="119"/>
      <c r="H390" s="127">
        <f>Арм_Элемент_П(AF390, (U390-2*AD390), I390, J390)</f>
        <v>1220</v>
      </c>
      <c r="I390" s="121">
        <f>Z390</f>
        <v>10</v>
      </c>
      <c r="J390" s="46" t="s">
        <v>2</v>
      </c>
      <c r="K390" s="128"/>
      <c r="L390" s="119"/>
      <c r="M390" s="124">
        <f t="shared" si="129"/>
        <v>0</v>
      </c>
      <c r="N390" s="125" t="str">
        <f t="shared" si="129"/>
        <v>Пс8.7.6</v>
      </c>
      <c r="O390" s="125">
        <f t="shared" si="129"/>
        <v>3300</v>
      </c>
      <c r="P390" s="125">
        <f t="shared" si="129"/>
        <v>1780</v>
      </c>
      <c r="Q390" s="125">
        <f t="shared" si="129"/>
        <v>400</v>
      </c>
      <c r="R390" s="125">
        <f t="shared" si="129"/>
        <v>1000</v>
      </c>
      <c r="S390" s="125">
        <f t="shared" si="129"/>
        <v>300</v>
      </c>
      <c r="T390" s="125">
        <f t="shared" si="129"/>
        <v>300</v>
      </c>
      <c r="U390" s="125">
        <f t="shared" si="129"/>
        <v>300</v>
      </c>
      <c r="V390" s="125">
        <f t="shared" si="129"/>
        <v>10</v>
      </c>
      <c r="W390" s="125">
        <f t="shared" si="129"/>
        <v>200</v>
      </c>
      <c r="X390" s="125">
        <f t="shared" si="129"/>
        <v>10</v>
      </c>
      <c r="Y390" s="125">
        <f t="shared" si="129"/>
        <v>200</v>
      </c>
      <c r="Z390" s="125">
        <f t="shared" si="129"/>
        <v>10</v>
      </c>
      <c r="AA390" s="125">
        <f t="shared" si="129"/>
        <v>200</v>
      </c>
      <c r="AB390" s="125">
        <f t="shared" si="129"/>
        <v>10</v>
      </c>
      <c r="AC390" s="125">
        <f t="shared" si="129"/>
        <v>200</v>
      </c>
      <c r="AD390" s="119">
        <v>30</v>
      </c>
      <c r="AE390" s="126">
        <f t="shared" si="130"/>
        <v>415</v>
      </c>
      <c r="AF390" s="66">
        <f t="shared" si="131"/>
        <v>500</v>
      </c>
      <c r="AG390" s="66" t="str">
        <f t="shared" si="132"/>
        <v>В25</v>
      </c>
      <c r="AH390" s="66">
        <f t="shared" si="132"/>
        <v>1</v>
      </c>
    </row>
    <row r="391" spans="1:35" ht="17.25" thickTop="1" thickBot="1" x14ac:dyDescent="0.3">
      <c r="A391" s="119" t="str">
        <f t="shared" si="133"/>
        <v>Пс8.7.6</v>
      </c>
      <c r="B391" s="119">
        <v>9</v>
      </c>
      <c r="C391" s="46" t="s">
        <v>2891</v>
      </c>
      <c r="D391" s="119">
        <f>AC391</f>
        <v>200</v>
      </c>
      <c r="E391" s="127">
        <f>MROUND(2*R391/AC391,2)</f>
        <v>10</v>
      </c>
      <c r="F391" s="119"/>
      <c r="G391" s="119"/>
      <c r="H391" s="127">
        <f>Арм_Элемент_П(AF391, (U391-2*AD391), I391, J391)</f>
        <v>1200</v>
      </c>
      <c r="I391" s="121">
        <f>AB391</f>
        <v>10</v>
      </c>
      <c r="J391" s="46" t="s">
        <v>2</v>
      </c>
      <c r="K391" s="128"/>
      <c r="L391" s="119"/>
      <c r="M391" s="124">
        <f t="shared" si="129"/>
        <v>0</v>
      </c>
      <c r="N391" s="125" t="str">
        <f t="shared" si="129"/>
        <v>Пс8.7.6</v>
      </c>
      <c r="O391" s="125">
        <f t="shared" si="129"/>
        <v>3300</v>
      </c>
      <c r="P391" s="125">
        <f t="shared" si="129"/>
        <v>1780</v>
      </c>
      <c r="Q391" s="125">
        <f t="shared" si="129"/>
        <v>400</v>
      </c>
      <c r="R391" s="125">
        <f t="shared" si="129"/>
        <v>1000</v>
      </c>
      <c r="S391" s="125">
        <f t="shared" si="129"/>
        <v>300</v>
      </c>
      <c r="T391" s="125">
        <f t="shared" si="129"/>
        <v>300</v>
      </c>
      <c r="U391" s="125">
        <f t="shared" si="129"/>
        <v>300</v>
      </c>
      <c r="V391" s="125">
        <f t="shared" si="129"/>
        <v>10</v>
      </c>
      <c r="W391" s="125">
        <f t="shared" si="129"/>
        <v>200</v>
      </c>
      <c r="X391" s="125">
        <f t="shared" si="129"/>
        <v>10</v>
      </c>
      <c r="Y391" s="125">
        <f t="shared" si="129"/>
        <v>200</v>
      </c>
      <c r="Z391" s="125">
        <f t="shared" si="129"/>
        <v>10</v>
      </c>
      <c r="AA391" s="125">
        <f t="shared" si="129"/>
        <v>200</v>
      </c>
      <c r="AB391" s="125">
        <f t="shared" si="129"/>
        <v>10</v>
      </c>
      <c r="AC391" s="125">
        <f t="shared" si="129"/>
        <v>200</v>
      </c>
      <c r="AD391" s="119">
        <v>40</v>
      </c>
      <c r="AE391" s="126">
        <f t="shared" si="130"/>
        <v>415</v>
      </c>
      <c r="AF391" s="66">
        <f t="shared" si="131"/>
        <v>500</v>
      </c>
      <c r="AG391" s="66" t="str">
        <f t="shared" si="132"/>
        <v>В25</v>
      </c>
      <c r="AH391" s="66">
        <f t="shared" si="132"/>
        <v>1</v>
      </c>
    </row>
    <row r="392" spans="1:35" ht="33" thickTop="1" thickBot="1" x14ac:dyDescent="0.3">
      <c r="A392" s="119" t="str">
        <f t="shared" si="133"/>
        <v>Пс8.7.6</v>
      </c>
      <c r="B392" s="119">
        <v>10</v>
      </c>
      <c r="C392" s="46" t="s">
        <v>2892</v>
      </c>
      <c r="D392" s="119">
        <f>Y392</f>
        <v>200</v>
      </c>
      <c r="E392" s="127">
        <f>ROUNDUP((IF(P392&lt;=3000,0,O392/Y392)),0)</f>
        <v>0</v>
      </c>
      <c r="F392" s="119"/>
      <c r="G392" s="119"/>
      <c r="H392" s="127">
        <f>IF(E392=0,0, (Арм_Округление(AE392+2*AF392)))</f>
        <v>0</v>
      </c>
      <c r="I392" s="121">
        <f>X392</f>
        <v>10</v>
      </c>
      <c r="J392" s="46" t="s">
        <v>2</v>
      </c>
      <c r="K392" s="128"/>
      <c r="L392" s="119"/>
      <c r="M392" s="124">
        <f t="shared" si="129"/>
        <v>0</v>
      </c>
      <c r="N392" s="125" t="str">
        <f t="shared" si="129"/>
        <v>Пс8.7.6</v>
      </c>
      <c r="O392" s="125">
        <f t="shared" si="129"/>
        <v>3300</v>
      </c>
      <c r="P392" s="125">
        <f t="shared" si="129"/>
        <v>1780</v>
      </c>
      <c r="Q392" s="125">
        <f t="shared" si="129"/>
        <v>400</v>
      </c>
      <c r="R392" s="125">
        <f t="shared" si="129"/>
        <v>1000</v>
      </c>
      <c r="S392" s="125">
        <f t="shared" si="129"/>
        <v>300</v>
      </c>
      <c r="T392" s="125">
        <f t="shared" si="129"/>
        <v>300</v>
      </c>
      <c r="U392" s="125">
        <f t="shared" si="129"/>
        <v>300</v>
      </c>
      <c r="V392" s="125">
        <f t="shared" si="129"/>
        <v>10</v>
      </c>
      <c r="W392" s="125">
        <f t="shared" si="129"/>
        <v>200</v>
      </c>
      <c r="X392" s="125">
        <f t="shared" si="129"/>
        <v>10</v>
      </c>
      <c r="Y392" s="125">
        <f t="shared" si="129"/>
        <v>200</v>
      </c>
      <c r="Z392" s="125">
        <f t="shared" si="129"/>
        <v>10</v>
      </c>
      <c r="AA392" s="125">
        <f t="shared" si="129"/>
        <v>200</v>
      </c>
      <c r="AB392" s="125">
        <f t="shared" si="129"/>
        <v>10</v>
      </c>
      <c r="AC392" s="125">
        <f t="shared" si="129"/>
        <v>200</v>
      </c>
      <c r="AD392" s="119">
        <f t="shared" si="129"/>
        <v>40</v>
      </c>
      <c r="AE392" s="126">
        <f t="shared" si="130"/>
        <v>415</v>
      </c>
      <c r="AF392" s="66">
        <f t="shared" si="131"/>
        <v>500</v>
      </c>
      <c r="AG392" s="66" t="str">
        <f t="shared" si="132"/>
        <v>В25</v>
      </c>
      <c r="AH392" s="66">
        <f t="shared" si="132"/>
        <v>1</v>
      </c>
    </row>
    <row r="393" spans="1:35" ht="33" thickTop="1" thickBot="1" x14ac:dyDescent="0.3">
      <c r="A393" s="119" t="str">
        <f t="shared" si="133"/>
        <v>Пс8.7.6</v>
      </c>
      <c r="B393" s="119">
        <v>11</v>
      </c>
      <c r="C393" s="46" t="s">
        <v>2893</v>
      </c>
      <c r="D393" s="119">
        <f>Y393</f>
        <v>200</v>
      </c>
      <c r="E393" s="127">
        <f>ROUNDUP((IF(P393&lt;=3000,0,O393/Y393)),0)</f>
        <v>0</v>
      </c>
      <c r="F393" s="119"/>
      <c r="G393" s="119"/>
      <c r="H393" s="127">
        <f>IF(E393=0,0, (Арм_Округление(AE393+AF393)))</f>
        <v>0</v>
      </c>
      <c r="I393" s="121">
        <f>X393</f>
        <v>10</v>
      </c>
      <c r="J393" s="46" t="s">
        <v>2</v>
      </c>
      <c r="K393" s="128"/>
      <c r="L393" s="119"/>
      <c r="M393" s="124">
        <f t="shared" si="129"/>
        <v>0</v>
      </c>
      <c r="N393" s="125" t="str">
        <f t="shared" si="129"/>
        <v>Пс8.7.6</v>
      </c>
      <c r="O393" s="125">
        <f t="shared" si="129"/>
        <v>3300</v>
      </c>
      <c r="P393" s="125">
        <f t="shared" si="129"/>
        <v>1780</v>
      </c>
      <c r="Q393" s="125">
        <f t="shared" si="129"/>
        <v>400</v>
      </c>
      <c r="R393" s="125">
        <f t="shared" si="129"/>
        <v>1000</v>
      </c>
      <c r="S393" s="125">
        <f t="shared" si="129"/>
        <v>300</v>
      </c>
      <c r="T393" s="125">
        <f t="shared" si="129"/>
        <v>300</v>
      </c>
      <c r="U393" s="125">
        <f t="shared" si="129"/>
        <v>300</v>
      </c>
      <c r="V393" s="125">
        <f t="shared" si="129"/>
        <v>10</v>
      </c>
      <c r="W393" s="125">
        <f t="shared" si="129"/>
        <v>200</v>
      </c>
      <c r="X393" s="125">
        <f t="shared" si="129"/>
        <v>10</v>
      </c>
      <c r="Y393" s="125">
        <f t="shared" si="129"/>
        <v>200</v>
      </c>
      <c r="Z393" s="125">
        <f t="shared" si="129"/>
        <v>10</v>
      </c>
      <c r="AA393" s="125">
        <f t="shared" si="129"/>
        <v>200</v>
      </c>
      <c r="AB393" s="125">
        <f t="shared" si="129"/>
        <v>10</v>
      </c>
      <c r="AC393" s="125">
        <f t="shared" si="129"/>
        <v>200</v>
      </c>
      <c r="AD393" s="119">
        <f t="shared" si="129"/>
        <v>40</v>
      </c>
      <c r="AE393" s="126">
        <f t="shared" si="130"/>
        <v>415</v>
      </c>
      <c r="AF393" s="66">
        <f t="shared" si="131"/>
        <v>500</v>
      </c>
      <c r="AG393" s="66" t="str">
        <f t="shared" si="132"/>
        <v>В25</v>
      </c>
      <c r="AH393" s="66">
        <f t="shared" si="132"/>
        <v>1</v>
      </c>
    </row>
    <row r="394" spans="1:35" ht="17.25" thickTop="1" thickBot="1" x14ac:dyDescent="0.3">
      <c r="A394" s="119" t="str">
        <f t="shared" si="133"/>
        <v>Пс8.7.6</v>
      </c>
      <c r="B394" s="119">
        <v>12</v>
      </c>
      <c r="C394" s="46" t="s">
        <v>2894</v>
      </c>
      <c r="D394" s="119">
        <f>W393</f>
        <v>200</v>
      </c>
      <c r="E394" s="127">
        <f>IF(M394=0, 0, M394*2*ROUNDUP((P394/W394),0))</f>
        <v>0</v>
      </c>
      <c r="F394" s="119"/>
      <c r="G394" s="119"/>
      <c r="H394" s="127">
        <f>IF(M394=0, 0, AF394*2)</f>
        <v>0</v>
      </c>
      <c r="I394" s="121">
        <f>V394</f>
        <v>10</v>
      </c>
      <c r="J394" s="46" t="s">
        <v>2</v>
      </c>
      <c r="K394" s="128"/>
      <c r="L394" s="119"/>
      <c r="M394" s="124">
        <f t="shared" si="129"/>
        <v>0</v>
      </c>
      <c r="N394" s="125" t="str">
        <f t="shared" si="129"/>
        <v>Пс8.7.6</v>
      </c>
      <c r="O394" s="125">
        <f t="shared" si="129"/>
        <v>3300</v>
      </c>
      <c r="P394" s="125">
        <f t="shared" si="129"/>
        <v>1780</v>
      </c>
      <c r="Q394" s="125">
        <f t="shared" si="129"/>
        <v>400</v>
      </c>
      <c r="R394" s="125">
        <f t="shared" si="129"/>
        <v>1000</v>
      </c>
      <c r="S394" s="125">
        <f t="shared" si="129"/>
        <v>300</v>
      </c>
      <c r="T394" s="125">
        <f t="shared" si="129"/>
        <v>300</v>
      </c>
      <c r="U394" s="125">
        <f t="shared" si="129"/>
        <v>300</v>
      </c>
      <c r="V394" s="125">
        <f t="shared" si="129"/>
        <v>10</v>
      </c>
      <c r="W394" s="125">
        <f t="shared" si="129"/>
        <v>200</v>
      </c>
      <c r="X394" s="125">
        <f t="shared" si="129"/>
        <v>10</v>
      </c>
      <c r="Y394" s="125">
        <f t="shared" si="129"/>
        <v>200</v>
      </c>
      <c r="Z394" s="125">
        <f t="shared" si="129"/>
        <v>10</v>
      </c>
      <c r="AA394" s="125">
        <f t="shared" si="129"/>
        <v>200</v>
      </c>
      <c r="AB394" s="125">
        <f t="shared" si="129"/>
        <v>10</v>
      </c>
      <c r="AC394" s="125">
        <f t="shared" si="129"/>
        <v>200</v>
      </c>
      <c r="AD394" s="119">
        <f t="shared" si="129"/>
        <v>40</v>
      </c>
      <c r="AE394" s="126">
        <f t="shared" si="130"/>
        <v>415</v>
      </c>
      <c r="AF394" s="66">
        <f t="shared" si="131"/>
        <v>500</v>
      </c>
      <c r="AG394" s="66" t="str">
        <f t="shared" si="132"/>
        <v>В25</v>
      </c>
      <c r="AH394" s="66">
        <f t="shared" si="132"/>
        <v>1</v>
      </c>
    </row>
    <row r="395" spans="1:35" ht="17.25" thickTop="1" thickBot="1" x14ac:dyDescent="0.3">
      <c r="A395" s="119" t="str">
        <f t="shared" si="133"/>
        <v>Пс8.7.6</v>
      </c>
      <c r="B395" s="119">
        <v>13</v>
      </c>
      <c r="C395" s="46" t="s">
        <v>2895</v>
      </c>
      <c r="D395" s="119">
        <f>W394</f>
        <v>200</v>
      </c>
      <c r="E395" s="127">
        <f>IF(R395&lt;=2000,(ROUNDUP(O395/D395,0)),(0))</f>
        <v>17</v>
      </c>
      <c r="F395" s="119"/>
      <c r="G395" s="119"/>
      <c r="H395" s="127">
        <f>IF(R395&lt;=2000,(ROUNDUP(R395-2*40+2*(U395-40-AB395), -1)),(0))</f>
        <v>1420</v>
      </c>
      <c r="I395" s="121">
        <f>V395</f>
        <v>10</v>
      </c>
      <c r="J395" s="46" t="s">
        <v>2</v>
      </c>
      <c r="K395" s="128"/>
      <c r="L395" s="119"/>
      <c r="M395" s="124">
        <f t="shared" si="129"/>
        <v>0</v>
      </c>
      <c r="N395" s="125" t="str">
        <f t="shared" si="129"/>
        <v>Пс8.7.6</v>
      </c>
      <c r="O395" s="125">
        <f t="shared" si="129"/>
        <v>3300</v>
      </c>
      <c r="P395" s="125">
        <f t="shared" si="129"/>
        <v>1780</v>
      </c>
      <c r="Q395" s="125">
        <f t="shared" si="129"/>
        <v>400</v>
      </c>
      <c r="R395" s="125">
        <f t="shared" si="129"/>
        <v>1000</v>
      </c>
      <c r="S395" s="125">
        <f t="shared" si="129"/>
        <v>300</v>
      </c>
      <c r="T395" s="125">
        <f t="shared" si="129"/>
        <v>300</v>
      </c>
      <c r="U395" s="125">
        <f t="shared" si="129"/>
        <v>300</v>
      </c>
      <c r="V395" s="125">
        <f t="shared" si="129"/>
        <v>10</v>
      </c>
      <c r="W395" s="125">
        <f t="shared" si="129"/>
        <v>200</v>
      </c>
      <c r="X395" s="125">
        <f t="shared" si="129"/>
        <v>10</v>
      </c>
      <c r="Y395" s="125">
        <f t="shared" si="129"/>
        <v>200</v>
      </c>
      <c r="Z395" s="125">
        <f t="shared" si="129"/>
        <v>10</v>
      </c>
      <c r="AA395" s="125">
        <f t="shared" si="129"/>
        <v>200</v>
      </c>
      <c r="AB395" s="125">
        <f t="shared" si="129"/>
        <v>10</v>
      </c>
      <c r="AC395" s="125">
        <f t="shared" si="129"/>
        <v>200</v>
      </c>
      <c r="AD395" s="119">
        <f t="shared" si="129"/>
        <v>40</v>
      </c>
      <c r="AE395" s="126">
        <f t="shared" si="130"/>
        <v>415</v>
      </c>
      <c r="AF395" s="66">
        <f t="shared" si="131"/>
        <v>500</v>
      </c>
      <c r="AG395" s="66" t="str">
        <f t="shared" si="132"/>
        <v>В25</v>
      </c>
      <c r="AH395" s="66">
        <f t="shared" si="132"/>
        <v>1</v>
      </c>
    </row>
    <row r="396" spans="1:35" ht="15.75" thickTop="1" x14ac:dyDescent="0.25"/>
    <row r="399" spans="1:35" ht="15.75" thickBot="1" x14ac:dyDescent="0.3"/>
    <row r="400" spans="1:35" ht="91.5" thickTop="1" thickBot="1" x14ac:dyDescent="0.3">
      <c r="A400" s="133" t="s">
        <v>159</v>
      </c>
      <c r="B400" s="135" t="s">
        <v>160</v>
      </c>
      <c r="C400" s="135" t="s">
        <v>2750</v>
      </c>
      <c r="D400" s="135" t="s">
        <v>2856</v>
      </c>
      <c r="E400" s="138" t="s">
        <v>163</v>
      </c>
      <c r="F400" s="135" t="s">
        <v>2857</v>
      </c>
      <c r="G400" s="135" t="s">
        <v>2858</v>
      </c>
      <c r="H400" s="140" t="s">
        <v>166</v>
      </c>
      <c r="I400" s="141"/>
      <c r="J400" s="142"/>
      <c r="K400" s="143" t="s">
        <v>2859</v>
      </c>
      <c r="L400" s="143" t="s">
        <v>2860</v>
      </c>
      <c r="M400" s="146" t="s">
        <v>2861</v>
      </c>
      <c r="N400" s="107" t="s">
        <v>2714</v>
      </c>
      <c r="O400" s="108" t="s">
        <v>2862</v>
      </c>
      <c r="P400" s="109" t="s">
        <v>2863</v>
      </c>
      <c r="Q400" s="109" t="s">
        <v>2864</v>
      </c>
      <c r="R400" s="109" t="s">
        <v>2865</v>
      </c>
      <c r="S400" s="109" t="s">
        <v>2866</v>
      </c>
      <c r="T400" s="109" t="s">
        <v>2867</v>
      </c>
      <c r="U400" s="109" t="s">
        <v>2868</v>
      </c>
      <c r="V400" s="109" t="s">
        <v>2869</v>
      </c>
      <c r="W400" s="109" t="s">
        <v>2870</v>
      </c>
      <c r="X400" s="109" t="s">
        <v>2871</v>
      </c>
      <c r="Y400" s="109" t="s">
        <v>2872</v>
      </c>
      <c r="Z400" s="109" t="s">
        <v>2873</v>
      </c>
      <c r="AA400" s="109" t="s">
        <v>2874</v>
      </c>
      <c r="AB400" s="109" t="s">
        <v>2875</v>
      </c>
      <c r="AC400" s="110" t="s">
        <v>2876</v>
      </c>
      <c r="AD400" s="111" t="s">
        <v>2877</v>
      </c>
      <c r="AE400" s="143" t="s">
        <v>180</v>
      </c>
      <c r="AF400" s="131" t="s">
        <v>2878</v>
      </c>
      <c r="AG400" s="111" t="s">
        <v>2879</v>
      </c>
      <c r="AH400" s="111" t="s">
        <v>2880</v>
      </c>
      <c r="AI400" s="112" t="s">
        <v>2881</v>
      </c>
    </row>
    <row r="401" spans="1:35" ht="17.25" thickTop="1" thickBot="1" x14ac:dyDescent="0.3">
      <c r="A401" s="134"/>
      <c r="B401" s="136"/>
      <c r="C401" s="136"/>
      <c r="D401" s="137"/>
      <c r="E401" s="139"/>
      <c r="F401" s="137"/>
      <c r="G401" s="137"/>
      <c r="H401" s="113" t="s">
        <v>170</v>
      </c>
      <c r="I401" s="114" t="s">
        <v>171</v>
      </c>
      <c r="J401" s="115" t="s">
        <v>172</v>
      </c>
      <c r="K401" s="144"/>
      <c r="L401" s="145"/>
      <c r="M401" s="147"/>
      <c r="N401" s="116" t="str">
        <f>'[1]Исх.Таблица из архикада'!A24</f>
        <v>Пс8.7.7</v>
      </c>
      <c r="O401" s="116">
        <f>'[1]Исх.Таблица из архикада'!B24</f>
        <v>3300</v>
      </c>
      <c r="P401" s="116">
        <f>'[1]Исх.Таблица из архикада'!C24</f>
        <v>1780</v>
      </c>
      <c r="Q401" s="116">
        <f>'[1]Исх.Таблица из архикада'!D24</f>
        <v>400</v>
      </c>
      <c r="R401" s="116">
        <f>'[1]Исх.Таблица из архикада'!E24</f>
        <v>1000</v>
      </c>
      <c r="S401" s="116">
        <f>'[1]Исх.Таблица из архикада'!F24</f>
        <v>300</v>
      </c>
      <c r="T401" s="116">
        <f>'[1]Исх.Таблица из архикада'!G24</f>
        <v>300</v>
      </c>
      <c r="U401" s="116">
        <f>'[1]Исх.Таблица из архикада'!H24</f>
        <v>300</v>
      </c>
      <c r="V401" s="116">
        <f>'[1]Исх.Таблица из архикада'!I24</f>
        <v>10</v>
      </c>
      <c r="W401" s="116">
        <f>'[1]Исх.Таблица из архикада'!J24</f>
        <v>200</v>
      </c>
      <c r="X401" s="116">
        <f>'[1]Исх.Таблица из архикада'!K24</f>
        <v>10</v>
      </c>
      <c r="Y401" s="116">
        <f>'[1]Исх.Таблица из архикада'!L24</f>
        <v>200</v>
      </c>
      <c r="Z401" s="116">
        <f>'[1]Исх.Таблица из архикада'!M24</f>
        <v>10</v>
      </c>
      <c r="AA401" s="116">
        <f>'[1]Исх.Таблица из архикада'!N24</f>
        <v>200</v>
      </c>
      <c r="AB401" s="116">
        <f>'[1]Исх.Таблица из архикада'!O24</f>
        <v>10</v>
      </c>
      <c r="AC401" s="116">
        <f>'[1]Исх.Таблица из архикада'!P24</f>
        <v>200</v>
      </c>
      <c r="AD401" s="116">
        <v>40</v>
      </c>
      <c r="AE401" s="145"/>
      <c r="AF401" s="132"/>
      <c r="AG401" s="118" t="s">
        <v>2882</v>
      </c>
      <c r="AH401" s="118">
        <v>1</v>
      </c>
      <c r="AI401">
        <v>6000</v>
      </c>
    </row>
    <row r="402" spans="1:35" ht="17.25" thickTop="1" thickBot="1" x14ac:dyDescent="0.3">
      <c r="A402" s="119" t="str">
        <f>N401</f>
        <v>Пс8.7.7</v>
      </c>
      <c r="B402" s="119">
        <v>1</v>
      </c>
      <c r="C402" s="46" t="s">
        <v>2883</v>
      </c>
      <c r="D402" s="119">
        <f>W402</f>
        <v>200</v>
      </c>
      <c r="E402" s="120">
        <f>IF(O402&lt;=5700, ROUNDUP(P402*2/W402+1,0), 1)</f>
        <v>19</v>
      </c>
      <c r="F402" s="119">
        <f>ROUNDUP(((O402*R402*U402)*0.000000001+(O402*P402*Q402)*0.000000001),1)</f>
        <v>3.4</v>
      </c>
      <c r="G402" s="119">
        <f>ROUNDUP((0.1*(R402+200)*(O402)*0.000001),1)</f>
        <v>0.4</v>
      </c>
      <c r="H402" s="120">
        <f>IF(O402&lt;=5700, O402-50, K402)</f>
        <v>3250</v>
      </c>
      <c r="I402" s="121">
        <f>V402</f>
        <v>10</v>
      </c>
      <c r="J402" s="46" t="s">
        <v>2</v>
      </c>
      <c r="K402" s="122">
        <f>Арм_ПоПлощади(O402*P402,W402,AF402,$AI$3)</f>
        <v>34800</v>
      </c>
      <c r="L402" s="123">
        <f>IF(R402&lt;=2000,(0),(ROUNDUP(O402*R402*0.000001/1+SQRT(O402*R402*0.000001),0)))</f>
        <v>0</v>
      </c>
      <c r="M402" s="124">
        <v>0</v>
      </c>
      <c r="N402" s="125" t="str">
        <f>N401</f>
        <v>Пс8.7.7</v>
      </c>
      <c r="O402" s="125">
        <f t="shared" ref="O402:AD402" si="134">O401</f>
        <v>3300</v>
      </c>
      <c r="P402" s="125">
        <f t="shared" si="134"/>
        <v>1780</v>
      </c>
      <c r="Q402" s="125">
        <f t="shared" si="134"/>
        <v>400</v>
      </c>
      <c r="R402" s="125">
        <f t="shared" si="134"/>
        <v>1000</v>
      </c>
      <c r="S402" s="125">
        <f t="shared" si="134"/>
        <v>300</v>
      </c>
      <c r="T402" s="125">
        <f t="shared" si="134"/>
        <v>300</v>
      </c>
      <c r="U402" s="125">
        <f t="shared" si="134"/>
        <v>300</v>
      </c>
      <c r="V402" s="125">
        <f t="shared" si="134"/>
        <v>10</v>
      </c>
      <c r="W402" s="125">
        <f t="shared" si="134"/>
        <v>200</v>
      </c>
      <c r="X402" s="125">
        <f t="shared" si="134"/>
        <v>10</v>
      </c>
      <c r="Y402" s="125">
        <f t="shared" si="134"/>
        <v>200</v>
      </c>
      <c r="Z402" s="125">
        <f t="shared" si="134"/>
        <v>10</v>
      </c>
      <c r="AA402" s="125">
        <f t="shared" si="134"/>
        <v>200</v>
      </c>
      <c r="AB402" s="125">
        <f t="shared" si="134"/>
        <v>10</v>
      </c>
      <c r="AC402" s="125">
        <f t="shared" si="134"/>
        <v>200</v>
      </c>
      <c r="AD402" s="119">
        <f t="shared" si="134"/>
        <v>40</v>
      </c>
      <c r="AE402" s="126">
        <f>Арм_Анкеровка(I402,J402,$AG$3,$AH$3)</f>
        <v>415</v>
      </c>
      <c r="AF402" s="66">
        <f>Арм_Нахлёст(I402,J402,$AG$3,$AH$3)</f>
        <v>500</v>
      </c>
      <c r="AG402" s="66" t="str">
        <f>AG401</f>
        <v>В25</v>
      </c>
      <c r="AH402" s="66">
        <f>AH401</f>
        <v>1</v>
      </c>
    </row>
    <row r="403" spans="1:35" ht="17.25" thickTop="1" thickBot="1" x14ac:dyDescent="0.3">
      <c r="A403" s="119" t="str">
        <f>A402</f>
        <v>Пс8.7.7</v>
      </c>
      <c r="B403" s="119">
        <v>2</v>
      </c>
      <c r="C403" s="46" t="s">
        <v>2884</v>
      </c>
      <c r="D403" s="119">
        <f>Y402</f>
        <v>200</v>
      </c>
      <c r="E403" s="127">
        <f>IF(Q403&lt;=150,0,(ROUNDUP(O403/Y403,0)))</f>
        <v>17</v>
      </c>
      <c r="F403" s="119"/>
      <c r="G403" s="119"/>
      <c r="H403" s="127">
        <f>Арм_Элемент_П(AF403, (Q403-2*AD403), I403, J403)</f>
        <v>1300</v>
      </c>
      <c r="I403" s="121">
        <f>X403</f>
        <v>10</v>
      </c>
      <c r="J403" s="46" t="s">
        <v>2</v>
      </c>
      <c r="K403" s="128"/>
      <c r="L403" s="119"/>
      <c r="M403" s="124">
        <f t="shared" ref="M403:AD414" si="135">M402</f>
        <v>0</v>
      </c>
      <c r="N403" s="125" t="str">
        <f t="shared" si="135"/>
        <v>Пс8.7.7</v>
      </c>
      <c r="O403" s="125">
        <f t="shared" si="135"/>
        <v>3300</v>
      </c>
      <c r="P403" s="125">
        <f t="shared" si="135"/>
        <v>1780</v>
      </c>
      <c r="Q403" s="125">
        <f t="shared" si="135"/>
        <v>400</v>
      </c>
      <c r="R403" s="125">
        <f t="shared" si="135"/>
        <v>1000</v>
      </c>
      <c r="S403" s="125">
        <f t="shared" si="135"/>
        <v>300</v>
      </c>
      <c r="T403" s="125">
        <f t="shared" si="135"/>
        <v>300</v>
      </c>
      <c r="U403" s="125">
        <f t="shared" si="135"/>
        <v>300</v>
      </c>
      <c r="V403" s="125">
        <f t="shared" si="135"/>
        <v>10</v>
      </c>
      <c r="W403" s="125">
        <f t="shared" si="135"/>
        <v>200</v>
      </c>
      <c r="X403" s="125">
        <f t="shared" si="135"/>
        <v>10</v>
      </c>
      <c r="Y403" s="125">
        <f t="shared" si="135"/>
        <v>200</v>
      </c>
      <c r="Z403" s="125">
        <f t="shared" si="135"/>
        <v>10</v>
      </c>
      <c r="AA403" s="125">
        <f t="shared" si="135"/>
        <v>200</v>
      </c>
      <c r="AB403" s="125">
        <f t="shared" si="135"/>
        <v>10</v>
      </c>
      <c r="AC403" s="125">
        <f t="shared" si="135"/>
        <v>200</v>
      </c>
      <c r="AD403" s="119">
        <f t="shared" si="135"/>
        <v>40</v>
      </c>
      <c r="AE403" s="126">
        <f t="shared" ref="AE403:AE414" si="136">Арм_Анкеровка(I403,J403,$AG$3,$AH$3)</f>
        <v>415</v>
      </c>
      <c r="AF403" s="66">
        <f t="shared" ref="AF403:AF414" si="137">Арм_Нахлёст(I403,J403,$AG$3,$AH$3)</f>
        <v>500</v>
      </c>
      <c r="AG403" s="66" t="str">
        <f t="shared" ref="AG403:AH414" si="138">AG402</f>
        <v>В25</v>
      </c>
      <c r="AH403" s="66">
        <f t="shared" si="138"/>
        <v>1</v>
      </c>
    </row>
    <row r="404" spans="1:35" ht="17.25" thickTop="1" thickBot="1" x14ac:dyDescent="0.3">
      <c r="A404" s="119" t="str">
        <f t="shared" ref="A404:A414" si="139">A403</f>
        <v>Пс8.7.7</v>
      </c>
      <c r="B404" s="119">
        <v>3</v>
      </c>
      <c r="C404" s="46" t="s">
        <v>2885</v>
      </c>
      <c r="D404" s="119">
        <f>W404</f>
        <v>200</v>
      </c>
      <c r="E404" s="127">
        <f>MROUND(2*P404/D404,2)</f>
        <v>18</v>
      </c>
      <c r="F404" s="119"/>
      <c r="G404" s="119"/>
      <c r="H404" s="127">
        <f>Арм_Элемент_П(AF404, (Q404-2*AD404), I404, J404)</f>
        <v>1320</v>
      </c>
      <c r="I404" s="121">
        <f>V404</f>
        <v>10</v>
      </c>
      <c r="J404" s="46" t="s">
        <v>2</v>
      </c>
      <c r="K404" s="128"/>
      <c r="L404" s="119"/>
      <c r="M404" s="124">
        <f t="shared" si="135"/>
        <v>0</v>
      </c>
      <c r="N404" s="125" t="str">
        <f t="shared" si="135"/>
        <v>Пс8.7.7</v>
      </c>
      <c r="O404" s="125">
        <f t="shared" si="135"/>
        <v>3300</v>
      </c>
      <c r="P404" s="125">
        <f t="shared" si="135"/>
        <v>1780</v>
      </c>
      <c r="Q404" s="125">
        <f t="shared" si="135"/>
        <v>400</v>
      </c>
      <c r="R404" s="125">
        <f t="shared" si="135"/>
        <v>1000</v>
      </c>
      <c r="S404" s="125">
        <f t="shared" si="135"/>
        <v>300</v>
      </c>
      <c r="T404" s="125">
        <f t="shared" si="135"/>
        <v>300</v>
      </c>
      <c r="U404" s="125">
        <f t="shared" si="135"/>
        <v>300</v>
      </c>
      <c r="V404" s="125">
        <f t="shared" si="135"/>
        <v>10</v>
      </c>
      <c r="W404" s="125">
        <f t="shared" si="135"/>
        <v>200</v>
      </c>
      <c r="X404" s="125">
        <f t="shared" si="135"/>
        <v>10</v>
      </c>
      <c r="Y404" s="125">
        <f t="shared" si="135"/>
        <v>200</v>
      </c>
      <c r="Z404" s="125">
        <f t="shared" si="135"/>
        <v>10</v>
      </c>
      <c r="AA404" s="125">
        <f t="shared" si="135"/>
        <v>200</v>
      </c>
      <c r="AB404" s="125">
        <f t="shared" si="135"/>
        <v>10</v>
      </c>
      <c r="AC404" s="125">
        <f t="shared" si="135"/>
        <v>200</v>
      </c>
      <c r="AD404" s="119">
        <v>30</v>
      </c>
      <c r="AE404" s="126">
        <f t="shared" si="136"/>
        <v>415</v>
      </c>
      <c r="AF404" s="66">
        <f t="shared" si="137"/>
        <v>500</v>
      </c>
      <c r="AG404" s="66" t="str">
        <f t="shared" si="138"/>
        <v>В25</v>
      </c>
      <c r="AH404" s="66">
        <f t="shared" si="138"/>
        <v>1</v>
      </c>
    </row>
    <row r="405" spans="1:35" ht="17.25" thickTop="1" thickBot="1" x14ac:dyDescent="0.3">
      <c r="A405" s="119" t="str">
        <f t="shared" si="139"/>
        <v>Пс8.7.7</v>
      </c>
      <c r="B405" s="119">
        <v>4</v>
      </c>
      <c r="C405" s="46" t="s">
        <v>2886</v>
      </c>
      <c r="D405" s="119">
        <f>Y405</f>
        <v>200</v>
      </c>
      <c r="E405" s="127">
        <f>ROUNDUP(O405/Y405,0)*2</f>
        <v>34</v>
      </c>
      <c r="F405" s="119"/>
      <c r="G405" s="119"/>
      <c r="H405" s="127">
        <f>IF(P405&lt;=3000,(IF(Q405&lt;=150,(P405-25+AE405+Q405-(35+V405)),(P405-25+AE405))),(P405-25))</f>
        <v>2170</v>
      </c>
      <c r="I405" s="121">
        <f>X405</f>
        <v>10</v>
      </c>
      <c r="J405" s="46" t="s">
        <v>2</v>
      </c>
      <c r="K405" s="128"/>
      <c r="L405" s="119"/>
      <c r="M405" s="124">
        <f t="shared" si="135"/>
        <v>0</v>
      </c>
      <c r="N405" s="125" t="str">
        <f t="shared" si="135"/>
        <v>Пс8.7.7</v>
      </c>
      <c r="O405" s="125">
        <f t="shared" si="135"/>
        <v>3300</v>
      </c>
      <c r="P405" s="125">
        <f t="shared" si="135"/>
        <v>1780</v>
      </c>
      <c r="Q405" s="125">
        <f t="shared" si="135"/>
        <v>400</v>
      </c>
      <c r="R405" s="125">
        <f t="shared" si="135"/>
        <v>1000</v>
      </c>
      <c r="S405" s="125">
        <f t="shared" si="135"/>
        <v>300</v>
      </c>
      <c r="T405" s="125">
        <f t="shared" si="135"/>
        <v>300</v>
      </c>
      <c r="U405" s="125">
        <f t="shared" si="135"/>
        <v>300</v>
      </c>
      <c r="V405" s="125">
        <f t="shared" si="135"/>
        <v>10</v>
      </c>
      <c r="W405" s="125">
        <f t="shared" si="135"/>
        <v>200</v>
      </c>
      <c r="X405" s="125">
        <f t="shared" si="135"/>
        <v>10</v>
      </c>
      <c r="Y405" s="125">
        <f t="shared" si="135"/>
        <v>200</v>
      </c>
      <c r="Z405" s="125">
        <f t="shared" si="135"/>
        <v>10</v>
      </c>
      <c r="AA405" s="125">
        <f t="shared" si="135"/>
        <v>200</v>
      </c>
      <c r="AB405" s="125">
        <f t="shared" si="135"/>
        <v>10</v>
      </c>
      <c r="AC405" s="125">
        <f t="shared" si="135"/>
        <v>200</v>
      </c>
      <c r="AD405" s="119">
        <v>40</v>
      </c>
      <c r="AE405" s="126">
        <f t="shared" si="136"/>
        <v>415</v>
      </c>
      <c r="AF405" s="66">
        <f t="shared" si="137"/>
        <v>500</v>
      </c>
      <c r="AG405" s="66" t="str">
        <f t="shared" si="138"/>
        <v>В25</v>
      </c>
      <c r="AH405" s="66">
        <f t="shared" si="138"/>
        <v>1</v>
      </c>
    </row>
    <row r="406" spans="1:35" ht="17.25" thickTop="1" thickBot="1" x14ac:dyDescent="0.3">
      <c r="A406" s="119" t="str">
        <f t="shared" si="139"/>
        <v>Пс8.7.7</v>
      </c>
      <c r="B406" s="119">
        <v>5</v>
      </c>
      <c r="C406" s="46" t="s">
        <v>2887</v>
      </c>
      <c r="D406" s="119">
        <v>400</v>
      </c>
      <c r="E406" s="127">
        <f>ROUNDUP((13*(O406*P406/1000000)),0)</f>
        <v>77</v>
      </c>
      <c r="F406" s="119"/>
      <c r="G406" s="119"/>
      <c r="H406" s="127">
        <f>Q406-AD406*2+150</f>
        <v>470</v>
      </c>
      <c r="I406" s="121">
        <v>6</v>
      </c>
      <c r="J406" s="46" t="s">
        <v>2</v>
      </c>
      <c r="K406" s="128"/>
      <c r="L406" s="119"/>
      <c r="M406" s="124">
        <f t="shared" si="135"/>
        <v>0</v>
      </c>
      <c r="N406" s="125" t="str">
        <f t="shared" si="135"/>
        <v>Пс8.7.7</v>
      </c>
      <c r="O406" s="125">
        <f t="shared" si="135"/>
        <v>3300</v>
      </c>
      <c r="P406" s="125">
        <f t="shared" si="135"/>
        <v>1780</v>
      </c>
      <c r="Q406" s="125">
        <f t="shared" si="135"/>
        <v>400</v>
      </c>
      <c r="R406" s="125">
        <f t="shared" si="135"/>
        <v>1000</v>
      </c>
      <c r="S406" s="125">
        <f t="shared" si="135"/>
        <v>300</v>
      </c>
      <c r="T406" s="125">
        <f t="shared" si="135"/>
        <v>300</v>
      </c>
      <c r="U406" s="125">
        <f t="shared" si="135"/>
        <v>300</v>
      </c>
      <c r="V406" s="125">
        <f t="shared" si="135"/>
        <v>10</v>
      </c>
      <c r="W406" s="125">
        <f t="shared" si="135"/>
        <v>200</v>
      </c>
      <c r="X406" s="125">
        <f t="shared" si="135"/>
        <v>10</v>
      </c>
      <c r="Y406" s="125">
        <f t="shared" si="135"/>
        <v>200</v>
      </c>
      <c r="Z406" s="125">
        <f t="shared" si="135"/>
        <v>10</v>
      </c>
      <c r="AA406" s="125">
        <f t="shared" si="135"/>
        <v>200</v>
      </c>
      <c r="AB406" s="125">
        <f t="shared" si="135"/>
        <v>10</v>
      </c>
      <c r="AC406" s="125">
        <f t="shared" si="135"/>
        <v>200</v>
      </c>
      <c r="AD406" s="119">
        <f t="shared" si="135"/>
        <v>40</v>
      </c>
      <c r="AE406" s="126">
        <f t="shared" si="136"/>
        <v>250</v>
      </c>
      <c r="AF406" s="66">
        <f t="shared" si="137"/>
        <v>300</v>
      </c>
      <c r="AG406" s="66" t="str">
        <f t="shared" si="138"/>
        <v>В25</v>
      </c>
      <c r="AH406" s="66">
        <f t="shared" si="138"/>
        <v>1</v>
      </c>
    </row>
    <row r="407" spans="1:35" ht="17.25" thickTop="1" thickBot="1" x14ac:dyDescent="0.3">
      <c r="A407" s="119" t="str">
        <f t="shared" si="139"/>
        <v>Пс8.7.7</v>
      </c>
      <c r="B407" s="119">
        <v>6</v>
      </c>
      <c r="C407" s="46" t="s">
        <v>2888</v>
      </c>
      <c r="D407" s="119">
        <f>AA407</f>
        <v>200</v>
      </c>
      <c r="E407" s="127">
        <f>IF(R407&lt;=2000,(ROUNDUP(O407/D407,0)),(ROUNDUP(O407/D407,0)))</f>
        <v>17</v>
      </c>
      <c r="F407" s="119"/>
      <c r="G407" s="119"/>
      <c r="H407" s="127">
        <f>R407-50</f>
        <v>950</v>
      </c>
      <c r="I407" s="121">
        <f>Z407</f>
        <v>10</v>
      </c>
      <c r="J407" s="46" t="s">
        <v>2</v>
      </c>
      <c r="K407" s="128"/>
      <c r="L407" s="119"/>
      <c r="M407" s="124">
        <f t="shared" si="135"/>
        <v>0</v>
      </c>
      <c r="N407" s="125" t="str">
        <f t="shared" si="135"/>
        <v>Пс8.7.7</v>
      </c>
      <c r="O407" s="125">
        <f t="shared" si="135"/>
        <v>3300</v>
      </c>
      <c r="P407" s="125">
        <f t="shared" si="135"/>
        <v>1780</v>
      </c>
      <c r="Q407" s="125">
        <f t="shared" si="135"/>
        <v>400</v>
      </c>
      <c r="R407" s="125">
        <f t="shared" si="135"/>
        <v>1000</v>
      </c>
      <c r="S407" s="125">
        <f t="shared" si="135"/>
        <v>300</v>
      </c>
      <c r="T407" s="125">
        <f t="shared" si="135"/>
        <v>300</v>
      </c>
      <c r="U407" s="125">
        <f t="shared" si="135"/>
        <v>300</v>
      </c>
      <c r="V407" s="125">
        <f t="shared" si="135"/>
        <v>10</v>
      </c>
      <c r="W407" s="125">
        <f t="shared" si="135"/>
        <v>200</v>
      </c>
      <c r="X407" s="125">
        <f t="shared" si="135"/>
        <v>10</v>
      </c>
      <c r="Y407" s="125">
        <f t="shared" si="135"/>
        <v>200</v>
      </c>
      <c r="Z407" s="125">
        <f t="shared" si="135"/>
        <v>10</v>
      </c>
      <c r="AA407" s="125">
        <f t="shared" si="135"/>
        <v>200</v>
      </c>
      <c r="AB407" s="125">
        <f t="shared" si="135"/>
        <v>10</v>
      </c>
      <c r="AC407" s="125">
        <f t="shared" si="135"/>
        <v>200</v>
      </c>
      <c r="AD407" s="119">
        <f t="shared" si="135"/>
        <v>40</v>
      </c>
      <c r="AE407" s="126">
        <f t="shared" si="136"/>
        <v>415</v>
      </c>
      <c r="AF407" s="66">
        <f t="shared" si="137"/>
        <v>500</v>
      </c>
      <c r="AG407" s="66" t="str">
        <f t="shared" si="138"/>
        <v>В25</v>
      </c>
      <c r="AH407" s="66">
        <f t="shared" si="138"/>
        <v>1</v>
      </c>
    </row>
    <row r="408" spans="1:35" ht="17.25" thickTop="1" thickBot="1" x14ac:dyDescent="0.3">
      <c r="A408" s="119" t="str">
        <f t="shared" si="139"/>
        <v>Пс8.7.7</v>
      </c>
      <c r="B408" s="119">
        <v>7</v>
      </c>
      <c r="C408" s="46" t="s">
        <v>2889</v>
      </c>
      <c r="D408" s="119">
        <f>AC408</f>
        <v>200</v>
      </c>
      <c r="E408" s="120">
        <f>IF(O408&lt;=5700, ROUNDUP(R408*2/AC408+1,0), 1)-1</f>
        <v>10</v>
      </c>
      <c r="F408" s="119"/>
      <c r="G408" s="119"/>
      <c r="H408" s="120">
        <f>IF(O408&lt;=5700, O408-50, K408)</f>
        <v>3250</v>
      </c>
      <c r="I408" s="121">
        <f>AB408</f>
        <v>10</v>
      </c>
      <c r="J408" s="46" t="s">
        <v>2</v>
      </c>
      <c r="K408" s="122">
        <f>Арм_ПоПлощади(O408*R408,AC408,AF408,$AI$3)</f>
        <v>20320</v>
      </c>
      <c r="L408" s="119"/>
      <c r="M408" s="124">
        <f t="shared" si="135"/>
        <v>0</v>
      </c>
      <c r="N408" s="125" t="str">
        <f t="shared" si="135"/>
        <v>Пс8.7.7</v>
      </c>
      <c r="O408" s="125">
        <f t="shared" si="135"/>
        <v>3300</v>
      </c>
      <c r="P408" s="125">
        <f t="shared" si="135"/>
        <v>1780</v>
      </c>
      <c r="Q408" s="125">
        <f t="shared" si="135"/>
        <v>400</v>
      </c>
      <c r="R408" s="125">
        <f t="shared" si="135"/>
        <v>1000</v>
      </c>
      <c r="S408" s="125">
        <f t="shared" si="135"/>
        <v>300</v>
      </c>
      <c r="T408" s="125">
        <f t="shared" si="135"/>
        <v>300</v>
      </c>
      <c r="U408" s="125">
        <f t="shared" si="135"/>
        <v>300</v>
      </c>
      <c r="V408" s="125">
        <f t="shared" si="135"/>
        <v>10</v>
      </c>
      <c r="W408" s="125">
        <f t="shared" si="135"/>
        <v>200</v>
      </c>
      <c r="X408" s="125">
        <f t="shared" si="135"/>
        <v>10</v>
      </c>
      <c r="Y408" s="125">
        <f t="shared" si="135"/>
        <v>200</v>
      </c>
      <c r="Z408" s="125">
        <f t="shared" si="135"/>
        <v>10</v>
      </c>
      <c r="AA408" s="125">
        <f t="shared" si="135"/>
        <v>200</v>
      </c>
      <c r="AB408" s="125">
        <f t="shared" si="135"/>
        <v>10</v>
      </c>
      <c r="AC408" s="125">
        <f t="shared" si="135"/>
        <v>200</v>
      </c>
      <c r="AD408" s="119">
        <f t="shared" si="135"/>
        <v>40</v>
      </c>
      <c r="AE408" s="126">
        <f t="shared" si="136"/>
        <v>415</v>
      </c>
      <c r="AF408" s="66">
        <f t="shared" si="137"/>
        <v>500</v>
      </c>
      <c r="AG408" s="66" t="str">
        <f t="shared" si="138"/>
        <v>В25</v>
      </c>
      <c r="AH408" s="66">
        <f t="shared" si="138"/>
        <v>1</v>
      </c>
    </row>
    <row r="409" spans="1:35" ht="17.25" thickTop="1" thickBot="1" x14ac:dyDescent="0.3">
      <c r="A409" s="119" t="str">
        <f t="shared" si="139"/>
        <v>Пс8.7.7</v>
      </c>
      <c r="B409" s="119">
        <v>8</v>
      </c>
      <c r="C409" s="46" t="s">
        <v>2890</v>
      </c>
      <c r="D409" s="119">
        <f>AA409</f>
        <v>200</v>
      </c>
      <c r="E409" s="127">
        <f>IF(E414=0,(ROUNDUP(O409/D409,0)*2),0)</f>
        <v>0</v>
      </c>
      <c r="F409" s="119"/>
      <c r="G409" s="119"/>
      <c r="H409" s="127">
        <f>Арм_Элемент_П(AF409, (U409-2*AD409), I409, J409)</f>
        <v>1220</v>
      </c>
      <c r="I409" s="121">
        <f>Z409</f>
        <v>10</v>
      </c>
      <c r="J409" s="46" t="s">
        <v>2</v>
      </c>
      <c r="K409" s="128"/>
      <c r="L409" s="119"/>
      <c r="M409" s="124">
        <f t="shared" si="135"/>
        <v>0</v>
      </c>
      <c r="N409" s="125" t="str">
        <f t="shared" si="135"/>
        <v>Пс8.7.7</v>
      </c>
      <c r="O409" s="125">
        <f t="shared" si="135"/>
        <v>3300</v>
      </c>
      <c r="P409" s="125">
        <f t="shared" si="135"/>
        <v>1780</v>
      </c>
      <c r="Q409" s="125">
        <f t="shared" si="135"/>
        <v>400</v>
      </c>
      <c r="R409" s="125">
        <f t="shared" si="135"/>
        <v>1000</v>
      </c>
      <c r="S409" s="125">
        <f t="shared" si="135"/>
        <v>300</v>
      </c>
      <c r="T409" s="125">
        <f t="shared" si="135"/>
        <v>300</v>
      </c>
      <c r="U409" s="125">
        <f t="shared" si="135"/>
        <v>300</v>
      </c>
      <c r="V409" s="125">
        <f t="shared" si="135"/>
        <v>10</v>
      </c>
      <c r="W409" s="125">
        <f t="shared" si="135"/>
        <v>200</v>
      </c>
      <c r="X409" s="125">
        <f t="shared" si="135"/>
        <v>10</v>
      </c>
      <c r="Y409" s="125">
        <f t="shared" si="135"/>
        <v>200</v>
      </c>
      <c r="Z409" s="125">
        <f t="shared" si="135"/>
        <v>10</v>
      </c>
      <c r="AA409" s="125">
        <f t="shared" si="135"/>
        <v>200</v>
      </c>
      <c r="AB409" s="125">
        <f t="shared" si="135"/>
        <v>10</v>
      </c>
      <c r="AC409" s="125">
        <f t="shared" si="135"/>
        <v>200</v>
      </c>
      <c r="AD409" s="119">
        <v>30</v>
      </c>
      <c r="AE409" s="126">
        <f t="shared" si="136"/>
        <v>415</v>
      </c>
      <c r="AF409" s="66">
        <f t="shared" si="137"/>
        <v>500</v>
      </c>
      <c r="AG409" s="66" t="str">
        <f t="shared" si="138"/>
        <v>В25</v>
      </c>
      <c r="AH409" s="66">
        <f t="shared" si="138"/>
        <v>1</v>
      </c>
    </row>
    <row r="410" spans="1:35" ht="17.25" thickTop="1" thickBot="1" x14ac:dyDescent="0.3">
      <c r="A410" s="119" t="str">
        <f t="shared" si="139"/>
        <v>Пс8.7.7</v>
      </c>
      <c r="B410" s="119">
        <v>9</v>
      </c>
      <c r="C410" s="46" t="s">
        <v>2891</v>
      </c>
      <c r="D410" s="119">
        <f>AC410</f>
        <v>200</v>
      </c>
      <c r="E410" s="127">
        <f>MROUND(2*R410/AC410,2)</f>
        <v>10</v>
      </c>
      <c r="F410" s="119"/>
      <c r="G410" s="119"/>
      <c r="H410" s="127">
        <f>Арм_Элемент_П(AF410, (U410-2*AD410), I410, J410)</f>
        <v>1200</v>
      </c>
      <c r="I410" s="121">
        <f>AB410</f>
        <v>10</v>
      </c>
      <c r="J410" s="46" t="s">
        <v>2</v>
      </c>
      <c r="K410" s="128"/>
      <c r="L410" s="119"/>
      <c r="M410" s="124">
        <f t="shared" si="135"/>
        <v>0</v>
      </c>
      <c r="N410" s="125" t="str">
        <f t="shared" si="135"/>
        <v>Пс8.7.7</v>
      </c>
      <c r="O410" s="125">
        <f t="shared" si="135"/>
        <v>3300</v>
      </c>
      <c r="P410" s="125">
        <f t="shared" si="135"/>
        <v>1780</v>
      </c>
      <c r="Q410" s="125">
        <f t="shared" si="135"/>
        <v>400</v>
      </c>
      <c r="R410" s="125">
        <f t="shared" si="135"/>
        <v>1000</v>
      </c>
      <c r="S410" s="125">
        <f t="shared" si="135"/>
        <v>300</v>
      </c>
      <c r="T410" s="125">
        <f t="shared" si="135"/>
        <v>300</v>
      </c>
      <c r="U410" s="125">
        <f t="shared" si="135"/>
        <v>300</v>
      </c>
      <c r="V410" s="125">
        <f t="shared" si="135"/>
        <v>10</v>
      </c>
      <c r="W410" s="125">
        <f t="shared" si="135"/>
        <v>200</v>
      </c>
      <c r="X410" s="125">
        <f t="shared" si="135"/>
        <v>10</v>
      </c>
      <c r="Y410" s="125">
        <f t="shared" si="135"/>
        <v>200</v>
      </c>
      <c r="Z410" s="125">
        <f t="shared" si="135"/>
        <v>10</v>
      </c>
      <c r="AA410" s="125">
        <f t="shared" si="135"/>
        <v>200</v>
      </c>
      <c r="AB410" s="125">
        <f t="shared" si="135"/>
        <v>10</v>
      </c>
      <c r="AC410" s="125">
        <f t="shared" si="135"/>
        <v>200</v>
      </c>
      <c r="AD410" s="119">
        <v>40</v>
      </c>
      <c r="AE410" s="126">
        <f t="shared" si="136"/>
        <v>415</v>
      </c>
      <c r="AF410" s="66">
        <f t="shared" si="137"/>
        <v>500</v>
      </c>
      <c r="AG410" s="66" t="str">
        <f t="shared" si="138"/>
        <v>В25</v>
      </c>
      <c r="AH410" s="66">
        <f t="shared" si="138"/>
        <v>1</v>
      </c>
    </row>
    <row r="411" spans="1:35" ht="33" thickTop="1" thickBot="1" x14ac:dyDescent="0.3">
      <c r="A411" s="119" t="str">
        <f t="shared" si="139"/>
        <v>Пс8.7.7</v>
      </c>
      <c r="B411" s="119">
        <v>10</v>
      </c>
      <c r="C411" s="46" t="s">
        <v>2892</v>
      </c>
      <c r="D411" s="119">
        <f>Y411</f>
        <v>200</v>
      </c>
      <c r="E411" s="127">
        <f>ROUNDUP((IF(P411&lt;=3000,0,O411/Y411)),0)</f>
        <v>0</v>
      </c>
      <c r="F411" s="119"/>
      <c r="G411" s="119"/>
      <c r="H411" s="127">
        <f>IF(E411=0,0, (Арм_Округление(AE411+2*AF411)))</f>
        <v>0</v>
      </c>
      <c r="I411" s="121">
        <f>X411</f>
        <v>10</v>
      </c>
      <c r="J411" s="46" t="s">
        <v>2</v>
      </c>
      <c r="K411" s="128"/>
      <c r="L411" s="119"/>
      <c r="M411" s="124">
        <f t="shared" si="135"/>
        <v>0</v>
      </c>
      <c r="N411" s="125" t="str">
        <f t="shared" si="135"/>
        <v>Пс8.7.7</v>
      </c>
      <c r="O411" s="125">
        <f t="shared" si="135"/>
        <v>3300</v>
      </c>
      <c r="P411" s="125">
        <f t="shared" si="135"/>
        <v>1780</v>
      </c>
      <c r="Q411" s="125">
        <f t="shared" si="135"/>
        <v>400</v>
      </c>
      <c r="R411" s="125">
        <f t="shared" si="135"/>
        <v>1000</v>
      </c>
      <c r="S411" s="125">
        <f t="shared" si="135"/>
        <v>300</v>
      </c>
      <c r="T411" s="125">
        <f t="shared" si="135"/>
        <v>300</v>
      </c>
      <c r="U411" s="125">
        <f t="shared" si="135"/>
        <v>300</v>
      </c>
      <c r="V411" s="125">
        <f t="shared" si="135"/>
        <v>10</v>
      </c>
      <c r="W411" s="125">
        <f t="shared" si="135"/>
        <v>200</v>
      </c>
      <c r="X411" s="125">
        <f t="shared" si="135"/>
        <v>10</v>
      </c>
      <c r="Y411" s="125">
        <f t="shared" si="135"/>
        <v>200</v>
      </c>
      <c r="Z411" s="125">
        <f t="shared" si="135"/>
        <v>10</v>
      </c>
      <c r="AA411" s="125">
        <f t="shared" si="135"/>
        <v>200</v>
      </c>
      <c r="AB411" s="125">
        <f t="shared" si="135"/>
        <v>10</v>
      </c>
      <c r="AC411" s="125">
        <f t="shared" si="135"/>
        <v>200</v>
      </c>
      <c r="AD411" s="119">
        <f t="shared" si="135"/>
        <v>40</v>
      </c>
      <c r="AE411" s="126">
        <f t="shared" si="136"/>
        <v>415</v>
      </c>
      <c r="AF411" s="66">
        <f t="shared" si="137"/>
        <v>500</v>
      </c>
      <c r="AG411" s="66" t="str">
        <f t="shared" si="138"/>
        <v>В25</v>
      </c>
      <c r="AH411" s="66">
        <f t="shared" si="138"/>
        <v>1</v>
      </c>
    </row>
    <row r="412" spans="1:35" ht="33" thickTop="1" thickBot="1" x14ac:dyDescent="0.3">
      <c r="A412" s="119" t="str">
        <f t="shared" si="139"/>
        <v>Пс8.7.7</v>
      </c>
      <c r="B412" s="119">
        <v>11</v>
      </c>
      <c r="C412" s="46" t="s">
        <v>2893</v>
      </c>
      <c r="D412" s="119">
        <f>Y412</f>
        <v>200</v>
      </c>
      <c r="E412" s="127">
        <f>ROUNDUP((IF(P412&lt;=3000,0,O412/Y412)),0)</f>
        <v>0</v>
      </c>
      <c r="F412" s="119"/>
      <c r="G412" s="119"/>
      <c r="H412" s="127">
        <f>IF(E412=0,0, (Арм_Округление(AE412+AF412)))</f>
        <v>0</v>
      </c>
      <c r="I412" s="121">
        <f>X412</f>
        <v>10</v>
      </c>
      <c r="J412" s="46" t="s">
        <v>2</v>
      </c>
      <c r="K412" s="128"/>
      <c r="L412" s="119"/>
      <c r="M412" s="124">
        <f t="shared" si="135"/>
        <v>0</v>
      </c>
      <c r="N412" s="125" t="str">
        <f t="shared" si="135"/>
        <v>Пс8.7.7</v>
      </c>
      <c r="O412" s="125">
        <f t="shared" si="135"/>
        <v>3300</v>
      </c>
      <c r="P412" s="125">
        <f t="shared" si="135"/>
        <v>1780</v>
      </c>
      <c r="Q412" s="125">
        <f t="shared" si="135"/>
        <v>400</v>
      </c>
      <c r="R412" s="125">
        <f t="shared" si="135"/>
        <v>1000</v>
      </c>
      <c r="S412" s="125">
        <f t="shared" si="135"/>
        <v>300</v>
      </c>
      <c r="T412" s="125">
        <f t="shared" si="135"/>
        <v>300</v>
      </c>
      <c r="U412" s="125">
        <f t="shared" si="135"/>
        <v>300</v>
      </c>
      <c r="V412" s="125">
        <f t="shared" si="135"/>
        <v>10</v>
      </c>
      <c r="W412" s="125">
        <f t="shared" si="135"/>
        <v>200</v>
      </c>
      <c r="X412" s="125">
        <f t="shared" si="135"/>
        <v>10</v>
      </c>
      <c r="Y412" s="125">
        <f t="shared" si="135"/>
        <v>200</v>
      </c>
      <c r="Z412" s="125">
        <f t="shared" si="135"/>
        <v>10</v>
      </c>
      <c r="AA412" s="125">
        <f t="shared" si="135"/>
        <v>200</v>
      </c>
      <c r="AB412" s="125">
        <f t="shared" si="135"/>
        <v>10</v>
      </c>
      <c r="AC412" s="125">
        <f t="shared" si="135"/>
        <v>200</v>
      </c>
      <c r="AD412" s="119">
        <f t="shared" si="135"/>
        <v>40</v>
      </c>
      <c r="AE412" s="126">
        <f t="shared" si="136"/>
        <v>415</v>
      </c>
      <c r="AF412" s="66">
        <f t="shared" si="137"/>
        <v>500</v>
      </c>
      <c r="AG412" s="66" t="str">
        <f t="shared" si="138"/>
        <v>В25</v>
      </c>
      <c r="AH412" s="66">
        <f t="shared" si="138"/>
        <v>1</v>
      </c>
    </row>
    <row r="413" spans="1:35" ht="17.25" thickTop="1" thickBot="1" x14ac:dyDescent="0.3">
      <c r="A413" s="119" t="str">
        <f t="shared" si="139"/>
        <v>Пс8.7.7</v>
      </c>
      <c r="B413" s="119">
        <v>12</v>
      </c>
      <c r="C413" s="46" t="s">
        <v>2894</v>
      </c>
      <c r="D413" s="119">
        <f>W412</f>
        <v>200</v>
      </c>
      <c r="E413" s="127">
        <f>IF(M413=0, 0, M413*2*ROUNDUP((P413/W413),0))</f>
        <v>0</v>
      </c>
      <c r="F413" s="119"/>
      <c r="G413" s="119"/>
      <c r="H413" s="127">
        <f>IF(M413=0, 0, AF413*2)</f>
        <v>0</v>
      </c>
      <c r="I413" s="121">
        <f>V413</f>
        <v>10</v>
      </c>
      <c r="J413" s="46" t="s">
        <v>2</v>
      </c>
      <c r="K413" s="128"/>
      <c r="L413" s="119"/>
      <c r="M413" s="124">
        <f t="shared" si="135"/>
        <v>0</v>
      </c>
      <c r="N413" s="125" t="str">
        <f t="shared" si="135"/>
        <v>Пс8.7.7</v>
      </c>
      <c r="O413" s="125">
        <f t="shared" si="135"/>
        <v>3300</v>
      </c>
      <c r="P413" s="125">
        <f t="shared" si="135"/>
        <v>1780</v>
      </c>
      <c r="Q413" s="125">
        <f t="shared" si="135"/>
        <v>400</v>
      </c>
      <c r="R413" s="125">
        <f t="shared" si="135"/>
        <v>1000</v>
      </c>
      <c r="S413" s="125">
        <f t="shared" si="135"/>
        <v>300</v>
      </c>
      <c r="T413" s="125">
        <f t="shared" si="135"/>
        <v>300</v>
      </c>
      <c r="U413" s="125">
        <f t="shared" si="135"/>
        <v>300</v>
      </c>
      <c r="V413" s="125">
        <f t="shared" si="135"/>
        <v>10</v>
      </c>
      <c r="W413" s="125">
        <f t="shared" si="135"/>
        <v>200</v>
      </c>
      <c r="X413" s="125">
        <f t="shared" si="135"/>
        <v>10</v>
      </c>
      <c r="Y413" s="125">
        <f t="shared" si="135"/>
        <v>200</v>
      </c>
      <c r="Z413" s="125">
        <f t="shared" si="135"/>
        <v>10</v>
      </c>
      <c r="AA413" s="125">
        <f t="shared" si="135"/>
        <v>200</v>
      </c>
      <c r="AB413" s="125">
        <f t="shared" si="135"/>
        <v>10</v>
      </c>
      <c r="AC413" s="125">
        <f t="shared" si="135"/>
        <v>200</v>
      </c>
      <c r="AD413" s="119">
        <f t="shared" si="135"/>
        <v>40</v>
      </c>
      <c r="AE413" s="126">
        <f t="shared" si="136"/>
        <v>415</v>
      </c>
      <c r="AF413" s="66">
        <f t="shared" si="137"/>
        <v>500</v>
      </c>
      <c r="AG413" s="66" t="str">
        <f t="shared" si="138"/>
        <v>В25</v>
      </c>
      <c r="AH413" s="66">
        <f t="shared" si="138"/>
        <v>1</v>
      </c>
    </row>
    <row r="414" spans="1:35" ht="17.25" thickTop="1" thickBot="1" x14ac:dyDescent="0.3">
      <c r="A414" s="119" t="str">
        <f t="shared" si="139"/>
        <v>Пс8.7.7</v>
      </c>
      <c r="B414" s="119">
        <v>13</v>
      </c>
      <c r="C414" s="46" t="s">
        <v>2895</v>
      </c>
      <c r="D414" s="119">
        <f>W413</f>
        <v>200</v>
      </c>
      <c r="E414" s="127">
        <f>IF(R414&lt;=2000,(ROUNDUP(O414/D414,0)),(0))</f>
        <v>17</v>
      </c>
      <c r="F414" s="119"/>
      <c r="G414" s="119"/>
      <c r="H414" s="127">
        <f>IF(R414&lt;=2000,(ROUNDUP(R414-2*40+2*(U414-40-AB414), -1)),(0))</f>
        <v>1420</v>
      </c>
      <c r="I414" s="121">
        <f>V414</f>
        <v>10</v>
      </c>
      <c r="J414" s="46" t="s">
        <v>2</v>
      </c>
      <c r="K414" s="128"/>
      <c r="L414" s="119"/>
      <c r="M414" s="124">
        <f t="shared" si="135"/>
        <v>0</v>
      </c>
      <c r="N414" s="125" t="str">
        <f t="shared" si="135"/>
        <v>Пс8.7.7</v>
      </c>
      <c r="O414" s="125">
        <f t="shared" si="135"/>
        <v>3300</v>
      </c>
      <c r="P414" s="125">
        <f t="shared" si="135"/>
        <v>1780</v>
      </c>
      <c r="Q414" s="125">
        <f t="shared" si="135"/>
        <v>400</v>
      </c>
      <c r="R414" s="125">
        <f t="shared" si="135"/>
        <v>1000</v>
      </c>
      <c r="S414" s="125">
        <f t="shared" si="135"/>
        <v>300</v>
      </c>
      <c r="T414" s="125">
        <f t="shared" si="135"/>
        <v>300</v>
      </c>
      <c r="U414" s="125">
        <f t="shared" si="135"/>
        <v>300</v>
      </c>
      <c r="V414" s="125">
        <f t="shared" si="135"/>
        <v>10</v>
      </c>
      <c r="W414" s="125">
        <f t="shared" si="135"/>
        <v>200</v>
      </c>
      <c r="X414" s="125">
        <f t="shared" si="135"/>
        <v>10</v>
      </c>
      <c r="Y414" s="125">
        <f t="shared" si="135"/>
        <v>200</v>
      </c>
      <c r="Z414" s="125">
        <f t="shared" si="135"/>
        <v>10</v>
      </c>
      <c r="AA414" s="125">
        <f t="shared" si="135"/>
        <v>200</v>
      </c>
      <c r="AB414" s="125">
        <f t="shared" si="135"/>
        <v>10</v>
      </c>
      <c r="AC414" s="125">
        <f t="shared" si="135"/>
        <v>200</v>
      </c>
      <c r="AD414" s="119">
        <f t="shared" si="135"/>
        <v>40</v>
      </c>
      <c r="AE414" s="126">
        <f t="shared" si="136"/>
        <v>415</v>
      </c>
      <c r="AF414" s="66">
        <f t="shared" si="137"/>
        <v>500</v>
      </c>
      <c r="AG414" s="66" t="str">
        <f t="shared" si="138"/>
        <v>В25</v>
      </c>
      <c r="AH414" s="66">
        <f t="shared" si="138"/>
        <v>1</v>
      </c>
    </row>
    <row r="415" spans="1:35" ht="15.75" thickTop="1" x14ac:dyDescent="0.25"/>
    <row r="418" spans="1:35" ht="15.75" thickBot="1" x14ac:dyDescent="0.3"/>
    <row r="419" spans="1:35" ht="91.5" thickTop="1" thickBot="1" x14ac:dyDescent="0.3">
      <c r="A419" s="133" t="s">
        <v>159</v>
      </c>
      <c r="B419" s="135" t="s">
        <v>160</v>
      </c>
      <c r="C419" s="135" t="s">
        <v>2750</v>
      </c>
      <c r="D419" s="135" t="s">
        <v>2856</v>
      </c>
      <c r="E419" s="138" t="s">
        <v>163</v>
      </c>
      <c r="F419" s="135" t="s">
        <v>2857</v>
      </c>
      <c r="G419" s="135" t="s">
        <v>2858</v>
      </c>
      <c r="H419" s="140" t="s">
        <v>166</v>
      </c>
      <c r="I419" s="141"/>
      <c r="J419" s="142"/>
      <c r="K419" s="143" t="s">
        <v>2859</v>
      </c>
      <c r="L419" s="143" t="s">
        <v>2860</v>
      </c>
      <c r="M419" s="146" t="s">
        <v>2861</v>
      </c>
      <c r="N419" s="107" t="s">
        <v>2714</v>
      </c>
      <c r="O419" s="108" t="s">
        <v>2862</v>
      </c>
      <c r="P419" s="109" t="s">
        <v>2863</v>
      </c>
      <c r="Q419" s="109" t="s">
        <v>2864</v>
      </c>
      <c r="R419" s="109" t="s">
        <v>2865</v>
      </c>
      <c r="S419" s="109" t="s">
        <v>2866</v>
      </c>
      <c r="T419" s="109" t="s">
        <v>2867</v>
      </c>
      <c r="U419" s="109" t="s">
        <v>2868</v>
      </c>
      <c r="V419" s="109" t="s">
        <v>2869</v>
      </c>
      <c r="W419" s="109" t="s">
        <v>2870</v>
      </c>
      <c r="X419" s="109" t="s">
        <v>2871</v>
      </c>
      <c r="Y419" s="109" t="s">
        <v>2872</v>
      </c>
      <c r="Z419" s="109" t="s">
        <v>2873</v>
      </c>
      <c r="AA419" s="109" t="s">
        <v>2874</v>
      </c>
      <c r="AB419" s="109" t="s">
        <v>2875</v>
      </c>
      <c r="AC419" s="110" t="s">
        <v>2876</v>
      </c>
      <c r="AD419" s="111" t="s">
        <v>2877</v>
      </c>
      <c r="AE419" s="143" t="s">
        <v>180</v>
      </c>
      <c r="AF419" s="131" t="s">
        <v>2878</v>
      </c>
      <c r="AG419" s="111" t="s">
        <v>2879</v>
      </c>
      <c r="AH419" s="111" t="s">
        <v>2880</v>
      </c>
      <c r="AI419" s="112" t="s">
        <v>2881</v>
      </c>
    </row>
    <row r="420" spans="1:35" ht="17.25" thickTop="1" thickBot="1" x14ac:dyDescent="0.3">
      <c r="A420" s="134"/>
      <c r="B420" s="136"/>
      <c r="C420" s="136"/>
      <c r="D420" s="137"/>
      <c r="E420" s="139"/>
      <c r="F420" s="137"/>
      <c r="G420" s="137"/>
      <c r="H420" s="113" t="s">
        <v>170</v>
      </c>
      <c r="I420" s="114" t="s">
        <v>171</v>
      </c>
      <c r="J420" s="115" t="s">
        <v>172</v>
      </c>
      <c r="K420" s="144"/>
      <c r="L420" s="145"/>
      <c r="M420" s="147"/>
      <c r="N420" s="116" t="str">
        <f>'[1]Исх.Таблица из архикада'!A25</f>
        <v>Пс8.7.8</v>
      </c>
      <c r="O420" s="116">
        <f>'[1]Исх.Таблица из архикада'!B25</f>
        <v>3520</v>
      </c>
      <c r="P420" s="116">
        <f>'[1]Исх.Таблица из архикада'!C25</f>
        <v>2000</v>
      </c>
      <c r="Q420" s="116">
        <f>'[1]Исх.Таблица из архикада'!D25</f>
        <v>400</v>
      </c>
      <c r="R420" s="116">
        <f>'[1]Исх.Таблица из архикада'!E25</f>
        <v>1000</v>
      </c>
      <c r="S420" s="116">
        <f>'[1]Исх.Таблица из архикада'!F25</f>
        <v>300</v>
      </c>
      <c r="T420" s="116">
        <f>'[1]Исх.Таблица из архикада'!G25</f>
        <v>300</v>
      </c>
      <c r="U420" s="116">
        <f>'[1]Исх.Таблица из архикада'!H25</f>
        <v>300</v>
      </c>
      <c r="V420" s="116">
        <f>'[1]Исх.Таблица из архикада'!I25</f>
        <v>10</v>
      </c>
      <c r="W420" s="116">
        <f>'[1]Исх.Таблица из архикада'!J25</f>
        <v>200</v>
      </c>
      <c r="X420" s="116">
        <f>'[1]Исх.Таблица из архикада'!K25</f>
        <v>10</v>
      </c>
      <c r="Y420" s="116">
        <f>'[1]Исх.Таблица из архикада'!L25</f>
        <v>200</v>
      </c>
      <c r="Z420" s="116">
        <f>'[1]Исх.Таблица из архикада'!M25</f>
        <v>10</v>
      </c>
      <c r="AA420" s="116">
        <f>'[1]Исх.Таблица из архикада'!N25</f>
        <v>200</v>
      </c>
      <c r="AB420" s="116">
        <f>'[1]Исх.Таблица из архикада'!O25</f>
        <v>10</v>
      </c>
      <c r="AC420" s="116">
        <f>'[1]Исх.Таблица из архикада'!P25</f>
        <v>200</v>
      </c>
      <c r="AD420" s="116">
        <v>40</v>
      </c>
      <c r="AE420" s="145"/>
      <c r="AF420" s="132"/>
      <c r="AG420" s="118" t="s">
        <v>2882</v>
      </c>
      <c r="AH420" s="118">
        <v>1</v>
      </c>
      <c r="AI420">
        <v>6000</v>
      </c>
    </row>
    <row r="421" spans="1:35" ht="17.25" thickTop="1" thickBot="1" x14ac:dyDescent="0.3">
      <c r="A421" s="119" t="str">
        <f>N420</f>
        <v>Пс8.7.8</v>
      </c>
      <c r="B421" s="119">
        <v>1</v>
      </c>
      <c r="C421" s="46" t="s">
        <v>2883</v>
      </c>
      <c r="D421" s="119">
        <f>W421</f>
        <v>200</v>
      </c>
      <c r="E421" s="120">
        <f>IF(O421&lt;=5700, ROUNDUP(P421*2/W421+1,0), 1)</f>
        <v>21</v>
      </c>
      <c r="F421" s="119">
        <f>ROUNDUP(((O421*R421*U421)*0.000000001+(O421*P421*Q421)*0.000000001),1)</f>
        <v>3.9</v>
      </c>
      <c r="G421" s="119">
        <f>ROUNDUP((0.1*(R421+200)*(O421)*0.000001),1)</f>
        <v>0.5</v>
      </c>
      <c r="H421" s="120">
        <f>IF(O421&lt;=5700, O421-50, K421)</f>
        <v>3470</v>
      </c>
      <c r="I421" s="121">
        <f>V421</f>
        <v>10</v>
      </c>
      <c r="J421" s="46" t="s">
        <v>2</v>
      </c>
      <c r="K421" s="122">
        <f>Арм_ПоПлощади(O421*P421,W421,AF421,$AI$3)</f>
        <v>41360</v>
      </c>
      <c r="L421" s="123">
        <f>IF(R421&lt;=2000,(0),(ROUNDUP(O421*R421*0.000001/1+SQRT(O421*R421*0.000001),0)))</f>
        <v>0</v>
      </c>
      <c r="M421" s="124">
        <v>0</v>
      </c>
      <c r="N421" s="125" t="str">
        <f>N420</f>
        <v>Пс8.7.8</v>
      </c>
      <c r="O421" s="125">
        <f t="shared" ref="O421:AD421" si="140">O420</f>
        <v>3520</v>
      </c>
      <c r="P421" s="125">
        <f t="shared" si="140"/>
        <v>2000</v>
      </c>
      <c r="Q421" s="125">
        <f t="shared" si="140"/>
        <v>400</v>
      </c>
      <c r="R421" s="125">
        <f t="shared" si="140"/>
        <v>1000</v>
      </c>
      <c r="S421" s="125">
        <f t="shared" si="140"/>
        <v>300</v>
      </c>
      <c r="T421" s="125">
        <f t="shared" si="140"/>
        <v>300</v>
      </c>
      <c r="U421" s="125">
        <f t="shared" si="140"/>
        <v>300</v>
      </c>
      <c r="V421" s="125">
        <f t="shared" si="140"/>
        <v>10</v>
      </c>
      <c r="W421" s="125">
        <f t="shared" si="140"/>
        <v>200</v>
      </c>
      <c r="X421" s="125">
        <f t="shared" si="140"/>
        <v>10</v>
      </c>
      <c r="Y421" s="125">
        <f t="shared" si="140"/>
        <v>200</v>
      </c>
      <c r="Z421" s="125">
        <f t="shared" si="140"/>
        <v>10</v>
      </c>
      <c r="AA421" s="125">
        <f t="shared" si="140"/>
        <v>200</v>
      </c>
      <c r="AB421" s="125">
        <f t="shared" si="140"/>
        <v>10</v>
      </c>
      <c r="AC421" s="125">
        <f t="shared" si="140"/>
        <v>200</v>
      </c>
      <c r="AD421" s="119">
        <f t="shared" si="140"/>
        <v>40</v>
      </c>
      <c r="AE421" s="126">
        <f>Арм_Анкеровка(I421,J421,$AG$3,$AH$3)</f>
        <v>415</v>
      </c>
      <c r="AF421" s="66">
        <f>Арм_Нахлёст(I421,J421,$AG$3,$AH$3)</f>
        <v>500</v>
      </c>
      <c r="AG421" s="66" t="str">
        <f>AG420</f>
        <v>В25</v>
      </c>
      <c r="AH421" s="66">
        <f>AH420</f>
        <v>1</v>
      </c>
    </row>
    <row r="422" spans="1:35" ht="17.25" thickTop="1" thickBot="1" x14ac:dyDescent="0.3">
      <c r="A422" s="119" t="str">
        <f>A421</f>
        <v>Пс8.7.8</v>
      </c>
      <c r="B422" s="119">
        <v>2</v>
      </c>
      <c r="C422" s="46" t="s">
        <v>2884</v>
      </c>
      <c r="D422" s="119">
        <f>Y421</f>
        <v>200</v>
      </c>
      <c r="E422" s="127">
        <f>IF(Q422&lt;=150,0,(ROUNDUP(O422/Y422,0)))</f>
        <v>18</v>
      </c>
      <c r="F422" s="119"/>
      <c r="G422" s="119"/>
      <c r="H422" s="127">
        <f>Арм_Элемент_П(AF422, (Q422-2*AD422), I422, J422)</f>
        <v>1300</v>
      </c>
      <c r="I422" s="121">
        <f>X422</f>
        <v>10</v>
      </c>
      <c r="J422" s="46" t="s">
        <v>2</v>
      </c>
      <c r="K422" s="128"/>
      <c r="L422" s="119"/>
      <c r="M422" s="124">
        <f t="shared" ref="M422:AD433" si="141">M421</f>
        <v>0</v>
      </c>
      <c r="N422" s="125" t="str">
        <f t="shared" si="141"/>
        <v>Пс8.7.8</v>
      </c>
      <c r="O422" s="125">
        <f t="shared" si="141"/>
        <v>3520</v>
      </c>
      <c r="P422" s="125">
        <f t="shared" si="141"/>
        <v>2000</v>
      </c>
      <c r="Q422" s="125">
        <f t="shared" si="141"/>
        <v>400</v>
      </c>
      <c r="R422" s="125">
        <f t="shared" si="141"/>
        <v>1000</v>
      </c>
      <c r="S422" s="125">
        <f t="shared" si="141"/>
        <v>300</v>
      </c>
      <c r="T422" s="125">
        <f t="shared" si="141"/>
        <v>300</v>
      </c>
      <c r="U422" s="125">
        <f t="shared" si="141"/>
        <v>300</v>
      </c>
      <c r="V422" s="125">
        <f t="shared" si="141"/>
        <v>10</v>
      </c>
      <c r="W422" s="125">
        <f t="shared" si="141"/>
        <v>200</v>
      </c>
      <c r="X422" s="125">
        <f t="shared" si="141"/>
        <v>10</v>
      </c>
      <c r="Y422" s="125">
        <f t="shared" si="141"/>
        <v>200</v>
      </c>
      <c r="Z422" s="125">
        <f t="shared" si="141"/>
        <v>10</v>
      </c>
      <c r="AA422" s="125">
        <f t="shared" si="141"/>
        <v>200</v>
      </c>
      <c r="AB422" s="125">
        <f t="shared" si="141"/>
        <v>10</v>
      </c>
      <c r="AC422" s="125">
        <f t="shared" si="141"/>
        <v>200</v>
      </c>
      <c r="AD422" s="119">
        <f t="shared" si="141"/>
        <v>40</v>
      </c>
      <c r="AE422" s="126">
        <f t="shared" ref="AE422:AE433" si="142">Арм_Анкеровка(I422,J422,$AG$3,$AH$3)</f>
        <v>415</v>
      </c>
      <c r="AF422" s="66">
        <f t="shared" ref="AF422:AF433" si="143">Арм_Нахлёст(I422,J422,$AG$3,$AH$3)</f>
        <v>500</v>
      </c>
      <c r="AG422" s="66" t="str">
        <f t="shared" ref="AG422:AH433" si="144">AG421</f>
        <v>В25</v>
      </c>
      <c r="AH422" s="66">
        <f t="shared" si="144"/>
        <v>1</v>
      </c>
    </row>
    <row r="423" spans="1:35" ht="17.25" thickTop="1" thickBot="1" x14ac:dyDescent="0.3">
      <c r="A423" s="119" t="str">
        <f t="shared" ref="A423:A433" si="145">A422</f>
        <v>Пс8.7.8</v>
      </c>
      <c r="B423" s="119">
        <v>3</v>
      </c>
      <c r="C423" s="46" t="s">
        <v>2885</v>
      </c>
      <c r="D423" s="119">
        <f>W423</f>
        <v>200</v>
      </c>
      <c r="E423" s="127">
        <f>MROUND(2*P423/D423,2)</f>
        <v>20</v>
      </c>
      <c r="F423" s="119"/>
      <c r="G423" s="119"/>
      <c r="H423" s="127">
        <f>Арм_Элемент_П(AF423, (Q423-2*AD423), I423, J423)</f>
        <v>1320</v>
      </c>
      <c r="I423" s="121">
        <f>V423</f>
        <v>10</v>
      </c>
      <c r="J423" s="46" t="s">
        <v>2</v>
      </c>
      <c r="K423" s="128"/>
      <c r="L423" s="119"/>
      <c r="M423" s="124">
        <f t="shared" si="141"/>
        <v>0</v>
      </c>
      <c r="N423" s="125" t="str">
        <f t="shared" si="141"/>
        <v>Пс8.7.8</v>
      </c>
      <c r="O423" s="125">
        <f t="shared" si="141"/>
        <v>3520</v>
      </c>
      <c r="P423" s="125">
        <f t="shared" si="141"/>
        <v>2000</v>
      </c>
      <c r="Q423" s="125">
        <f t="shared" si="141"/>
        <v>400</v>
      </c>
      <c r="R423" s="125">
        <f t="shared" si="141"/>
        <v>1000</v>
      </c>
      <c r="S423" s="125">
        <f t="shared" si="141"/>
        <v>300</v>
      </c>
      <c r="T423" s="125">
        <f t="shared" si="141"/>
        <v>300</v>
      </c>
      <c r="U423" s="125">
        <f t="shared" si="141"/>
        <v>300</v>
      </c>
      <c r="V423" s="125">
        <f t="shared" si="141"/>
        <v>10</v>
      </c>
      <c r="W423" s="125">
        <f t="shared" si="141"/>
        <v>200</v>
      </c>
      <c r="X423" s="125">
        <f t="shared" si="141"/>
        <v>10</v>
      </c>
      <c r="Y423" s="125">
        <f t="shared" si="141"/>
        <v>200</v>
      </c>
      <c r="Z423" s="125">
        <f t="shared" si="141"/>
        <v>10</v>
      </c>
      <c r="AA423" s="125">
        <f t="shared" si="141"/>
        <v>200</v>
      </c>
      <c r="AB423" s="125">
        <f t="shared" si="141"/>
        <v>10</v>
      </c>
      <c r="AC423" s="125">
        <f t="shared" si="141"/>
        <v>200</v>
      </c>
      <c r="AD423" s="119">
        <v>30</v>
      </c>
      <c r="AE423" s="126">
        <f t="shared" si="142"/>
        <v>415</v>
      </c>
      <c r="AF423" s="66">
        <f t="shared" si="143"/>
        <v>500</v>
      </c>
      <c r="AG423" s="66" t="str">
        <f t="shared" si="144"/>
        <v>В25</v>
      </c>
      <c r="AH423" s="66">
        <f t="shared" si="144"/>
        <v>1</v>
      </c>
    </row>
    <row r="424" spans="1:35" ht="17.25" thickTop="1" thickBot="1" x14ac:dyDescent="0.3">
      <c r="A424" s="119" t="str">
        <f t="shared" si="145"/>
        <v>Пс8.7.8</v>
      </c>
      <c r="B424" s="119">
        <v>4</v>
      </c>
      <c r="C424" s="46" t="s">
        <v>2886</v>
      </c>
      <c r="D424" s="119">
        <f>Y424</f>
        <v>200</v>
      </c>
      <c r="E424" s="127">
        <f>ROUNDUP(O424/Y424,0)*2</f>
        <v>36</v>
      </c>
      <c r="F424" s="119"/>
      <c r="G424" s="119"/>
      <c r="H424" s="127">
        <f>IF(P424&lt;=3000,(IF(Q424&lt;=150,(P424-25+AE424+Q424-(35+V424)),(P424-25+AE424))),(P424-25))</f>
        <v>2390</v>
      </c>
      <c r="I424" s="121">
        <f>X424</f>
        <v>10</v>
      </c>
      <c r="J424" s="46" t="s">
        <v>2</v>
      </c>
      <c r="K424" s="128"/>
      <c r="L424" s="119"/>
      <c r="M424" s="124">
        <f t="shared" si="141"/>
        <v>0</v>
      </c>
      <c r="N424" s="125" t="str">
        <f t="shared" si="141"/>
        <v>Пс8.7.8</v>
      </c>
      <c r="O424" s="125">
        <f t="shared" si="141"/>
        <v>3520</v>
      </c>
      <c r="P424" s="125">
        <f t="shared" si="141"/>
        <v>2000</v>
      </c>
      <c r="Q424" s="125">
        <f t="shared" si="141"/>
        <v>400</v>
      </c>
      <c r="R424" s="125">
        <f t="shared" si="141"/>
        <v>1000</v>
      </c>
      <c r="S424" s="125">
        <f t="shared" si="141"/>
        <v>300</v>
      </c>
      <c r="T424" s="125">
        <f t="shared" si="141"/>
        <v>300</v>
      </c>
      <c r="U424" s="125">
        <f t="shared" si="141"/>
        <v>300</v>
      </c>
      <c r="V424" s="125">
        <f t="shared" si="141"/>
        <v>10</v>
      </c>
      <c r="W424" s="125">
        <f t="shared" si="141"/>
        <v>200</v>
      </c>
      <c r="X424" s="125">
        <f t="shared" si="141"/>
        <v>10</v>
      </c>
      <c r="Y424" s="125">
        <f t="shared" si="141"/>
        <v>200</v>
      </c>
      <c r="Z424" s="125">
        <f t="shared" si="141"/>
        <v>10</v>
      </c>
      <c r="AA424" s="125">
        <f t="shared" si="141"/>
        <v>200</v>
      </c>
      <c r="AB424" s="125">
        <f t="shared" si="141"/>
        <v>10</v>
      </c>
      <c r="AC424" s="125">
        <f t="shared" si="141"/>
        <v>200</v>
      </c>
      <c r="AD424" s="119">
        <v>40</v>
      </c>
      <c r="AE424" s="126">
        <f t="shared" si="142"/>
        <v>415</v>
      </c>
      <c r="AF424" s="66">
        <f t="shared" si="143"/>
        <v>500</v>
      </c>
      <c r="AG424" s="66" t="str">
        <f t="shared" si="144"/>
        <v>В25</v>
      </c>
      <c r="AH424" s="66">
        <f t="shared" si="144"/>
        <v>1</v>
      </c>
    </row>
    <row r="425" spans="1:35" ht="17.25" thickTop="1" thickBot="1" x14ac:dyDescent="0.3">
      <c r="A425" s="119" t="str">
        <f t="shared" si="145"/>
        <v>Пс8.7.8</v>
      </c>
      <c r="B425" s="119">
        <v>5</v>
      </c>
      <c r="C425" s="46" t="s">
        <v>2887</v>
      </c>
      <c r="D425" s="119">
        <v>400</v>
      </c>
      <c r="E425" s="127">
        <f>ROUNDUP((13*(O425*P425/1000000)),0)</f>
        <v>92</v>
      </c>
      <c r="F425" s="119"/>
      <c r="G425" s="119"/>
      <c r="H425" s="127">
        <f>Q425-AD425*2+150</f>
        <v>470</v>
      </c>
      <c r="I425" s="121">
        <v>6</v>
      </c>
      <c r="J425" s="46" t="s">
        <v>2</v>
      </c>
      <c r="K425" s="128"/>
      <c r="L425" s="119"/>
      <c r="M425" s="124">
        <f t="shared" si="141"/>
        <v>0</v>
      </c>
      <c r="N425" s="125" t="str">
        <f t="shared" si="141"/>
        <v>Пс8.7.8</v>
      </c>
      <c r="O425" s="125">
        <f t="shared" si="141"/>
        <v>3520</v>
      </c>
      <c r="P425" s="125">
        <f t="shared" si="141"/>
        <v>2000</v>
      </c>
      <c r="Q425" s="125">
        <f t="shared" si="141"/>
        <v>400</v>
      </c>
      <c r="R425" s="125">
        <f t="shared" si="141"/>
        <v>1000</v>
      </c>
      <c r="S425" s="125">
        <f t="shared" si="141"/>
        <v>300</v>
      </c>
      <c r="T425" s="125">
        <f t="shared" si="141"/>
        <v>300</v>
      </c>
      <c r="U425" s="125">
        <f t="shared" si="141"/>
        <v>300</v>
      </c>
      <c r="V425" s="125">
        <f t="shared" si="141"/>
        <v>10</v>
      </c>
      <c r="W425" s="125">
        <f t="shared" si="141"/>
        <v>200</v>
      </c>
      <c r="X425" s="125">
        <f t="shared" si="141"/>
        <v>10</v>
      </c>
      <c r="Y425" s="125">
        <f t="shared" si="141"/>
        <v>200</v>
      </c>
      <c r="Z425" s="125">
        <f t="shared" si="141"/>
        <v>10</v>
      </c>
      <c r="AA425" s="125">
        <f t="shared" si="141"/>
        <v>200</v>
      </c>
      <c r="AB425" s="125">
        <f t="shared" si="141"/>
        <v>10</v>
      </c>
      <c r="AC425" s="125">
        <f t="shared" si="141"/>
        <v>200</v>
      </c>
      <c r="AD425" s="119">
        <f t="shared" si="141"/>
        <v>40</v>
      </c>
      <c r="AE425" s="126">
        <f t="shared" si="142"/>
        <v>250</v>
      </c>
      <c r="AF425" s="66">
        <f t="shared" si="143"/>
        <v>300</v>
      </c>
      <c r="AG425" s="66" t="str">
        <f t="shared" si="144"/>
        <v>В25</v>
      </c>
      <c r="AH425" s="66">
        <f t="shared" si="144"/>
        <v>1</v>
      </c>
    </row>
    <row r="426" spans="1:35" ht="17.25" thickTop="1" thickBot="1" x14ac:dyDescent="0.3">
      <c r="A426" s="119" t="str">
        <f t="shared" si="145"/>
        <v>Пс8.7.8</v>
      </c>
      <c r="B426" s="119">
        <v>6</v>
      </c>
      <c r="C426" s="46" t="s">
        <v>2888</v>
      </c>
      <c r="D426" s="119">
        <f>AA426</f>
        <v>200</v>
      </c>
      <c r="E426" s="127">
        <f>IF(R426&lt;=2000,(ROUNDUP(O426/D426,0)),(ROUNDUP(O426/D426,0)))</f>
        <v>18</v>
      </c>
      <c r="F426" s="119"/>
      <c r="G426" s="119"/>
      <c r="H426" s="127">
        <f>R426-50</f>
        <v>950</v>
      </c>
      <c r="I426" s="121">
        <f>Z426</f>
        <v>10</v>
      </c>
      <c r="J426" s="46" t="s">
        <v>2</v>
      </c>
      <c r="K426" s="128"/>
      <c r="L426" s="119"/>
      <c r="M426" s="124">
        <f t="shared" si="141"/>
        <v>0</v>
      </c>
      <c r="N426" s="125" t="str">
        <f t="shared" si="141"/>
        <v>Пс8.7.8</v>
      </c>
      <c r="O426" s="125">
        <f t="shared" si="141"/>
        <v>3520</v>
      </c>
      <c r="P426" s="125">
        <f t="shared" si="141"/>
        <v>2000</v>
      </c>
      <c r="Q426" s="125">
        <f t="shared" si="141"/>
        <v>400</v>
      </c>
      <c r="R426" s="125">
        <f t="shared" si="141"/>
        <v>1000</v>
      </c>
      <c r="S426" s="125">
        <f t="shared" si="141"/>
        <v>300</v>
      </c>
      <c r="T426" s="125">
        <f t="shared" si="141"/>
        <v>300</v>
      </c>
      <c r="U426" s="125">
        <f t="shared" si="141"/>
        <v>300</v>
      </c>
      <c r="V426" s="125">
        <f t="shared" si="141"/>
        <v>10</v>
      </c>
      <c r="W426" s="125">
        <f t="shared" si="141"/>
        <v>200</v>
      </c>
      <c r="X426" s="125">
        <f t="shared" si="141"/>
        <v>10</v>
      </c>
      <c r="Y426" s="125">
        <f t="shared" si="141"/>
        <v>200</v>
      </c>
      <c r="Z426" s="125">
        <f t="shared" si="141"/>
        <v>10</v>
      </c>
      <c r="AA426" s="125">
        <f t="shared" si="141"/>
        <v>200</v>
      </c>
      <c r="AB426" s="125">
        <f t="shared" si="141"/>
        <v>10</v>
      </c>
      <c r="AC426" s="125">
        <f t="shared" si="141"/>
        <v>200</v>
      </c>
      <c r="AD426" s="119">
        <f t="shared" si="141"/>
        <v>40</v>
      </c>
      <c r="AE426" s="126">
        <f t="shared" si="142"/>
        <v>415</v>
      </c>
      <c r="AF426" s="66">
        <f t="shared" si="143"/>
        <v>500</v>
      </c>
      <c r="AG426" s="66" t="str">
        <f t="shared" si="144"/>
        <v>В25</v>
      </c>
      <c r="AH426" s="66">
        <f t="shared" si="144"/>
        <v>1</v>
      </c>
    </row>
    <row r="427" spans="1:35" ht="17.25" thickTop="1" thickBot="1" x14ac:dyDescent="0.3">
      <c r="A427" s="119" t="str">
        <f t="shared" si="145"/>
        <v>Пс8.7.8</v>
      </c>
      <c r="B427" s="119">
        <v>7</v>
      </c>
      <c r="C427" s="46" t="s">
        <v>2889</v>
      </c>
      <c r="D427" s="119">
        <f>AC427</f>
        <v>200</v>
      </c>
      <c r="E427" s="120">
        <f>IF(O427&lt;=5700, ROUNDUP(R427*2/AC427+1,0), 1)-1</f>
        <v>10</v>
      </c>
      <c r="F427" s="119"/>
      <c r="G427" s="119"/>
      <c r="H427" s="120">
        <f>IF(O427&lt;=5700, O427-50, K427)</f>
        <v>3470</v>
      </c>
      <c r="I427" s="121">
        <f>AB427</f>
        <v>10</v>
      </c>
      <c r="J427" s="46" t="s">
        <v>2</v>
      </c>
      <c r="K427" s="122">
        <f>Арм_ПоПлощади(O427*R427,AC427,AF427,$AI$3)</f>
        <v>21480</v>
      </c>
      <c r="L427" s="119"/>
      <c r="M427" s="124">
        <f t="shared" si="141"/>
        <v>0</v>
      </c>
      <c r="N427" s="125" t="str">
        <f t="shared" si="141"/>
        <v>Пс8.7.8</v>
      </c>
      <c r="O427" s="125">
        <f t="shared" si="141"/>
        <v>3520</v>
      </c>
      <c r="P427" s="125">
        <f t="shared" si="141"/>
        <v>2000</v>
      </c>
      <c r="Q427" s="125">
        <f t="shared" si="141"/>
        <v>400</v>
      </c>
      <c r="R427" s="125">
        <f t="shared" si="141"/>
        <v>1000</v>
      </c>
      <c r="S427" s="125">
        <f t="shared" si="141"/>
        <v>300</v>
      </c>
      <c r="T427" s="125">
        <f t="shared" si="141"/>
        <v>300</v>
      </c>
      <c r="U427" s="125">
        <f t="shared" si="141"/>
        <v>300</v>
      </c>
      <c r="V427" s="125">
        <f t="shared" si="141"/>
        <v>10</v>
      </c>
      <c r="W427" s="125">
        <f t="shared" si="141"/>
        <v>200</v>
      </c>
      <c r="X427" s="125">
        <f t="shared" si="141"/>
        <v>10</v>
      </c>
      <c r="Y427" s="125">
        <f t="shared" si="141"/>
        <v>200</v>
      </c>
      <c r="Z427" s="125">
        <f t="shared" si="141"/>
        <v>10</v>
      </c>
      <c r="AA427" s="125">
        <f t="shared" si="141"/>
        <v>200</v>
      </c>
      <c r="AB427" s="125">
        <f t="shared" si="141"/>
        <v>10</v>
      </c>
      <c r="AC427" s="125">
        <f t="shared" si="141"/>
        <v>200</v>
      </c>
      <c r="AD427" s="119">
        <f t="shared" si="141"/>
        <v>40</v>
      </c>
      <c r="AE427" s="126">
        <f t="shared" si="142"/>
        <v>415</v>
      </c>
      <c r="AF427" s="66">
        <f t="shared" si="143"/>
        <v>500</v>
      </c>
      <c r="AG427" s="66" t="str">
        <f t="shared" si="144"/>
        <v>В25</v>
      </c>
      <c r="AH427" s="66">
        <f t="shared" si="144"/>
        <v>1</v>
      </c>
    </row>
    <row r="428" spans="1:35" ht="17.25" thickTop="1" thickBot="1" x14ac:dyDescent="0.3">
      <c r="A428" s="119" t="str">
        <f t="shared" si="145"/>
        <v>Пс8.7.8</v>
      </c>
      <c r="B428" s="119">
        <v>8</v>
      </c>
      <c r="C428" s="46" t="s">
        <v>2890</v>
      </c>
      <c r="D428" s="119">
        <f>AA428</f>
        <v>200</v>
      </c>
      <c r="E428" s="127">
        <f>IF(E433=0,(ROUNDUP(O428/D428,0)*2),0)</f>
        <v>0</v>
      </c>
      <c r="F428" s="119"/>
      <c r="G428" s="119"/>
      <c r="H428" s="127">
        <f>Арм_Элемент_П(AF428, (U428-2*AD428), I428, J428)</f>
        <v>1220</v>
      </c>
      <c r="I428" s="121">
        <f>Z428</f>
        <v>10</v>
      </c>
      <c r="J428" s="46" t="s">
        <v>2</v>
      </c>
      <c r="K428" s="128"/>
      <c r="L428" s="119"/>
      <c r="M428" s="124">
        <f t="shared" si="141"/>
        <v>0</v>
      </c>
      <c r="N428" s="125" t="str">
        <f t="shared" si="141"/>
        <v>Пс8.7.8</v>
      </c>
      <c r="O428" s="125">
        <f t="shared" si="141"/>
        <v>3520</v>
      </c>
      <c r="P428" s="125">
        <f t="shared" si="141"/>
        <v>2000</v>
      </c>
      <c r="Q428" s="125">
        <f t="shared" si="141"/>
        <v>400</v>
      </c>
      <c r="R428" s="125">
        <f t="shared" si="141"/>
        <v>1000</v>
      </c>
      <c r="S428" s="125">
        <f t="shared" si="141"/>
        <v>300</v>
      </c>
      <c r="T428" s="125">
        <f t="shared" si="141"/>
        <v>300</v>
      </c>
      <c r="U428" s="125">
        <f t="shared" si="141"/>
        <v>300</v>
      </c>
      <c r="V428" s="125">
        <f t="shared" si="141"/>
        <v>10</v>
      </c>
      <c r="W428" s="125">
        <f t="shared" si="141"/>
        <v>200</v>
      </c>
      <c r="X428" s="125">
        <f t="shared" si="141"/>
        <v>10</v>
      </c>
      <c r="Y428" s="125">
        <f t="shared" si="141"/>
        <v>200</v>
      </c>
      <c r="Z428" s="125">
        <f t="shared" si="141"/>
        <v>10</v>
      </c>
      <c r="AA428" s="125">
        <f t="shared" si="141"/>
        <v>200</v>
      </c>
      <c r="AB428" s="125">
        <f t="shared" si="141"/>
        <v>10</v>
      </c>
      <c r="AC428" s="125">
        <f t="shared" si="141"/>
        <v>200</v>
      </c>
      <c r="AD428" s="119">
        <v>30</v>
      </c>
      <c r="AE428" s="126">
        <f t="shared" si="142"/>
        <v>415</v>
      </c>
      <c r="AF428" s="66">
        <f t="shared" si="143"/>
        <v>500</v>
      </c>
      <c r="AG428" s="66" t="str">
        <f t="shared" si="144"/>
        <v>В25</v>
      </c>
      <c r="AH428" s="66">
        <f t="shared" si="144"/>
        <v>1</v>
      </c>
    </row>
    <row r="429" spans="1:35" ht="17.25" thickTop="1" thickBot="1" x14ac:dyDescent="0.3">
      <c r="A429" s="119" t="str">
        <f t="shared" si="145"/>
        <v>Пс8.7.8</v>
      </c>
      <c r="B429" s="119">
        <v>9</v>
      </c>
      <c r="C429" s="46" t="s">
        <v>2891</v>
      </c>
      <c r="D429" s="119">
        <f>AC429</f>
        <v>200</v>
      </c>
      <c r="E429" s="127">
        <f>MROUND(2*R429/AC429,2)</f>
        <v>10</v>
      </c>
      <c r="F429" s="119"/>
      <c r="G429" s="119"/>
      <c r="H429" s="127">
        <f>Арм_Элемент_П(AF429, (U429-2*AD429), I429, J429)</f>
        <v>1200</v>
      </c>
      <c r="I429" s="121">
        <f>AB429</f>
        <v>10</v>
      </c>
      <c r="J429" s="46" t="s">
        <v>2</v>
      </c>
      <c r="K429" s="128"/>
      <c r="L429" s="119"/>
      <c r="M429" s="124">
        <f t="shared" si="141"/>
        <v>0</v>
      </c>
      <c r="N429" s="125" t="str">
        <f t="shared" si="141"/>
        <v>Пс8.7.8</v>
      </c>
      <c r="O429" s="125">
        <f t="shared" si="141"/>
        <v>3520</v>
      </c>
      <c r="P429" s="125">
        <f t="shared" si="141"/>
        <v>2000</v>
      </c>
      <c r="Q429" s="125">
        <f t="shared" si="141"/>
        <v>400</v>
      </c>
      <c r="R429" s="125">
        <f t="shared" si="141"/>
        <v>1000</v>
      </c>
      <c r="S429" s="125">
        <f t="shared" si="141"/>
        <v>300</v>
      </c>
      <c r="T429" s="125">
        <f t="shared" si="141"/>
        <v>300</v>
      </c>
      <c r="U429" s="125">
        <f t="shared" si="141"/>
        <v>300</v>
      </c>
      <c r="V429" s="125">
        <f t="shared" si="141"/>
        <v>10</v>
      </c>
      <c r="W429" s="125">
        <f t="shared" si="141"/>
        <v>200</v>
      </c>
      <c r="X429" s="125">
        <f t="shared" si="141"/>
        <v>10</v>
      </c>
      <c r="Y429" s="125">
        <f t="shared" si="141"/>
        <v>200</v>
      </c>
      <c r="Z429" s="125">
        <f t="shared" si="141"/>
        <v>10</v>
      </c>
      <c r="AA429" s="125">
        <f t="shared" si="141"/>
        <v>200</v>
      </c>
      <c r="AB429" s="125">
        <f t="shared" si="141"/>
        <v>10</v>
      </c>
      <c r="AC429" s="125">
        <f t="shared" si="141"/>
        <v>200</v>
      </c>
      <c r="AD429" s="119">
        <v>40</v>
      </c>
      <c r="AE429" s="126">
        <f t="shared" si="142"/>
        <v>415</v>
      </c>
      <c r="AF429" s="66">
        <f t="shared" si="143"/>
        <v>500</v>
      </c>
      <c r="AG429" s="66" t="str">
        <f t="shared" si="144"/>
        <v>В25</v>
      </c>
      <c r="AH429" s="66">
        <f t="shared" si="144"/>
        <v>1</v>
      </c>
    </row>
    <row r="430" spans="1:35" ht="33" thickTop="1" thickBot="1" x14ac:dyDescent="0.3">
      <c r="A430" s="119" t="str">
        <f t="shared" si="145"/>
        <v>Пс8.7.8</v>
      </c>
      <c r="B430" s="119">
        <v>10</v>
      </c>
      <c r="C430" s="46" t="s">
        <v>2892</v>
      </c>
      <c r="D430" s="119">
        <f>Y430</f>
        <v>200</v>
      </c>
      <c r="E430" s="127">
        <f>ROUNDUP((IF(P430&lt;=3000,0,O430/Y430)),0)</f>
        <v>0</v>
      </c>
      <c r="F430" s="119"/>
      <c r="G430" s="119"/>
      <c r="H430" s="127">
        <f>IF(E430=0,0, (Арм_Округление(AE430+2*AF430)))</f>
        <v>0</v>
      </c>
      <c r="I430" s="121">
        <f>X430</f>
        <v>10</v>
      </c>
      <c r="J430" s="46" t="s">
        <v>2</v>
      </c>
      <c r="K430" s="128"/>
      <c r="L430" s="119"/>
      <c r="M430" s="124">
        <f t="shared" si="141"/>
        <v>0</v>
      </c>
      <c r="N430" s="125" t="str">
        <f t="shared" si="141"/>
        <v>Пс8.7.8</v>
      </c>
      <c r="O430" s="125">
        <f t="shared" si="141"/>
        <v>3520</v>
      </c>
      <c r="P430" s="125">
        <f t="shared" si="141"/>
        <v>2000</v>
      </c>
      <c r="Q430" s="125">
        <f t="shared" si="141"/>
        <v>400</v>
      </c>
      <c r="R430" s="125">
        <f t="shared" si="141"/>
        <v>1000</v>
      </c>
      <c r="S430" s="125">
        <f t="shared" si="141"/>
        <v>300</v>
      </c>
      <c r="T430" s="125">
        <f t="shared" si="141"/>
        <v>300</v>
      </c>
      <c r="U430" s="125">
        <f t="shared" si="141"/>
        <v>300</v>
      </c>
      <c r="V430" s="125">
        <f t="shared" si="141"/>
        <v>10</v>
      </c>
      <c r="W430" s="125">
        <f t="shared" si="141"/>
        <v>200</v>
      </c>
      <c r="X430" s="125">
        <f t="shared" si="141"/>
        <v>10</v>
      </c>
      <c r="Y430" s="125">
        <f t="shared" si="141"/>
        <v>200</v>
      </c>
      <c r="Z430" s="125">
        <f t="shared" si="141"/>
        <v>10</v>
      </c>
      <c r="AA430" s="125">
        <f t="shared" si="141"/>
        <v>200</v>
      </c>
      <c r="AB430" s="125">
        <f t="shared" si="141"/>
        <v>10</v>
      </c>
      <c r="AC430" s="125">
        <f t="shared" si="141"/>
        <v>200</v>
      </c>
      <c r="AD430" s="119">
        <f t="shared" si="141"/>
        <v>40</v>
      </c>
      <c r="AE430" s="126">
        <f t="shared" si="142"/>
        <v>415</v>
      </c>
      <c r="AF430" s="66">
        <f t="shared" si="143"/>
        <v>500</v>
      </c>
      <c r="AG430" s="66" t="str">
        <f t="shared" si="144"/>
        <v>В25</v>
      </c>
      <c r="AH430" s="66">
        <f t="shared" si="144"/>
        <v>1</v>
      </c>
    </row>
    <row r="431" spans="1:35" ht="33" thickTop="1" thickBot="1" x14ac:dyDescent="0.3">
      <c r="A431" s="119" t="str">
        <f t="shared" si="145"/>
        <v>Пс8.7.8</v>
      </c>
      <c r="B431" s="119">
        <v>11</v>
      </c>
      <c r="C431" s="46" t="s">
        <v>2893</v>
      </c>
      <c r="D431" s="119">
        <f>Y431</f>
        <v>200</v>
      </c>
      <c r="E431" s="127">
        <f>ROUNDUP((IF(P431&lt;=3000,0,O431/Y431)),0)</f>
        <v>0</v>
      </c>
      <c r="F431" s="119"/>
      <c r="G431" s="119"/>
      <c r="H431" s="127">
        <f>IF(E431=0,0, (Арм_Округление(AE431+AF431)))</f>
        <v>0</v>
      </c>
      <c r="I431" s="121">
        <f>X431</f>
        <v>10</v>
      </c>
      <c r="J431" s="46" t="s">
        <v>2</v>
      </c>
      <c r="K431" s="128"/>
      <c r="L431" s="119"/>
      <c r="M431" s="124">
        <f t="shared" si="141"/>
        <v>0</v>
      </c>
      <c r="N431" s="125" t="str">
        <f t="shared" si="141"/>
        <v>Пс8.7.8</v>
      </c>
      <c r="O431" s="125">
        <f t="shared" si="141"/>
        <v>3520</v>
      </c>
      <c r="P431" s="125">
        <f t="shared" si="141"/>
        <v>2000</v>
      </c>
      <c r="Q431" s="125">
        <f t="shared" si="141"/>
        <v>400</v>
      </c>
      <c r="R431" s="125">
        <f t="shared" si="141"/>
        <v>1000</v>
      </c>
      <c r="S431" s="125">
        <f t="shared" si="141"/>
        <v>300</v>
      </c>
      <c r="T431" s="125">
        <f t="shared" si="141"/>
        <v>300</v>
      </c>
      <c r="U431" s="125">
        <f t="shared" si="141"/>
        <v>300</v>
      </c>
      <c r="V431" s="125">
        <f t="shared" si="141"/>
        <v>10</v>
      </c>
      <c r="W431" s="125">
        <f t="shared" si="141"/>
        <v>200</v>
      </c>
      <c r="X431" s="125">
        <f t="shared" si="141"/>
        <v>10</v>
      </c>
      <c r="Y431" s="125">
        <f t="shared" si="141"/>
        <v>200</v>
      </c>
      <c r="Z431" s="125">
        <f t="shared" si="141"/>
        <v>10</v>
      </c>
      <c r="AA431" s="125">
        <f t="shared" si="141"/>
        <v>200</v>
      </c>
      <c r="AB431" s="125">
        <f t="shared" si="141"/>
        <v>10</v>
      </c>
      <c r="AC431" s="125">
        <f t="shared" si="141"/>
        <v>200</v>
      </c>
      <c r="AD431" s="119">
        <f t="shared" si="141"/>
        <v>40</v>
      </c>
      <c r="AE431" s="126">
        <f t="shared" si="142"/>
        <v>415</v>
      </c>
      <c r="AF431" s="66">
        <f t="shared" si="143"/>
        <v>500</v>
      </c>
      <c r="AG431" s="66" t="str">
        <f t="shared" si="144"/>
        <v>В25</v>
      </c>
      <c r="AH431" s="66">
        <f t="shared" si="144"/>
        <v>1</v>
      </c>
    </row>
    <row r="432" spans="1:35" ht="17.25" thickTop="1" thickBot="1" x14ac:dyDescent="0.3">
      <c r="A432" s="119" t="str">
        <f t="shared" si="145"/>
        <v>Пс8.7.8</v>
      </c>
      <c r="B432" s="119">
        <v>12</v>
      </c>
      <c r="C432" s="46" t="s">
        <v>2894</v>
      </c>
      <c r="D432" s="119">
        <f>W431</f>
        <v>200</v>
      </c>
      <c r="E432" s="127">
        <f>IF(M432=0, 0, M432*2*ROUNDUP((P432/W432),0))</f>
        <v>0</v>
      </c>
      <c r="F432" s="119"/>
      <c r="G432" s="119"/>
      <c r="H432" s="127">
        <f>IF(M432=0, 0, AF432*2)</f>
        <v>0</v>
      </c>
      <c r="I432" s="121">
        <f>V432</f>
        <v>10</v>
      </c>
      <c r="J432" s="46" t="s">
        <v>2</v>
      </c>
      <c r="K432" s="128"/>
      <c r="L432" s="119"/>
      <c r="M432" s="124">
        <f t="shared" si="141"/>
        <v>0</v>
      </c>
      <c r="N432" s="125" t="str">
        <f t="shared" si="141"/>
        <v>Пс8.7.8</v>
      </c>
      <c r="O432" s="125">
        <f t="shared" si="141"/>
        <v>3520</v>
      </c>
      <c r="P432" s="125">
        <f t="shared" si="141"/>
        <v>2000</v>
      </c>
      <c r="Q432" s="125">
        <f t="shared" si="141"/>
        <v>400</v>
      </c>
      <c r="R432" s="125">
        <f t="shared" si="141"/>
        <v>1000</v>
      </c>
      <c r="S432" s="125">
        <f t="shared" si="141"/>
        <v>300</v>
      </c>
      <c r="T432" s="125">
        <f t="shared" si="141"/>
        <v>300</v>
      </c>
      <c r="U432" s="125">
        <f t="shared" si="141"/>
        <v>300</v>
      </c>
      <c r="V432" s="125">
        <f t="shared" si="141"/>
        <v>10</v>
      </c>
      <c r="W432" s="125">
        <f t="shared" si="141"/>
        <v>200</v>
      </c>
      <c r="X432" s="125">
        <f t="shared" si="141"/>
        <v>10</v>
      </c>
      <c r="Y432" s="125">
        <f t="shared" si="141"/>
        <v>200</v>
      </c>
      <c r="Z432" s="125">
        <f t="shared" si="141"/>
        <v>10</v>
      </c>
      <c r="AA432" s="125">
        <f t="shared" si="141"/>
        <v>200</v>
      </c>
      <c r="AB432" s="125">
        <f t="shared" si="141"/>
        <v>10</v>
      </c>
      <c r="AC432" s="125">
        <f t="shared" si="141"/>
        <v>200</v>
      </c>
      <c r="AD432" s="119">
        <f t="shared" si="141"/>
        <v>40</v>
      </c>
      <c r="AE432" s="126">
        <f t="shared" si="142"/>
        <v>415</v>
      </c>
      <c r="AF432" s="66">
        <f t="shared" si="143"/>
        <v>500</v>
      </c>
      <c r="AG432" s="66" t="str">
        <f t="shared" si="144"/>
        <v>В25</v>
      </c>
      <c r="AH432" s="66">
        <f t="shared" si="144"/>
        <v>1</v>
      </c>
    </row>
    <row r="433" spans="1:35" ht="17.25" thickTop="1" thickBot="1" x14ac:dyDescent="0.3">
      <c r="A433" s="119" t="str">
        <f t="shared" si="145"/>
        <v>Пс8.7.8</v>
      </c>
      <c r="B433" s="119">
        <v>13</v>
      </c>
      <c r="C433" s="46" t="s">
        <v>2895</v>
      </c>
      <c r="D433" s="119">
        <f>W432</f>
        <v>200</v>
      </c>
      <c r="E433" s="127">
        <f>IF(R433&lt;=2000,(ROUNDUP(O433/D433,0)),(0))</f>
        <v>18</v>
      </c>
      <c r="F433" s="119"/>
      <c r="G433" s="119"/>
      <c r="H433" s="127">
        <f>IF(R433&lt;=2000,(ROUNDUP(R433-2*40+2*(U433-40-AB433), -1)),(0))</f>
        <v>1420</v>
      </c>
      <c r="I433" s="121">
        <f>V433</f>
        <v>10</v>
      </c>
      <c r="J433" s="46" t="s">
        <v>2</v>
      </c>
      <c r="K433" s="128"/>
      <c r="L433" s="119"/>
      <c r="M433" s="124">
        <f t="shared" si="141"/>
        <v>0</v>
      </c>
      <c r="N433" s="125" t="str">
        <f t="shared" si="141"/>
        <v>Пс8.7.8</v>
      </c>
      <c r="O433" s="125">
        <f t="shared" si="141"/>
        <v>3520</v>
      </c>
      <c r="P433" s="125">
        <f t="shared" si="141"/>
        <v>2000</v>
      </c>
      <c r="Q433" s="125">
        <f t="shared" si="141"/>
        <v>400</v>
      </c>
      <c r="R433" s="125">
        <f t="shared" si="141"/>
        <v>1000</v>
      </c>
      <c r="S433" s="125">
        <f t="shared" si="141"/>
        <v>300</v>
      </c>
      <c r="T433" s="125">
        <f t="shared" si="141"/>
        <v>300</v>
      </c>
      <c r="U433" s="125">
        <f t="shared" si="141"/>
        <v>300</v>
      </c>
      <c r="V433" s="125">
        <f t="shared" si="141"/>
        <v>10</v>
      </c>
      <c r="W433" s="125">
        <f t="shared" si="141"/>
        <v>200</v>
      </c>
      <c r="X433" s="125">
        <f t="shared" si="141"/>
        <v>10</v>
      </c>
      <c r="Y433" s="125">
        <f t="shared" si="141"/>
        <v>200</v>
      </c>
      <c r="Z433" s="125">
        <f t="shared" si="141"/>
        <v>10</v>
      </c>
      <c r="AA433" s="125">
        <f t="shared" si="141"/>
        <v>200</v>
      </c>
      <c r="AB433" s="125">
        <f t="shared" si="141"/>
        <v>10</v>
      </c>
      <c r="AC433" s="125">
        <f t="shared" si="141"/>
        <v>200</v>
      </c>
      <c r="AD433" s="119">
        <f t="shared" si="141"/>
        <v>40</v>
      </c>
      <c r="AE433" s="126">
        <f t="shared" si="142"/>
        <v>415</v>
      </c>
      <c r="AF433" s="66">
        <f t="shared" si="143"/>
        <v>500</v>
      </c>
      <c r="AG433" s="66" t="str">
        <f t="shared" si="144"/>
        <v>В25</v>
      </c>
      <c r="AH433" s="66">
        <f t="shared" si="144"/>
        <v>1</v>
      </c>
    </row>
    <row r="434" spans="1:35" ht="15.75" thickTop="1" x14ac:dyDescent="0.25"/>
    <row r="447" spans="1:35" ht="15.75" thickBot="1" x14ac:dyDescent="0.3"/>
    <row r="448" spans="1:35" ht="91.5" thickTop="1" thickBot="1" x14ac:dyDescent="0.3">
      <c r="A448" s="133" t="s">
        <v>159</v>
      </c>
      <c r="B448" s="135" t="s">
        <v>160</v>
      </c>
      <c r="C448" s="135" t="s">
        <v>2750</v>
      </c>
      <c r="D448" s="135" t="s">
        <v>2856</v>
      </c>
      <c r="E448" s="138" t="s">
        <v>163</v>
      </c>
      <c r="F448" s="135" t="s">
        <v>2857</v>
      </c>
      <c r="G448" s="135" t="s">
        <v>2858</v>
      </c>
      <c r="H448" s="140" t="s">
        <v>166</v>
      </c>
      <c r="I448" s="141"/>
      <c r="J448" s="142"/>
      <c r="K448" s="143" t="s">
        <v>2859</v>
      </c>
      <c r="L448" s="143" t="s">
        <v>2860</v>
      </c>
      <c r="M448" s="146" t="s">
        <v>2861</v>
      </c>
      <c r="N448" s="107" t="s">
        <v>2714</v>
      </c>
      <c r="O448" s="108" t="s">
        <v>2862</v>
      </c>
      <c r="P448" s="109" t="s">
        <v>2863</v>
      </c>
      <c r="Q448" s="109" t="s">
        <v>2864</v>
      </c>
      <c r="R448" s="109" t="s">
        <v>2865</v>
      </c>
      <c r="S448" s="109" t="s">
        <v>2866</v>
      </c>
      <c r="T448" s="109" t="s">
        <v>2867</v>
      </c>
      <c r="U448" s="109" t="s">
        <v>2868</v>
      </c>
      <c r="V448" s="109" t="s">
        <v>2869</v>
      </c>
      <c r="W448" s="109" t="s">
        <v>2870</v>
      </c>
      <c r="X448" s="109" t="s">
        <v>2871</v>
      </c>
      <c r="Y448" s="109" t="s">
        <v>2872</v>
      </c>
      <c r="Z448" s="109" t="s">
        <v>2873</v>
      </c>
      <c r="AA448" s="109" t="s">
        <v>2874</v>
      </c>
      <c r="AB448" s="109" t="s">
        <v>2875</v>
      </c>
      <c r="AC448" s="110" t="s">
        <v>2876</v>
      </c>
      <c r="AD448" s="111" t="s">
        <v>2877</v>
      </c>
      <c r="AE448" s="143" t="s">
        <v>180</v>
      </c>
      <c r="AF448" s="131" t="s">
        <v>2878</v>
      </c>
      <c r="AG448" s="111" t="s">
        <v>2879</v>
      </c>
      <c r="AH448" s="111" t="s">
        <v>2880</v>
      </c>
      <c r="AI448" s="112" t="s">
        <v>2881</v>
      </c>
    </row>
    <row r="449" spans="1:35" ht="17.25" thickTop="1" thickBot="1" x14ac:dyDescent="0.3">
      <c r="A449" s="134"/>
      <c r="B449" s="136"/>
      <c r="C449" s="136"/>
      <c r="D449" s="137"/>
      <c r="E449" s="139"/>
      <c r="F449" s="137"/>
      <c r="G449" s="137"/>
      <c r="H449" s="113" t="s">
        <v>170</v>
      </c>
      <c r="I449" s="114" t="s">
        <v>171</v>
      </c>
      <c r="J449" s="115" t="s">
        <v>172</v>
      </c>
      <c r="K449" s="144"/>
      <c r="L449" s="145"/>
      <c r="M449" s="147"/>
      <c r="N449" s="116" t="e">
        <f>'[1]Исх.Таблица из архикада'!#REF!</f>
        <v>#REF!</v>
      </c>
      <c r="O449" s="116" t="e">
        <f>'[1]Исх.Таблица из архикада'!#REF!</f>
        <v>#REF!</v>
      </c>
      <c r="P449" s="116" t="e">
        <f>'[1]Исх.Таблица из архикада'!#REF!</f>
        <v>#REF!</v>
      </c>
      <c r="Q449" s="116" t="e">
        <f>'[1]Исх.Таблица из архикада'!#REF!</f>
        <v>#REF!</v>
      </c>
      <c r="R449" s="116" t="e">
        <f>'[1]Исх.Таблица из архикада'!#REF!</f>
        <v>#REF!</v>
      </c>
      <c r="S449" s="116" t="e">
        <f>'[1]Исх.Таблица из архикада'!#REF!</f>
        <v>#REF!</v>
      </c>
      <c r="T449" s="116" t="e">
        <f>'[1]Исх.Таблица из архикада'!#REF!</f>
        <v>#REF!</v>
      </c>
      <c r="U449" s="116" t="e">
        <f>'[1]Исх.Таблица из архикада'!#REF!</f>
        <v>#REF!</v>
      </c>
      <c r="V449" s="116" t="e">
        <f>'[1]Исх.Таблица из архикада'!#REF!</f>
        <v>#REF!</v>
      </c>
      <c r="W449" s="116" t="e">
        <f>'[1]Исх.Таблица из архикада'!#REF!</f>
        <v>#REF!</v>
      </c>
      <c r="X449" s="116" t="e">
        <f>'[1]Исх.Таблица из архикада'!#REF!</f>
        <v>#REF!</v>
      </c>
      <c r="Y449" s="116" t="e">
        <f>'[1]Исх.Таблица из архикада'!#REF!</f>
        <v>#REF!</v>
      </c>
      <c r="Z449" s="116" t="e">
        <f>'[1]Исх.Таблица из архикада'!#REF!</f>
        <v>#REF!</v>
      </c>
      <c r="AA449" s="116" t="e">
        <f>'[1]Исх.Таблица из архикада'!#REF!</f>
        <v>#REF!</v>
      </c>
      <c r="AB449" s="116" t="e">
        <f>'[1]Исх.Таблица из архикада'!#REF!</f>
        <v>#REF!</v>
      </c>
      <c r="AC449" s="116" t="e">
        <f>'[1]Исх.Таблица из архикада'!#REF!</f>
        <v>#REF!</v>
      </c>
      <c r="AD449" s="116">
        <v>40</v>
      </c>
      <c r="AE449" s="145"/>
      <c r="AF449" s="132"/>
      <c r="AG449" s="118" t="s">
        <v>2882</v>
      </c>
      <c r="AH449" s="118">
        <v>1.3</v>
      </c>
      <c r="AI449">
        <v>6000</v>
      </c>
    </row>
    <row r="450" spans="1:35" ht="17.25" thickTop="1" thickBot="1" x14ac:dyDescent="0.3">
      <c r="A450" s="119" t="e">
        <f>N449</f>
        <v>#REF!</v>
      </c>
      <c r="B450" s="119">
        <v>1</v>
      </c>
      <c r="C450" s="46" t="s">
        <v>2883</v>
      </c>
      <c r="D450" s="119" t="e">
        <f>W450</f>
        <v>#REF!</v>
      </c>
      <c r="E450" s="120" t="e">
        <f>IF(O450&lt;=5700, ROUNDUP(P450*2/W450+1,0), 1)</f>
        <v>#REF!</v>
      </c>
      <c r="F450" s="119" t="e">
        <f>ROUNDUP(((O450*R450*U450)*0.000000001+(O450*P450*Q450)*0.000000001),1)</f>
        <v>#REF!</v>
      </c>
      <c r="G450" s="119" t="e">
        <f>ROUNDUP((0.1*(R450+200)*(O450)*0.000001),1)</f>
        <v>#REF!</v>
      </c>
      <c r="H450" s="120" t="e">
        <f>IF(O450&lt;=5700, O450-50, K450)</f>
        <v>#REF!</v>
      </c>
      <c r="I450" s="121" t="e">
        <f>V450</f>
        <v>#REF!</v>
      </c>
      <c r="J450" s="46" t="s">
        <v>2</v>
      </c>
      <c r="K450" s="122" t="e">
        <f>Арм_ПоПлощади(O450*P450,W450,AF450,$AI$3)</f>
        <v>#VALUE!</v>
      </c>
      <c r="L450" s="123" t="e">
        <f>IF(R450&lt;=2000,(0),(ROUNDUP(O450*R450*0.000001/1+SQRT(O450*R450*0.000001),0)))</f>
        <v>#REF!</v>
      </c>
      <c r="M450" s="124">
        <v>1</v>
      </c>
      <c r="N450" s="125" t="e">
        <f>N449</f>
        <v>#REF!</v>
      </c>
      <c r="O450" s="125" t="e">
        <f t="shared" ref="O450:AD450" si="146">O449</f>
        <v>#REF!</v>
      </c>
      <c r="P450" s="125" t="e">
        <f t="shared" si="146"/>
        <v>#REF!</v>
      </c>
      <c r="Q450" s="125" t="e">
        <f t="shared" si="146"/>
        <v>#REF!</v>
      </c>
      <c r="R450" s="125" t="e">
        <f t="shared" si="146"/>
        <v>#REF!</v>
      </c>
      <c r="S450" s="125" t="e">
        <f t="shared" si="146"/>
        <v>#REF!</v>
      </c>
      <c r="T450" s="125" t="e">
        <f t="shared" si="146"/>
        <v>#REF!</v>
      </c>
      <c r="U450" s="125" t="e">
        <f t="shared" si="146"/>
        <v>#REF!</v>
      </c>
      <c r="V450" s="125" t="e">
        <f t="shared" si="146"/>
        <v>#REF!</v>
      </c>
      <c r="W450" s="125" t="e">
        <f t="shared" si="146"/>
        <v>#REF!</v>
      </c>
      <c r="X450" s="125" t="e">
        <f t="shared" si="146"/>
        <v>#REF!</v>
      </c>
      <c r="Y450" s="125" t="e">
        <f t="shared" si="146"/>
        <v>#REF!</v>
      </c>
      <c r="Z450" s="125" t="e">
        <f t="shared" si="146"/>
        <v>#REF!</v>
      </c>
      <c r="AA450" s="125" t="e">
        <f t="shared" si="146"/>
        <v>#REF!</v>
      </c>
      <c r="AB450" s="125" t="e">
        <f t="shared" si="146"/>
        <v>#REF!</v>
      </c>
      <c r="AC450" s="125" t="e">
        <f t="shared" si="146"/>
        <v>#REF!</v>
      </c>
      <c r="AD450" s="119">
        <f t="shared" si="146"/>
        <v>40</v>
      </c>
      <c r="AE450" s="126" t="e">
        <f>Арм_Анкеровка(I450,J450,$AG$3,$AH$3)</f>
        <v>#VALUE!</v>
      </c>
      <c r="AF450" s="66" t="e">
        <f>Арм_Нахлёст(I450,J450,$AG$3,$AH$3)</f>
        <v>#VALUE!</v>
      </c>
      <c r="AG450" s="66" t="str">
        <f>AG449</f>
        <v>В25</v>
      </c>
      <c r="AH450" s="66">
        <f>AH449</f>
        <v>1.3</v>
      </c>
    </row>
    <row r="451" spans="1:35" ht="17.25" thickTop="1" thickBot="1" x14ac:dyDescent="0.3">
      <c r="A451" s="119" t="e">
        <f>A450</f>
        <v>#REF!</v>
      </c>
      <c r="B451" s="119">
        <v>2</v>
      </c>
      <c r="C451" s="46" t="s">
        <v>2884</v>
      </c>
      <c r="D451" s="119" t="e">
        <f>Y450</f>
        <v>#REF!</v>
      </c>
      <c r="E451" s="127" t="e">
        <f>ROUNDUP(O451/Y451,0)</f>
        <v>#REF!</v>
      </c>
      <c r="F451" s="119"/>
      <c r="G451" s="119"/>
      <c r="H451" s="127" t="e">
        <f>Арм_Элемент_П(AF451, (Q451-2*AD451), I451, J451)</f>
        <v>#VALUE!</v>
      </c>
      <c r="I451" s="121" t="e">
        <f>X451</f>
        <v>#REF!</v>
      </c>
      <c r="J451" s="46" t="s">
        <v>2</v>
      </c>
      <c r="K451" s="128"/>
      <c r="L451" s="119"/>
      <c r="M451" s="124">
        <f t="shared" ref="M451:AD462" si="147">M450</f>
        <v>1</v>
      </c>
      <c r="N451" s="125" t="e">
        <f t="shared" si="147"/>
        <v>#REF!</v>
      </c>
      <c r="O451" s="125" t="e">
        <f t="shared" si="147"/>
        <v>#REF!</v>
      </c>
      <c r="P451" s="125" t="e">
        <f t="shared" si="147"/>
        <v>#REF!</v>
      </c>
      <c r="Q451" s="125" t="e">
        <f t="shared" si="147"/>
        <v>#REF!</v>
      </c>
      <c r="R451" s="125" t="e">
        <f t="shared" si="147"/>
        <v>#REF!</v>
      </c>
      <c r="S451" s="125" t="e">
        <f t="shared" si="147"/>
        <v>#REF!</v>
      </c>
      <c r="T451" s="125" t="e">
        <f t="shared" si="147"/>
        <v>#REF!</v>
      </c>
      <c r="U451" s="125" t="e">
        <f t="shared" si="147"/>
        <v>#REF!</v>
      </c>
      <c r="V451" s="125" t="e">
        <f t="shared" si="147"/>
        <v>#REF!</v>
      </c>
      <c r="W451" s="125" t="e">
        <f t="shared" si="147"/>
        <v>#REF!</v>
      </c>
      <c r="X451" s="125" t="e">
        <f t="shared" si="147"/>
        <v>#REF!</v>
      </c>
      <c r="Y451" s="125" t="e">
        <f t="shared" si="147"/>
        <v>#REF!</v>
      </c>
      <c r="Z451" s="125" t="e">
        <f t="shared" si="147"/>
        <v>#REF!</v>
      </c>
      <c r="AA451" s="125" t="e">
        <f t="shared" si="147"/>
        <v>#REF!</v>
      </c>
      <c r="AB451" s="125" t="e">
        <f t="shared" si="147"/>
        <v>#REF!</v>
      </c>
      <c r="AC451" s="125" t="e">
        <f t="shared" si="147"/>
        <v>#REF!</v>
      </c>
      <c r="AD451" s="119">
        <f t="shared" si="147"/>
        <v>40</v>
      </c>
      <c r="AE451" s="126" t="e">
        <f t="shared" ref="AE451:AE462" si="148">Арм_Анкеровка(I451,J451,$AG$3,$AH$3)</f>
        <v>#VALUE!</v>
      </c>
      <c r="AF451" s="66" t="e">
        <f t="shared" ref="AF451:AF462" si="149">Арм_Нахлёст(I451,J451,$AG$3,$AH$3)</f>
        <v>#VALUE!</v>
      </c>
      <c r="AG451" s="66" t="str">
        <f t="shared" ref="AG451:AH462" si="150">AG450</f>
        <v>В25</v>
      </c>
      <c r="AH451" s="66">
        <f t="shared" si="150"/>
        <v>1.3</v>
      </c>
    </row>
    <row r="452" spans="1:35" ht="17.25" thickTop="1" thickBot="1" x14ac:dyDescent="0.3">
      <c r="A452" s="119" t="e">
        <f t="shared" ref="A452:A461" si="151">A451</f>
        <v>#REF!</v>
      </c>
      <c r="B452" s="119">
        <v>3</v>
      </c>
      <c r="C452" s="46" t="s">
        <v>2885</v>
      </c>
      <c r="D452" s="119" t="e">
        <f>W452</f>
        <v>#REF!</v>
      </c>
      <c r="E452" s="127" t="e">
        <f>ROUNDUP(2*P452/D452,0)</f>
        <v>#REF!</v>
      </c>
      <c r="F452" s="119"/>
      <c r="G452" s="119"/>
      <c r="H452" s="127" t="e">
        <f>Арм_Элемент_П(AF452, (Q452-2*AD452), I452, J452)</f>
        <v>#VALUE!</v>
      </c>
      <c r="I452" s="121" t="e">
        <f>V452</f>
        <v>#REF!</v>
      </c>
      <c r="J452" s="46" t="s">
        <v>2</v>
      </c>
      <c r="K452" s="128"/>
      <c r="L452" s="119"/>
      <c r="M452" s="124">
        <f t="shared" si="147"/>
        <v>1</v>
      </c>
      <c r="N452" s="125" t="e">
        <f t="shared" si="147"/>
        <v>#REF!</v>
      </c>
      <c r="O452" s="125" t="e">
        <f t="shared" si="147"/>
        <v>#REF!</v>
      </c>
      <c r="P452" s="125" t="e">
        <f t="shared" si="147"/>
        <v>#REF!</v>
      </c>
      <c r="Q452" s="125" t="e">
        <f t="shared" si="147"/>
        <v>#REF!</v>
      </c>
      <c r="R452" s="125" t="e">
        <f t="shared" si="147"/>
        <v>#REF!</v>
      </c>
      <c r="S452" s="125" t="e">
        <f t="shared" si="147"/>
        <v>#REF!</v>
      </c>
      <c r="T452" s="125" t="e">
        <f t="shared" si="147"/>
        <v>#REF!</v>
      </c>
      <c r="U452" s="125" t="e">
        <f t="shared" si="147"/>
        <v>#REF!</v>
      </c>
      <c r="V452" s="125" t="e">
        <f t="shared" si="147"/>
        <v>#REF!</v>
      </c>
      <c r="W452" s="125" t="e">
        <f t="shared" si="147"/>
        <v>#REF!</v>
      </c>
      <c r="X452" s="125" t="e">
        <f t="shared" si="147"/>
        <v>#REF!</v>
      </c>
      <c r="Y452" s="125" t="e">
        <f t="shared" si="147"/>
        <v>#REF!</v>
      </c>
      <c r="Z452" s="125" t="e">
        <f t="shared" si="147"/>
        <v>#REF!</v>
      </c>
      <c r="AA452" s="125" t="e">
        <f t="shared" si="147"/>
        <v>#REF!</v>
      </c>
      <c r="AB452" s="125" t="e">
        <f t="shared" si="147"/>
        <v>#REF!</v>
      </c>
      <c r="AC452" s="125" t="e">
        <f t="shared" si="147"/>
        <v>#REF!</v>
      </c>
      <c r="AD452" s="119">
        <f t="shared" si="147"/>
        <v>40</v>
      </c>
      <c r="AE452" s="126" t="e">
        <f t="shared" si="148"/>
        <v>#VALUE!</v>
      </c>
      <c r="AF452" s="66" t="e">
        <f t="shared" si="149"/>
        <v>#VALUE!</v>
      </c>
      <c r="AG452" s="66" t="str">
        <f t="shared" si="150"/>
        <v>В25</v>
      </c>
      <c r="AH452" s="66">
        <f t="shared" si="150"/>
        <v>1.3</v>
      </c>
    </row>
    <row r="453" spans="1:35" ht="17.25" thickTop="1" thickBot="1" x14ac:dyDescent="0.3">
      <c r="A453" s="119" t="e">
        <f t="shared" si="151"/>
        <v>#REF!</v>
      </c>
      <c r="B453" s="119">
        <v>4</v>
      </c>
      <c r="C453" s="46" t="s">
        <v>2886</v>
      </c>
      <c r="D453" s="119" t="e">
        <f>Y453</f>
        <v>#REF!</v>
      </c>
      <c r="E453" s="127" t="e">
        <f>ROUNDUP(O453/Y453,0)*2</f>
        <v>#REF!</v>
      </c>
      <c r="F453" s="119"/>
      <c r="G453" s="119"/>
      <c r="H453" s="127" t="e">
        <f>IF(P453&lt;=3000, (P453-25+AE453), (P453-25))</f>
        <v>#REF!</v>
      </c>
      <c r="I453" s="121" t="e">
        <f>X453</f>
        <v>#REF!</v>
      </c>
      <c r="J453" s="46" t="s">
        <v>2</v>
      </c>
      <c r="K453" s="128"/>
      <c r="L453" s="119"/>
      <c r="M453" s="124">
        <f t="shared" si="147"/>
        <v>1</v>
      </c>
      <c r="N453" s="125" t="e">
        <f t="shared" si="147"/>
        <v>#REF!</v>
      </c>
      <c r="O453" s="125" t="e">
        <f t="shared" si="147"/>
        <v>#REF!</v>
      </c>
      <c r="P453" s="125" t="e">
        <f t="shared" si="147"/>
        <v>#REF!</v>
      </c>
      <c r="Q453" s="125" t="e">
        <f t="shared" si="147"/>
        <v>#REF!</v>
      </c>
      <c r="R453" s="125" t="e">
        <f t="shared" si="147"/>
        <v>#REF!</v>
      </c>
      <c r="S453" s="125" t="e">
        <f t="shared" si="147"/>
        <v>#REF!</v>
      </c>
      <c r="T453" s="125" t="e">
        <f t="shared" si="147"/>
        <v>#REF!</v>
      </c>
      <c r="U453" s="125" t="e">
        <f t="shared" si="147"/>
        <v>#REF!</v>
      </c>
      <c r="V453" s="125" t="e">
        <f t="shared" si="147"/>
        <v>#REF!</v>
      </c>
      <c r="W453" s="125" t="e">
        <f t="shared" si="147"/>
        <v>#REF!</v>
      </c>
      <c r="X453" s="125" t="e">
        <f t="shared" si="147"/>
        <v>#REF!</v>
      </c>
      <c r="Y453" s="125" t="e">
        <f t="shared" si="147"/>
        <v>#REF!</v>
      </c>
      <c r="Z453" s="125" t="e">
        <f t="shared" si="147"/>
        <v>#REF!</v>
      </c>
      <c r="AA453" s="125" t="e">
        <f t="shared" si="147"/>
        <v>#REF!</v>
      </c>
      <c r="AB453" s="125" t="e">
        <f t="shared" si="147"/>
        <v>#REF!</v>
      </c>
      <c r="AC453" s="125" t="e">
        <f t="shared" si="147"/>
        <v>#REF!</v>
      </c>
      <c r="AD453" s="119">
        <f t="shared" si="147"/>
        <v>40</v>
      </c>
      <c r="AE453" s="126" t="e">
        <f t="shared" si="148"/>
        <v>#VALUE!</v>
      </c>
      <c r="AF453" s="66" t="e">
        <f t="shared" si="149"/>
        <v>#VALUE!</v>
      </c>
      <c r="AG453" s="66" t="str">
        <f t="shared" si="150"/>
        <v>В25</v>
      </c>
      <c r="AH453" s="66">
        <f t="shared" si="150"/>
        <v>1.3</v>
      </c>
    </row>
    <row r="454" spans="1:35" ht="17.25" thickTop="1" thickBot="1" x14ac:dyDescent="0.3">
      <c r="A454" s="119" t="e">
        <f t="shared" si="151"/>
        <v>#REF!</v>
      </c>
      <c r="B454" s="119">
        <v>5</v>
      </c>
      <c r="C454" s="46" t="s">
        <v>2887</v>
      </c>
      <c r="D454" s="119">
        <v>400</v>
      </c>
      <c r="E454" s="127" t="e">
        <f>ROUNDUP((13*(O454*P454/1000000)),0)</f>
        <v>#REF!</v>
      </c>
      <c r="F454" s="119"/>
      <c r="G454" s="119"/>
      <c r="H454" s="127" t="e">
        <f>Q454-AD454*2+150</f>
        <v>#REF!</v>
      </c>
      <c r="I454" s="121">
        <v>6</v>
      </c>
      <c r="J454" s="46" t="s">
        <v>2</v>
      </c>
      <c r="K454" s="128"/>
      <c r="L454" s="119"/>
      <c r="M454" s="124">
        <f t="shared" si="147"/>
        <v>1</v>
      </c>
      <c r="N454" s="125" t="e">
        <f t="shared" si="147"/>
        <v>#REF!</v>
      </c>
      <c r="O454" s="125" t="e">
        <f t="shared" si="147"/>
        <v>#REF!</v>
      </c>
      <c r="P454" s="125" t="e">
        <f t="shared" si="147"/>
        <v>#REF!</v>
      </c>
      <c r="Q454" s="125" t="e">
        <f t="shared" si="147"/>
        <v>#REF!</v>
      </c>
      <c r="R454" s="125" t="e">
        <f t="shared" si="147"/>
        <v>#REF!</v>
      </c>
      <c r="S454" s="125" t="e">
        <f t="shared" si="147"/>
        <v>#REF!</v>
      </c>
      <c r="T454" s="125" t="e">
        <f t="shared" si="147"/>
        <v>#REF!</v>
      </c>
      <c r="U454" s="125" t="e">
        <f t="shared" si="147"/>
        <v>#REF!</v>
      </c>
      <c r="V454" s="125" t="e">
        <f t="shared" si="147"/>
        <v>#REF!</v>
      </c>
      <c r="W454" s="125" t="e">
        <f t="shared" si="147"/>
        <v>#REF!</v>
      </c>
      <c r="X454" s="125" t="e">
        <f t="shared" si="147"/>
        <v>#REF!</v>
      </c>
      <c r="Y454" s="125" t="e">
        <f t="shared" si="147"/>
        <v>#REF!</v>
      </c>
      <c r="Z454" s="125" t="e">
        <f t="shared" si="147"/>
        <v>#REF!</v>
      </c>
      <c r="AA454" s="125" t="e">
        <f t="shared" si="147"/>
        <v>#REF!</v>
      </c>
      <c r="AB454" s="125" t="e">
        <f t="shared" si="147"/>
        <v>#REF!</v>
      </c>
      <c r="AC454" s="125" t="e">
        <f t="shared" si="147"/>
        <v>#REF!</v>
      </c>
      <c r="AD454" s="119">
        <f t="shared" si="147"/>
        <v>40</v>
      </c>
      <c r="AE454" s="126">
        <f t="shared" si="148"/>
        <v>250</v>
      </c>
      <c r="AF454" s="66">
        <f t="shared" si="149"/>
        <v>300</v>
      </c>
      <c r="AG454" s="66" t="str">
        <f t="shared" si="150"/>
        <v>В25</v>
      </c>
      <c r="AH454" s="66">
        <f t="shared" si="150"/>
        <v>1.3</v>
      </c>
    </row>
    <row r="455" spans="1:35" ht="17.25" thickTop="1" thickBot="1" x14ac:dyDescent="0.3">
      <c r="A455" s="119" t="e">
        <f t="shared" si="151"/>
        <v>#REF!</v>
      </c>
      <c r="B455" s="119">
        <v>6</v>
      </c>
      <c r="C455" s="46" t="s">
        <v>2888</v>
      </c>
      <c r="D455" s="119" t="e">
        <f>AA455</f>
        <v>#REF!</v>
      </c>
      <c r="E455" s="127" t="e">
        <f>ROUNDUP(O455/100,0)*2</f>
        <v>#REF!</v>
      </c>
      <c r="F455" s="119"/>
      <c r="G455" s="119"/>
      <c r="H455" s="127" t="e">
        <f>R455-50</f>
        <v>#REF!</v>
      </c>
      <c r="I455" s="121" t="e">
        <f>Z455</f>
        <v>#REF!</v>
      </c>
      <c r="J455" s="46" t="s">
        <v>2</v>
      </c>
      <c r="K455" s="128"/>
      <c r="L455" s="119"/>
      <c r="M455" s="124">
        <f t="shared" si="147"/>
        <v>1</v>
      </c>
      <c r="N455" s="125" t="e">
        <f t="shared" si="147"/>
        <v>#REF!</v>
      </c>
      <c r="O455" s="125" t="e">
        <f t="shared" si="147"/>
        <v>#REF!</v>
      </c>
      <c r="P455" s="125" t="e">
        <f t="shared" si="147"/>
        <v>#REF!</v>
      </c>
      <c r="Q455" s="125" t="e">
        <f t="shared" si="147"/>
        <v>#REF!</v>
      </c>
      <c r="R455" s="125" t="e">
        <f t="shared" si="147"/>
        <v>#REF!</v>
      </c>
      <c r="S455" s="125" t="e">
        <f t="shared" si="147"/>
        <v>#REF!</v>
      </c>
      <c r="T455" s="125" t="e">
        <f t="shared" si="147"/>
        <v>#REF!</v>
      </c>
      <c r="U455" s="125" t="e">
        <f t="shared" si="147"/>
        <v>#REF!</v>
      </c>
      <c r="V455" s="125" t="e">
        <f t="shared" si="147"/>
        <v>#REF!</v>
      </c>
      <c r="W455" s="125" t="e">
        <f t="shared" si="147"/>
        <v>#REF!</v>
      </c>
      <c r="X455" s="125" t="e">
        <f t="shared" si="147"/>
        <v>#REF!</v>
      </c>
      <c r="Y455" s="125" t="e">
        <f t="shared" si="147"/>
        <v>#REF!</v>
      </c>
      <c r="Z455" s="125" t="e">
        <f t="shared" si="147"/>
        <v>#REF!</v>
      </c>
      <c r="AA455" s="125" t="e">
        <f t="shared" si="147"/>
        <v>#REF!</v>
      </c>
      <c r="AB455" s="125" t="e">
        <f t="shared" si="147"/>
        <v>#REF!</v>
      </c>
      <c r="AC455" s="125" t="e">
        <f t="shared" si="147"/>
        <v>#REF!</v>
      </c>
      <c r="AD455" s="119">
        <f t="shared" si="147"/>
        <v>40</v>
      </c>
      <c r="AE455" s="126" t="e">
        <f t="shared" si="148"/>
        <v>#VALUE!</v>
      </c>
      <c r="AF455" s="66" t="e">
        <f t="shared" si="149"/>
        <v>#VALUE!</v>
      </c>
      <c r="AG455" s="66" t="str">
        <f t="shared" si="150"/>
        <v>В25</v>
      </c>
      <c r="AH455" s="66">
        <f t="shared" si="150"/>
        <v>1.3</v>
      </c>
    </row>
    <row r="456" spans="1:35" ht="17.25" thickTop="1" thickBot="1" x14ac:dyDescent="0.3">
      <c r="A456" s="119" t="e">
        <f t="shared" si="151"/>
        <v>#REF!</v>
      </c>
      <c r="B456" s="119">
        <v>7</v>
      </c>
      <c r="C456" s="46" t="s">
        <v>2889</v>
      </c>
      <c r="D456" s="119" t="e">
        <f>AC456</f>
        <v>#REF!</v>
      </c>
      <c r="E456" s="120" t="e">
        <f>IF(O456&lt;=5700, ROUNDUP(R456*2/AC456+1,0), 1)</f>
        <v>#REF!</v>
      </c>
      <c r="F456" s="119"/>
      <c r="G456" s="119"/>
      <c r="H456" s="120" t="e">
        <f>IF(O456&lt;=5700, O456-50, K456)</f>
        <v>#REF!</v>
      </c>
      <c r="I456" s="121" t="e">
        <f>AB456</f>
        <v>#REF!</v>
      </c>
      <c r="J456" s="46" t="s">
        <v>2</v>
      </c>
      <c r="K456" s="122" t="e">
        <f>Арм_ПоПлощади(O456*R456,AC456,AF456,$AI$3)</f>
        <v>#VALUE!</v>
      </c>
      <c r="L456" s="119"/>
      <c r="M456" s="124">
        <f t="shared" si="147"/>
        <v>1</v>
      </c>
      <c r="N456" s="125" t="e">
        <f t="shared" si="147"/>
        <v>#REF!</v>
      </c>
      <c r="O456" s="125" t="e">
        <f t="shared" si="147"/>
        <v>#REF!</v>
      </c>
      <c r="P456" s="125" t="e">
        <f t="shared" si="147"/>
        <v>#REF!</v>
      </c>
      <c r="Q456" s="125" t="e">
        <f t="shared" si="147"/>
        <v>#REF!</v>
      </c>
      <c r="R456" s="125" t="e">
        <f t="shared" si="147"/>
        <v>#REF!</v>
      </c>
      <c r="S456" s="125" t="e">
        <f t="shared" si="147"/>
        <v>#REF!</v>
      </c>
      <c r="T456" s="125" t="e">
        <f t="shared" si="147"/>
        <v>#REF!</v>
      </c>
      <c r="U456" s="125" t="e">
        <f t="shared" si="147"/>
        <v>#REF!</v>
      </c>
      <c r="V456" s="125" t="e">
        <f t="shared" si="147"/>
        <v>#REF!</v>
      </c>
      <c r="W456" s="125" t="e">
        <f t="shared" si="147"/>
        <v>#REF!</v>
      </c>
      <c r="X456" s="125" t="e">
        <f t="shared" si="147"/>
        <v>#REF!</v>
      </c>
      <c r="Y456" s="125" t="e">
        <f t="shared" si="147"/>
        <v>#REF!</v>
      </c>
      <c r="Z456" s="125" t="e">
        <f t="shared" si="147"/>
        <v>#REF!</v>
      </c>
      <c r="AA456" s="125" t="e">
        <f t="shared" si="147"/>
        <v>#REF!</v>
      </c>
      <c r="AB456" s="125" t="e">
        <f t="shared" si="147"/>
        <v>#REF!</v>
      </c>
      <c r="AC456" s="125" t="e">
        <f t="shared" si="147"/>
        <v>#REF!</v>
      </c>
      <c r="AD456" s="119">
        <f t="shared" si="147"/>
        <v>40</v>
      </c>
      <c r="AE456" s="126" t="e">
        <f t="shared" si="148"/>
        <v>#VALUE!</v>
      </c>
      <c r="AF456" s="66" t="e">
        <f t="shared" si="149"/>
        <v>#VALUE!</v>
      </c>
      <c r="AG456" s="66" t="str">
        <f t="shared" si="150"/>
        <v>В25</v>
      </c>
      <c r="AH456" s="66">
        <f t="shared" si="150"/>
        <v>1.3</v>
      </c>
    </row>
    <row r="457" spans="1:35" ht="17.25" thickTop="1" thickBot="1" x14ac:dyDescent="0.3">
      <c r="A457" s="119" t="e">
        <f t="shared" si="151"/>
        <v>#REF!</v>
      </c>
      <c r="B457" s="119">
        <v>8</v>
      </c>
      <c r="C457" s="46" t="s">
        <v>2890</v>
      </c>
      <c r="D457" s="119" t="e">
        <f>AA457</f>
        <v>#REF!</v>
      </c>
      <c r="E457" s="127" t="e">
        <f>IF(E462=0, (ROUNDUP(O457/100,0)*2), 0)</f>
        <v>#REF!</v>
      </c>
      <c r="F457" s="119"/>
      <c r="G457" s="119"/>
      <c r="H457" s="127" t="e">
        <f>Арм_Элемент_П(AF457, (U457-2*AD457), I457, J457)</f>
        <v>#VALUE!</v>
      </c>
      <c r="I457" s="121" t="e">
        <f>Z457</f>
        <v>#REF!</v>
      </c>
      <c r="J457" s="46" t="s">
        <v>2</v>
      </c>
      <c r="K457" s="128"/>
      <c r="L457" s="119"/>
      <c r="M457" s="124">
        <f t="shared" si="147"/>
        <v>1</v>
      </c>
      <c r="N457" s="125" t="e">
        <f t="shared" si="147"/>
        <v>#REF!</v>
      </c>
      <c r="O457" s="125" t="e">
        <f t="shared" si="147"/>
        <v>#REF!</v>
      </c>
      <c r="P457" s="125" t="e">
        <f t="shared" si="147"/>
        <v>#REF!</v>
      </c>
      <c r="Q457" s="125" t="e">
        <f t="shared" si="147"/>
        <v>#REF!</v>
      </c>
      <c r="R457" s="125" t="e">
        <f t="shared" si="147"/>
        <v>#REF!</v>
      </c>
      <c r="S457" s="125" t="e">
        <f t="shared" si="147"/>
        <v>#REF!</v>
      </c>
      <c r="T457" s="125" t="e">
        <f t="shared" si="147"/>
        <v>#REF!</v>
      </c>
      <c r="U457" s="125" t="e">
        <f t="shared" si="147"/>
        <v>#REF!</v>
      </c>
      <c r="V457" s="125" t="e">
        <f t="shared" si="147"/>
        <v>#REF!</v>
      </c>
      <c r="W457" s="125" t="e">
        <f t="shared" si="147"/>
        <v>#REF!</v>
      </c>
      <c r="X457" s="125" t="e">
        <f t="shared" si="147"/>
        <v>#REF!</v>
      </c>
      <c r="Y457" s="125" t="e">
        <f t="shared" si="147"/>
        <v>#REF!</v>
      </c>
      <c r="Z457" s="125" t="e">
        <f t="shared" si="147"/>
        <v>#REF!</v>
      </c>
      <c r="AA457" s="125" t="e">
        <f t="shared" si="147"/>
        <v>#REF!</v>
      </c>
      <c r="AB457" s="125" t="e">
        <f t="shared" si="147"/>
        <v>#REF!</v>
      </c>
      <c r="AC457" s="125" t="e">
        <f t="shared" si="147"/>
        <v>#REF!</v>
      </c>
      <c r="AD457" s="119">
        <f t="shared" si="147"/>
        <v>40</v>
      </c>
      <c r="AE457" s="126" t="e">
        <f t="shared" si="148"/>
        <v>#VALUE!</v>
      </c>
      <c r="AF457" s="66" t="e">
        <f t="shared" si="149"/>
        <v>#VALUE!</v>
      </c>
      <c r="AG457" s="66" t="str">
        <f t="shared" si="150"/>
        <v>В25</v>
      </c>
      <c r="AH457" s="66">
        <f t="shared" si="150"/>
        <v>1.3</v>
      </c>
    </row>
    <row r="458" spans="1:35" ht="17.25" thickTop="1" thickBot="1" x14ac:dyDescent="0.3">
      <c r="A458" s="119" t="e">
        <f t="shared" si="151"/>
        <v>#REF!</v>
      </c>
      <c r="B458" s="119">
        <v>9</v>
      </c>
      <c r="C458" s="46" t="s">
        <v>2891</v>
      </c>
      <c r="D458" s="119" t="e">
        <f>AC458</f>
        <v>#REF!</v>
      </c>
      <c r="E458" s="127" t="e">
        <f>ROUNDUP(2*R458/AC458,0)</f>
        <v>#REF!</v>
      </c>
      <c r="F458" s="119"/>
      <c r="G458" s="119"/>
      <c r="H458" s="127" t="e">
        <f>Арм_Элемент_П(AF458, (U458-2*AD458), I458, J458)</f>
        <v>#VALUE!</v>
      </c>
      <c r="I458" s="121" t="e">
        <f>AB458</f>
        <v>#REF!</v>
      </c>
      <c r="J458" s="46" t="s">
        <v>2</v>
      </c>
      <c r="K458" s="128"/>
      <c r="L458" s="119"/>
      <c r="M458" s="124">
        <f t="shared" si="147"/>
        <v>1</v>
      </c>
      <c r="N458" s="125" t="e">
        <f t="shared" si="147"/>
        <v>#REF!</v>
      </c>
      <c r="O458" s="125" t="e">
        <f t="shared" si="147"/>
        <v>#REF!</v>
      </c>
      <c r="P458" s="125" t="e">
        <f t="shared" si="147"/>
        <v>#REF!</v>
      </c>
      <c r="Q458" s="125" t="e">
        <f t="shared" si="147"/>
        <v>#REF!</v>
      </c>
      <c r="R458" s="125" t="e">
        <f t="shared" si="147"/>
        <v>#REF!</v>
      </c>
      <c r="S458" s="125" t="e">
        <f t="shared" si="147"/>
        <v>#REF!</v>
      </c>
      <c r="T458" s="125" t="e">
        <f t="shared" si="147"/>
        <v>#REF!</v>
      </c>
      <c r="U458" s="125" t="e">
        <f t="shared" si="147"/>
        <v>#REF!</v>
      </c>
      <c r="V458" s="125" t="e">
        <f t="shared" si="147"/>
        <v>#REF!</v>
      </c>
      <c r="W458" s="125" t="e">
        <f t="shared" si="147"/>
        <v>#REF!</v>
      </c>
      <c r="X458" s="125" t="e">
        <f t="shared" si="147"/>
        <v>#REF!</v>
      </c>
      <c r="Y458" s="125" t="e">
        <f t="shared" si="147"/>
        <v>#REF!</v>
      </c>
      <c r="Z458" s="125" t="e">
        <f t="shared" si="147"/>
        <v>#REF!</v>
      </c>
      <c r="AA458" s="125" t="e">
        <f t="shared" si="147"/>
        <v>#REF!</v>
      </c>
      <c r="AB458" s="125" t="e">
        <f t="shared" si="147"/>
        <v>#REF!</v>
      </c>
      <c r="AC458" s="125" t="e">
        <f t="shared" si="147"/>
        <v>#REF!</v>
      </c>
      <c r="AD458" s="119">
        <f t="shared" si="147"/>
        <v>40</v>
      </c>
      <c r="AE458" s="126" t="e">
        <f t="shared" si="148"/>
        <v>#VALUE!</v>
      </c>
      <c r="AF458" s="66" t="e">
        <f t="shared" si="149"/>
        <v>#VALUE!</v>
      </c>
      <c r="AG458" s="66" t="str">
        <f t="shared" si="150"/>
        <v>В25</v>
      </c>
      <c r="AH458" s="66">
        <f t="shared" si="150"/>
        <v>1.3</v>
      </c>
    </row>
    <row r="459" spans="1:35" ht="33" thickTop="1" thickBot="1" x14ac:dyDescent="0.3">
      <c r="A459" s="119" t="e">
        <f t="shared" si="151"/>
        <v>#REF!</v>
      </c>
      <c r="B459" s="119">
        <v>10</v>
      </c>
      <c r="C459" s="46" t="s">
        <v>2892</v>
      </c>
      <c r="D459" s="119" t="e">
        <f>Y459</f>
        <v>#REF!</v>
      </c>
      <c r="E459" s="127" t="e">
        <f>ROUNDUP((IF(P459&lt;=3000,0,O459/Y459)),0)</f>
        <v>#REF!</v>
      </c>
      <c r="F459" s="119"/>
      <c r="G459" s="119"/>
      <c r="H459" s="127" t="e">
        <f>IF(E459=0,0, (Арм_Округление(AE459+2*AF459)))</f>
        <v>#REF!</v>
      </c>
      <c r="I459" s="121" t="e">
        <f>X459</f>
        <v>#REF!</v>
      </c>
      <c r="J459" s="46" t="s">
        <v>2</v>
      </c>
      <c r="K459" s="128"/>
      <c r="L459" s="119"/>
      <c r="M459" s="124">
        <f t="shared" si="147"/>
        <v>1</v>
      </c>
      <c r="N459" s="125" t="e">
        <f t="shared" si="147"/>
        <v>#REF!</v>
      </c>
      <c r="O459" s="125" t="e">
        <f t="shared" si="147"/>
        <v>#REF!</v>
      </c>
      <c r="P459" s="125" t="e">
        <f t="shared" si="147"/>
        <v>#REF!</v>
      </c>
      <c r="Q459" s="125" t="e">
        <f t="shared" si="147"/>
        <v>#REF!</v>
      </c>
      <c r="R459" s="125" t="e">
        <f t="shared" si="147"/>
        <v>#REF!</v>
      </c>
      <c r="S459" s="125" t="e">
        <f t="shared" si="147"/>
        <v>#REF!</v>
      </c>
      <c r="T459" s="125" t="e">
        <f t="shared" si="147"/>
        <v>#REF!</v>
      </c>
      <c r="U459" s="125" t="e">
        <f t="shared" si="147"/>
        <v>#REF!</v>
      </c>
      <c r="V459" s="125" t="e">
        <f t="shared" si="147"/>
        <v>#REF!</v>
      </c>
      <c r="W459" s="125" t="e">
        <f t="shared" si="147"/>
        <v>#REF!</v>
      </c>
      <c r="X459" s="125" t="e">
        <f t="shared" si="147"/>
        <v>#REF!</v>
      </c>
      <c r="Y459" s="125" t="e">
        <f t="shared" si="147"/>
        <v>#REF!</v>
      </c>
      <c r="Z459" s="125" t="e">
        <f t="shared" si="147"/>
        <v>#REF!</v>
      </c>
      <c r="AA459" s="125" t="e">
        <f t="shared" si="147"/>
        <v>#REF!</v>
      </c>
      <c r="AB459" s="125" t="e">
        <f t="shared" si="147"/>
        <v>#REF!</v>
      </c>
      <c r="AC459" s="125" t="e">
        <f t="shared" si="147"/>
        <v>#REF!</v>
      </c>
      <c r="AD459" s="119">
        <f t="shared" si="147"/>
        <v>40</v>
      </c>
      <c r="AE459" s="126" t="e">
        <f t="shared" si="148"/>
        <v>#VALUE!</v>
      </c>
      <c r="AF459" s="66" t="e">
        <f t="shared" si="149"/>
        <v>#VALUE!</v>
      </c>
      <c r="AG459" s="66" t="str">
        <f t="shared" si="150"/>
        <v>В25</v>
      </c>
      <c r="AH459" s="66">
        <f t="shared" si="150"/>
        <v>1.3</v>
      </c>
    </row>
    <row r="460" spans="1:35" ht="33" thickTop="1" thickBot="1" x14ac:dyDescent="0.3">
      <c r="A460" s="119" t="e">
        <f t="shared" si="151"/>
        <v>#REF!</v>
      </c>
      <c r="B460" s="119">
        <v>11</v>
      </c>
      <c r="C460" s="46" t="s">
        <v>2893</v>
      </c>
      <c r="D460" s="119" t="e">
        <f>Y460</f>
        <v>#REF!</v>
      </c>
      <c r="E460" s="127" t="e">
        <f>ROUNDUP((IF(P460&lt;=3000,0,O460/Y460)),0)</f>
        <v>#REF!</v>
      </c>
      <c r="F460" s="119"/>
      <c r="G460" s="119"/>
      <c r="H460" s="127" t="e">
        <f>IF(E460=0,0, (Арм_Округление(AE460+AF460)))</f>
        <v>#REF!</v>
      </c>
      <c r="I460" s="121" t="e">
        <f>X460</f>
        <v>#REF!</v>
      </c>
      <c r="J460" s="46" t="s">
        <v>2</v>
      </c>
      <c r="K460" s="128"/>
      <c r="L460" s="119"/>
      <c r="M460" s="124">
        <f t="shared" si="147"/>
        <v>1</v>
      </c>
      <c r="N460" s="125" t="e">
        <f t="shared" si="147"/>
        <v>#REF!</v>
      </c>
      <c r="O460" s="125" t="e">
        <f t="shared" si="147"/>
        <v>#REF!</v>
      </c>
      <c r="P460" s="125" t="e">
        <f t="shared" si="147"/>
        <v>#REF!</v>
      </c>
      <c r="Q460" s="125" t="e">
        <f t="shared" si="147"/>
        <v>#REF!</v>
      </c>
      <c r="R460" s="125" t="e">
        <f t="shared" si="147"/>
        <v>#REF!</v>
      </c>
      <c r="S460" s="125" t="e">
        <f t="shared" si="147"/>
        <v>#REF!</v>
      </c>
      <c r="T460" s="125" t="e">
        <f t="shared" si="147"/>
        <v>#REF!</v>
      </c>
      <c r="U460" s="125" t="e">
        <f t="shared" si="147"/>
        <v>#REF!</v>
      </c>
      <c r="V460" s="125" t="e">
        <f t="shared" si="147"/>
        <v>#REF!</v>
      </c>
      <c r="W460" s="125" t="e">
        <f t="shared" si="147"/>
        <v>#REF!</v>
      </c>
      <c r="X460" s="125" t="e">
        <f t="shared" si="147"/>
        <v>#REF!</v>
      </c>
      <c r="Y460" s="125" t="e">
        <f t="shared" si="147"/>
        <v>#REF!</v>
      </c>
      <c r="Z460" s="125" t="e">
        <f t="shared" si="147"/>
        <v>#REF!</v>
      </c>
      <c r="AA460" s="125" t="e">
        <f t="shared" si="147"/>
        <v>#REF!</v>
      </c>
      <c r="AB460" s="125" t="e">
        <f t="shared" si="147"/>
        <v>#REF!</v>
      </c>
      <c r="AC460" s="125" t="e">
        <f t="shared" si="147"/>
        <v>#REF!</v>
      </c>
      <c r="AD460" s="119">
        <f t="shared" si="147"/>
        <v>40</v>
      </c>
      <c r="AE460" s="126" t="e">
        <f t="shared" si="148"/>
        <v>#VALUE!</v>
      </c>
      <c r="AF460" s="66" t="e">
        <f t="shared" si="149"/>
        <v>#VALUE!</v>
      </c>
      <c r="AG460" s="66" t="str">
        <f t="shared" si="150"/>
        <v>В25</v>
      </c>
      <c r="AH460" s="66">
        <f t="shared" si="150"/>
        <v>1.3</v>
      </c>
    </row>
    <row r="461" spans="1:35" ht="17.25" thickTop="1" thickBot="1" x14ac:dyDescent="0.3">
      <c r="A461" s="119" t="e">
        <f t="shared" si="151"/>
        <v>#REF!</v>
      </c>
      <c r="B461" s="119">
        <v>12</v>
      </c>
      <c r="C461" s="46" t="s">
        <v>2894</v>
      </c>
      <c r="D461" s="119" t="e">
        <f>W460</f>
        <v>#REF!</v>
      </c>
      <c r="E461" s="127" t="e">
        <f>IF(M461=0, 0, M461*2*ROUNDUP((P461/W461),0))</f>
        <v>#REF!</v>
      </c>
      <c r="F461" s="119"/>
      <c r="G461" s="119"/>
      <c r="H461" s="127" t="e">
        <f>IF(M461=0, 0, AF461*2)</f>
        <v>#VALUE!</v>
      </c>
      <c r="I461" s="121" t="e">
        <f>V461</f>
        <v>#REF!</v>
      </c>
      <c r="J461" s="46" t="s">
        <v>2</v>
      </c>
      <c r="K461" s="128"/>
      <c r="L461" s="119"/>
      <c r="M461" s="124">
        <f t="shared" si="147"/>
        <v>1</v>
      </c>
      <c r="N461" s="125" t="e">
        <f t="shared" si="147"/>
        <v>#REF!</v>
      </c>
      <c r="O461" s="125" t="e">
        <f t="shared" si="147"/>
        <v>#REF!</v>
      </c>
      <c r="P461" s="125" t="e">
        <f t="shared" si="147"/>
        <v>#REF!</v>
      </c>
      <c r="Q461" s="125" t="e">
        <f t="shared" si="147"/>
        <v>#REF!</v>
      </c>
      <c r="R461" s="125" t="e">
        <f t="shared" si="147"/>
        <v>#REF!</v>
      </c>
      <c r="S461" s="125" t="e">
        <f t="shared" si="147"/>
        <v>#REF!</v>
      </c>
      <c r="T461" s="125" t="e">
        <f t="shared" si="147"/>
        <v>#REF!</v>
      </c>
      <c r="U461" s="125" t="e">
        <f t="shared" si="147"/>
        <v>#REF!</v>
      </c>
      <c r="V461" s="125" t="e">
        <f t="shared" si="147"/>
        <v>#REF!</v>
      </c>
      <c r="W461" s="125" t="e">
        <f t="shared" si="147"/>
        <v>#REF!</v>
      </c>
      <c r="X461" s="125" t="e">
        <f t="shared" si="147"/>
        <v>#REF!</v>
      </c>
      <c r="Y461" s="125" t="e">
        <f t="shared" si="147"/>
        <v>#REF!</v>
      </c>
      <c r="Z461" s="125" t="e">
        <f t="shared" si="147"/>
        <v>#REF!</v>
      </c>
      <c r="AA461" s="125" t="e">
        <f t="shared" si="147"/>
        <v>#REF!</v>
      </c>
      <c r="AB461" s="125" t="e">
        <f t="shared" si="147"/>
        <v>#REF!</v>
      </c>
      <c r="AC461" s="125" t="e">
        <f t="shared" si="147"/>
        <v>#REF!</v>
      </c>
      <c r="AD461" s="119">
        <f t="shared" si="147"/>
        <v>40</v>
      </c>
      <c r="AE461" s="126" t="e">
        <f t="shared" si="148"/>
        <v>#VALUE!</v>
      </c>
      <c r="AF461" s="66" t="e">
        <f t="shared" si="149"/>
        <v>#VALUE!</v>
      </c>
      <c r="AG461" s="66" t="str">
        <f t="shared" si="150"/>
        <v>В25</v>
      </c>
      <c r="AH461" s="66">
        <f t="shared" si="150"/>
        <v>1.3</v>
      </c>
    </row>
    <row r="462" spans="1:35" ht="17.25" thickTop="1" thickBot="1" x14ac:dyDescent="0.3">
      <c r="B462" s="119">
        <v>13</v>
      </c>
      <c r="C462" s="46" t="s">
        <v>2895</v>
      </c>
      <c r="D462" s="119" t="e">
        <f>W461</f>
        <v>#REF!</v>
      </c>
      <c r="E462" s="127" t="e">
        <f>IF(R462&lt;=2000,(ROUNDUP(O462/D462,0)),(0))</f>
        <v>#REF!</v>
      </c>
      <c r="F462" s="119"/>
      <c r="G462" s="119"/>
      <c r="H462" s="127" t="e">
        <f>IF(R462&lt;=2000,(ROUNDUP(R462-2*40+2*(U462-40-AB462), -1)),(0))</f>
        <v>#REF!</v>
      </c>
      <c r="I462" s="121" t="e">
        <f>V462</f>
        <v>#REF!</v>
      </c>
      <c r="J462" s="46" t="s">
        <v>2</v>
      </c>
      <c r="K462" s="128"/>
      <c r="L462" s="119"/>
      <c r="M462" s="124">
        <f t="shared" si="147"/>
        <v>1</v>
      </c>
      <c r="N462" s="125" t="e">
        <f t="shared" si="147"/>
        <v>#REF!</v>
      </c>
      <c r="O462" s="125" t="e">
        <f t="shared" si="147"/>
        <v>#REF!</v>
      </c>
      <c r="P462" s="125" t="e">
        <f t="shared" si="147"/>
        <v>#REF!</v>
      </c>
      <c r="Q462" s="125" t="e">
        <f t="shared" si="147"/>
        <v>#REF!</v>
      </c>
      <c r="R462" s="125" t="e">
        <f t="shared" si="147"/>
        <v>#REF!</v>
      </c>
      <c r="S462" s="125" t="e">
        <f t="shared" si="147"/>
        <v>#REF!</v>
      </c>
      <c r="T462" s="125" t="e">
        <f t="shared" si="147"/>
        <v>#REF!</v>
      </c>
      <c r="U462" s="125" t="e">
        <f t="shared" si="147"/>
        <v>#REF!</v>
      </c>
      <c r="V462" s="125" t="e">
        <f t="shared" si="147"/>
        <v>#REF!</v>
      </c>
      <c r="W462" s="125" t="e">
        <f t="shared" si="147"/>
        <v>#REF!</v>
      </c>
      <c r="X462" s="125" t="e">
        <f t="shared" si="147"/>
        <v>#REF!</v>
      </c>
      <c r="Y462" s="125" t="e">
        <f t="shared" si="147"/>
        <v>#REF!</v>
      </c>
      <c r="Z462" s="125" t="e">
        <f t="shared" si="147"/>
        <v>#REF!</v>
      </c>
      <c r="AA462" s="125" t="e">
        <f t="shared" si="147"/>
        <v>#REF!</v>
      </c>
      <c r="AB462" s="125" t="e">
        <f t="shared" si="147"/>
        <v>#REF!</v>
      </c>
      <c r="AC462" s="125" t="e">
        <f t="shared" si="147"/>
        <v>#REF!</v>
      </c>
      <c r="AD462" s="119">
        <f t="shared" si="147"/>
        <v>40</v>
      </c>
      <c r="AE462" s="126" t="e">
        <f t="shared" si="148"/>
        <v>#VALUE!</v>
      </c>
      <c r="AF462" s="66" t="e">
        <f t="shared" si="149"/>
        <v>#VALUE!</v>
      </c>
      <c r="AG462" s="66" t="str">
        <f t="shared" si="150"/>
        <v>В25</v>
      </c>
      <c r="AH462" s="66">
        <f t="shared" si="150"/>
        <v>1.3</v>
      </c>
    </row>
    <row r="463" spans="1:35" ht="15.75" thickTop="1" x14ac:dyDescent="0.25"/>
    <row r="466" spans="1:35" ht="15.75" thickBot="1" x14ac:dyDescent="0.3"/>
    <row r="467" spans="1:35" ht="91.5" thickTop="1" thickBot="1" x14ac:dyDescent="0.3">
      <c r="A467" s="133" t="s">
        <v>159</v>
      </c>
      <c r="B467" s="135" t="s">
        <v>160</v>
      </c>
      <c r="C467" s="135" t="s">
        <v>2750</v>
      </c>
      <c r="D467" s="135" t="s">
        <v>2856</v>
      </c>
      <c r="E467" s="138" t="s">
        <v>163</v>
      </c>
      <c r="F467" s="135" t="s">
        <v>2857</v>
      </c>
      <c r="G467" s="135" t="s">
        <v>2858</v>
      </c>
      <c r="H467" s="140" t="s">
        <v>166</v>
      </c>
      <c r="I467" s="141"/>
      <c r="J467" s="142"/>
      <c r="K467" s="143" t="s">
        <v>2859</v>
      </c>
      <c r="L467" s="143" t="s">
        <v>2860</v>
      </c>
      <c r="M467" s="146" t="s">
        <v>2861</v>
      </c>
      <c r="N467" s="107" t="s">
        <v>2714</v>
      </c>
      <c r="O467" s="108" t="s">
        <v>2862</v>
      </c>
      <c r="P467" s="109" t="s">
        <v>2863</v>
      </c>
      <c r="Q467" s="109" t="s">
        <v>2864</v>
      </c>
      <c r="R467" s="109" t="s">
        <v>2865</v>
      </c>
      <c r="S467" s="109" t="s">
        <v>2866</v>
      </c>
      <c r="T467" s="109" t="s">
        <v>2867</v>
      </c>
      <c r="U467" s="109" t="s">
        <v>2868</v>
      </c>
      <c r="V467" s="109" t="s">
        <v>2869</v>
      </c>
      <c r="W467" s="109" t="s">
        <v>2870</v>
      </c>
      <c r="X467" s="109" t="s">
        <v>2871</v>
      </c>
      <c r="Y467" s="109" t="s">
        <v>2872</v>
      </c>
      <c r="Z467" s="109" t="s">
        <v>2873</v>
      </c>
      <c r="AA467" s="109" t="s">
        <v>2874</v>
      </c>
      <c r="AB467" s="109" t="s">
        <v>2875</v>
      </c>
      <c r="AC467" s="110" t="s">
        <v>2876</v>
      </c>
      <c r="AD467" s="111" t="s">
        <v>2877</v>
      </c>
      <c r="AE467" s="143" t="s">
        <v>180</v>
      </c>
      <c r="AF467" s="131" t="s">
        <v>2878</v>
      </c>
      <c r="AG467" s="111" t="s">
        <v>2879</v>
      </c>
      <c r="AH467" s="111" t="s">
        <v>2880</v>
      </c>
      <c r="AI467" s="112" t="s">
        <v>2881</v>
      </c>
    </row>
    <row r="468" spans="1:35" ht="17.25" thickTop="1" thickBot="1" x14ac:dyDescent="0.3">
      <c r="A468" s="134"/>
      <c r="B468" s="136"/>
      <c r="C468" s="136"/>
      <c r="D468" s="137"/>
      <c r="E468" s="139"/>
      <c r="F468" s="137"/>
      <c r="G468" s="137"/>
      <c r="H468" s="113" t="s">
        <v>170</v>
      </c>
      <c r="I468" s="114" t="s">
        <v>171</v>
      </c>
      <c r="J468" s="115" t="s">
        <v>172</v>
      </c>
      <c r="K468" s="144"/>
      <c r="L468" s="145"/>
      <c r="M468" s="147"/>
      <c r="N468" s="116" t="e">
        <f>'[1]Исх.Таблица из архикада'!#REF!</f>
        <v>#REF!</v>
      </c>
      <c r="O468" s="116" t="e">
        <f>'[1]Исх.Таблица из архикада'!#REF!</f>
        <v>#REF!</v>
      </c>
      <c r="P468" s="116" t="e">
        <f>'[1]Исх.Таблица из архикада'!#REF!</f>
        <v>#REF!</v>
      </c>
      <c r="Q468" s="116" t="e">
        <f>'[1]Исх.Таблица из архикада'!#REF!</f>
        <v>#REF!</v>
      </c>
      <c r="R468" s="116" t="e">
        <f>'[1]Исх.Таблица из архикада'!#REF!</f>
        <v>#REF!</v>
      </c>
      <c r="S468" s="116" t="e">
        <f>'[1]Исх.Таблица из архикада'!#REF!</f>
        <v>#REF!</v>
      </c>
      <c r="T468" s="116" t="e">
        <f>'[1]Исх.Таблица из архикада'!#REF!</f>
        <v>#REF!</v>
      </c>
      <c r="U468" s="116" t="e">
        <f>'[1]Исх.Таблица из архикада'!#REF!</f>
        <v>#REF!</v>
      </c>
      <c r="V468" s="116" t="e">
        <f>'[1]Исх.Таблица из архикада'!#REF!</f>
        <v>#REF!</v>
      </c>
      <c r="W468" s="116" t="e">
        <f>'[1]Исх.Таблица из архикада'!#REF!</f>
        <v>#REF!</v>
      </c>
      <c r="X468" s="116" t="e">
        <f>'[1]Исх.Таблица из архикада'!#REF!</f>
        <v>#REF!</v>
      </c>
      <c r="Y468" s="116" t="e">
        <f>'[1]Исх.Таблица из архикада'!#REF!</f>
        <v>#REF!</v>
      </c>
      <c r="Z468" s="116" t="e">
        <f>'[1]Исх.Таблица из архикада'!#REF!</f>
        <v>#REF!</v>
      </c>
      <c r="AA468" s="116" t="e">
        <f>'[1]Исх.Таблица из архикада'!#REF!</f>
        <v>#REF!</v>
      </c>
      <c r="AB468" s="116" t="e">
        <f>'[1]Исх.Таблица из архикада'!#REF!</f>
        <v>#REF!</v>
      </c>
      <c r="AC468" s="116" t="e">
        <f>'[1]Исх.Таблица из архикада'!#REF!</f>
        <v>#REF!</v>
      </c>
      <c r="AD468" s="116">
        <v>40</v>
      </c>
      <c r="AE468" s="145"/>
      <c r="AF468" s="132"/>
      <c r="AG468" s="118" t="s">
        <v>2882</v>
      </c>
      <c r="AH468" s="118">
        <v>1.3</v>
      </c>
      <c r="AI468">
        <v>6000</v>
      </c>
    </row>
    <row r="469" spans="1:35" ht="17.25" thickTop="1" thickBot="1" x14ac:dyDescent="0.3">
      <c r="A469" s="119" t="e">
        <f>N468</f>
        <v>#REF!</v>
      </c>
      <c r="B469" s="119">
        <v>1</v>
      </c>
      <c r="C469" s="46" t="s">
        <v>2883</v>
      </c>
      <c r="D469" s="119" t="e">
        <f>W469</f>
        <v>#REF!</v>
      </c>
      <c r="E469" s="120" t="e">
        <f>IF(O469&lt;=5700, ROUNDUP(P469*2/W469+1,0), 1)</f>
        <v>#REF!</v>
      </c>
      <c r="F469" s="119" t="e">
        <f>ROUNDUP(((O469*R469*U469)*0.000000001+(O469*P469*Q469)*0.000000001),1)</f>
        <v>#REF!</v>
      </c>
      <c r="G469" s="119" t="e">
        <f>ROUNDUP((0.1*(R469+200)*(O469)*0.000001),1)</f>
        <v>#REF!</v>
      </c>
      <c r="H469" s="120" t="e">
        <f>IF(O469&lt;=5700, O469-50, K469)</f>
        <v>#REF!</v>
      </c>
      <c r="I469" s="121" t="e">
        <f>V469</f>
        <v>#REF!</v>
      </c>
      <c r="J469" s="46" t="s">
        <v>2</v>
      </c>
      <c r="K469" s="122" t="e">
        <f>Арм_ПоПлощади(O469*P469,W469,AF469,$AI$3)</f>
        <v>#VALUE!</v>
      </c>
      <c r="L469" s="123" t="e">
        <f>IF(R469&lt;=2000,(0),(ROUNDUP(O469*R469*0.000001/1+SQRT(O469*R469*0.000001),0)))</f>
        <v>#REF!</v>
      </c>
      <c r="M469" s="124">
        <v>0</v>
      </c>
      <c r="N469" s="125" t="e">
        <f>N468</f>
        <v>#REF!</v>
      </c>
      <c r="O469" s="125" t="e">
        <f t="shared" ref="O469:AD469" si="152">O468</f>
        <v>#REF!</v>
      </c>
      <c r="P469" s="125" t="e">
        <f t="shared" si="152"/>
        <v>#REF!</v>
      </c>
      <c r="Q469" s="125" t="e">
        <f t="shared" si="152"/>
        <v>#REF!</v>
      </c>
      <c r="R469" s="125" t="e">
        <f t="shared" si="152"/>
        <v>#REF!</v>
      </c>
      <c r="S469" s="125" t="e">
        <f t="shared" si="152"/>
        <v>#REF!</v>
      </c>
      <c r="T469" s="125" t="e">
        <f t="shared" si="152"/>
        <v>#REF!</v>
      </c>
      <c r="U469" s="125" t="e">
        <f t="shared" si="152"/>
        <v>#REF!</v>
      </c>
      <c r="V469" s="125" t="e">
        <f t="shared" si="152"/>
        <v>#REF!</v>
      </c>
      <c r="W469" s="125" t="e">
        <f t="shared" si="152"/>
        <v>#REF!</v>
      </c>
      <c r="X469" s="125" t="e">
        <f t="shared" si="152"/>
        <v>#REF!</v>
      </c>
      <c r="Y469" s="125" t="e">
        <f t="shared" si="152"/>
        <v>#REF!</v>
      </c>
      <c r="Z469" s="125" t="e">
        <f t="shared" si="152"/>
        <v>#REF!</v>
      </c>
      <c r="AA469" s="125" t="e">
        <f t="shared" si="152"/>
        <v>#REF!</v>
      </c>
      <c r="AB469" s="125" t="e">
        <f t="shared" si="152"/>
        <v>#REF!</v>
      </c>
      <c r="AC469" s="125" t="e">
        <f t="shared" si="152"/>
        <v>#REF!</v>
      </c>
      <c r="AD469" s="119">
        <f t="shared" si="152"/>
        <v>40</v>
      </c>
      <c r="AE469" s="126" t="e">
        <f>Арм_Анкеровка(I469,J469,$AG$3,$AH$3)</f>
        <v>#VALUE!</v>
      </c>
      <c r="AF469" s="66" t="e">
        <f>Арм_Нахлёст(I469,J469,$AG$3,$AH$3)</f>
        <v>#VALUE!</v>
      </c>
      <c r="AG469" s="66" t="str">
        <f>AG468</f>
        <v>В25</v>
      </c>
      <c r="AH469" s="66">
        <f>AH468</f>
        <v>1.3</v>
      </c>
    </row>
    <row r="470" spans="1:35" ht="17.25" thickTop="1" thickBot="1" x14ac:dyDescent="0.3">
      <c r="A470" s="119" t="e">
        <f>A469</f>
        <v>#REF!</v>
      </c>
      <c r="B470" s="119">
        <v>2</v>
      </c>
      <c r="C470" s="46" t="s">
        <v>2884</v>
      </c>
      <c r="D470" s="119" t="e">
        <f>Y469</f>
        <v>#REF!</v>
      </c>
      <c r="E470" s="127" t="e">
        <f>ROUNDUP(O470/Y470,0)</f>
        <v>#REF!</v>
      </c>
      <c r="F470" s="119"/>
      <c r="G470" s="119"/>
      <c r="H470" s="127" t="e">
        <f>Арм_Элемент_П(AF470, (Q470-2*AD470), I470, J470)</f>
        <v>#VALUE!</v>
      </c>
      <c r="I470" s="121" t="e">
        <f>X470</f>
        <v>#REF!</v>
      </c>
      <c r="J470" s="46" t="s">
        <v>2</v>
      </c>
      <c r="K470" s="128"/>
      <c r="L470" s="119"/>
      <c r="M470" s="124">
        <f t="shared" ref="M470:AD481" si="153">M469</f>
        <v>0</v>
      </c>
      <c r="N470" s="125" t="e">
        <f t="shared" si="153"/>
        <v>#REF!</v>
      </c>
      <c r="O470" s="125" t="e">
        <f t="shared" si="153"/>
        <v>#REF!</v>
      </c>
      <c r="P470" s="125" t="e">
        <f t="shared" si="153"/>
        <v>#REF!</v>
      </c>
      <c r="Q470" s="125" t="e">
        <f t="shared" si="153"/>
        <v>#REF!</v>
      </c>
      <c r="R470" s="125" t="e">
        <f t="shared" si="153"/>
        <v>#REF!</v>
      </c>
      <c r="S470" s="125" t="e">
        <f t="shared" si="153"/>
        <v>#REF!</v>
      </c>
      <c r="T470" s="125" t="e">
        <f t="shared" si="153"/>
        <v>#REF!</v>
      </c>
      <c r="U470" s="125" t="e">
        <f t="shared" si="153"/>
        <v>#REF!</v>
      </c>
      <c r="V470" s="125" t="e">
        <f t="shared" si="153"/>
        <v>#REF!</v>
      </c>
      <c r="W470" s="125" t="e">
        <f t="shared" si="153"/>
        <v>#REF!</v>
      </c>
      <c r="X470" s="125" t="e">
        <f t="shared" si="153"/>
        <v>#REF!</v>
      </c>
      <c r="Y470" s="125" t="e">
        <f t="shared" si="153"/>
        <v>#REF!</v>
      </c>
      <c r="Z470" s="125" t="e">
        <f t="shared" si="153"/>
        <v>#REF!</v>
      </c>
      <c r="AA470" s="125" t="e">
        <f t="shared" si="153"/>
        <v>#REF!</v>
      </c>
      <c r="AB470" s="125" t="e">
        <f t="shared" si="153"/>
        <v>#REF!</v>
      </c>
      <c r="AC470" s="125" t="e">
        <f t="shared" si="153"/>
        <v>#REF!</v>
      </c>
      <c r="AD470" s="119">
        <f t="shared" si="153"/>
        <v>40</v>
      </c>
      <c r="AE470" s="126" t="e">
        <f t="shared" ref="AE470:AE481" si="154">Арм_Анкеровка(I470,J470,$AG$3,$AH$3)</f>
        <v>#VALUE!</v>
      </c>
      <c r="AF470" s="66" t="e">
        <f t="shared" ref="AF470:AF481" si="155">Арм_Нахлёст(I470,J470,$AG$3,$AH$3)</f>
        <v>#VALUE!</v>
      </c>
      <c r="AG470" s="66" t="str">
        <f t="shared" ref="AG470:AH481" si="156">AG469</f>
        <v>В25</v>
      </c>
      <c r="AH470" s="66">
        <f t="shared" si="156"/>
        <v>1.3</v>
      </c>
    </row>
    <row r="471" spans="1:35" ht="17.25" thickTop="1" thickBot="1" x14ac:dyDescent="0.3">
      <c r="A471" s="119" t="e">
        <f t="shared" ref="A471:A480" si="157">A470</f>
        <v>#REF!</v>
      </c>
      <c r="B471" s="119">
        <v>3</v>
      </c>
      <c r="C471" s="46" t="s">
        <v>2885</v>
      </c>
      <c r="D471" s="119" t="e">
        <f>W471</f>
        <v>#REF!</v>
      </c>
      <c r="E471" s="127" t="e">
        <f>ROUNDUP(2*P471/D471,0)</f>
        <v>#REF!</v>
      </c>
      <c r="F471" s="119"/>
      <c r="G471" s="119"/>
      <c r="H471" s="127" t="e">
        <f>Арм_Элемент_П(AF471, (Q471-2*AD471), I471, J471)</f>
        <v>#VALUE!</v>
      </c>
      <c r="I471" s="121" t="e">
        <f>V471</f>
        <v>#REF!</v>
      </c>
      <c r="J471" s="46" t="s">
        <v>2</v>
      </c>
      <c r="K471" s="128"/>
      <c r="L471" s="119"/>
      <c r="M471" s="124">
        <f t="shared" si="153"/>
        <v>0</v>
      </c>
      <c r="N471" s="125" t="e">
        <f t="shared" si="153"/>
        <v>#REF!</v>
      </c>
      <c r="O471" s="125" t="e">
        <f t="shared" si="153"/>
        <v>#REF!</v>
      </c>
      <c r="P471" s="125" t="e">
        <f t="shared" si="153"/>
        <v>#REF!</v>
      </c>
      <c r="Q471" s="125" t="e">
        <f t="shared" si="153"/>
        <v>#REF!</v>
      </c>
      <c r="R471" s="125" t="e">
        <f t="shared" si="153"/>
        <v>#REF!</v>
      </c>
      <c r="S471" s="125" t="e">
        <f t="shared" si="153"/>
        <v>#REF!</v>
      </c>
      <c r="T471" s="125" t="e">
        <f t="shared" si="153"/>
        <v>#REF!</v>
      </c>
      <c r="U471" s="125" t="e">
        <f t="shared" si="153"/>
        <v>#REF!</v>
      </c>
      <c r="V471" s="125" t="e">
        <f t="shared" si="153"/>
        <v>#REF!</v>
      </c>
      <c r="W471" s="125" t="e">
        <f t="shared" si="153"/>
        <v>#REF!</v>
      </c>
      <c r="X471" s="125" t="e">
        <f t="shared" si="153"/>
        <v>#REF!</v>
      </c>
      <c r="Y471" s="125" t="e">
        <f t="shared" si="153"/>
        <v>#REF!</v>
      </c>
      <c r="Z471" s="125" t="e">
        <f t="shared" si="153"/>
        <v>#REF!</v>
      </c>
      <c r="AA471" s="125" t="e">
        <f t="shared" si="153"/>
        <v>#REF!</v>
      </c>
      <c r="AB471" s="125" t="e">
        <f t="shared" si="153"/>
        <v>#REF!</v>
      </c>
      <c r="AC471" s="125" t="e">
        <f t="shared" si="153"/>
        <v>#REF!</v>
      </c>
      <c r="AD471" s="119">
        <f t="shared" si="153"/>
        <v>40</v>
      </c>
      <c r="AE471" s="126" t="e">
        <f t="shared" si="154"/>
        <v>#VALUE!</v>
      </c>
      <c r="AF471" s="66" t="e">
        <f t="shared" si="155"/>
        <v>#VALUE!</v>
      </c>
      <c r="AG471" s="66" t="str">
        <f t="shared" si="156"/>
        <v>В25</v>
      </c>
      <c r="AH471" s="66">
        <f t="shared" si="156"/>
        <v>1.3</v>
      </c>
    </row>
    <row r="472" spans="1:35" ht="17.25" thickTop="1" thickBot="1" x14ac:dyDescent="0.3">
      <c r="A472" s="119" t="e">
        <f t="shared" si="157"/>
        <v>#REF!</v>
      </c>
      <c r="B472" s="119">
        <v>4</v>
      </c>
      <c r="C472" s="46" t="s">
        <v>2886</v>
      </c>
      <c r="D472" s="119" t="e">
        <f>Y472</f>
        <v>#REF!</v>
      </c>
      <c r="E472" s="127" t="e">
        <f>ROUNDUP(O472/Y472,0)*2</f>
        <v>#REF!</v>
      </c>
      <c r="F472" s="119"/>
      <c r="G472" s="119"/>
      <c r="H472" s="127" t="e">
        <f>IF(P472&lt;=3000, (P472-25+AE472), (P472-25))</f>
        <v>#REF!</v>
      </c>
      <c r="I472" s="121" t="e">
        <f>X472</f>
        <v>#REF!</v>
      </c>
      <c r="J472" s="46" t="s">
        <v>2</v>
      </c>
      <c r="K472" s="128"/>
      <c r="L472" s="119"/>
      <c r="M472" s="124">
        <f t="shared" si="153"/>
        <v>0</v>
      </c>
      <c r="N472" s="125" t="e">
        <f t="shared" si="153"/>
        <v>#REF!</v>
      </c>
      <c r="O472" s="125" t="e">
        <f t="shared" si="153"/>
        <v>#REF!</v>
      </c>
      <c r="P472" s="125" t="e">
        <f t="shared" si="153"/>
        <v>#REF!</v>
      </c>
      <c r="Q472" s="125" t="e">
        <f t="shared" si="153"/>
        <v>#REF!</v>
      </c>
      <c r="R472" s="125" t="e">
        <f t="shared" si="153"/>
        <v>#REF!</v>
      </c>
      <c r="S472" s="125" t="e">
        <f t="shared" si="153"/>
        <v>#REF!</v>
      </c>
      <c r="T472" s="125" t="e">
        <f t="shared" si="153"/>
        <v>#REF!</v>
      </c>
      <c r="U472" s="125" t="e">
        <f t="shared" si="153"/>
        <v>#REF!</v>
      </c>
      <c r="V472" s="125" t="e">
        <f t="shared" si="153"/>
        <v>#REF!</v>
      </c>
      <c r="W472" s="125" t="e">
        <f t="shared" si="153"/>
        <v>#REF!</v>
      </c>
      <c r="X472" s="125" t="e">
        <f t="shared" si="153"/>
        <v>#REF!</v>
      </c>
      <c r="Y472" s="125" t="e">
        <f t="shared" si="153"/>
        <v>#REF!</v>
      </c>
      <c r="Z472" s="125" t="e">
        <f t="shared" si="153"/>
        <v>#REF!</v>
      </c>
      <c r="AA472" s="125" t="e">
        <f t="shared" si="153"/>
        <v>#REF!</v>
      </c>
      <c r="AB472" s="125" t="e">
        <f t="shared" si="153"/>
        <v>#REF!</v>
      </c>
      <c r="AC472" s="125" t="e">
        <f t="shared" si="153"/>
        <v>#REF!</v>
      </c>
      <c r="AD472" s="119">
        <f t="shared" si="153"/>
        <v>40</v>
      </c>
      <c r="AE472" s="126" t="e">
        <f t="shared" si="154"/>
        <v>#VALUE!</v>
      </c>
      <c r="AF472" s="66" t="e">
        <f t="shared" si="155"/>
        <v>#VALUE!</v>
      </c>
      <c r="AG472" s="66" t="str">
        <f t="shared" si="156"/>
        <v>В25</v>
      </c>
      <c r="AH472" s="66">
        <f t="shared" si="156"/>
        <v>1.3</v>
      </c>
    </row>
    <row r="473" spans="1:35" ht="17.25" thickTop="1" thickBot="1" x14ac:dyDescent="0.3">
      <c r="A473" s="119" t="e">
        <f t="shared" si="157"/>
        <v>#REF!</v>
      </c>
      <c r="B473" s="119">
        <v>5</v>
      </c>
      <c r="C473" s="46" t="s">
        <v>2887</v>
      </c>
      <c r="D473" s="119">
        <v>400</v>
      </c>
      <c r="E473" s="127" t="e">
        <f>ROUNDUP((13*(O473*P473/1000000)),0)</f>
        <v>#REF!</v>
      </c>
      <c r="F473" s="119"/>
      <c r="G473" s="119"/>
      <c r="H473" s="127" t="e">
        <f>Q473-AD473*2+150</f>
        <v>#REF!</v>
      </c>
      <c r="I473" s="121">
        <v>6</v>
      </c>
      <c r="J473" s="46" t="s">
        <v>2</v>
      </c>
      <c r="K473" s="128"/>
      <c r="L473" s="119"/>
      <c r="M473" s="124">
        <f t="shared" si="153"/>
        <v>0</v>
      </c>
      <c r="N473" s="125" t="e">
        <f t="shared" si="153"/>
        <v>#REF!</v>
      </c>
      <c r="O473" s="125" t="e">
        <f t="shared" si="153"/>
        <v>#REF!</v>
      </c>
      <c r="P473" s="125" t="e">
        <f t="shared" si="153"/>
        <v>#REF!</v>
      </c>
      <c r="Q473" s="125" t="e">
        <f t="shared" si="153"/>
        <v>#REF!</v>
      </c>
      <c r="R473" s="125" t="e">
        <f t="shared" si="153"/>
        <v>#REF!</v>
      </c>
      <c r="S473" s="125" t="e">
        <f t="shared" si="153"/>
        <v>#REF!</v>
      </c>
      <c r="T473" s="125" t="e">
        <f t="shared" si="153"/>
        <v>#REF!</v>
      </c>
      <c r="U473" s="125" t="e">
        <f t="shared" si="153"/>
        <v>#REF!</v>
      </c>
      <c r="V473" s="125" t="e">
        <f t="shared" si="153"/>
        <v>#REF!</v>
      </c>
      <c r="W473" s="125" t="e">
        <f t="shared" si="153"/>
        <v>#REF!</v>
      </c>
      <c r="X473" s="125" t="e">
        <f t="shared" si="153"/>
        <v>#REF!</v>
      </c>
      <c r="Y473" s="125" t="e">
        <f t="shared" si="153"/>
        <v>#REF!</v>
      </c>
      <c r="Z473" s="125" t="e">
        <f t="shared" si="153"/>
        <v>#REF!</v>
      </c>
      <c r="AA473" s="125" t="e">
        <f t="shared" si="153"/>
        <v>#REF!</v>
      </c>
      <c r="AB473" s="125" t="e">
        <f t="shared" si="153"/>
        <v>#REF!</v>
      </c>
      <c r="AC473" s="125" t="e">
        <f t="shared" si="153"/>
        <v>#REF!</v>
      </c>
      <c r="AD473" s="119">
        <f t="shared" si="153"/>
        <v>40</v>
      </c>
      <c r="AE473" s="126">
        <f t="shared" si="154"/>
        <v>250</v>
      </c>
      <c r="AF473" s="66">
        <f t="shared" si="155"/>
        <v>300</v>
      </c>
      <c r="AG473" s="66" t="str">
        <f t="shared" si="156"/>
        <v>В25</v>
      </c>
      <c r="AH473" s="66">
        <f t="shared" si="156"/>
        <v>1.3</v>
      </c>
    </row>
    <row r="474" spans="1:35" ht="17.25" thickTop="1" thickBot="1" x14ac:dyDescent="0.3">
      <c r="A474" s="119" t="e">
        <f t="shared" si="157"/>
        <v>#REF!</v>
      </c>
      <c r="B474" s="119">
        <v>6</v>
      </c>
      <c r="C474" s="46" t="s">
        <v>2888</v>
      </c>
      <c r="D474" s="119" t="e">
        <f>AA474</f>
        <v>#REF!</v>
      </c>
      <c r="E474" s="127" t="e">
        <f>ROUNDUP(O474/100,0)*2</f>
        <v>#REF!</v>
      </c>
      <c r="F474" s="119"/>
      <c r="G474" s="119"/>
      <c r="H474" s="127" t="e">
        <f>R474-50</f>
        <v>#REF!</v>
      </c>
      <c r="I474" s="121" t="e">
        <f>Z474</f>
        <v>#REF!</v>
      </c>
      <c r="J474" s="46" t="s">
        <v>2</v>
      </c>
      <c r="K474" s="128"/>
      <c r="L474" s="119"/>
      <c r="M474" s="124">
        <f t="shared" si="153"/>
        <v>0</v>
      </c>
      <c r="N474" s="125" t="e">
        <f t="shared" si="153"/>
        <v>#REF!</v>
      </c>
      <c r="O474" s="125" t="e">
        <f t="shared" si="153"/>
        <v>#REF!</v>
      </c>
      <c r="P474" s="125" t="e">
        <f t="shared" si="153"/>
        <v>#REF!</v>
      </c>
      <c r="Q474" s="125" t="e">
        <f t="shared" si="153"/>
        <v>#REF!</v>
      </c>
      <c r="R474" s="125" t="e">
        <f t="shared" si="153"/>
        <v>#REF!</v>
      </c>
      <c r="S474" s="125" t="e">
        <f t="shared" si="153"/>
        <v>#REF!</v>
      </c>
      <c r="T474" s="125" t="e">
        <f t="shared" si="153"/>
        <v>#REF!</v>
      </c>
      <c r="U474" s="125" t="e">
        <f t="shared" si="153"/>
        <v>#REF!</v>
      </c>
      <c r="V474" s="125" t="e">
        <f t="shared" si="153"/>
        <v>#REF!</v>
      </c>
      <c r="W474" s="125" t="e">
        <f t="shared" si="153"/>
        <v>#REF!</v>
      </c>
      <c r="X474" s="125" t="e">
        <f t="shared" si="153"/>
        <v>#REF!</v>
      </c>
      <c r="Y474" s="125" t="e">
        <f t="shared" si="153"/>
        <v>#REF!</v>
      </c>
      <c r="Z474" s="125" t="e">
        <f t="shared" si="153"/>
        <v>#REF!</v>
      </c>
      <c r="AA474" s="125" t="e">
        <f t="shared" si="153"/>
        <v>#REF!</v>
      </c>
      <c r="AB474" s="125" t="e">
        <f t="shared" si="153"/>
        <v>#REF!</v>
      </c>
      <c r="AC474" s="125" t="e">
        <f t="shared" si="153"/>
        <v>#REF!</v>
      </c>
      <c r="AD474" s="119">
        <f t="shared" si="153"/>
        <v>40</v>
      </c>
      <c r="AE474" s="126" t="e">
        <f t="shared" si="154"/>
        <v>#VALUE!</v>
      </c>
      <c r="AF474" s="66" t="e">
        <f t="shared" si="155"/>
        <v>#VALUE!</v>
      </c>
      <c r="AG474" s="66" t="str">
        <f t="shared" si="156"/>
        <v>В25</v>
      </c>
      <c r="AH474" s="66">
        <f t="shared" si="156"/>
        <v>1.3</v>
      </c>
    </row>
    <row r="475" spans="1:35" ht="17.25" thickTop="1" thickBot="1" x14ac:dyDescent="0.3">
      <c r="A475" s="119" t="e">
        <f t="shared" si="157"/>
        <v>#REF!</v>
      </c>
      <c r="B475" s="119">
        <v>7</v>
      </c>
      <c r="C475" s="46" t="s">
        <v>2889</v>
      </c>
      <c r="D475" s="119" t="e">
        <f>AC475</f>
        <v>#REF!</v>
      </c>
      <c r="E475" s="120" t="e">
        <f>IF(O475&lt;=5700, ROUNDUP(R475*2/AC475+1,0), 1)</f>
        <v>#REF!</v>
      </c>
      <c r="F475" s="119"/>
      <c r="G475" s="119"/>
      <c r="H475" s="120" t="e">
        <f>IF(O475&lt;=5700, O475-50, K475)</f>
        <v>#REF!</v>
      </c>
      <c r="I475" s="121" t="e">
        <f>AB475</f>
        <v>#REF!</v>
      </c>
      <c r="J475" s="46" t="s">
        <v>2</v>
      </c>
      <c r="K475" s="122" t="e">
        <f>Арм_ПоПлощади(O475*R475,AC475,AF475,$AI$3)</f>
        <v>#VALUE!</v>
      </c>
      <c r="L475" s="119"/>
      <c r="M475" s="124">
        <f t="shared" si="153"/>
        <v>0</v>
      </c>
      <c r="N475" s="125" t="e">
        <f t="shared" si="153"/>
        <v>#REF!</v>
      </c>
      <c r="O475" s="125" t="e">
        <f t="shared" si="153"/>
        <v>#REF!</v>
      </c>
      <c r="P475" s="125" t="e">
        <f t="shared" si="153"/>
        <v>#REF!</v>
      </c>
      <c r="Q475" s="125" t="e">
        <f t="shared" si="153"/>
        <v>#REF!</v>
      </c>
      <c r="R475" s="125" t="e">
        <f t="shared" si="153"/>
        <v>#REF!</v>
      </c>
      <c r="S475" s="125" t="e">
        <f t="shared" si="153"/>
        <v>#REF!</v>
      </c>
      <c r="T475" s="125" t="e">
        <f t="shared" si="153"/>
        <v>#REF!</v>
      </c>
      <c r="U475" s="125" t="e">
        <f t="shared" si="153"/>
        <v>#REF!</v>
      </c>
      <c r="V475" s="125" t="e">
        <f t="shared" si="153"/>
        <v>#REF!</v>
      </c>
      <c r="W475" s="125" t="e">
        <f t="shared" si="153"/>
        <v>#REF!</v>
      </c>
      <c r="X475" s="125" t="e">
        <f t="shared" si="153"/>
        <v>#REF!</v>
      </c>
      <c r="Y475" s="125" t="e">
        <f t="shared" si="153"/>
        <v>#REF!</v>
      </c>
      <c r="Z475" s="125" t="e">
        <f t="shared" si="153"/>
        <v>#REF!</v>
      </c>
      <c r="AA475" s="125" t="e">
        <f t="shared" si="153"/>
        <v>#REF!</v>
      </c>
      <c r="AB475" s="125" t="e">
        <f t="shared" si="153"/>
        <v>#REF!</v>
      </c>
      <c r="AC475" s="125" t="e">
        <f t="shared" si="153"/>
        <v>#REF!</v>
      </c>
      <c r="AD475" s="119">
        <f t="shared" si="153"/>
        <v>40</v>
      </c>
      <c r="AE475" s="126" t="e">
        <f t="shared" si="154"/>
        <v>#VALUE!</v>
      </c>
      <c r="AF475" s="66" t="e">
        <f t="shared" si="155"/>
        <v>#VALUE!</v>
      </c>
      <c r="AG475" s="66" t="str">
        <f t="shared" si="156"/>
        <v>В25</v>
      </c>
      <c r="AH475" s="66">
        <f t="shared" si="156"/>
        <v>1.3</v>
      </c>
    </row>
    <row r="476" spans="1:35" ht="17.25" thickTop="1" thickBot="1" x14ac:dyDescent="0.3">
      <c r="A476" s="119" t="e">
        <f t="shared" si="157"/>
        <v>#REF!</v>
      </c>
      <c r="B476" s="119">
        <v>8</v>
      </c>
      <c r="C476" s="46" t="s">
        <v>2890</v>
      </c>
      <c r="D476" s="119" t="e">
        <f>AA476</f>
        <v>#REF!</v>
      </c>
      <c r="E476" s="127" t="e">
        <f>IF(E481=0, (ROUNDUP(O476/100,0)*2), 0)</f>
        <v>#REF!</v>
      </c>
      <c r="F476" s="119"/>
      <c r="G476" s="119"/>
      <c r="H476" s="127" t="e">
        <f>Арм_Элемент_П(AF476, (U476-2*AD476), I476, J476)</f>
        <v>#VALUE!</v>
      </c>
      <c r="I476" s="121" t="e">
        <f>Z476</f>
        <v>#REF!</v>
      </c>
      <c r="J476" s="46" t="s">
        <v>2</v>
      </c>
      <c r="K476" s="128"/>
      <c r="L476" s="119"/>
      <c r="M476" s="124">
        <f t="shared" si="153"/>
        <v>0</v>
      </c>
      <c r="N476" s="125" t="e">
        <f t="shared" si="153"/>
        <v>#REF!</v>
      </c>
      <c r="O476" s="125" t="e">
        <f t="shared" si="153"/>
        <v>#REF!</v>
      </c>
      <c r="P476" s="125" t="e">
        <f t="shared" si="153"/>
        <v>#REF!</v>
      </c>
      <c r="Q476" s="125" t="e">
        <f t="shared" si="153"/>
        <v>#REF!</v>
      </c>
      <c r="R476" s="125" t="e">
        <f t="shared" si="153"/>
        <v>#REF!</v>
      </c>
      <c r="S476" s="125" t="e">
        <f t="shared" si="153"/>
        <v>#REF!</v>
      </c>
      <c r="T476" s="125" t="e">
        <f t="shared" si="153"/>
        <v>#REF!</v>
      </c>
      <c r="U476" s="125" t="e">
        <f t="shared" si="153"/>
        <v>#REF!</v>
      </c>
      <c r="V476" s="125" t="e">
        <f t="shared" si="153"/>
        <v>#REF!</v>
      </c>
      <c r="W476" s="125" t="e">
        <f t="shared" si="153"/>
        <v>#REF!</v>
      </c>
      <c r="X476" s="125" t="e">
        <f t="shared" si="153"/>
        <v>#REF!</v>
      </c>
      <c r="Y476" s="125" t="e">
        <f t="shared" si="153"/>
        <v>#REF!</v>
      </c>
      <c r="Z476" s="125" t="e">
        <f t="shared" si="153"/>
        <v>#REF!</v>
      </c>
      <c r="AA476" s="125" t="e">
        <f t="shared" si="153"/>
        <v>#REF!</v>
      </c>
      <c r="AB476" s="125" t="e">
        <f t="shared" si="153"/>
        <v>#REF!</v>
      </c>
      <c r="AC476" s="125" t="e">
        <f t="shared" si="153"/>
        <v>#REF!</v>
      </c>
      <c r="AD476" s="119">
        <f t="shared" si="153"/>
        <v>40</v>
      </c>
      <c r="AE476" s="126" t="e">
        <f t="shared" si="154"/>
        <v>#VALUE!</v>
      </c>
      <c r="AF476" s="66" t="e">
        <f t="shared" si="155"/>
        <v>#VALUE!</v>
      </c>
      <c r="AG476" s="66" t="str">
        <f t="shared" si="156"/>
        <v>В25</v>
      </c>
      <c r="AH476" s="66">
        <f t="shared" si="156"/>
        <v>1.3</v>
      </c>
    </row>
    <row r="477" spans="1:35" ht="17.25" thickTop="1" thickBot="1" x14ac:dyDescent="0.3">
      <c r="A477" s="119" t="e">
        <f t="shared" si="157"/>
        <v>#REF!</v>
      </c>
      <c r="B477" s="119">
        <v>9</v>
      </c>
      <c r="C477" s="46" t="s">
        <v>2891</v>
      </c>
      <c r="D477" s="119" t="e">
        <f>AC477</f>
        <v>#REF!</v>
      </c>
      <c r="E477" s="127" t="e">
        <f>ROUNDUP(2*R477/AC477,0)</f>
        <v>#REF!</v>
      </c>
      <c r="F477" s="119"/>
      <c r="G477" s="119"/>
      <c r="H477" s="127" t="e">
        <f>Арм_Элемент_П(AF477, (U477-2*AD477), I477, J477)</f>
        <v>#VALUE!</v>
      </c>
      <c r="I477" s="121" t="e">
        <f>AB477</f>
        <v>#REF!</v>
      </c>
      <c r="J477" s="46" t="s">
        <v>2</v>
      </c>
      <c r="K477" s="128"/>
      <c r="L477" s="119"/>
      <c r="M477" s="124">
        <f t="shared" si="153"/>
        <v>0</v>
      </c>
      <c r="N477" s="125" t="e">
        <f t="shared" si="153"/>
        <v>#REF!</v>
      </c>
      <c r="O477" s="125" t="e">
        <f t="shared" si="153"/>
        <v>#REF!</v>
      </c>
      <c r="P477" s="125" t="e">
        <f t="shared" si="153"/>
        <v>#REF!</v>
      </c>
      <c r="Q477" s="125" t="e">
        <f t="shared" si="153"/>
        <v>#REF!</v>
      </c>
      <c r="R477" s="125" t="e">
        <f t="shared" si="153"/>
        <v>#REF!</v>
      </c>
      <c r="S477" s="125" t="e">
        <f t="shared" si="153"/>
        <v>#REF!</v>
      </c>
      <c r="T477" s="125" t="e">
        <f t="shared" si="153"/>
        <v>#REF!</v>
      </c>
      <c r="U477" s="125" t="e">
        <f t="shared" si="153"/>
        <v>#REF!</v>
      </c>
      <c r="V477" s="125" t="e">
        <f t="shared" si="153"/>
        <v>#REF!</v>
      </c>
      <c r="W477" s="125" t="e">
        <f t="shared" si="153"/>
        <v>#REF!</v>
      </c>
      <c r="X477" s="125" t="e">
        <f t="shared" si="153"/>
        <v>#REF!</v>
      </c>
      <c r="Y477" s="125" t="e">
        <f t="shared" si="153"/>
        <v>#REF!</v>
      </c>
      <c r="Z477" s="125" t="e">
        <f t="shared" si="153"/>
        <v>#REF!</v>
      </c>
      <c r="AA477" s="125" t="e">
        <f t="shared" si="153"/>
        <v>#REF!</v>
      </c>
      <c r="AB477" s="125" t="e">
        <f t="shared" si="153"/>
        <v>#REF!</v>
      </c>
      <c r="AC477" s="125" t="e">
        <f t="shared" si="153"/>
        <v>#REF!</v>
      </c>
      <c r="AD477" s="119">
        <f t="shared" si="153"/>
        <v>40</v>
      </c>
      <c r="AE477" s="126" t="e">
        <f t="shared" si="154"/>
        <v>#VALUE!</v>
      </c>
      <c r="AF477" s="66" t="e">
        <f t="shared" si="155"/>
        <v>#VALUE!</v>
      </c>
      <c r="AG477" s="66" t="str">
        <f t="shared" si="156"/>
        <v>В25</v>
      </c>
      <c r="AH477" s="66">
        <f t="shared" si="156"/>
        <v>1.3</v>
      </c>
    </row>
    <row r="478" spans="1:35" ht="33" thickTop="1" thickBot="1" x14ac:dyDescent="0.3">
      <c r="A478" s="119" t="e">
        <f t="shared" si="157"/>
        <v>#REF!</v>
      </c>
      <c r="B478" s="119">
        <v>10</v>
      </c>
      <c r="C478" s="46" t="s">
        <v>2892</v>
      </c>
      <c r="D478" s="119" t="e">
        <f>Y478</f>
        <v>#REF!</v>
      </c>
      <c r="E478" s="127" t="e">
        <f>ROUNDUP((IF(P478&lt;=3000,0,O478/Y478)),0)</f>
        <v>#REF!</v>
      </c>
      <c r="F478" s="119"/>
      <c r="G478" s="119"/>
      <c r="H478" s="127" t="e">
        <f>IF(E478=0,0, (Арм_Округление(AE478+2*AF478)))</f>
        <v>#REF!</v>
      </c>
      <c r="I478" s="121" t="e">
        <f>X478</f>
        <v>#REF!</v>
      </c>
      <c r="J478" s="46" t="s">
        <v>2</v>
      </c>
      <c r="K478" s="128"/>
      <c r="L478" s="119"/>
      <c r="M478" s="124">
        <f t="shared" si="153"/>
        <v>0</v>
      </c>
      <c r="N478" s="125" t="e">
        <f t="shared" si="153"/>
        <v>#REF!</v>
      </c>
      <c r="O478" s="125" t="e">
        <f t="shared" si="153"/>
        <v>#REF!</v>
      </c>
      <c r="P478" s="125" t="e">
        <f t="shared" si="153"/>
        <v>#REF!</v>
      </c>
      <c r="Q478" s="125" t="e">
        <f t="shared" si="153"/>
        <v>#REF!</v>
      </c>
      <c r="R478" s="125" t="e">
        <f t="shared" si="153"/>
        <v>#REF!</v>
      </c>
      <c r="S478" s="125" t="e">
        <f t="shared" si="153"/>
        <v>#REF!</v>
      </c>
      <c r="T478" s="125" t="e">
        <f t="shared" si="153"/>
        <v>#REF!</v>
      </c>
      <c r="U478" s="125" t="e">
        <f t="shared" si="153"/>
        <v>#REF!</v>
      </c>
      <c r="V478" s="125" t="e">
        <f t="shared" si="153"/>
        <v>#REF!</v>
      </c>
      <c r="W478" s="125" t="e">
        <f t="shared" si="153"/>
        <v>#REF!</v>
      </c>
      <c r="X478" s="125" t="e">
        <f t="shared" si="153"/>
        <v>#REF!</v>
      </c>
      <c r="Y478" s="125" t="e">
        <f t="shared" si="153"/>
        <v>#REF!</v>
      </c>
      <c r="Z478" s="125" t="e">
        <f t="shared" si="153"/>
        <v>#REF!</v>
      </c>
      <c r="AA478" s="125" t="e">
        <f t="shared" si="153"/>
        <v>#REF!</v>
      </c>
      <c r="AB478" s="125" t="e">
        <f t="shared" si="153"/>
        <v>#REF!</v>
      </c>
      <c r="AC478" s="125" t="e">
        <f t="shared" si="153"/>
        <v>#REF!</v>
      </c>
      <c r="AD478" s="119">
        <f t="shared" si="153"/>
        <v>40</v>
      </c>
      <c r="AE478" s="126" t="e">
        <f t="shared" si="154"/>
        <v>#VALUE!</v>
      </c>
      <c r="AF478" s="66" t="e">
        <f t="shared" si="155"/>
        <v>#VALUE!</v>
      </c>
      <c r="AG478" s="66" t="str">
        <f t="shared" si="156"/>
        <v>В25</v>
      </c>
      <c r="AH478" s="66">
        <f t="shared" si="156"/>
        <v>1.3</v>
      </c>
    </row>
    <row r="479" spans="1:35" ht="33" thickTop="1" thickBot="1" x14ac:dyDescent="0.3">
      <c r="A479" s="119" t="e">
        <f t="shared" si="157"/>
        <v>#REF!</v>
      </c>
      <c r="B479" s="119">
        <v>11</v>
      </c>
      <c r="C479" s="46" t="s">
        <v>2893</v>
      </c>
      <c r="D479" s="119" t="e">
        <f>Y479</f>
        <v>#REF!</v>
      </c>
      <c r="E479" s="127" t="e">
        <f>ROUNDUP((IF(P479&lt;=3000,0,O479/Y479)),0)</f>
        <v>#REF!</v>
      </c>
      <c r="F479" s="119"/>
      <c r="G479" s="119"/>
      <c r="H479" s="127" t="e">
        <f>IF(E479=0,0, (Арм_Округление(AE479+AF479)))</f>
        <v>#REF!</v>
      </c>
      <c r="I479" s="121" t="e">
        <f>X479</f>
        <v>#REF!</v>
      </c>
      <c r="J479" s="46" t="s">
        <v>2</v>
      </c>
      <c r="K479" s="128"/>
      <c r="L479" s="119"/>
      <c r="M479" s="124">
        <f t="shared" si="153"/>
        <v>0</v>
      </c>
      <c r="N479" s="125" t="e">
        <f t="shared" si="153"/>
        <v>#REF!</v>
      </c>
      <c r="O479" s="125" t="e">
        <f t="shared" si="153"/>
        <v>#REF!</v>
      </c>
      <c r="P479" s="125" t="e">
        <f t="shared" si="153"/>
        <v>#REF!</v>
      </c>
      <c r="Q479" s="125" t="e">
        <f t="shared" si="153"/>
        <v>#REF!</v>
      </c>
      <c r="R479" s="125" t="e">
        <f t="shared" si="153"/>
        <v>#REF!</v>
      </c>
      <c r="S479" s="125" t="e">
        <f t="shared" si="153"/>
        <v>#REF!</v>
      </c>
      <c r="T479" s="125" t="e">
        <f t="shared" si="153"/>
        <v>#REF!</v>
      </c>
      <c r="U479" s="125" t="e">
        <f t="shared" si="153"/>
        <v>#REF!</v>
      </c>
      <c r="V479" s="125" t="e">
        <f t="shared" si="153"/>
        <v>#REF!</v>
      </c>
      <c r="W479" s="125" t="e">
        <f t="shared" si="153"/>
        <v>#REF!</v>
      </c>
      <c r="X479" s="125" t="e">
        <f t="shared" si="153"/>
        <v>#REF!</v>
      </c>
      <c r="Y479" s="125" t="e">
        <f t="shared" si="153"/>
        <v>#REF!</v>
      </c>
      <c r="Z479" s="125" t="e">
        <f t="shared" si="153"/>
        <v>#REF!</v>
      </c>
      <c r="AA479" s="125" t="e">
        <f t="shared" si="153"/>
        <v>#REF!</v>
      </c>
      <c r="AB479" s="125" t="e">
        <f t="shared" si="153"/>
        <v>#REF!</v>
      </c>
      <c r="AC479" s="125" t="e">
        <f t="shared" si="153"/>
        <v>#REF!</v>
      </c>
      <c r="AD479" s="119">
        <f t="shared" si="153"/>
        <v>40</v>
      </c>
      <c r="AE479" s="126" t="e">
        <f t="shared" si="154"/>
        <v>#VALUE!</v>
      </c>
      <c r="AF479" s="66" t="e">
        <f t="shared" si="155"/>
        <v>#VALUE!</v>
      </c>
      <c r="AG479" s="66" t="str">
        <f t="shared" si="156"/>
        <v>В25</v>
      </c>
      <c r="AH479" s="66">
        <f t="shared" si="156"/>
        <v>1.3</v>
      </c>
    </row>
    <row r="480" spans="1:35" ht="17.25" thickTop="1" thickBot="1" x14ac:dyDescent="0.3">
      <c r="A480" s="119" t="e">
        <f t="shared" si="157"/>
        <v>#REF!</v>
      </c>
      <c r="B480" s="119">
        <v>12</v>
      </c>
      <c r="C480" s="46" t="s">
        <v>2894</v>
      </c>
      <c r="D480" s="119" t="e">
        <f>W479</f>
        <v>#REF!</v>
      </c>
      <c r="E480" s="127">
        <f>IF(M480=0, 0, M480*2*ROUNDUP((P480/W480),0))</f>
        <v>0</v>
      </c>
      <c r="F480" s="119"/>
      <c r="G480" s="119"/>
      <c r="H480" s="127">
        <f>IF(M480=0, 0, AF480*2)</f>
        <v>0</v>
      </c>
      <c r="I480" s="121" t="e">
        <f>V480</f>
        <v>#REF!</v>
      </c>
      <c r="J480" s="46" t="s">
        <v>2</v>
      </c>
      <c r="K480" s="128"/>
      <c r="L480" s="119"/>
      <c r="M480" s="124">
        <f t="shared" si="153"/>
        <v>0</v>
      </c>
      <c r="N480" s="125" t="e">
        <f t="shared" si="153"/>
        <v>#REF!</v>
      </c>
      <c r="O480" s="125" t="e">
        <f t="shared" si="153"/>
        <v>#REF!</v>
      </c>
      <c r="P480" s="125" t="e">
        <f t="shared" si="153"/>
        <v>#REF!</v>
      </c>
      <c r="Q480" s="125" t="e">
        <f t="shared" si="153"/>
        <v>#REF!</v>
      </c>
      <c r="R480" s="125" t="e">
        <f t="shared" si="153"/>
        <v>#REF!</v>
      </c>
      <c r="S480" s="125" t="e">
        <f t="shared" si="153"/>
        <v>#REF!</v>
      </c>
      <c r="T480" s="125" t="e">
        <f t="shared" si="153"/>
        <v>#REF!</v>
      </c>
      <c r="U480" s="125" t="e">
        <f t="shared" si="153"/>
        <v>#REF!</v>
      </c>
      <c r="V480" s="125" t="e">
        <f t="shared" si="153"/>
        <v>#REF!</v>
      </c>
      <c r="W480" s="125" t="e">
        <f t="shared" si="153"/>
        <v>#REF!</v>
      </c>
      <c r="X480" s="125" t="e">
        <f t="shared" si="153"/>
        <v>#REF!</v>
      </c>
      <c r="Y480" s="125" t="e">
        <f t="shared" si="153"/>
        <v>#REF!</v>
      </c>
      <c r="Z480" s="125" t="e">
        <f t="shared" si="153"/>
        <v>#REF!</v>
      </c>
      <c r="AA480" s="125" t="e">
        <f t="shared" si="153"/>
        <v>#REF!</v>
      </c>
      <c r="AB480" s="125" t="e">
        <f t="shared" si="153"/>
        <v>#REF!</v>
      </c>
      <c r="AC480" s="125" t="e">
        <f t="shared" si="153"/>
        <v>#REF!</v>
      </c>
      <c r="AD480" s="119">
        <f t="shared" si="153"/>
        <v>40</v>
      </c>
      <c r="AE480" s="126" t="e">
        <f t="shared" si="154"/>
        <v>#VALUE!</v>
      </c>
      <c r="AF480" s="66" t="e">
        <f t="shared" si="155"/>
        <v>#VALUE!</v>
      </c>
      <c r="AG480" s="66" t="str">
        <f t="shared" si="156"/>
        <v>В25</v>
      </c>
      <c r="AH480" s="66">
        <f t="shared" si="156"/>
        <v>1.3</v>
      </c>
    </row>
    <row r="481" spans="2:34" ht="17.25" thickTop="1" thickBot="1" x14ac:dyDescent="0.3">
      <c r="B481" s="119">
        <v>13</v>
      </c>
      <c r="C481" s="46" t="s">
        <v>2895</v>
      </c>
      <c r="D481" s="119" t="e">
        <f>W480</f>
        <v>#REF!</v>
      </c>
      <c r="E481" s="127" t="e">
        <f>IF(R481&lt;=2000,(ROUNDUP(O481/D481,0)),(0))</f>
        <v>#REF!</v>
      </c>
      <c r="F481" s="119"/>
      <c r="G481" s="119"/>
      <c r="H481" s="127" t="e">
        <f>IF(R481&lt;=2000,(ROUNDUP(R481-2*40+2*(U481-40-AB481), -1)),(0))</f>
        <v>#REF!</v>
      </c>
      <c r="I481" s="121" t="e">
        <f>V481</f>
        <v>#REF!</v>
      </c>
      <c r="J481" s="46" t="s">
        <v>2</v>
      </c>
      <c r="K481" s="128"/>
      <c r="L481" s="119"/>
      <c r="M481" s="124">
        <f t="shared" si="153"/>
        <v>0</v>
      </c>
      <c r="N481" s="125" t="e">
        <f t="shared" si="153"/>
        <v>#REF!</v>
      </c>
      <c r="O481" s="125" t="e">
        <f t="shared" si="153"/>
        <v>#REF!</v>
      </c>
      <c r="P481" s="125" t="e">
        <f t="shared" si="153"/>
        <v>#REF!</v>
      </c>
      <c r="Q481" s="125" t="e">
        <f t="shared" si="153"/>
        <v>#REF!</v>
      </c>
      <c r="R481" s="125" t="e">
        <f t="shared" si="153"/>
        <v>#REF!</v>
      </c>
      <c r="S481" s="125" t="e">
        <f t="shared" si="153"/>
        <v>#REF!</v>
      </c>
      <c r="T481" s="125" t="e">
        <f t="shared" si="153"/>
        <v>#REF!</v>
      </c>
      <c r="U481" s="125" t="e">
        <f t="shared" si="153"/>
        <v>#REF!</v>
      </c>
      <c r="V481" s="125" t="e">
        <f t="shared" si="153"/>
        <v>#REF!</v>
      </c>
      <c r="W481" s="125" t="e">
        <f t="shared" si="153"/>
        <v>#REF!</v>
      </c>
      <c r="X481" s="125" t="e">
        <f t="shared" si="153"/>
        <v>#REF!</v>
      </c>
      <c r="Y481" s="125" t="e">
        <f t="shared" si="153"/>
        <v>#REF!</v>
      </c>
      <c r="Z481" s="125" t="e">
        <f t="shared" si="153"/>
        <v>#REF!</v>
      </c>
      <c r="AA481" s="125" t="e">
        <f t="shared" si="153"/>
        <v>#REF!</v>
      </c>
      <c r="AB481" s="125" t="e">
        <f t="shared" si="153"/>
        <v>#REF!</v>
      </c>
      <c r="AC481" s="125" t="e">
        <f t="shared" si="153"/>
        <v>#REF!</v>
      </c>
      <c r="AD481" s="119">
        <f t="shared" si="153"/>
        <v>40</v>
      </c>
      <c r="AE481" s="126" t="e">
        <f t="shared" si="154"/>
        <v>#VALUE!</v>
      </c>
      <c r="AF481" s="66" t="e">
        <f t="shared" si="155"/>
        <v>#VALUE!</v>
      </c>
      <c r="AG481" s="66" t="str">
        <f t="shared" si="156"/>
        <v>В25</v>
      </c>
      <c r="AH481" s="66">
        <f t="shared" si="156"/>
        <v>1.3</v>
      </c>
    </row>
    <row r="482" spans="2:34" ht="15.75" thickTop="1" x14ac:dyDescent="0.25"/>
  </sheetData>
  <mergeCells count="325">
    <mergeCell ref="H467:J467"/>
    <mergeCell ref="K467:K468"/>
    <mergeCell ref="L467:L468"/>
    <mergeCell ref="M467:M468"/>
    <mergeCell ref="AE467:AE468"/>
    <mergeCell ref="L448:L449"/>
    <mergeCell ref="M448:M449"/>
    <mergeCell ref="AE448:AE449"/>
    <mergeCell ref="AF448:AF449"/>
    <mergeCell ref="A467:A468"/>
    <mergeCell ref="B467:B468"/>
    <mergeCell ref="C467:C468"/>
    <mergeCell ref="D467:D468"/>
    <mergeCell ref="E467:E468"/>
    <mergeCell ref="F467:F468"/>
    <mergeCell ref="AF419:AF420"/>
    <mergeCell ref="A448:A449"/>
    <mergeCell ref="B448:B449"/>
    <mergeCell ref="C448:C449"/>
    <mergeCell ref="D448:D449"/>
    <mergeCell ref="E448:E449"/>
    <mergeCell ref="F448:F449"/>
    <mergeCell ref="G448:G449"/>
    <mergeCell ref="H448:J448"/>
    <mergeCell ref="K448:K449"/>
    <mergeCell ref="G419:G420"/>
    <mergeCell ref="H419:J419"/>
    <mergeCell ref="K419:K420"/>
    <mergeCell ref="L419:L420"/>
    <mergeCell ref="M419:M420"/>
    <mergeCell ref="AE419:AE420"/>
    <mergeCell ref="AF467:AF468"/>
    <mergeCell ref="G467:G468"/>
    <mergeCell ref="L400:L401"/>
    <mergeCell ref="M400:M401"/>
    <mergeCell ref="AE400:AE401"/>
    <mergeCell ref="AF400:AF401"/>
    <mergeCell ref="A419:A420"/>
    <mergeCell ref="B419:B420"/>
    <mergeCell ref="C419:C420"/>
    <mergeCell ref="D419:D420"/>
    <mergeCell ref="E419:E420"/>
    <mergeCell ref="F419:F420"/>
    <mergeCell ref="A400:A401"/>
    <mergeCell ref="B400:B401"/>
    <mergeCell ref="C400:C401"/>
    <mergeCell ref="D400:D401"/>
    <mergeCell ref="E400:E401"/>
    <mergeCell ref="F400:F401"/>
    <mergeCell ref="G400:G401"/>
    <mergeCell ref="H400:J400"/>
    <mergeCell ref="K400:K401"/>
    <mergeCell ref="L362:L363"/>
    <mergeCell ref="M362:M363"/>
    <mergeCell ref="AE362:AE363"/>
    <mergeCell ref="AF362:AF363"/>
    <mergeCell ref="A381:A382"/>
    <mergeCell ref="B381:B382"/>
    <mergeCell ref="C381:C382"/>
    <mergeCell ref="D381:D382"/>
    <mergeCell ref="E381:E382"/>
    <mergeCell ref="F381:F382"/>
    <mergeCell ref="AF381:AF382"/>
    <mergeCell ref="G381:G382"/>
    <mergeCell ref="H381:J381"/>
    <mergeCell ref="K381:K382"/>
    <mergeCell ref="L381:L382"/>
    <mergeCell ref="M381:M382"/>
    <mergeCell ref="AE381:AE382"/>
    <mergeCell ref="A362:A363"/>
    <mergeCell ref="B362:B363"/>
    <mergeCell ref="C362:C363"/>
    <mergeCell ref="D362:D363"/>
    <mergeCell ref="E362:E363"/>
    <mergeCell ref="F362:F363"/>
    <mergeCell ref="G362:G363"/>
    <mergeCell ref="H362:J362"/>
    <mergeCell ref="K362:K363"/>
    <mergeCell ref="L324:L325"/>
    <mergeCell ref="M324:M325"/>
    <mergeCell ref="AE324:AE325"/>
    <mergeCell ref="AF324:AF325"/>
    <mergeCell ref="A343:A344"/>
    <mergeCell ref="B343:B344"/>
    <mergeCell ref="C343:C344"/>
    <mergeCell ref="D343:D344"/>
    <mergeCell ref="E343:E344"/>
    <mergeCell ref="F343:F344"/>
    <mergeCell ref="AF343:AF344"/>
    <mergeCell ref="G343:G344"/>
    <mergeCell ref="H343:J343"/>
    <mergeCell ref="K343:K344"/>
    <mergeCell ref="L343:L344"/>
    <mergeCell ref="M343:M344"/>
    <mergeCell ref="AE343:AE344"/>
    <mergeCell ref="A324:A325"/>
    <mergeCell ref="B324:B325"/>
    <mergeCell ref="C324:C325"/>
    <mergeCell ref="D324:D325"/>
    <mergeCell ref="E324:E325"/>
    <mergeCell ref="F324:F325"/>
    <mergeCell ref="G324:G325"/>
    <mergeCell ref="H324:J324"/>
    <mergeCell ref="K324:K325"/>
    <mergeCell ref="L286:L287"/>
    <mergeCell ref="M286:M287"/>
    <mergeCell ref="AE286:AE287"/>
    <mergeCell ref="AF286:AF287"/>
    <mergeCell ref="A305:A306"/>
    <mergeCell ref="B305:B306"/>
    <mergeCell ref="C305:C306"/>
    <mergeCell ref="D305:D306"/>
    <mergeCell ref="E305:E306"/>
    <mergeCell ref="F305:F306"/>
    <mergeCell ref="AF305:AF306"/>
    <mergeCell ref="G305:G306"/>
    <mergeCell ref="H305:J305"/>
    <mergeCell ref="K305:K306"/>
    <mergeCell ref="L305:L306"/>
    <mergeCell ref="M305:M306"/>
    <mergeCell ref="AE305:AE306"/>
    <mergeCell ref="A286:A287"/>
    <mergeCell ref="B286:B287"/>
    <mergeCell ref="C286:C287"/>
    <mergeCell ref="D286:D287"/>
    <mergeCell ref="E286:E287"/>
    <mergeCell ref="F286:F287"/>
    <mergeCell ref="G286:G287"/>
    <mergeCell ref="H286:J286"/>
    <mergeCell ref="K286:K287"/>
    <mergeCell ref="L248:L249"/>
    <mergeCell ref="M248:M249"/>
    <mergeCell ref="AE248:AE249"/>
    <mergeCell ref="AF248:AF249"/>
    <mergeCell ref="A267:A268"/>
    <mergeCell ref="B267:B268"/>
    <mergeCell ref="C267:C268"/>
    <mergeCell ref="D267:D268"/>
    <mergeCell ref="E267:E268"/>
    <mergeCell ref="F267:F268"/>
    <mergeCell ref="AF267:AF268"/>
    <mergeCell ref="G267:G268"/>
    <mergeCell ref="H267:J267"/>
    <mergeCell ref="K267:K268"/>
    <mergeCell ref="L267:L268"/>
    <mergeCell ref="M267:M268"/>
    <mergeCell ref="AE267:AE268"/>
    <mergeCell ref="A248:A249"/>
    <mergeCell ref="B248:B249"/>
    <mergeCell ref="C248:C249"/>
    <mergeCell ref="D248:D249"/>
    <mergeCell ref="E248:E249"/>
    <mergeCell ref="F248:F249"/>
    <mergeCell ref="G248:G249"/>
    <mergeCell ref="H248:J248"/>
    <mergeCell ref="K248:K249"/>
    <mergeCell ref="L210:L211"/>
    <mergeCell ref="M210:M211"/>
    <mergeCell ref="AE210:AE211"/>
    <mergeCell ref="AF210:AF211"/>
    <mergeCell ref="A229:A230"/>
    <mergeCell ref="B229:B230"/>
    <mergeCell ref="C229:C230"/>
    <mergeCell ref="D229:D230"/>
    <mergeCell ref="E229:E230"/>
    <mergeCell ref="F229:F230"/>
    <mergeCell ref="AF229:AF230"/>
    <mergeCell ref="G229:G230"/>
    <mergeCell ref="H229:J229"/>
    <mergeCell ref="K229:K230"/>
    <mergeCell ref="L229:L230"/>
    <mergeCell ref="M229:M230"/>
    <mergeCell ref="AE229:AE230"/>
    <mergeCell ref="A210:A211"/>
    <mergeCell ref="B210:B211"/>
    <mergeCell ref="C210:C211"/>
    <mergeCell ref="D210:D211"/>
    <mergeCell ref="E210:E211"/>
    <mergeCell ref="F210:F211"/>
    <mergeCell ref="G210:G211"/>
    <mergeCell ref="H210:J210"/>
    <mergeCell ref="K210:K211"/>
    <mergeCell ref="L172:L173"/>
    <mergeCell ref="M172:M173"/>
    <mergeCell ref="AE172:AE173"/>
    <mergeCell ref="AF172:AF173"/>
    <mergeCell ref="A191:A192"/>
    <mergeCell ref="B191:B192"/>
    <mergeCell ref="C191:C192"/>
    <mergeCell ref="D191:D192"/>
    <mergeCell ref="E191:E192"/>
    <mergeCell ref="F191:F192"/>
    <mergeCell ref="AF191:AF192"/>
    <mergeCell ref="G191:G192"/>
    <mergeCell ref="H191:J191"/>
    <mergeCell ref="K191:K192"/>
    <mergeCell ref="L191:L192"/>
    <mergeCell ref="M191:M192"/>
    <mergeCell ref="AE191:AE192"/>
    <mergeCell ref="A172:A173"/>
    <mergeCell ref="B172:B173"/>
    <mergeCell ref="C172:C173"/>
    <mergeCell ref="D172:D173"/>
    <mergeCell ref="E172:E173"/>
    <mergeCell ref="F172:F173"/>
    <mergeCell ref="G172:G173"/>
    <mergeCell ref="H172:J172"/>
    <mergeCell ref="K172:K173"/>
    <mergeCell ref="L134:L135"/>
    <mergeCell ref="M134:M135"/>
    <mergeCell ref="AE134:AE135"/>
    <mergeCell ref="AF134:AF135"/>
    <mergeCell ref="A153:A154"/>
    <mergeCell ref="B153:B154"/>
    <mergeCell ref="C153:C154"/>
    <mergeCell ref="D153:D154"/>
    <mergeCell ref="E153:E154"/>
    <mergeCell ref="F153:F154"/>
    <mergeCell ref="AF153:AF154"/>
    <mergeCell ref="G153:G154"/>
    <mergeCell ref="H153:J153"/>
    <mergeCell ref="K153:K154"/>
    <mergeCell ref="L153:L154"/>
    <mergeCell ref="M153:M154"/>
    <mergeCell ref="AE153:AE154"/>
    <mergeCell ref="A134:A135"/>
    <mergeCell ref="B134:B135"/>
    <mergeCell ref="C134:C135"/>
    <mergeCell ref="D134:D135"/>
    <mergeCell ref="E134:E135"/>
    <mergeCell ref="F134:F135"/>
    <mergeCell ref="G134:G135"/>
    <mergeCell ref="H134:J134"/>
    <mergeCell ref="K134:K135"/>
    <mergeCell ref="L96:L97"/>
    <mergeCell ref="M96:M97"/>
    <mergeCell ref="AE96:AE97"/>
    <mergeCell ref="AF96:AF97"/>
    <mergeCell ref="A115:A116"/>
    <mergeCell ref="B115:B116"/>
    <mergeCell ref="C115:C116"/>
    <mergeCell ref="D115:D116"/>
    <mergeCell ref="E115:E116"/>
    <mergeCell ref="F115:F116"/>
    <mergeCell ref="AF115:AF116"/>
    <mergeCell ref="G115:G116"/>
    <mergeCell ref="H115:J115"/>
    <mergeCell ref="K115:K116"/>
    <mergeCell ref="L115:L116"/>
    <mergeCell ref="M115:M116"/>
    <mergeCell ref="AE115:AE116"/>
    <mergeCell ref="A96:A97"/>
    <mergeCell ref="B96:B97"/>
    <mergeCell ref="C96:C97"/>
    <mergeCell ref="D96:D97"/>
    <mergeCell ref="E96:E97"/>
    <mergeCell ref="F96:F97"/>
    <mergeCell ref="G96:G97"/>
    <mergeCell ref="H96:J96"/>
    <mergeCell ref="K96:K97"/>
    <mergeCell ref="L59:L60"/>
    <mergeCell ref="M59:M60"/>
    <mergeCell ref="AE59:AE60"/>
    <mergeCell ref="AF59:AF60"/>
    <mergeCell ref="A78:A79"/>
    <mergeCell ref="B78:B79"/>
    <mergeCell ref="C78:C79"/>
    <mergeCell ref="D78:D79"/>
    <mergeCell ref="E78:E79"/>
    <mergeCell ref="F78:F79"/>
    <mergeCell ref="AF78:AF79"/>
    <mergeCell ref="G78:G79"/>
    <mergeCell ref="H78:J78"/>
    <mergeCell ref="K78:K79"/>
    <mergeCell ref="L78:L79"/>
    <mergeCell ref="M78:M79"/>
    <mergeCell ref="AE78:AE79"/>
    <mergeCell ref="A59:A60"/>
    <mergeCell ref="B59:B60"/>
    <mergeCell ref="C59:C60"/>
    <mergeCell ref="D59:D60"/>
    <mergeCell ref="E59:E60"/>
    <mergeCell ref="F59:F60"/>
    <mergeCell ref="G59:G60"/>
    <mergeCell ref="H59:J59"/>
    <mergeCell ref="K59:K60"/>
    <mergeCell ref="AE21:AE22"/>
    <mergeCell ref="AF21:AF22"/>
    <mergeCell ref="A40:A41"/>
    <mergeCell ref="B40:B41"/>
    <mergeCell ref="C40:C41"/>
    <mergeCell ref="D40:D41"/>
    <mergeCell ref="E40:E41"/>
    <mergeCell ref="F40:F41"/>
    <mergeCell ref="AF40:AF41"/>
    <mergeCell ref="G40:G41"/>
    <mergeCell ref="H40:J40"/>
    <mergeCell ref="K40:K41"/>
    <mergeCell ref="L40:L41"/>
    <mergeCell ref="M40:M41"/>
    <mergeCell ref="AE40:AE41"/>
    <mergeCell ref="AF2:AF3"/>
    <mergeCell ref="A21:A22"/>
    <mergeCell ref="B21:B22"/>
    <mergeCell ref="C21:C22"/>
    <mergeCell ref="D21:D22"/>
    <mergeCell ref="E21:E22"/>
    <mergeCell ref="F21:F22"/>
    <mergeCell ref="G21:G22"/>
    <mergeCell ref="H21:J21"/>
    <mergeCell ref="K21:K22"/>
    <mergeCell ref="G2:G3"/>
    <mergeCell ref="H2:J2"/>
    <mergeCell ref="K2:K3"/>
    <mergeCell ref="L2:L3"/>
    <mergeCell ref="M2:M3"/>
    <mergeCell ref="AE2:AE3"/>
    <mergeCell ref="A2:A3"/>
    <mergeCell ref="B2:B3"/>
    <mergeCell ref="C2:C3"/>
    <mergeCell ref="D2:D3"/>
    <mergeCell ref="E2:E3"/>
    <mergeCell ref="F2:F3"/>
    <mergeCell ref="L21:L22"/>
    <mergeCell ref="M21:M22"/>
  </mergeCells>
  <conditionalFormatting sqref="H2:J3 A2:G2 C4:C16">
    <cfRule type="containsText" dxfId="1500" priority="1330" stopIfTrue="1" operator="containsText" text="ИЗ ФАЙЛА">
      <formula>NOT(ISERROR(SEARCH("ИЗ ФАЙЛА",A2)))</formula>
    </cfRule>
    <cfRule type="containsText" dxfId="1499" priority="1331" stopIfTrue="1" operator="containsText" text="!!!!">
      <formula>NOT(ISERROR(SEARCH("!!!!",A2)))</formula>
    </cfRule>
    <cfRule type="containsText" dxfId="1498" priority="1332" stopIfTrue="1" operator="containsText" text=" Изделия ">
      <formula>NOT(ISERROR(SEARCH(" Изделия ",A2)))</formula>
    </cfRule>
    <cfRule type="containsText" dxfId="1497" priority="1333" stopIfTrue="1" operator="containsText" text=" Прокат ">
      <formula>NOT(ISERROR(SEARCH(" Прокат ",A2)))</formula>
    </cfRule>
    <cfRule type="containsText" dxfId="1496" priority="1334" stopIfTrue="1" operator="containsText" text=" Сборочные единицы ">
      <formula>NOT(ISERROR(SEARCH(" Сборочные единицы ",A2)))</formula>
    </cfRule>
    <cfRule type="containsText" dxfId="1495" priority="1335" stopIfTrue="1" operator="containsText" text=" Материалы ">
      <formula>NOT(ISERROR(SEARCH(" Материалы ",A2)))</formula>
    </cfRule>
    <cfRule type="containsText" dxfId="1494" priority="1336" stopIfTrue="1" operator="containsText" text=", на ">
      <formula>NOT(ISERROR(SEARCH(", на ",A2)))</formula>
    </cfRule>
    <cfRule type="containsText" dxfId="1493" priority="1337" stopIfTrue="1" operator="containsText" text="шт.)">
      <formula>NOT(ISERROR(SEARCH("шт.)",A2)))</formula>
    </cfRule>
  </conditionalFormatting>
  <conditionalFormatting sqref="J4:J16">
    <cfRule type="containsText" dxfId="1492" priority="1321" stopIfTrue="1" operator="containsText" text="С ЛИСТА">
      <formula>NOT(ISERROR(SEARCH("С ЛИСТА",J4)))</formula>
    </cfRule>
    <cfRule type="containsText" dxfId="1491" priority="1322" stopIfTrue="1" operator="containsText" text="ИЗ ФАЙЛА">
      <formula>NOT(ISERROR(SEARCH("ИЗ ФАЙЛА",J4)))</formula>
    </cfRule>
    <cfRule type="containsText" dxfId="1490" priority="1323" stopIfTrue="1" operator="containsText" text="!!!">
      <formula>NOT(ISERROR(SEARCH("!!!",J4)))</formula>
    </cfRule>
    <cfRule type="containsText" dxfId="1489" priority="1324" stopIfTrue="1" operator="containsText" text=" Изделия ">
      <formula>NOT(ISERROR(SEARCH(" Изделия ",J4)))</formula>
    </cfRule>
    <cfRule type="containsText" dxfId="1488" priority="1325" stopIfTrue="1" operator="containsText" text=" Прокат ">
      <formula>NOT(ISERROR(SEARCH(" Прокат ",J4)))</formula>
    </cfRule>
    <cfRule type="containsText" dxfId="1487" priority="1326" stopIfTrue="1" operator="containsText" text=" Сборочные единицы ">
      <formula>NOT(ISERROR(SEARCH(" Сборочные единицы ",J4)))</formula>
    </cfRule>
    <cfRule type="containsText" dxfId="1486" priority="1327" stopIfTrue="1" operator="containsText" text=" Материалы ">
      <formula>NOT(ISERROR(SEARCH(" Материалы ",J4)))</formula>
    </cfRule>
    <cfRule type="containsText" dxfId="1485" priority="1328" stopIfTrue="1" operator="containsText" text=", на ">
      <formula>NOT(ISERROR(SEARCH(", на ",J4)))</formula>
    </cfRule>
    <cfRule type="containsText" dxfId="1484" priority="1329" stopIfTrue="1" operator="containsText" text="шт.)">
      <formula>NOT(ISERROR(SEARCH("шт.)",J4)))</formula>
    </cfRule>
  </conditionalFormatting>
  <conditionalFormatting sqref="H21:J22 A21:G21 C23:C34">
    <cfRule type="containsText" dxfId="1483" priority="1313" stopIfTrue="1" operator="containsText" text="ИЗ ФАЙЛА">
      <formula>NOT(ISERROR(SEARCH("ИЗ ФАЙЛА",A21)))</formula>
    </cfRule>
    <cfRule type="containsText" dxfId="1482" priority="1314" stopIfTrue="1" operator="containsText" text="!!!!">
      <formula>NOT(ISERROR(SEARCH("!!!!",A21)))</formula>
    </cfRule>
    <cfRule type="containsText" dxfId="1481" priority="1315" stopIfTrue="1" operator="containsText" text=" Изделия ">
      <formula>NOT(ISERROR(SEARCH(" Изделия ",A21)))</formula>
    </cfRule>
    <cfRule type="containsText" dxfId="1480" priority="1316" stopIfTrue="1" operator="containsText" text=" Прокат ">
      <formula>NOT(ISERROR(SEARCH(" Прокат ",A21)))</formula>
    </cfRule>
    <cfRule type="containsText" dxfId="1479" priority="1317" stopIfTrue="1" operator="containsText" text=" Сборочные единицы ">
      <formula>NOT(ISERROR(SEARCH(" Сборочные единицы ",A21)))</formula>
    </cfRule>
    <cfRule type="containsText" dxfId="1478" priority="1318" stopIfTrue="1" operator="containsText" text=" Материалы ">
      <formula>NOT(ISERROR(SEARCH(" Материалы ",A21)))</formula>
    </cfRule>
    <cfRule type="containsText" dxfId="1477" priority="1319" stopIfTrue="1" operator="containsText" text=", на ">
      <formula>NOT(ISERROR(SEARCH(", на ",A21)))</formula>
    </cfRule>
    <cfRule type="containsText" dxfId="1476" priority="1320" stopIfTrue="1" operator="containsText" text="шт.)">
      <formula>NOT(ISERROR(SEARCH("шт.)",A21)))</formula>
    </cfRule>
  </conditionalFormatting>
  <conditionalFormatting sqref="J23:J34">
    <cfRule type="containsText" dxfId="1475" priority="1304" stopIfTrue="1" operator="containsText" text="С ЛИСТА">
      <formula>NOT(ISERROR(SEARCH("С ЛИСТА",J23)))</formula>
    </cfRule>
    <cfRule type="containsText" dxfId="1474" priority="1305" stopIfTrue="1" operator="containsText" text="ИЗ ФАЙЛА">
      <formula>NOT(ISERROR(SEARCH("ИЗ ФАЙЛА",J23)))</formula>
    </cfRule>
    <cfRule type="containsText" dxfId="1473" priority="1306" stopIfTrue="1" operator="containsText" text="!!!">
      <formula>NOT(ISERROR(SEARCH("!!!",J23)))</formula>
    </cfRule>
    <cfRule type="containsText" dxfId="1472" priority="1307" stopIfTrue="1" operator="containsText" text=" Изделия ">
      <formula>NOT(ISERROR(SEARCH(" Изделия ",J23)))</formula>
    </cfRule>
    <cfRule type="containsText" dxfId="1471" priority="1308" stopIfTrue="1" operator="containsText" text=" Прокат ">
      <formula>NOT(ISERROR(SEARCH(" Прокат ",J23)))</formula>
    </cfRule>
    <cfRule type="containsText" dxfId="1470" priority="1309" stopIfTrue="1" operator="containsText" text=" Сборочные единицы ">
      <formula>NOT(ISERROR(SEARCH(" Сборочные единицы ",J23)))</formula>
    </cfRule>
    <cfRule type="containsText" dxfId="1469" priority="1310" stopIfTrue="1" operator="containsText" text=" Материалы ">
      <formula>NOT(ISERROR(SEARCH(" Материалы ",J23)))</formula>
    </cfRule>
    <cfRule type="containsText" dxfId="1468" priority="1311" stopIfTrue="1" operator="containsText" text=", на ">
      <formula>NOT(ISERROR(SEARCH(", на ",J23)))</formula>
    </cfRule>
    <cfRule type="containsText" dxfId="1467" priority="1312" stopIfTrue="1" operator="containsText" text="шт.)">
      <formula>NOT(ISERROR(SEARCH("шт.)",J23)))</formula>
    </cfRule>
  </conditionalFormatting>
  <conditionalFormatting sqref="H40:J41 A40:G40 C42:C53">
    <cfRule type="containsText" dxfId="1466" priority="1296" stopIfTrue="1" operator="containsText" text="ИЗ ФАЙЛА">
      <formula>NOT(ISERROR(SEARCH("ИЗ ФАЙЛА",A40)))</formula>
    </cfRule>
    <cfRule type="containsText" dxfId="1465" priority="1297" stopIfTrue="1" operator="containsText" text="!!!!">
      <formula>NOT(ISERROR(SEARCH("!!!!",A40)))</formula>
    </cfRule>
    <cfRule type="containsText" dxfId="1464" priority="1298" stopIfTrue="1" operator="containsText" text=" Изделия ">
      <formula>NOT(ISERROR(SEARCH(" Изделия ",A40)))</formula>
    </cfRule>
    <cfRule type="containsText" dxfId="1463" priority="1299" stopIfTrue="1" operator="containsText" text=" Прокат ">
      <formula>NOT(ISERROR(SEARCH(" Прокат ",A40)))</formula>
    </cfRule>
    <cfRule type="containsText" dxfId="1462" priority="1300" stopIfTrue="1" operator="containsText" text=" Сборочные единицы ">
      <formula>NOT(ISERROR(SEARCH(" Сборочные единицы ",A40)))</formula>
    </cfRule>
    <cfRule type="containsText" dxfId="1461" priority="1301" stopIfTrue="1" operator="containsText" text=" Материалы ">
      <formula>NOT(ISERROR(SEARCH(" Материалы ",A40)))</formula>
    </cfRule>
    <cfRule type="containsText" dxfId="1460" priority="1302" stopIfTrue="1" operator="containsText" text=", на ">
      <formula>NOT(ISERROR(SEARCH(", на ",A40)))</formula>
    </cfRule>
    <cfRule type="containsText" dxfId="1459" priority="1303" stopIfTrue="1" operator="containsText" text="шт.)">
      <formula>NOT(ISERROR(SEARCH("шт.)",A40)))</formula>
    </cfRule>
  </conditionalFormatting>
  <conditionalFormatting sqref="J42:J53">
    <cfRule type="containsText" dxfId="1458" priority="1287" stopIfTrue="1" operator="containsText" text="С ЛИСТА">
      <formula>NOT(ISERROR(SEARCH("С ЛИСТА",J42)))</formula>
    </cfRule>
    <cfRule type="containsText" dxfId="1457" priority="1288" stopIfTrue="1" operator="containsText" text="ИЗ ФАЙЛА">
      <formula>NOT(ISERROR(SEARCH("ИЗ ФАЙЛА",J42)))</formula>
    </cfRule>
    <cfRule type="containsText" dxfId="1456" priority="1289" stopIfTrue="1" operator="containsText" text="!!!">
      <formula>NOT(ISERROR(SEARCH("!!!",J42)))</formula>
    </cfRule>
    <cfRule type="containsText" dxfId="1455" priority="1290" stopIfTrue="1" operator="containsText" text=" Изделия ">
      <formula>NOT(ISERROR(SEARCH(" Изделия ",J42)))</formula>
    </cfRule>
    <cfRule type="containsText" dxfId="1454" priority="1291" stopIfTrue="1" operator="containsText" text=" Прокат ">
      <formula>NOT(ISERROR(SEARCH(" Прокат ",J42)))</formula>
    </cfRule>
    <cfRule type="containsText" dxfId="1453" priority="1292" stopIfTrue="1" operator="containsText" text=" Сборочные единицы ">
      <formula>NOT(ISERROR(SEARCH(" Сборочные единицы ",J42)))</formula>
    </cfRule>
    <cfRule type="containsText" dxfId="1452" priority="1293" stopIfTrue="1" operator="containsText" text=" Материалы ">
      <formula>NOT(ISERROR(SEARCH(" Материалы ",J42)))</formula>
    </cfRule>
    <cfRule type="containsText" dxfId="1451" priority="1294" stopIfTrue="1" operator="containsText" text=", на ">
      <formula>NOT(ISERROR(SEARCH(", на ",J42)))</formula>
    </cfRule>
    <cfRule type="containsText" dxfId="1450" priority="1295" stopIfTrue="1" operator="containsText" text="шт.)">
      <formula>NOT(ISERROR(SEARCH("шт.)",J42)))</formula>
    </cfRule>
  </conditionalFormatting>
  <conditionalFormatting sqref="H59:J60 A59:G59 C61:C72">
    <cfRule type="containsText" dxfId="1449" priority="1279" stopIfTrue="1" operator="containsText" text="ИЗ ФАЙЛА">
      <formula>NOT(ISERROR(SEARCH("ИЗ ФАЙЛА",A59)))</formula>
    </cfRule>
    <cfRule type="containsText" dxfId="1448" priority="1280" stopIfTrue="1" operator="containsText" text="!!!!">
      <formula>NOT(ISERROR(SEARCH("!!!!",A59)))</formula>
    </cfRule>
    <cfRule type="containsText" dxfId="1447" priority="1281" stopIfTrue="1" operator="containsText" text=" Изделия ">
      <formula>NOT(ISERROR(SEARCH(" Изделия ",A59)))</formula>
    </cfRule>
    <cfRule type="containsText" dxfId="1446" priority="1282" stopIfTrue="1" operator="containsText" text=" Прокат ">
      <formula>NOT(ISERROR(SEARCH(" Прокат ",A59)))</formula>
    </cfRule>
    <cfRule type="containsText" dxfId="1445" priority="1283" stopIfTrue="1" operator="containsText" text=" Сборочные единицы ">
      <formula>NOT(ISERROR(SEARCH(" Сборочные единицы ",A59)))</formula>
    </cfRule>
    <cfRule type="containsText" dxfId="1444" priority="1284" stopIfTrue="1" operator="containsText" text=" Материалы ">
      <formula>NOT(ISERROR(SEARCH(" Материалы ",A59)))</formula>
    </cfRule>
    <cfRule type="containsText" dxfId="1443" priority="1285" stopIfTrue="1" operator="containsText" text=", на ">
      <formula>NOT(ISERROR(SEARCH(", на ",A59)))</formula>
    </cfRule>
    <cfRule type="containsText" dxfId="1442" priority="1286" stopIfTrue="1" operator="containsText" text="шт.)">
      <formula>NOT(ISERROR(SEARCH("шт.)",A59)))</formula>
    </cfRule>
  </conditionalFormatting>
  <conditionalFormatting sqref="J61:J72">
    <cfRule type="containsText" dxfId="1441" priority="1270" stopIfTrue="1" operator="containsText" text="С ЛИСТА">
      <formula>NOT(ISERROR(SEARCH("С ЛИСТА",J61)))</formula>
    </cfRule>
    <cfRule type="containsText" dxfId="1440" priority="1271" stopIfTrue="1" operator="containsText" text="ИЗ ФАЙЛА">
      <formula>NOT(ISERROR(SEARCH("ИЗ ФАЙЛА",J61)))</formula>
    </cfRule>
    <cfRule type="containsText" dxfId="1439" priority="1272" stopIfTrue="1" operator="containsText" text="!!!">
      <formula>NOT(ISERROR(SEARCH("!!!",J61)))</formula>
    </cfRule>
    <cfRule type="containsText" dxfId="1438" priority="1273" stopIfTrue="1" operator="containsText" text=" Изделия ">
      <formula>NOT(ISERROR(SEARCH(" Изделия ",J61)))</formula>
    </cfRule>
    <cfRule type="containsText" dxfId="1437" priority="1274" stopIfTrue="1" operator="containsText" text=" Прокат ">
      <formula>NOT(ISERROR(SEARCH(" Прокат ",J61)))</formula>
    </cfRule>
    <cfRule type="containsText" dxfId="1436" priority="1275" stopIfTrue="1" operator="containsText" text=" Сборочные единицы ">
      <formula>NOT(ISERROR(SEARCH(" Сборочные единицы ",J61)))</formula>
    </cfRule>
    <cfRule type="containsText" dxfId="1435" priority="1276" stopIfTrue="1" operator="containsText" text=" Материалы ">
      <formula>NOT(ISERROR(SEARCH(" Материалы ",J61)))</formula>
    </cfRule>
    <cfRule type="containsText" dxfId="1434" priority="1277" stopIfTrue="1" operator="containsText" text=", на ">
      <formula>NOT(ISERROR(SEARCH(", на ",J61)))</formula>
    </cfRule>
    <cfRule type="containsText" dxfId="1433" priority="1278" stopIfTrue="1" operator="containsText" text="шт.)">
      <formula>NOT(ISERROR(SEARCH("шт.)",J61)))</formula>
    </cfRule>
  </conditionalFormatting>
  <conditionalFormatting sqref="H78:J79 A78:G78 C80:C91">
    <cfRule type="containsText" dxfId="1432" priority="1262" stopIfTrue="1" operator="containsText" text="ИЗ ФАЙЛА">
      <formula>NOT(ISERROR(SEARCH("ИЗ ФАЙЛА",A78)))</formula>
    </cfRule>
    <cfRule type="containsText" dxfId="1431" priority="1263" stopIfTrue="1" operator="containsText" text="!!!!">
      <formula>NOT(ISERROR(SEARCH("!!!!",A78)))</formula>
    </cfRule>
    <cfRule type="containsText" dxfId="1430" priority="1264" stopIfTrue="1" operator="containsText" text=" Изделия ">
      <formula>NOT(ISERROR(SEARCH(" Изделия ",A78)))</formula>
    </cfRule>
    <cfRule type="containsText" dxfId="1429" priority="1265" stopIfTrue="1" operator="containsText" text=" Прокат ">
      <formula>NOT(ISERROR(SEARCH(" Прокат ",A78)))</formula>
    </cfRule>
    <cfRule type="containsText" dxfId="1428" priority="1266" stopIfTrue="1" operator="containsText" text=" Сборочные единицы ">
      <formula>NOT(ISERROR(SEARCH(" Сборочные единицы ",A78)))</formula>
    </cfRule>
    <cfRule type="containsText" dxfId="1427" priority="1267" stopIfTrue="1" operator="containsText" text=" Материалы ">
      <formula>NOT(ISERROR(SEARCH(" Материалы ",A78)))</formula>
    </cfRule>
    <cfRule type="containsText" dxfId="1426" priority="1268" stopIfTrue="1" operator="containsText" text=", на ">
      <formula>NOT(ISERROR(SEARCH(", на ",A78)))</formula>
    </cfRule>
    <cfRule type="containsText" dxfId="1425" priority="1269" stopIfTrue="1" operator="containsText" text="шт.)">
      <formula>NOT(ISERROR(SEARCH("шт.)",A78)))</formula>
    </cfRule>
  </conditionalFormatting>
  <conditionalFormatting sqref="J80:J91">
    <cfRule type="containsText" dxfId="1424" priority="1253" stopIfTrue="1" operator="containsText" text="С ЛИСТА">
      <formula>NOT(ISERROR(SEARCH("С ЛИСТА",J80)))</formula>
    </cfRule>
    <cfRule type="containsText" dxfId="1423" priority="1254" stopIfTrue="1" operator="containsText" text="ИЗ ФАЙЛА">
      <formula>NOT(ISERROR(SEARCH("ИЗ ФАЙЛА",J80)))</formula>
    </cfRule>
    <cfRule type="containsText" dxfId="1422" priority="1255" stopIfTrue="1" operator="containsText" text="!!!">
      <formula>NOT(ISERROR(SEARCH("!!!",J80)))</formula>
    </cfRule>
    <cfRule type="containsText" dxfId="1421" priority="1256" stopIfTrue="1" operator="containsText" text=" Изделия ">
      <formula>NOT(ISERROR(SEARCH(" Изделия ",J80)))</formula>
    </cfRule>
    <cfRule type="containsText" dxfId="1420" priority="1257" stopIfTrue="1" operator="containsText" text=" Прокат ">
      <formula>NOT(ISERROR(SEARCH(" Прокат ",J80)))</formula>
    </cfRule>
    <cfRule type="containsText" dxfId="1419" priority="1258" stopIfTrue="1" operator="containsText" text=" Сборочные единицы ">
      <formula>NOT(ISERROR(SEARCH(" Сборочные единицы ",J80)))</formula>
    </cfRule>
    <cfRule type="containsText" dxfId="1418" priority="1259" stopIfTrue="1" operator="containsText" text=" Материалы ">
      <formula>NOT(ISERROR(SEARCH(" Материалы ",J80)))</formula>
    </cfRule>
    <cfRule type="containsText" dxfId="1417" priority="1260" stopIfTrue="1" operator="containsText" text=", на ">
      <formula>NOT(ISERROR(SEARCH(", на ",J80)))</formula>
    </cfRule>
    <cfRule type="containsText" dxfId="1416" priority="1261" stopIfTrue="1" operator="containsText" text="шт.)">
      <formula>NOT(ISERROR(SEARCH("шт.)",J80)))</formula>
    </cfRule>
  </conditionalFormatting>
  <conditionalFormatting sqref="H96:J97 A96:G96 C98:C109">
    <cfRule type="containsText" dxfId="1415" priority="1245" stopIfTrue="1" operator="containsText" text="ИЗ ФАЙЛА">
      <formula>NOT(ISERROR(SEARCH("ИЗ ФАЙЛА",A96)))</formula>
    </cfRule>
    <cfRule type="containsText" dxfId="1414" priority="1246" stopIfTrue="1" operator="containsText" text="!!!!">
      <formula>NOT(ISERROR(SEARCH("!!!!",A96)))</formula>
    </cfRule>
    <cfRule type="containsText" dxfId="1413" priority="1247" stopIfTrue="1" operator="containsText" text=" Изделия ">
      <formula>NOT(ISERROR(SEARCH(" Изделия ",A96)))</formula>
    </cfRule>
    <cfRule type="containsText" dxfId="1412" priority="1248" stopIfTrue="1" operator="containsText" text=" Прокат ">
      <formula>NOT(ISERROR(SEARCH(" Прокат ",A96)))</formula>
    </cfRule>
    <cfRule type="containsText" dxfId="1411" priority="1249" stopIfTrue="1" operator="containsText" text=" Сборочные единицы ">
      <formula>NOT(ISERROR(SEARCH(" Сборочные единицы ",A96)))</formula>
    </cfRule>
    <cfRule type="containsText" dxfId="1410" priority="1250" stopIfTrue="1" operator="containsText" text=" Материалы ">
      <formula>NOT(ISERROR(SEARCH(" Материалы ",A96)))</formula>
    </cfRule>
    <cfRule type="containsText" dxfId="1409" priority="1251" stopIfTrue="1" operator="containsText" text=", на ">
      <formula>NOT(ISERROR(SEARCH(", на ",A96)))</formula>
    </cfRule>
    <cfRule type="containsText" dxfId="1408" priority="1252" stopIfTrue="1" operator="containsText" text="шт.)">
      <formula>NOT(ISERROR(SEARCH("шт.)",A96)))</formula>
    </cfRule>
  </conditionalFormatting>
  <conditionalFormatting sqref="J98:J109">
    <cfRule type="containsText" dxfId="1407" priority="1236" stopIfTrue="1" operator="containsText" text="С ЛИСТА">
      <formula>NOT(ISERROR(SEARCH("С ЛИСТА",J98)))</formula>
    </cfRule>
    <cfRule type="containsText" dxfId="1406" priority="1237" stopIfTrue="1" operator="containsText" text="ИЗ ФАЙЛА">
      <formula>NOT(ISERROR(SEARCH("ИЗ ФАЙЛА",J98)))</formula>
    </cfRule>
    <cfRule type="containsText" dxfId="1405" priority="1238" stopIfTrue="1" operator="containsText" text="!!!">
      <formula>NOT(ISERROR(SEARCH("!!!",J98)))</formula>
    </cfRule>
    <cfRule type="containsText" dxfId="1404" priority="1239" stopIfTrue="1" operator="containsText" text=" Изделия ">
      <formula>NOT(ISERROR(SEARCH(" Изделия ",J98)))</formula>
    </cfRule>
    <cfRule type="containsText" dxfId="1403" priority="1240" stopIfTrue="1" operator="containsText" text=" Прокат ">
      <formula>NOT(ISERROR(SEARCH(" Прокат ",J98)))</formula>
    </cfRule>
    <cfRule type="containsText" dxfId="1402" priority="1241" stopIfTrue="1" operator="containsText" text=" Сборочные единицы ">
      <formula>NOT(ISERROR(SEARCH(" Сборочные единицы ",J98)))</formula>
    </cfRule>
    <cfRule type="containsText" dxfId="1401" priority="1242" stopIfTrue="1" operator="containsText" text=" Материалы ">
      <formula>NOT(ISERROR(SEARCH(" Материалы ",J98)))</formula>
    </cfRule>
    <cfRule type="containsText" dxfId="1400" priority="1243" stopIfTrue="1" operator="containsText" text=", на ">
      <formula>NOT(ISERROR(SEARCH(", на ",J98)))</formula>
    </cfRule>
    <cfRule type="containsText" dxfId="1399" priority="1244" stopIfTrue="1" operator="containsText" text="шт.)">
      <formula>NOT(ISERROR(SEARCH("шт.)",J98)))</formula>
    </cfRule>
  </conditionalFormatting>
  <conditionalFormatting sqref="H115:J116 A115:G115 C117:C128">
    <cfRule type="containsText" dxfId="1398" priority="1228" stopIfTrue="1" operator="containsText" text="ИЗ ФАЙЛА">
      <formula>NOT(ISERROR(SEARCH("ИЗ ФАЙЛА",A115)))</formula>
    </cfRule>
    <cfRule type="containsText" dxfId="1397" priority="1229" stopIfTrue="1" operator="containsText" text="!!!!">
      <formula>NOT(ISERROR(SEARCH("!!!!",A115)))</formula>
    </cfRule>
    <cfRule type="containsText" dxfId="1396" priority="1230" stopIfTrue="1" operator="containsText" text=" Изделия ">
      <formula>NOT(ISERROR(SEARCH(" Изделия ",A115)))</formula>
    </cfRule>
    <cfRule type="containsText" dxfId="1395" priority="1231" stopIfTrue="1" operator="containsText" text=" Прокат ">
      <formula>NOT(ISERROR(SEARCH(" Прокат ",A115)))</formula>
    </cfRule>
    <cfRule type="containsText" dxfId="1394" priority="1232" stopIfTrue="1" operator="containsText" text=" Сборочные единицы ">
      <formula>NOT(ISERROR(SEARCH(" Сборочные единицы ",A115)))</formula>
    </cfRule>
    <cfRule type="containsText" dxfId="1393" priority="1233" stopIfTrue="1" operator="containsText" text=" Материалы ">
      <formula>NOT(ISERROR(SEARCH(" Материалы ",A115)))</formula>
    </cfRule>
    <cfRule type="containsText" dxfId="1392" priority="1234" stopIfTrue="1" operator="containsText" text=", на ">
      <formula>NOT(ISERROR(SEARCH(", на ",A115)))</formula>
    </cfRule>
    <cfRule type="containsText" dxfId="1391" priority="1235" stopIfTrue="1" operator="containsText" text="шт.)">
      <formula>NOT(ISERROR(SEARCH("шт.)",A115)))</formula>
    </cfRule>
  </conditionalFormatting>
  <conditionalFormatting sqref="J117:J128">
    <cfRule type="containsText" dxfId="1390" priority="1219" stopIfTrue="1" operator="containsText" text="С ЛИСТА">
      <formula>NOT(ISERROR(SEARCH("С ЛИСТА",J117)))</formula>
    </cfRule>
    <cfRule type="containsText" dxfId="1389" priority="1220" stopIfTrue="1" operator="containsText" text="ИЗ ФАЙЛА">
      <formula>NOT(ISERROR(SEARCH("ИЗ ФАЙЛА",J117)))</formula>
    </cfRule>
    <cfRule type="containsText" dxfId="1388" priority="1221" stopIfTrue="1" operator="containsText" text="!!!">
      <formula>NOT(ISERROR(SEARCH("!!!",J117)))</formula>
    </cfRule>
    <cfRule type="containsText" dxfId="1387" priority="1222" stopIfTrue="1" operator="containsText" text=" Изделия ">
      <formula>NOT(ISERROR(SEARCH(" Изделия ",J117)))</formula>
    </cfRule>
    <cfRule type="containsText" dxfId="1386" priority="1223" stopIfTrue="1" operator="containsText" text=" Прокат ">
      <formula>NOT(ISERROR(SEARCH(" Прокат ",J117)))</formula>
    </cfRule>
    <cfRule type="containsText" dxfId="1385" priority="1224" stopIfTrue="1" operator="containsText" text=" Сборочные единицы ">
      <formula>NOT(ISERROR(SEARCH(" Сборочные единицы ",J117)))</formula>
    </cfRule>
    <cfRule type="containsText" dxfId="1384" priority="1225" stopIfTrue="1" operator="containsText" text=" Материалы ">
      <formula>NOT(ISERROR(SEARCH(" Материалы ",J117)))</formula>
    </cfRule>
    <cfRule type="containsText" dxfId="1383" priority="1226" stopIfTrue="1" operator="containsText" text=", на ">
      <formula>NOT(ISERROR(SEARCH(", на ",J117)))</formula>
    </cfRule>
    <cfRule type="containsText" dxfId="1382" priority="1227" stopIfTrue="1" operator="containsText" text="шт.)">
      <formula>NOT(ISERROR(SEARCH("шт.)",J117)))</formula>
    </cfRule>
  </conditionalFormatting>
  <conditionalFormatting sqref="H134:J135 A134:G134 C136:C147">
    <cfRule type="containsText" dxfId="1381" priority="1211" stopIfTrue="1" operator="containsText" text="ИЗ ФАЙЛА">
      <formula>NOT(ISERROR(SEARCH("ИЗ ФАЙЛА",A134)))</formula>
    </cfRule>
    <cfRule type="containsText" dxfId="1380" priority="1212" stopIfTrue="1" operator="containsText" text="!!!!">
      <formula>NOT(ISERROR(SEARCH("!!!!",A134)))</formula>
    </cfRule>
    <cfRule type="containsText" dxfId="1379" priority="1213" stopIfTrue="1" operator="containsText" text=" Изделия ">
      <formula>NOT(ISERROR(SEARCH(" Изделия ",A134)))</formula>
    </cfRule>
    <cfRule type="containsText" dxfId="1378" priority="1214" stopIfTrue="1" operator="containsText" text=" Прокат ">
      <formula>NOT(ISERROR(SEARCH(" Прокат ",A134)))</formula>
    </cfRule>
    <cfRule type="containsText" dxfId="1377" priority="1215" stopIfTrue="1" operator="containsText" text=" Сборочные единицы ">
      <formula>NOT(ISERROR(SEARCH(" Сборочные единицы ",A134)))</formula>
    </cfRule>
    <cfRule type="containsText" dxfId="1376" priority="1216" stopIfTrue="1" operator="containsText" text=" Материалы ">
      <formula>NOT(ISERROR(SEARCH(" Материалы ",A134)))</formula>
    </cfRule>
    <cfRule type="containsText" dxfId="1375" priority="1217" stopIfTrue="1" operator="containsText" text=", на ">
      <formula>NOT(ISERROR(SEARCH(", на ",A134)))</formula>
    </cfRule>
    <cfRule type="containsText" dxfId="1374" priority="1218" stopIfTrue="1" operator="containsText" text="шт.)">
      <formula>NOT(ISERROR(SEARCH("шт.)",A134)))</formula>
    </cfRule>
  </conditionalFormatting>
  <conditionalFormatting sqref="J136:J147">
    <cfRule type="containsText" dxfId="1373" priority="1202" stopIfTrue="1" operator="containsText" text="С ЛИСТА">
      <formula>NOT(ISERROR(SEARCH("С ЛИСТА",J136)))</formula>
    </cfRule>
    <cfRule type="containsText" dxfId="1372" priority="1203" stopIfTrue="1" operator="containsText" text="ИЗ ФАЙЛА">
      <formula>NOT(ISERROR(SEARCH("ИЗ ФАЙЛА",J136)))</formula>
    </cfRule>
    <cfRule type="containsText" dxfId="1371" priority="1204" stopIfTrue="1" operator="containsText" text="!!!">
      <formula>NOT(ISERROR(SEARCH("!!!",J136)))</formula>
    </cfRule>
    <cfRule type="containsText" dxfId="1370" priority="1205" stopIfTrue="1" operator="containsText" text=" Изделия ">
      <formula>NOT(ISERROR(SEARCH(" Изделия ",J136)))</formula>
    </cfRule>
    <cfRule type="containsText" dxfId="1369" priority="1206" stopIfTrue="1" operator="containsText" text=" Прокат ">
      <formula>NOT(ISERROR(SEARCH(" Прокат ",J136)))</formula>
    </cfRule>
    <cfRule type="containsText" dxfId="1368" priority="1207" stopIfTrue="1" operator="containsText" text=" Сборочные единицы ">
      <formula>NOT(ISERROR(SEARCH(" Сборочные единицы ",J136)))</formula>
    </cfRule>
    <cfRule type="containsText" dxfId="1367" priority="1208" stopIfTrue="1" operator="containsText" text=" Материалы ">
      <formula>NOT(ISERROR(SEARCH(" Материалы ",J136)))</formula>
    </cfRule>
    <cfRule type="containsText" dxfId="1366" priority="1209" stopIfTrue="1" operator="containsText" text=", на ">
      <formula>NOT(ISERROR(SEARCH(", на ",J136)))</formula>
    </cfRule>
    <cfRule type="containsText" dxfId="1365" priority="1210" stopIfTrue="1" operator="containsText" text="шт.)">
      <formula>NOT(ISERROR(SEARCH("шт.)",J136)))</formula>
    </cfRule>
  </conditionalFormatting>
  <conditionalFormatting sqref="H153:J154 A153:G153 C155:C166">
    <cfRule type="containsText" dxfId="1364" priority="1194" stopIfTrue="1" operator="containsText" text="ИЗ ФАЙЛА">
      <formula>NOT(ISERROR(SEARCH("ИЗ ФАЙЛА",A153)))</formula>
    </cfRule>
    <cfRule type="containsText" dxfId="1363" priority="1195" stopIfTrue="1" operator="containsText" text="!!!!">
      <formula>NOT(ISERROR(SEARCH("!!!!",A153)))</formula>
    </cfRule>
    <cfRule type="containsText" dxfId="1362" priority="1196" stopIfTrue="1" operator="containsText" text=" Изделия ">
      <formula>NOT(ISERROR(SEARCH(" Изделия ",A153)))</formula>
    </cfRule>
    <cfRule type="containsText" dxfId="1361" priority="1197" stopIfTrue="1" operator="containsText" text=" Прокат ">
      <formula>NOT(ISERROR(SEARCH(" Прокат ",A153)))</formula>
    </cfRule>
    <cfRule type="containsText" dxfId="1360" priority="1198" stopIfTrue="1" operator="containsText" text=" Сборочные единицы ">
      <formula>NOT(ISERROR(SEARCH(" Сборочные единицы ",A153)))</formula>
    </cfRule>
    <cfRule type="containsText" dxfId="1359" priority="1199" stopIfTrue="1" operator="containsText" text=" Материалы ">
      <formula>NOT(ISERROR(SEARCH(" Материалы ",A153)))</formula>
    </cfRule>
    <cfRule type="containsText" dxfId="1358" priority="1200" stopIfTrue="1" operator="containsText" text=", на ">
      <formula>NOT(ISERROR(SEARCH(", на ",A153)))</formula>
    </cfRule>
    <cfRule type="containsText" dxfId="1357" priority="1201" stopIfTrue="1" operator="containsText" text="шт.)">
      <formula>NOT(ISERROR(SEARCH("шт.)",A153)))</formula>
    </cfRule>
  </conditionalFormatting>
  <conditionalFormatting sqref="J155:J166">
    <cfRule type="containsText" dxfId="1356" priority="1185" stopIfTrue="1" operator="containsText" text="С ЛИСТА">
      <formula>NOT(ISERROR(SEARCH("С ЛИСТА",J155)))</formula>
    </cfRule>
    <cfRule type="containsText" dxfId="1355" priority="1186" stopIfTrue="1" operator="containsText" text="ИЗ ФАЙЛА">
      <formula>NOT(ISERROR(SEARCH("ИЗ ФАЙЛА",J155)))</formula>
    </cfRule>
    <cfRule type="containsText" dxfId="1354" priority="1187" stopIfTrue="1" operator="containsText" text="!!!">
      <formula>NOT(ISERROR(SEARCH("!!!",J155)))</formula>
    </cfRule>
    <cfRule type="containsText" dxfId="1353" priority="1188" stopIfTrue="1" operator="containsText" text=" Изделия ">
      <formula>NOT(ISERROR(SEARCH(" Изделия ",J155)))</formula>
    </cfRule>
    <cfRule type="containsText" dxfId="1352" priority="1189" stopIfTrue="1" operator="containsText" text=" Прокат ">
      <formula>NOT(ISERROR(SEARCH(" Прокат ",J155)))</formula>
    </cfRule>
    <cfRule type="containsText" dxfId="1351" priority="1190" stopIfTrue="1" operator="containsText" text=" Сборочные единицы ">
      <formula>NOT(ISERROR(SEARCH(" Сборочные единицы ",J155)))</formula>
    </cfRule>
    <cfRule type="containsText" dxfId="1350" priority="1191" stopIfTrue="1" operator="containsText" text=" Материалы ">
      <formula>NOT(ISERROR(SEARCH(" Материалы ",J155)))</formula>
    </cfRule>
    <cfRule type="containsText" dxfId="1349" priority="1192" stopIfTrue="1" operator="containsText" text=", на ">
      <formula>NOT(ISERROR(SEARCH(", на ",J155)))</formula>
    </cfRule>
    <cfRule type="containsText" dxfId="1348" priority="1193" stopIfTrue="1" operator="containsText" text="шт.)">
      <formula>NOT(ISERROR(SEARCH("шт.)",J155)))</formula>
    </cfRule>
  </conditionalFormatting>
  <conditionalFormatting sqref="H172:J173 A172:G172 C174:C185">
    <cfRule type="containsText" dxfId="1347" priority="1177" stopIfTrue="1" operator="containsText" text="ИЗ ФАЙЛА">
      <formula>NOT(ISERROR(SEARCH("ИЗ ФАЙЛА",A172)))</formula>
    </cfRule>
    <cfRule type="containsText" dxfId="1346" priority="1178" stopIfTrue="1" operator="containsText" text="!!!!">
      <formula>NOT(ISERROR(SEARCH("!!!!",A172)))</formula>
    </cfRule>
    <cfRule type="containsText" dxfId="1345" priority="1179" stopIfTrue="1" operator="containsText" text=" Изделия ">
      <formula>NOT(ISERROR(SEARCH(" Изделия ",A172)))</formula>
    </cfRule>
    <cfRule type="containsText" dxfId="1344" priority="1180" stopIfTrue="1" operator="containsText" text=" Прокат ">
      <formula>NOT(ISERROR(SEARCH(" Прокат ",A172)))</formula>
    </cfRule>
    <cfRule type="containsText" dxfId="1343" priority="1181" stopIfTrue="1" operator="containsText" text=" Сборочные единицы ">
      <formula>NOT(ISERROR(SEARCH(" Сборочные единицы ",A172)))</formula>
    </cfRule>
    <cfRule type="containsText" dxfId="1342" priority="1182" stopIfTrue="1" operator="containsText" text=" Материалы ">
      <formula>NOT(ISERROR(SEARCH(" Материалы ",A172)))</formula>
    </cfRule>
    <cfRule type="containsText" dxfId="1341" priority="1183" stopIfTrue="1" operator="containsText" text=", на ">
      <formula>NOT(ISERROR(SEARCH(", на ",A172)))</formula>
    </cfRule>
    <cfRule type="containsText" dxfId="1340" priority="1184" stopIfTrue="1" operator="containsText" text="шт.)">
      <formula>NOT(ISERROR(SEARCH("шт.)",A172)))</formula>
    </cfRule>
  </conditionalFormatting>
  <conditionalFormatting sqref="J174:J185">
    <cfRule type="containsText" dxfId="1339" priority="1168" stopIfTrue="1" operator="containsText" text="С ЛИСТА">
      <formula>NOT(ISERROR(SEARCH("С ЛИСТА",J174)))</formula>
    </cfRule>
    <cfRule type="containsText" dxfId="1338" priority="1169" stopIfTrue="1" operator="containsText" text="ИЗ ФАЙЛА">
      <formula>NOT(ISERROR(SEARCH("ИЗ ФАЙЛА",J174)))</formula>
    </cfRule>
    <cfRule type="containsText" dxfId="1337" priority="1170" stopIfTrue="1" operator="containsText" text="!!!">
      <formula>NOT(ISERROR(SEARCH("!!!",J174)))</formula>
    </cfRule>
    <cfRule type="containsText" dxfId="1336" priority="1171" stopIfTrue="1" operator="containsText" text=" Изделия ">
      <formula>NOT(ISERROR(SEARCH(" Изделия ",J174)))</formula>
    </cfRule>
    <cfRule type="containsText" dxfId="1335" priority="1172" stopIfTrue="1" operator="containsText" text=" Прокат ">
      <formula>NOT(ISERROR(SEARCH(" Прокат ",J174)))</formula>
    </cfRule>
    <cfRule type="containsText" dxfId="1334" priority="1173" stopIfTrue="1" operator="containsText" text=" Сборочные единицы ">
      <formula>NOT(ISERROR(SEARCH(" Сборочные единицы ",J174)))</formula>
    </cfRule>
    <cfRule type="containsText" dxfId="1333" priority="1174" stopIfTrue="1" operator="containsText" text=" Материалы ">
      <formula>NOT(ISERROR(SEARCH(" Материалы ",J174)))</formula>
    </cfRule>
    <cfRule type="containsText" dxfId="1332" priority="1175" stopIfTrue="1" operator="containsText" text=", на ">
      <formula>NOT(ISERROR(SEARCH(", на ",J174)))</formula>
    </cfRule>
    <cfRule type="containsText" dxfId="1331" priority="1176" stopIfTrue="1" operator="containsText" text="шт.)">
      <formula>NOT(ISERROR(SEARCH("шт.)",J174)))</formula>
    </cfRule>
  </conditionalFormatting>
  <conditionalFormatting sqref="H191:J192 A191:G191 C193:C204">
    <cfRule type="containsText" dxfId="1330" priority="1160" stopIfTrue="1" operator="containsText" text="ИЗ ФАЙЛА">
      <formula>NOT(ISERROR(SEARCH("ИЗ ФАЙЛА",A191)))</formula>
    </cfRule>
    <cfRule type="containsText" dxfId="1329" priority="1161" stopIfTrue="1" operator="containsText" text="!!!!">
      <formula>NOT(ISERROR(SEARCH("!!!!",A191)))</formula>
    </cfRule>
    <cfRule type="containsText" dxfId="1328" priority="1162" stopIfTrue="1" operator="containsText" text=" Изделия ">
      <formula>NOT(ISERROR(SEARCH(" Изделия ",A191)))</formula>
    </cfRule>
    <cfRule type="containsText" dxfId="1327" priority="1163" stopIfTrue="1" operator="containsText" text=" Прокат ">
      <formula>NOT(ISERROR(SEARCH(" Прокат ",A191)))</formula>
    </cfRule>
    <cfRule type="containsText" dxfId="1326" priority="1164" stopIfTrue="1" operator="containsText" text=" Сборочные единицы ">
      <formula>NOT(ISERROR(SEARCH(" Сборочные единицы ",A191)))</formula>
    </cfRule>
    <cfRule type="containsText" dxfId="1325" priority="1165" stopIfTrue="1" operator="containsText" text=" Материалы ">
      <formula>NOT(ISERROR(SEARCH(" Материалы ",A191)))</formula>
    </cfRule>
    <cfRule type="containsText" dxfId="1324" priority="1166" stopIfTrue="1" operator="containsText" text=", на ">
      <formula>NOT(ISERROR(SEARCH(", на ",A191)))</formula>
    </cfRule>
    <cfRule type="containsText" dxfId="1323" priority="1167" stopIfTrue="1" operator="containsText" text="шт.)">
      <formula>NOT(ISERROR(SEARCH("шт.)",A191)))</formula>
    </cfRule>
  </conditionalFormatting>
  <conditionalFormatting sqref="J193:J204">
    <cfRule type="containsText" dxfId="1322" priority="1151" stopIfTrue="1" operator="containsText" text="С ЛИСТА">
      <formula>NOT(ISERROR(SEARCH("С ЛИСТА",J193)))</formula>
    </cfRule>
    <cfRule type="containsText" dxfId="1321" priority="1152" stopIfTrue="1" operator="containsText" text="ИЗ ФАЙЛА">
      <formula>NOT(ISERROR(SEARCH("ИЗ ФАЙЛА",J193)))</formula>
    </cfRule>
    <cfRule type="containsText" dxfId="1320" priority="1153" stopIfTrue="1" operator="containsText" text="!!!">
      <formula>NOT(ISERROR(SEARCH("!!!",J193)))</formula>
    </cfRule>
    <cfRule type="containsText" dxfId="1319" priority="1154" stopIfTrue="1" operator="containsText" text=" Изделия ">
      <formula>NOT(ISERROR(SEARCH(" Изделия ",J193)))</formula>
    </cfRule>
    <cfRule type="containsText" dxfId="1318" priority="1155" stopIfTrue="1" operator="containsText" text=" Прокат ">
      <formula>NOT(ISERROR(SEARCH(" Прокат ",J193)))</formula>
    </cfRule>
    <cfRule type="containsText" dxfId="1317" priority="1156" stopIfTrue="1" operator="containsText" text=" Сборочные единицы ">
      <formula>NOT(ISERROR(SEARCH(" Сборочные единицы ",J193)))</formula>
    </cfRule>
    <cfRule type="containsText" dxfId="1316" priority="1157" stopIfTrue="1" operator="containsText" text=" Материалы ">
      <formula>NOT(ISERROR(SEARCH(" Материалы ",J193)))</formula>
    </cfRule>
    <cfRule type="containsText" dxfId="1315" priority="1158" stopIfTrue="1" operator="containsText" text=", на ">
      <formula>NOT(ISERROR(SEARCH(", на ",J193)))</formula>
    </cfRule>
    <cfRule type="containsText" dxfId="1314" priority="1159" stopIfTrue="1" operator="containsText" text="шт.)">
      <formula>NOT(ISERROR(SEARCH("шт.)",J193)))</formula>
    </cfRule>
  </conditionalFormatting>
  <conditionalFormatting sqref="F21:G21">
    <cfRule type="containsText" dxfId="1313" priority="1143" stopIfTrue="1" operator="containsText" text="ИЗ ФАЙЛА">
      <formula>NOT(ISERROR(SEARCH("ИЗ ФАЙЛА",F21)))</formula>
    </cfRule>
    <cfRule type="containsText" dxfId="1312" priority="1144" stopIfTrue="1" operator="containsText" text="!!!!">
      <formula>NOT(ISERROR(SEARCH("!!!!",F21)))</formula>
    </cfRule>
    <cfRule type="containsText" dxfId="1311" priority="1145" stopIfTrue="1" operator="containsText" text=" Изделия ">
      <formula>NOT(ISERROR(SEARCH(" Изделия ",F21)))</formula>
    </cfRule>
    <cfRule type="containsText" dxfId="1310" priority="1146" stopIfTrue="1" operator="containsText" text=" Прокат ">
      <formula>NOT(ISERROR(SEARCH(" Прокат ",F21)))</formula>
    </cfRule>
    <cfRule type="containsText" dxfId="1309" priority="1147" stopIfTrue="1" operator="containsText" text=" Сборочные единицы ">
      <formula>NOT(ISERROR(SEARCH(" Сборочные единицы ",F21)))</formula>
    </cfRule>
    <cfRule type="containsText" dxfId="1308" priority="1148" stopIfTrue="1" operator="containsText" text=" Материалы ">
      <formula>NOT(ISERROR(SEARCH(" Материалы ",F21)))</formula>
    </cfRule>
    <cfRule type="containsText" dxfId="1307" priority="1149" stopIfTrue="1" operator="containsText" text=", на ">
      <formula>NOT(ISERROR(SEARCH(", на ",F21)))</formula>
    </cfRule>
    <cfRule type="containsText" dxfId="1306" priority="1150" stopIfTrue="1" operator="containsText" text="шт.)">
      <formula>NOT(ISERROR(SEARCH("шт.)",F21)))</formula>
    </cfRule>
  </conditionalFormatting>
  <conditionalFormatting sqref="F40:G40">
    <cfRule type="containsText" dxfId="1305" priority="1135" stopIfTrue="1" operator="containsText" text="ИЗ ФАЙЛА">
      <formula>NOT(ISERROR(SEARCH("ИЗ ФАЙЛА",F40)))</formula>
    </cfRule>
    <cfRule type="containsText" dxfId="1304" priority="1136" stopIfTrue="1" operator="containsText" text="!!!!">
      <formula>NOT(ISERROR(SEARCH("!!!!",F40)))</formula>
    </cfRule>
    <cfRule type="containsText" dxfId="1303" priority="1137" stopIfTrue="1" operator="containsText" text=" Изделия ">
      <formula>NOT(ISERROR(SEARCH(" Изделия ",F40)))</formula>
    </cfRule>
    <cfRule type="containsText" dxfId="1302" priority="1138" stopIfTrue="1" operator="containsText" text=" Прокат ">
      <formula>NOT(ISERROR(SEARCH(" Прокат ",F40)))</formula>
    </cfRule>
    <cfRule type="containsText" dxfId="1301" priority="1139" stopIfTrue="1" operator="containsText" text=" Сборочные единицы ">
      <formula>NOT(ISERROR(SEARCH(" Сборочные единицы ",F40)))</formula>
    </cfRule>
    <cfRule type="containsText" dxfId="1300" priority="1140" stopIfTrue="1" operator="containsText" text=" Материалы ">
      <formula>NOT(ISERROR(SEARCH(" Материалы ",F40)))</formula>
    </cfRule>
    <cfRule type="containsText" dxfId="1299" priority="1141" stopIfTrue="1" operator="containsText" text=", на ">
      <formula>NOT(ISERROR(SEARCH(", на ",F40)))</formula>
    </cfRule>
    <cfRule type="containsText" dxfId="1298" priority="1142" stopIfTrue="1" operator="containsText" text="шт.)">
      <formula>NOT(ISERROR(SEARCH("шт.)",F40)))</formula>
    </cfRule>
  </conditionalFormatting>
  <conditionalFormatting sqref="F40:G40">
    <cfRule type="containsText" dxfId="1297" priority="1127" stopIfTrue="1" operator="containsText" text="ИЗ ФАЙЛА">
      <formula>NOT(ISERROR(SEARCH("ИЗ ФАЙЛА",F40)))</formula>
    </cfRule>
    <cfRule type="containsText" dxfId="1296" priority="1128" stopIfTrue="1" operator="containsText" text="!!!!">
      <formula>NOT(ISERROR(SEARCH("!!!!",F40)))</formula>
    </cfRule>
    <cfRule type="containsText" dxfId="1295" priority="1129" stopIfTrue="1" operator="containsText" text=" Изделия ">
      <formula>NOT(ISERROR(SEARCH(" Изделия ",F40)))</formula>
    </cfRule>
    <cfRule type="containsText" dxfId="1294" priority="1130" stopIfTrue="1" operator="containsText" text=" Прокат ">
      <formula>NOT(ISERROR(SEARCH(" Прокат ",F40)))</formula>
    </cfRule>
    <cfRule type="containsText" dxfId="1293" priority="1131" stopIfTrue="1" operator="containsText" text=" Сборочные единицы ">
      <formula>NOT(ISERROR(SEARCH(" Сборочные единицы ",F40)))</formula>
    </cfRule>
    <cfRule type="containsText" dxfId="1292" priority="1132" stopIfTrue="1" operator="containsText" text=" Материалы ">
      <formula>NOT(ISERROR(SEARCH(" Материалы ",F40)))</formula>
    </cfRule>
    <cfRule type="containsText" dxfId="1291" priority="1133" stopIfTrue="1" operator="containsText" text=", на ">
      <formula>NOT(ISERROR(SEARCH(", на ",F40)))</formula>
    </cfRule>
    <cfRule type="containsText" dxfId="1290" priority="1134" stopIfTrue="1" operator="containsText" text="шт.)">
      <formula>NOT(ISERROR(SEARCH("шт.)",F40)))</formula>
    </cfRule>
  </conditionalFormatting>
  <conditionalFormatting sqref="F59:G59">
    <cfRule type="containsText" dxfId="1289" priority="1119" stopIfTrue="1" operator="containsText" text="ИЗ ФАЙЛА">
      <formula>NOT(ISERROR(SEARCH("ИЗ ФАЙЛА",F59)))</formula>
    </cfRule>
    <cfRule type="containsText" dxfId="1288" priority="1120" stopIfTrue="1" operator="containsText" text="!!!!">
      <formula>NOT(ISERROR(SEARCH("!!!!",F59)))</formula>
    </cfRule>
    <cfRule type="containsText" dxfId="1287" priority="1121" stopIfTrue="1" operator="containsText" text=" Изделия ">
      <formula>NOT(ISERROR(SEARCH(" Изделия ",F59)))</formula>
    </cfRule>
    <cfRule type="containsText" dxfId="1286" priority="1122" stopIfTrue="1" operator="containsText" text=" Прокат ">
      <formula>NOT(ISERROR(SEARCH(" Прокат ",F59)))</formula>
    </cfRule>
    <cfRule type="containsText" dxfId="1285" priority="1123" stopIfTrue="1" operator="containsText" text=" Сборочные единицы ">
      <formula>NOT(ISERROR(SEARCH(" Сборочные единицы ",F59)))</formula>
    </cfRule>
    <cfRule type="containsText" dxfId="1284" priority="1124" stopIfTrue="1" operator="containsText" text=" Материалы ">
      <formula>NOT(ISERROR(SEARCH(" Материалы ",F59)))</formula>
    </cfRule>
    <cfRule type="containsText" dxfId="1283" priority="1125" stopIfTrue="1" operator="containsText" text=", на ">
      <formula>NOT(ISERROR(SEARCH(", на ",F59)))</formula>
    </cfRule>
    <cfRule type="containsText" dxfId="1282" priority="1126" stopIfTrue="1" operator="containsText" text="шт.)">
      <formula>NOT(ISERROR(SEARCH("шт.)",F59)))</formula>
    </cfRule>
  </conditionalFormatting>
  <conditionalFormatting sqref="F59:G59">
    <cfRule type="containsText" dxfId="1281" priority="1111" stopIfTrue="1" operator="containsText" text="ИЗ ФАЙЛА">
      <formula>NOT(ISERROR(SEARCH("ИЗ ФАЙЛА",F59)))</formula>
    </cfRule>
    <cfRule type="containsText" dxfId="1280" priority="1112" stopIfTrue="1" operator="containsText" text="!!!!">
      <formula>NOT(ISERROR(SEARCH("!!!!",F59)))</formula>
    </cfRule>
    <cfRule type="containsText" dxfId="1279" priority="1113" stopIfTrue="1" operator="containsText" text=" Изделия ">
      <formula>NOT(ISERROR(SEARCH(" Изделия ",F59)))</formula>
    </cfRule>
    <cfRule type="containsText" dxfId="1278" priority="1114" stopIfTrue="1" operator="containsText" text=" Прокат ">
      <formula>NOT(ISERROR(SEARCH(" Прокат ",F59)))</formula>
    </cfRule>
    <cfRule type="containsText" dxfId="1277" priority="1115" stopIfTrue="1" operator="containsText" text=" Сборочные единицы ">
      <formula>NOT(ISERROR(SEARCH(" Сборочные единицы ",F59)))</formula>
    </cfRule>
    <cfRule type="containsText" dxfId="1276" priority="1116" stopIfTrue="1" operator="containsText" text=" Материалы ">
      <formula>NOT(ISERROR(SEARCH(" Материалы ",F59)))</formula>
    </cfRule>
    <cfRule type="containsText" dxfId="1275" priority="1117" stopIfTrue="1" operator="containsText" text=", на ">
      <formula>NOT(ISERROR(SEARCH(", на ",F59)))</formula>
    </cfRule>
    <cfRule type="containsText" dxfId="1274" priority="1118" stopIfTrue="1" operator="containsText" text="шт.)">
      <formula>NOT(ISERROR(SEARCH("шт.)",F59)))</formula>
    </cfRule>
  </conditionalFormatting>
  <conditionalFormatting sqref="F78:G78">
    <cfRule type="containsText" dxfId="1273" priority="1103" stopIfTrue="1" operator="containsText" text="ИЗ ФАЙЛА">
      <formula>NOT(ISERROR(SEARCH("ИЗ ФАЙЛА",F78)))</formula>
    </cfRule>
    <cfRule type="containsText" dxfId="1272" priority="1104" stopIfTrue="1" operator="containsText" text="!!!!">
      <formula>NOT(ISERROR(SEARCH("!!!!",F78)))</formula>
    </cfRule>
    <cfRule type="containsText" dxfId="1271" priority="1105" stopIfTrue="1" operator="containsText" text=" Изделия ">
      <formula>NOT(ISERROR(SEARCH(" Изделия ",F78)))</formula>
    </cfRule>
    <cfRule type="containsText" dxfId="1270" priority="1106" stopIfTrue="1" operator="containsText" text=" Прокат ">
      <formula>NOT(ISERROR(SEARCH(" Прокат ",F78)))</formula>
    </cfRule>
    <cfRule type="containsText" dxfId="1269" priority="1107" stopIfTrue="1" operator="containsText" text=" Сборочные единицы ">
      <formula>NOT(ISERROR(SEARCH(" Сборочные единицы ",F78)))</formula>
    </cfRule>
    <cfRule type="containsText" dxfId="1268" priority="1108" stopIfTrue="1" operator="containsText" text=" Материалы ">
      <formula>NOT(ISERROR(SEARCH(" Материалы ",F78)))</formula>
    </cfRule>
    <cfRule type="containsText" dxfId="1267" priority="1109" stopIfTrue="1" operator="containsText" text=", на ">
      <formula>NOT(ISERROR(SEARCH(", на ",F78)))</formula>
    </cfRule>
    <cfRule type="containsText" dxfId="1266" priority="1110" stopIfTrue="1" operator="containsText" text="шт.)">
      <formula>NOT(ISERROR(SEARCH("шт.)",F78)))</formula>
    </cfRule>
  </conditionalFormatting>
  <conditionalFormatting sqref="F78:G78">
    <cfRule type="containsText" dxfId="1265" priority="1095" stopIfTrue="1" operator="containsText" text="ИЗ ФАЙЛА">
      <formula>NOT(ISERROR(SEARCH("ИЗ ФАЙЛА",F78)))</formula>
    </cfRule>
    <cfRule type="containsText" dxfId="1264" priority="1096" stopIfTrue="1" operator="containsText" text="!!!!">
      <formula>NOT(ISERROR(SEARCH("!!!!",F78)))</formula>
    </cfRule>
    <cfRule type="containsText" dxfId="1263" priority="1097" stopIfTrue="1" operator="containsText" text=" Изделия ">
      <formula>NOT(ISERROR(SEARCH(" Изделия ",F78)))</formula>
    </cfRule>
    <cfRule type="containsText" dxfId="1262" priority="1098" stopIfTrue="1" operator="containsText" text=" Прокат ">
      <formula>NOT(ISERROR(SEARCH(" Прокат ",F78)))</formula>
    </cfRule>
    <cfRule type="containsText" dxfId="1261" priority="1099" stopIfTrue="1" operator="containsText" text=" Сборочные единицы ">
      <formula>NOT(ISERROR(SEARCH(" Сборочные единицы ",F78)))</formula>
    </cfRule>
    <cfRule type="containsText" dxfId="1260" priority="1100" stopIfTrue="1" operator="containsText" text=" Материалы ">
      <formula>NOT(ISERROR(SEARCH(" Материалы ",F78)))</formula>
    </cfRule>
    <cfRule type="containsText" dxfId="1259" priority="1101" stopIfTrue="1" operator="containsText" text=", на ">
      <formula>NOT(ISERROR(SEARCH(", на ",F78)))</formula>
    </cfRule>
    <cfRule type="containsText" dxfId="1258" priority="1102" stopIfTrue="1" operator="containsText" text="шт.)">
      <formula>NOT(ISERROR(SEARCH("шт.)",F78)))</formula>
    </cfRule>
  </conditionalFormatting>
  <conditionalFormatting sqref="F96:G96">
    <cfRule type="containsText" dxfId="1257" priority="1087" stopIfTrue="1" operator="containsText" text="ИЗ ФАЙЛА">
      <formula>NOT(ISERROR(SEARCH("ИЗ ФАЙЛА",F96)))</formula>
    </cfRule>
    <cfRule type="containsText" dxfId="1256" priority="1088" stopIfTrue="1" operator="containsText" text="!!!!">
      <formula>NOT(ISERROR(SEARCH("!!!!",F96)))</formula>
    </cfRule>
    <cfRule type="containsText" dxfId="1255" priority="1089" stopIfTrue="1" operator="containsText" text=" Изделия ">
      <formula>NOT(ISERROR(SEARCH(" Изделия ",F96)))</formula>
    </cfRule>
    <cfRule type="containsText" dxfId="1254" priority="1090" stopIfTrue="1" operator="containsText" text=" Прокат ">
      <formula>NOT(ISERROR(SEARCH(" Прокат ",F96)))</formula>
    </cfRule>
    <cfRule type="containsText" dxfId="1253" priority="1091" stopIfTrue="1" operator="containsText" text=" Сборочные единицы ">
      <formula>NOT(ISERROR(SEARCH(" Сборочные единицы ",F96)))</formula>
    </cfRule>
    <cfRule type="containsText" dxfId="1252" priority="1092" stopIfTrue="1" operator="containsText" text=" Материалы ">
      <formula>NOT(ISERROR(SEARCH(" Материалы ",F96)))</formula>
    </cfRule>
    <cfRule type="containsText" dxfId="1251" priority="1093" stopIfTrue="1" operator="containsText" text=", на ">
      <formula>NOT(ISERROR(SEARCH(", на ",F96)))</formula>
    </cfRule>
    <cfRule type="containsText" dxfId="1250" priority="1094" stopIfTrue="1" operator="containsText" text="шт.)">
      <formula>NOT(ISERROR(SEARCH("шт.)",F96)))</formula>
    </cfRule>
  </conditionalFormatting>
  <conditionalFormatting sqref="F96:G96">
    <cfRule type="containsText" dxfId="1249" priority="1079" stopIfTrue="1" operator="containsText" text="ИЗ ФАЙЛА">
      <formula>NOT(ISERROR(SEARCH("ИЗ ФАЙЛА",F96)))</formula>
    </cfRule>
    <cfRule type="containsText" dxfId="1248" priority="1080" stopIfTrue="1" operator="containsText" text="!!!!">
      <formula>NOT(ISERROR(SEARCH("!!!!",F96)))</formula>
    </cfRule>
    <cfRule type="containsText" dxfId="1247" priority="1081" stopIfTrue="1" operator="containsText" text=" Изделия ">
      <formula>NOT(ISERROR(SEARCH(" Изделия ",F96)))</formula>
    </cfRule>
    <cfRule type="containsText" dxfId="1246" priority="1082" stopIfTrue="1" operator="containsText" text=" Прокат ">
      <formula>NOT(ISERROR(SEARCH(" Прокат ",F96)))</formula>
    </cfRule>
    <cfRule type="containsText" dxfId="1245" priority="1083" stopIfTrue="1" operator="containsText" text=" Сборочные единицы ">
      <formula>NOT(ISERROR(SEARCH(" Сборочные единицы ",F96)))</formula>
    </cfRule>
    <cfRule type="containsText" dxfId="1244" priority="1084" stopIfTrue="1" operator="containsText" text=" Материалы ">
      <formula>NOT(ISERROR(SEARCH(" Материалы ",F96)))</formula>
    </cfRule>
    <cfRule type="containsText" dxfId="1243" priority="1085" stopIfTrue="1" operator="containsText" text=", на ">
      <formula>NOT(ISERROR(SEARCH(", на ",F96)))</formula>
    </cfRule>
    <cfRule type="containsText" dxfId="1242" priority="1086" stopIfTrue="1" operator="containsText" text="шт.)">
      <formula>NOT(ISERROR(SEARCH("шт.)",F96)))</formula>
    </cfRule>
  </conditionalFormatting>
  <conditionalFormatting sqref="F115:G115">
    <cfRule type="containsText" dxfId="1241" priority="1071" stopIfTrue="1" operator="containsText" text="ИЗ ФАЙЛА">
      <formula>NOT(ISERROR(SEARCH("ИЗ ФАЙЛА",F115)))</formula>
    </cfRule>
    <cfRule type="containsText" dxfId="1240" priority="1072" stopIfTrue="1" operator="containsText" text="!!!!">
      <formula>NOT(ISERROR(SEARCH("!!!!",F115)))</formula>
    </cfRule>
    <cfRule type="containsText" dxfId="1239" priority="1073" stopIfTrue="1" operator="containsText" text=" Изделия ">
      <formula>NOT(ISERROR(SEARCH(" Изделия ",F115)))</formula>
    </cfRule>
    <cfRule type="containsText" dxfId="1238" priority="1074" stopIfTrue="1" operator="containsText" text=" Прокат ">
      <formula>NOT(ISERROR(SEARCH(" Прокат ",F115)))</formula>
    </cfRule>
    <cfRule type="containsText" dxfId="1237" priority="1075" stopIfTrue="1" operator="containsText" text=" Сборочные единицы ">
      <formula>NOT(ISERROR(SEARCH(" Сборочные единицы ",F115)))</formula>
    </cfRule>
    <cfRule type="containsText" dxfId="1236" priority="1076" stopIfTrue="1" operator="containsText" text=" Материалы ">
      <formula>NOT(ISERROR(SEARCH(" Материалы ",F115)))</formula>
    </cfRule>
    <cfRule type="containsText" dxfId="1235" priority="1077" stopIfTrue="1" operator="containsText" text=", на ">
      <formula>NOT(ISERROR(SEARCH(", на ",F115)))</formula>
    </cfRule>
    <cfRule type="containsText" dxfId="1234" priority="1078" stopIfTrue="1" operator="containsText" text="шт.)">
      <formula>NOT(ISERROR(SEARCH("шт.)",F115)))</formula>
    </cfRule>
  </conditionalFormatting>
  <conditionalFormatting sqref="F115:G115">
    <cfRule type="containsText" dxfId="1233" priority="1063" stopIfTrue="1" operator="containsText" text="ИЗ ФАЙЛА">
      <formula>NOT(ISERROR(SEARCH("ИЗ ФАЙЛА",F115)))</formula>
    </cfRule>
    <cfRule type="containsText" dxfId="1232" priority="1064" stopIfTrue="1" operator="containsText" text="!!!!">
      <formula>NOT(ISERROR(SEARCH("!!!!",F115)))</formula>
    </cfRule>
    <cfRule type="containsText" dxfId="1231" priority="1065" stopIfTrue="1" operator="containsText" text=" Изделия ">
      <formula>NOT(ISERROR(SEARCH(" Изделия ",F115)))</formula>
    </cfRule>
    <cfRule type="containsText" dxfId="1230" priority="1066" stopIfTrue="1" operator="containsText" text=" Прокат ">
      <formula>NOT(ISERROR(SEARCH(" Прокат ",F115)))</formula>
    </cfRule>
    <cfRule type="containsText" dxfId="1229" priority="1067" stopIfTrue="1" operator="containsText" text=" Сборочные единицы ">
      <formula>NOT(ISERROR(SEARCH(" Сборочные единицы ",F115)))</formula>
    </cfRule>
    <cfRule type="containsText" dxfId="1228" priority="1068" stopIfTrue="1" operator="containsText" text=" Материалы ">
      <formula>NOT(ISERROR(SEARCH(" Материалы ",F115)))</formula>
    </cfRule>
    <cfRule type="containsText" dxfId="1227" priority="1069" stopIfTrue="1" operator="containsText" text=", на ">
      <formula>NOT(ISERROR(SEARCH(", на ",F115)))</formula>
    </cfRule>
    <cfRule type="containsText" dxfId="1226" priority="1070" stopIfTrue="1" operator="containsText" text="шт.)">
      <formula>NOT(ISERROR(SEARCH("шт.)",F115)))</formula>
    </cfRule>
  </conditionalFormatting>
  <conditionalFormatting sqref="F134:G134">
    <cfRule type="containsText" dxfId="1225" priority="1055" stopIfTrue="1" operator="containsText" text="ИЗ ФАЙЛА">
      <formula>NOT(ISERROR(SEARCH("ИЗ ФАЙЛА",F134)))</formula>
    </cfRule>
    <cfRule type="containsText" dxfId="1224" priority="1056" stopIfTrue="1" operator="containsText" text="!!!!">
      <formula>NOT(ISERROR(SEARCH("!!!!",F134)))</formula>
    </cfRule>
    <cfRule type="containsText" dxfId="1223" priority="1057" stopIfTrue="1" operator="containsText" text=" Изделия ">
      <formula>NOT(ISERROR(SEARCH(" Изделия ",F134)))</formula>
    </cfRule>
    <cfRule type="containsText" dxfId="1222" priority="1058" stopIfTrue="1" operator="containsText" text=" Прокат ">
      <formula>NOT(ISERROR(SEARCH(" Прокат ",F134)))</formula>
    </cfRule>
    <cfRule type="containsText" dxfId="1221" priority="1059" stopIfTrue="1" operator="containsText" text=" Сборочные единицы ">
      <formula>NOT(ISERROR(SEARCH(" Сборочные единицы ",F134)))</formula>
    </cfRule>
    <cfRule type="containsText" dxfId="1220" priority="1060" stopIfTrue="1" operator="containsText" text=" Материалы ">
      <formula>NOT(ISERROR(SEARCH(" Материалы ",F134)))</formula>
    </cfRule>
    <cfRule type="containsText" dxfId="1219" priority="1061" stopIfTrue="1" operator="containsText" text=", на ">
      <formula>NOT(ISERROR(SEARCH(", на ",F134)))</formula>
    </cfRule>
    <cfRule type="containsText" dxfId="1218" priority="1062" stopIfTrue="1" operator="containsText" text="шт.)">
      <formula>NOT(ISERROR(SEARCH("шт.)",F134)))</formula>
    </cfRule>
  </conditionalFormatting>
  <conditionalFormatting sqref="F134:G134">
    <cfRule type="containsText" dxfId="1217" priority="1047" stopIfTrue="1" operator="containsText" text="ИЗ ФАЙЛА">
      <formula>NOT(ISERROR(SEARCH("ИЗ ФАЙЛА",F134)))</formula>
    </cfRule>
    <cfRule type="containsText" dxfId="1216" priority="1048" stopIfTrue="1" operator="containsText" text="!!!!">
      <formula>NOT(ISERROR(SEARCH("!!!!",F134)))</formula>
    </cfRule>
    <cfRule type="containsText" dxfId="1215" priority="1049" stopIfTrue="1" operator="containsText" text=" Изделия ">
      <formula>NOT(ISERROR(SEARCH(" Изделия ",F134)))</formula>
    </cfRule>
    <cfRule type="containsText" dxfId="1214" priority="1050" stopIfTrue="1" operator="containsText" text=" Прокат ">
      <formula>NOT(ISERROR(SEARCH(" Прокат ",F134)))</formula>
    </cfRule>
    <cfRule type="containsText" dxfId="1213" priority="1051" stopIfTrue="1" operator="containsText" text=" Сборочные единицы ">
      <formula>NOT(ISERROR(SEARCH(" Сборочные единицы ",F134)))</formula>
    </cfRule>
    <cfRule type="containsText" dxfId="1212" priority="1052" stopIfTrue="1" operator="containsText" text=" Материалы ">
      <formula>NOT(ISERROR(SEARCH(" Материалы ",F134)))</formula>
    </cfRule>
    <cfRule type="containsText" dxfId="1211" priority="1053" stopIfTrue="1" operator="containsText" text=", на ">
      <formula>NOT(ISERROR(SEARCH(", на ",F134)))</formula>
    </cfRule>
    <cfRule type="containsText" dxfId="1210" priority="1054" stopIfTrue="1" operator="containsText" text="шт.)">
      <formula>NOT(ISERROR(SEARCH("шт.)",F134)))</formula>
    </cfRule>
  </conditionalFormatting>
  <conditionalFormatting sqref="F153:G153">
    <cfRule type="containsText" dxfId="1209" priority="1039" stopIfTrue="1" operator="containsText" text="ИЗ ФАЙЛА">
      <formula>NOT(ISERROR(SEARCH("ИЗ ФАЙЛА",F153)))</formula>
    </cfRule>
    <cfRule type="containsText" dxfId="1208" priority="1040" stopIfTrue="1" operator="containsText" text="!!!!">
      <formula>NOT(ISERROR(SEARCH("!!!!",F153)))</formula>
    </cfRule>
    <cfRule type="containsText" dxfId="1207" priority="1041" stopIfTrue="1" operator="containsText" text=" Изделия ">
      <formula>NOT(ISERROR(SEARCH(" Изделия ",F153)))</formula>
    </cfRule>
    <cfRule type="containsText" dxfId="1206" priority="1042" stopIfTrue="1" operator="containsText" text=" Прокат ">
      <formula>NOT(ISERROR(SEARCH(" Прокат ",F153)))</formula>
    </cfRule>
    <cfRule type="containsText" dxfId="1205" priority="1043" stopIfTrue="1" operator="containsText" text=" Сборочные единицы ">
      <formula>NOT(ISERROR(SEARCH(" Сборочные единицы ",F153)))</formula>
    </cfRule>
    <cfRule type="containsText" dxfId="1204" priority="1044" stopIfTrue="1" operator="containsText" text=" Материалы ">
      <formula>NOT(ISERROR(SEARCH(" Материалы ",F153)))</formula>
    </cfRule>
    <cfRule type="containsText" dxfId="1203" priority="1045" stopIfTrue="1" operator="containsText" text=", на ">
      <formula>NOT(ISERROR(SEARCH(", на ",F153)))</formula>
    </cfRule>
    <cfRule type="containsText" dxfId="1202" priority="1046" stopIfTrue="1" operator="containsText" text="шт.)">
      <formula>NOT(ISERROR(SEARCH("шт.)",F153)))</formula>
    </cfRule>
  </conditionalFormatting>
  <conditionalFormatting sqref="F153:G153">
    <cfRule type="containsText" dxfId="1201" priority="1031" stopIfTrue="1" operator="containsText" text="ИЗ ФАЙЛА">
      <formula>NOT(ISERROR(SEARCH("ИЗ ФАЙЛА",F153)))</formula>
    </cfRule>
    <cfRule type="containsText" dxfId="1200" priority="1032" stopIfTrue="1" operator="containsText" text="!!!!">
      <formula>NOT(ISERROR(SEARCH("!!!!",F153)))</formula>
    </cfRule>
    <cfRule type="containsText" dxfId="1199" priority="1033" stopIfTrue="1" operator="containsText" text=" Изделия ">
      <formula>NOT(ISERROR(SEARCH(" Изделия ",F153)))</formula>
    </cfRule>
    <cfRule type="containsText" dxfId="1198" priority="1034" stopIfTrue="1" operator="containsText" text=" Прокат ">
      <formula>NOT(ISERROR(SEARCH(" Прокат ",F153)))</formula>
    </cfRule>
    <cfRule type="containsText" dxfId="1197" priority="1035" stopIfTrue="1" operator="containsText" text=" Сборочные единицы ">
      <formula>NOT(ISERROR(SEARCH(" Сборочные единицы ",F153)))</formula>
    </cfRule>
    <cfRule type="containsText" dxfId="1196" priority="1036" stopIfTrue="1" operator="containsText" text=" Материалы ">
      <formula>NOT(ISERROR(SEARCH(" Материалы ",F153)))</formula>
    </cfRule>
    <cfRule type="containsText" dxfId="1195" priority="1037" stopIfTrue="1" operator="containsText" text=", на ">
      <formula>NOT(ISERROR(SEARCH(", на ",F153)))</formula>
    </cfRule>
    <cfRule type="containsText" dxfId="1194" priority="1038" stopIfTrue="1" operator="containsText" text="шт.)">
      <formula>NOT(ISERROR(SEARCH("шт.)",F153)))</formula>
    </cfRule>
  </conditionalFormatting>
  <conditionalFormatting sqref="F172:G172">
    <cfRule type="containsText" dxfId="1193" priority="1023" stopIfTrue="1" operator="containsText" text="ИЗ ФАЙЛА">
      <formula>NOT(ISERROR(SEARCH("ИЗ ФАЙЛА",F172)))</formula>
    </cfRule>
    <cfRule type="containsText" dxfId="1192" priority="1024" stopIfTrue="1" operator="containsText" text="!!!!">
      <formula>NOT(ISERROR(SEARCH("!!!!",F172)))</formula>
    </cfRule>
    <cfRule type="containsText" dxfId="1191" priority="1025" stopIfTrue="1" operator="containsText" text=" Изделия ">
      <formula>NOT(ISERROR(SEARCH(" Изделия ",F172)))</formula>
    </cfRule>
    <cfRule type="containsText" dxfId="1190" priority="1026" stopIfTrue="1" operator="containsText" text=" Прокат ">
      <formula>NOT(ISERROR(SEARCH(" Прокат ",F172)))</formula>
    </cfRule>
    <cfRule type="containsText" dxfId="1189" priority="1027" stopIfTrue="1" operator="containsText" text=" Сборочные единицы ">
      <formula>NOT(ISERROR(SEARCH(" Сборочные единицы ",F172)))</formula>
    </cfRule>
    <cfRule type="containsText" dxfId="1188" priority="1028" stopIfTrue="1" operator="containsText" text=" Материалы ">
      <formula>NOT(ISERROR(SEARCH(" Материалы ",F172)))</formula>
    </cfRule>
    <cfRule type="containsText" dxfId="1187" priority="1029" stopIfTrue="1" operator="containsText" text=", на ">
      <formula>NOT(ISERROR(SEARCH(", на ",F172)))</formula>
    </cfRule>
    <cfRule type="containsText" dxfId="1186" priority="1030" stopIfTrue="1" operator="containsText" text="шт.)">
      <formula>NOT(ISERROR(SEARCH("шт.)",F172)))</formula>
    </cfRule>
  </conditionalFormatting>
  <conditionalFormatting sqref="F172:G172">
    <cfRule type="containsText" dxfId="1185" priority="1015" stopIfTrue="1" operator="containsText" text="ИЗ ФАЙЛА">
      <formula>NOT(ISERROR(SEARCH("ИЗ ФАЙЛА",F172)))</formula>
    </cfRule>
    <cfRule type="containsText" dxfId="1184" priority="1016" stopIfTrue="1" operator="containsText" text="!!!!">
      <formula>NOT(ISERROR(SEARCH("!!!!",F172)))</formula>
    </cfRule>
    <cfRule type="containsText" dxfId="1183" priority="1017" stopIfTrue="1" operator="containsText" text=" Изделия ">
      <formula>NOT(ISERROR(SEARCH(" Изделия ",F172)))</formula>
    </cfRule>
    <cfRule type="containsText" dxfId="1182" priority="1018" stopIfTrue="1" operator="containsText" text=" Прокат ">
      <formula>NOT(ISERROR(SEARCH(" Прокат ",F172)))</formula>
    </cfRule>
    <cfRule type="containsText" dxfId="1181" priority="1019" stopIfTrue="1" operator="containsText" text=" Сборочные единицы ">
      <formula>NOT(ISERROR(SEARCH(" Сборочные единицы ",F172)))</formula>
    </cfRule>
    <cfRule type="containsText" dxfId="1180" priority="1020" stopIfTrue="1" operator="containsText" text=" Материалы ">
      <formula>NOT(ISERROR(SEARCH(" Материалы ",F172)))</formula>
    </cfRule>
    <cfRule type="containsText" dxfId="1179" priority="1021" stopIfTrue="1" operator="containsText" text=", на ">
      <formula>NOT(ISERROR(SEARCH(", на ",F172)))</formula>
    </cfRule>
    <cfRule type="containsText" dxfId="1178" priority="1022" stopIfTrue="1" operator="containsText" text="шт.)">
      <formula>NOT(ISERROR(SEARCH("шт.)",F172)))</formula>
    </cfRule>
  </conditionalFormatting>
  <conditionalFormatting sqref="F172:G172">
    <cfRule type="containsText" dxfId="1177" priority="1007" stopIfTrue="1" operator="containsText" text="ИЗ ФАЙЛА">
      <formula>NOT(ISERROR(SEARCH("ИЗ ФАЙЛА",F172)))</formula>
    </cfRule>
    <cfRule type="containsText" dxfId="1176" priority="1008" stopIfTrue="1" operator="containsText" text="!!!!">
      <formula>NOT(ISERROR(SEARCH("!!!!",F172)))</formula>
    </cfRule>
    <cfRule type="containsText" dxfId="1175" priority="1009" stopIfTrue="1" operator="containsText" text=" Изделия ">
      <formula>NOT(ISERROR(SEARCH(" Изделия ",F172)))</formula>
    </cfRule>
    <cfRule type="containsText" dxfId="1174" priority="1010" stopIfTrue="1" operator="containsText" text=" Прокат ">
      <formula>NOT(ISERROR(SEARCH(" Прокат ",F172)))</formula>
    </cfRule>
    <cfRule type="containsText" dxfId="1173" priority="1011" stopIfTrue="1" operator="containsText" text=" Сборочные единицы ">
      <formula>NOT(ISERROR(SEARCH(" Сборочные единицы ",F172)))</formula>
    </cfRule>
    <cfRule type="containsText" dxfId="1172" priority="1012" stopIfTrue="1" operator="containsText" text=" Материалы ">
      <formula>NOT(ISERROR(SEARCH(" Материалы ",F172)))</formula>
    </cfRule>
    <cfRule type="containsText" dxfId="1171" priority="1013" stopIfTrue="1" operator="containsText" text=", на ">
      <formula>NOT(ISERROR(SEARCH(", на ",F172)))</formula>
    </cfRule>
    <cfRule type="containsText" dxfId="1170" priority="1014" stopIfTrue="1" operator="containsText" text="шт.)">
      <formula>NOT(ISERROR(SEARCH("шт.)",F172)))</formula>
    </cfRule>
  </conditionalFormatting>
  <conditionalFormatting sqref="F191:G191">
    <cfRule type="containsText" dxfId="1169" priority="999" stopIfTrue="1" operator="containsText" text="ИЗ ФАЙЛА">
      <formula>NOT(ISERROR(SEARCH("ИЗ ФАЙЛА",F191)))</formula>
    </cfRule>
    <cfRule type="containsText" dxfId="1168" priority="1000" stopIfTrue="1" operator="containsText" text="!!!!">
      <formula>NOT(ISERROR(SEARCH("!!!!",F191)))</formula>
    </cfRule>
    <cfRule type="containsText" dxfId="1167" priority="1001" stopIfTrue="1" operator="containsText" text=" Изделия ">
      <formula>NOT(ISERROR(SEARCH(" Изделия ",F191)))</formula>
    </cfRule>
    <cfRule type="containsText" dxfId="1166" priority="1002" stopIfTrue="1" operator="containsText" text=" Прокат ">
      <formula>NOT(ISERROR(SEARCH(" Прокат ",F191)))</formula>
    </cfRule>
    <cfRule type="containsText" dxfId="1165" priority="1003" stopIfTrue="1" operator="containsText" text=" Сборочные единицы ">
      <formula>NOT(ISERROR(SEARCH(" Сборочные единицы ",F191)))</formula>
    </cfRule>
    <cfRule type="containsText" dxfId="1164" priority="1004" stopIfTrue="1" operator="containsText" text=" Материалы ">
      <formula>NOT(ISERROR(SEARCH(" Материалы ",F191)))</formula>
    </cfRule>
    <cfRule type="containsText" dxfId="1163" priority="1005" stopIfTrue="1" operator="containsText" text=", на ">
      <formula>NOT(ISERROR(SEARCH(", на ",F191)))</formula>
    </cfRule>
    <cfRule type="containsText" dxfId="1162" priority="1006" stopIfTrue="1" operator="containsText" text="шт.)">
      <formula>NOT(ISERROR(SEARCH("шт.)",F191)))</formula>
    </cfRule>
  </conditionalFormatting>
  <conditionalFormatting sqref="F191:G191">
    <cfRule type="containsText" dxfId="1161" priority="991" stopIfTrue="1" operator="containsText" text="ИЗ ФАЙЛА">
      <formula>NOT(ISERROR(SEARCH("ИЗ ФАЙЛА",F191)))</formula>
    </cfRule>
    <cfRule type="containsText" dxfId="1160" priority="992" stopIfTrue="1" operator="containsText" text="!!!!">
      <formula>NOT(ISERROR(SEARCH("!!!!",F191)))</formula>
    </cfRule>
    <cfRule type="containsText" dxfId="1159" priority="993" stopIfTrue="1" operator="containsText" text=" Изделия ">
      <formula>NOT(ISERROR(SEARCH(" Изделия ",F191)))</formula>
    </cfRule>
    <cfRule type="containsText" dxfId="1158" priority="994" stopIfTrue="1" operator="containsText" text=" Прокат ">
      <formula>NOT(ISERROR(SEARCH(" Прокат ",F191)))</formula>
    </cfRule>
    <cfRule type="containsText" dxfId="1157" priority="995" stopIfTrue="1" operator="containsText" text=" Сборочные единицы ">
      <formula>NOT(ISERROR(SEARCH(" Сборочные единицы ",F191)))</formula>
    </cfRule>
    <cfRule type="containsText" dxfId="1156" priority="996" stopIfTrue="1" operator="containsText" text=" Материалы ">
      <formula>NOT(ISERROR(SEARCH(" Материалы ",F191)))</formula>
    </cfRule>
    <cfRule type="containsText" dxfId="1155" priority="997" stopIfTrue="1" operator="containsText" text=", на ">
      <formula>NOT(ISERROR(SEARCH(", на ",F191)))</formula>
    </cfRule>
    <cfRule type="containsText" dxfId="1154" priority="998" stopIfTrue="1" operator="containsText" text="шт.)">
      <formula>NOT(ISERROR(SEARCH("шт.)",F191)))</formula>
    </cfRule>
  </conditionalFormatting>
  <conditionalFormatting sqref="F191:G191">
    <cfRule type="containsText" dxfId="1153" priority="983" stopIfTrue="1" operator="containsText" text="ИЗ ФАЙЛА">
      <formula>NOT(ISERROR(SEARCH("ИЗ ФАЙЛА",F191)))</formula>
    </cfRule>
    <cfRule type="containsText" dxfId="1152" priority="984" stopIfTrue="1" operator="containsText" text="!!!!">
      <formula>NOT(ISERROR(SEARCH("!!!!",F191)))</formula>
    </cfRule>
    <cfRule type="containsText" dxfId="1151" priority="985" stopIfTrue="1" operator="containsText" text=" Изделия ">
      <formula>NOT(ISERROR(SEARCH(" Изделия ",F191)))</formula>
    </cfRule>
    <cfRule type="containsText" dxfId="1150" priority="986" stopIfTrue="1" operator="containsText" text=" Прокат ">
      <formula>NOT(ISERROR(SEARCH(" Прокат ",F191)))</formula>
    </cfRule>
    <cfRule type="containsText" dxfId="1149" priority="987" stopIfTrue="1" operator="containsText" text=" Сборочные единицы ">
      <formula>NOT(ISERROR(SEARCH(" Сборочные единицы ",F191)))</formula>
    </cfRule>
    <cfRule type="containsText" dxfId="1148" priority="988" stopIfTrue="1" operator="containsText" text=" Материалы ">
      <formula>NOT(ISERROR(SEARCH(" Материалы ",F191)))</formula>
    </cfRule>
    <cfRule type="containsText" dxfId="1147" priority="989" stopIfTrue="1" operator="containsText" text=", на ">
      <formula>NOT(ISERROR(SEARCH(", на ",F191)))</formula>
    </cfRule>
    <cfRule type="containsText" dxfId="1146" priority="990" stopIfTrue="1" operator="containsText" text="шт.)">
      <formula>NOT(ISERROR(SEARCH("шт.)",F191)))</formula>
    </cfRule>
  </conditionalFormatting>
  <conditionalFormatting sqref="H448:J449 A448:G448 C450:C461">
    <cfRule type="containsText" dxfId="1145" priority="975" stopIfTrue="1" operator="containsText" text="ИЗ ФАЙЛА">
      <formula>NOT(ISERROR(SEARCH("ИЗ ФАЙЛА",A448)))</formula>
    </cfRule>
    <cfRule type="containsText" dxfId="1144" priority="976" stopIfTrue="1" operator="containsText" text="!!!!">
      <formula>NOT(ISERROR(SEARCH("!!!!",A448)))</formula>
    </cfRule>
    <cfRule type="containsText" dxfId="1143" priority="977" stopIfTrue="1" operator="containsText" text=" Изделия ">
      <formula>NOT(ISERROR(SEARCH(" Изделия ",A448)))</formula>
    </cfRule>
    <cfRule type="containsText" dxfId="1142" priority="978" stopIfTrue="1" operator="containsText" text=" Прокат ">
      <formula>NOT(ISERROR(SEARCH(" Прокат ",A448)))</formula>
    </cfRule>
    <cfRule type="containsText" dxfId="1141" priority="979" stopIfTrue="1" operator="containsText" text=" Сборочные единицы ">
      <formula>NOT(ISERROR(SEARCH(" Сборочные единицы ",A448)))</formula>
    </cfRule>
    <cfRule type="containsText" dxfId="1140" priority="980" stopIfTrue="1" operator="containsText" text=" Материалы ">
      <formula>NOT(ISERROR(SEARCH(" Материалы ",A448)))</formula>
    </cfRule>
    <cfRule type="containsText" dxfId="1139" priority="981" stopIfTrue="1" operator="containsText" text=", на ">
      <formula>NOT(ISERROR(SEARCH(", на ",A448)))</formula>
    </cfRule>
    <cfRule type="containsText" dxfId="1138" priority="982" stopIfTrue="1" operator="containsText" text="шт.)">
      <formula>NOT(ISERROR(SEARCH("шт.)",A448)))</formula>
    </cfRule>
  </conditionalFormatting>
  <conditionalFormatting sqref="J450:J461">
    <cfRule type="containsText" dxfId="1137" priority="966" stopIfTrue="1" operator="containsText" text="С ЛИСТА">
      <formula>NOT(ISERROR(SEARCH("С ЛИСТА",J450)))</formula>
    </cfRule>
    <cfRule type="containsText" dxfId="1136" priority="967" stopIfTrue="1" operator="containsText" text="ИЗ ФАЙЛА">
      <formula>NOT(ISERROR(SEARCH("ИЗ ФАЙЛА",J450)))</formula>
    </cfRule>
    <cfRule type="containsText" dxfId="1135" priority="968" stopIfTrue="1" operator="containsText" text="!!!">
      <formula>NOT(ISERROR(SEARCH("!!!",J450)))</formula>
    </cfRule>
    <cfRule type="containsText" dxfId="1134" priority="969" stopIfTrue="1" operator="containsText" text=" Изделия ">
      <formula>NOT(ISERROR(SEARCH(" Изделия ",J450)))</formula>
    </cfRule>
    <cfRule type="containsText" dxfId="1133" priority="970" stopIfTrue="1" operator="containsText" text=" Прокат ">
      <formula>NOT(ISERROR(SEARCH(" Прокат ",J450)))</formula>
    </cfRule>
    <cfRule type="containsText" dxfId="1132" priority="971" stopIfTrue="1" operator="containsText" text=" Сборочные единицы ">
      <formula>NOT(ISERROR(SEARCH(" Сборочные единицы ",J450)))</formula>
    </cfRule>
    <cfRule type="containsText" dxfId="1131" priority="972" stopIfTrue="1" operator="containsText" text=" Материалы ">
      <formula>NOT(ISERROR(SEARCH(" Материалы ",J450)))</formula>
    </cfRule>
    <cfRule type="containsText" dxfId="1130" priority="973" stopIfTrue="1" operator="containsText" text=", на ">
      <formula>NOT(ISERROR(SEARCH(", на ",J450)))</formula>
    </cfRule>
    <cfRule type="containsText" dxfId="1129" priority="974" stopIfTrue="1" operator="containsText" text="шт.)">
      <formula>NOT(ISERROR(SEARCH("шт.)",J450)))</formula>
    </cfRule>
  </conditionalFormatting>
  <conditionalFormatting sqref="F448:G448">
    <cfRule type="containsText" dxfId="1128" priority="958" stopIfTrue="1" operator="containsText" text="ИЗ ФАЙЛА">
      <formula>NOT(ISERROR(SEARCH("ИЗ ФАЙЛА",F448)))</formula>
    </cfRule>
    <cfRule type="containsText" dxfId="1127" priority="959" stopIfTrue="1" operator="containsText" text="!!!!">
      <formula>NOT(ISERROR(SEARCH("!!!!",F448)))</formula>
    </cfRule>
    <cfRule type="containsText" dxfId="1126" priority="960" stopIfTrue="1" operator="containsText" text=" Изделия ">
      <formula>NOT(ISERROR(SEARCH(" Изделия ",F448)))</formula>
    </cfRule>
    <cfRule type="containsText" dxfId="1125" priority="961" stopIfTrue="1" operator="containsText" text=" Прокат ">
      <formula>NOT(ISERROR(SEARCH(" Прокат ",F448)))</formula>
    </cfRule>
    <cfRule type="containsText" dxfId="1124" priority="962" stopIfTrue="1" operator="containsText" text=" Сборочные единицы ">
      <formula>NOT(ISERROR(SEARCH(" Сборочные единицы ",F448)))</formula>
    </cfRule>
    <cfRule type="containsText" dxfId="1123" priority="963" stopIfTrue="1" operator="containsText" text=" Материалы ">
      <formula>NOT(ISERROR(SEARCH(" Материалы ",F448)))</formula>
    </cfRule>
    <cfRule type="containsText" dxfId="1122" priority="964" stopIfTrue="1" operator="containsText" text=", на ">
      <formula>NOT(ISERROR(SEARCH(", на ",F448)))</formula>
    </cfRule>
    <cfRule type="containsText" dxfId="1121" priority="965" stopIfTrue="1" operator="containsText" text="шт.)">
      <formula>NOT(ISERROR(SEARCH("шт.)",F448)))</formula>
    </cfRule>
  </conditionalFormatting>
  <conditionalFormatting sqref="F448:G448">
    <cfRule type="containsText" dxfId="1120" priority="950" stopIfTrue="1" operator="containsText" text="ИЗ ФАЙЛА">
      <formula>NOT(ISERROR(SEARCH("ИЗ ФАЙЛА",F448)))</formula>
    </cfRule>
    <cfRule type="containsText" dxfId="1119" priority="951" stopIfTrue="1" operator="containsText" text="!!!!">
      <formula>NOT(ISERROR(SEARCH("!!!!",F448)))</formula>
    </cfRule>
    <cfRule type="containsText" dxfId="1118" priority="952" stopIfTrue="1" operator="containsText" text=" Изделия ">
      <formula>NOT(ISERROR(SEARCH(" Изделия ",F448)))</formula>
    </cfRule>
    <cfRule type="containsText" dxfId="1117" priority="953" stopIfTrue="1" operator="containsText" text=" Прокат ">
      <formula>NOT(ISERROR(SEARCH(" Прокат ",F448)))</formula>
    </cfRule>
    <cfRule type="containsText" dxfId="1116" priority="954" stopIfTrue="1" operator="containsText" text=" Сборочные единицы ">
      <formula>NOT(ISERROR(SEARCH(" Сборочные единицы ",F448)))</formula>
    </cfRule>
    <cfRule type="containsText" dxfId="1115" priority="955" stopIfTrue="1" operator="containsText" text=" Материалы ">
      <formula>NOT(ISERROR(SEARCH(" Материалы ",F448)))</formula>
    </cfRule>
    <cfRule type="containsText" dxfId="1114" priority="956" stopIfTrue="1" operator="containsText" text=", на ">
      <formula>NOT(ISERROR(SEARCH(", на ",F448)))</formula>
    </cfRule>
    <cfRule type="containsText" dxfId="1113" priority="957" stopIfTrue="1" operator="containsText" text="шт.)">
      <formula>NOT(ISERROR(SEARCH("шт.)",F448)))</formula>
    </cfRule>
  </conditionalFormatting>
  <conditionalFormatting sqref="F448:G448">
    <cfRule type="containsText" dxfId="1112" priority="942" stopIfTrue="1" operator="containsText" text="ИЗ ФАЙЛА">
      <formula>NOT(ISERROR(SEARCH("ИЗ ФАЙЛА",F448)))</formula>
    </cfRule>
    <cfRule type="containsText" dxfId="1111" priority="943" stopIfTrue="1" operator="containsText" text="!!!!">
      <formula>NOT(ISERROR(SEARCH("!!!!",F448)))</formula>
    </cfRule>
    <cfRule type="containsText" dxfId="1110" priority="944" stopIfTrue="1" operator="containsText" text=" Изделия ">
      <formula>NOT(ISERROR(SEARCH(" Изделия ",F448)))</formula>
    </cfRule>
    <cfRule type="containsText" dxfId="1109" priority="945" stopIfTrue="1" operator="containsText" text=" Прокат ">
      <formula>NOT(ISERROR(SEARCH(" Прокат ",F448)))</formula>
    </cfRule>
    <cfRule type="containsText" dxfId="1108" priority="946" stopIfTrue="1" operator="containsText" text=" Сборочные единицы ">
      <formula>NOT(ISERROR(SEARCH(" Сборочные единицы ",F448)))</formula>
    </cfRule>
    <cfRule type="containsText" dxfId="1107" priority="947" stopIfTrue="1" operator="containsText" text=" Материалы ">
      <formula>NOT(ISERROR(SEARCH(" Материалы ",F448)))</formula>
    </cfRule>
    <cfRule type="containsText" dxfId="1106" priority="948" stopIfTrue="1" operator="containsText" text=", на ">
      <formula>NOT(ISERROR(SEARCH(", на ",F448)))</formula>
    </cfRule>
    <cfRule type="containsText" dxfId="1105" priority="949" stopIfTrue="1" operator="containsText" text="шт.)">
      <formula>NOT(ISERROR(SEARCH("шт.)",F448)))</formula>
    </cfRule>
  </conditionalFormatting>
  <conditionalFormatting sqref="H467:J468 A467:G467 C469:C480">
    <cfRule type="containsText" dxfId="1104" priority="934" stopIfTrue="1" operator="containsText" text="ИЗ ФАЙЛА">
      <formula>NOT(ISERROR(SEARCH("ИЗ ФАЙЛА",A467)))</formula>
    </cfRule>
    <cfRule type="containsText" dxfId="1103" priority="935" stopIfTrue="1" operator="containsText" text="!!!!">
      <formula>NOT(ISERROR(SEARCH("!!!!",A467)))</formula>
    </cfRule>
    <cfRule type="containsText" dxfId="1102" priority="936" stopIfTrue="1" operator="containsText" text=" Изделия ">
      <formula>NOT(ISERROR(SEARCH(" Изделия ",A467)))</formula>
    </cfRule>
    <cfRule type="containsText" dxfId="1101" priority="937" stopIfTrue="1" operator="containsText" text=" Прокат ">
      <formula>NOT(ISERROR(SEARCH(" Прокат ",A467)))</formula>
    </cfRule>
    <cfRule type="containsText" dxfId="1100" priority="938" stopIfTrue="1" operator="containsText" text=" Сборочные единицы ">
      <formula>NOT(ISERROR(SEARCH(" Сборочные единицы ",A467)))</formula>
    </cfRule>
    <cfRule type="containsText" dxfId="1099" priority="939" stopIfTrue="1" operator="containsText" text=" Материалы ">
      <formula>NOT(ISERROR(SEARCH(" Материалы ",A467)))</formula>
    </cfRule>
    <cfRule type="containsText" dxfId="1098" priority="940" stopIfTrue="1" operator="containsText" text=", на ">
      <formula>NOT(ISERROR(SEARCH(", на ",A467)))</formula>
    </cfRule>
    <cfRule type="containsText" dxfId="1097" priority="941" stopIfTrue="1" operator="containsText" text="шт.)">
      <formula>NOT(ISERROR(SEARCH("шт.)",A467)))</formula>
    </cfRule>
  </conditionalFormatting>
  <conditionalFormatting sqref="J469:J480">
    <cfRule type="containsText" dxfId="1096" priority="925" stopIfTrue="1" operator="containsText" text="С ЛИСТА">
      <formula>NOT(ISERROR(SEARCH("С ЛИСТА",J469)))</formula>
    </cfRule>
    <cfRule type="containsText" dxfId="1095" priority="926" stopIfTrue="1" operator="containsText" text="ИЗ ФАЙЛА">
      <formula>NOT(ISERROR(SEARCH("ИЗ ФАЙЛА",J469)))</formula>
    </cfRule>
    <cfRule type="containsText" dxfId="1094" priority="927" stopIfTrue="1" operator="containsText" text="!!!">
      <formula>NOT(ISERROR(SEARCH("!!!",J469)))</formula>
    </cfRule>
    <cfRule type="containsText" dxfId="1093" priority="928" stopIfTrue="1" operator="containsText" text=" Изделия ">
      <formula>NOT(ISERROR(SEARCH(" Изделия ",J469)))</formula>
    </cfRule>
    <cfRule type="containsText" dxfId="1092" priority="929" stopIfTrue="1" operator="containsText" text=" Прокат ">
      <formula>NOT(ISERROR(SEARCH(" Прокат ",J469)))</formula>
    </cfRule>
    <cfRule type="containsText" dxfId="1091" priority="930" stopIfTrue="1" operator="containsText" text=" Сборочные единицы ">
      <formula>NOT(ISERROR(SEARCH(" Сборочные единицы ",J469)))</formula>
    </cfRule>
    <cfRule type="containsText" dxfId="1090" priority="931" stopIfTrue="1" operator="containsText" text=" Материалы ">
      <formula>NOT(ISERROR(SEARCH(" Материалы ",J469)))</formula>
    </cfRule>
    <cfRule type="containsText" dxfId="1089" priority="932" stopIfTrue="1" operator="containsText" text=", на ">
      <formula>NOT(ISERROR(SEARCH(", на ",J469)))</formula>
    </cfRule>
    <cfRule type="containsText" dxfId="1088" priority="933" stopIfTrue="1" operator="containsText" text="шт.)">
      <formula>NOT(ISERROR(SEARCH("шт.)",J469)))</formula>
    </cfRule>
  </conditionalFormatting>
  <conditionalFormatting sqref="F467:G467">
    <cfRule type="containsText" dxfId="1087" priority="917" stopIfTrue="1" operator="containsText" text="ИЗ ФАЙЛА">
      <formula>NOT(ISERROR(SEARCH("ИЗ ФАЙЛА",F467)))</formula>
    </cfRule>
    <cfRule type="containsText" dxfId="1086" priority="918" stopIfTrue="1" operator="containsText" text="!!!!">
      <formula>NOT(ISERROR(SEARCH("!!!!",F467)))</formula>
    </cfRule>
    <cfRule type="containsText" dxfId="1085" priority="919" stopIfTrue="1" operator="containsText" text=" Изделия ">
      <formula>NOT(ISERROR(SEARCH(" Изделия ",F467)))</formula>
    </cfRule>
    <cfRule type="containsText" dxfId="1084" priority="920" stopIfTrue="1" operator="containsText" text=" Прокат ">
      <formula>NOT(ISERROR(SEARCH(" Прокат ",F467)))</formula>
    </cfRule>
    <cfRule type="containsText" dxfId="1083" priority="921" stopIfTrue="1" operator="containsText" text=" Сборочные единицы ">
      <formula>NOT(ISERROR(SEARCH(" Сборочные единицы ",F467)))</formula>
    </cfRule>
    <cfRule type="containsText" dxfId="1082" priority="922" stopIfTrue="1" operator="containsText" text=" Материалы ">
      <formula>NOT(ISERROR(SEARCH(" Материалы ",F467)))</formula>
    </cfRule>
    <cfRule type="containsText" dxfId="1081" priority="923" stopIfTrue="1" operator="containsText" text=", на ">
      <formula>NOT(ISERROR(SEARCH(", на ",F467)))</formula>
    </cfRule>
    <cfRule type="containsText" dxfId="1080" priority="924" stopIfTrue="1" operator="containsText" text="шт.)">
      <formula>NOT(ISERROR(SEARCH("шт.)",F467)))</formula>
    </cfRule>
  </conditionalFormatting>
  <conditionalFormatting sqref="F467:G467">
    <cfRule type="containsText" dxfId="1079" priority="909" stopIfTrue="1" operator="containsText" text="ИЗ ФАЙЛА">
      <formula>NOT(ISERROR(SEARCH("ИЗ ФАЙЛА",F467)))</formula>
    </cfRule>
    <cfRule type="containsText" dxfId="1078" priority="910" stopIfTrue="1" operator="containsText" text="!!!!">
      <formula>NOT(ISERROR(SEARCH("!!!!",F467)))</formula>
    </cfRule>
    <cfRule type="containsText" dxfId="1077" priority="911" stopIfTrue="1" operator="containsText" text=" Изделия ">
      <formula>NOT(ISERROR(SEARCH(" Изделия ",F467)))</formula>
    </cfRule>
    <cfRule type="containsText" dxfId="1076" priority="912" stopIfTrue="1" operator="containsText" text=" Прокат ">
      <formula>NOT(ISERROR(SEARCH(" Прокат ",F467)))</formula>
    </cfRule>
    <cfRule type="containsText" dxfId="1075" priority="913" stopIfTrue="1" operator="containsText" text=" Сборочные единицы ">
      <formula>NOT(ISERROR(SEARCH(" Сборочные единицы ",F467)))</formula>
    </cfRule>
    <cfRule type="containsText" dxfId="1074" priority="914" stopIfTrue="1" operator="containsText" text=" Материалы ">
      <formula>NOT(ISERROR(SEARCH(" Материалы ",F467)))</formula>
    </cfRule>
    <cfRule type="containsText" dxfId="1073" priority="915" stopIfTrue="1" operator="containsText" text=", на ">
      <formula>NOT(ISERROR(SEARCH(", на ",F467)))</formula>
    </cfRule>
    <cfRule type="containsText" dxfId="1072" priority="916" stopIfTrue="1" operator="containsText" text="шт.)">
      <formula>NOT(ISERROR(SEARCH("шт.)",F467)))</formula>
    </cfRule>
  </conditionalFormatting>
  <conditionalFormatting sqref="F467:G467">
    <cfRule type="containsText" dxfId="1071" priority="901" stopIfTrue="1" operator="containsText" text="ИЗ ФАЙЛА">
      <formula>NOT(ISERROR(SEARCH("ИЗ ФАЙЛА",F467)))</formula>
    </cfRule>
    <cfRule type="containsText" dxfId="1070" priority="902" stopIfTrue="1" operator="containsText" text="!!!!">
      <formula>NOT(ISERROR(SEARCH("!!!!",F467)))</formula>
    </cfRule>
    <cfRule type="containsText" dxfId="1069" priority="903" stopIfTrue="1" operator="containsText" text=" Изделия ">
      <formula>NOT(ISERROR(SEARCH(" Изделия ",F467)))</formula>
    </cfRule>
    <cfRule type="containsText" dxfId="1068" priority="904" stopIfTrue="1" operator="containsText" text=" Прокат ">
      <formula>NOT(ISERROR(SEARCH(" Прокат ",F467)))</formula>
    </cfRule>
    <cfRule type="containsText" dxfId="1067" priority="905" stopIfTrue="1" operator="containsText" text=" Сборочные единицы ">
      <formula>NOT(ISERROR(SEARCH(" Сборочные единицы ",F467)))</formula>
    </cfRule>
    <cfRule type="containsText" dxfId="1066" priority="906" stopIfTrue="1" operator="containsText" text=" Материалы ">
      <formula>NOT(ISERROR(SEARCH(" Материалы ",F467)))</formula>
    </cfRule>
    <cfRule type="containsText" dxfId="1065" priority="907" stopIfTrue="1" operator="containsText" text=", на ">
      <formula>NOT(ISERROR(SEARCH(", на ",F467)))</formula>
    </cfRule>
    <cfRule type="containsText" dxfId="1064" priority="908" stopIfTrue="1" operator="containsText" text="шт.)">
      <formula>NOT(ISERROR(SEARCH("шт.)",F467)))</formula>
    </cfRule>
  </conditionalFormatting>
  <conditionalFormatting sqref="C35">
    <cfRule type="containsText" dxfId="1063" priority="893" stopIfTrue="1" operator="containsText" text="ИЗ ФАЙЛА">
      <formula>NOT(ISERROR(SEARCH("ИЗ ФАЙЛА",C35)))</formula>
    </cfRule>
    <cfRule type="containsText" dxfId="1062" priority="894" stopIfTrue="1" operator="containsText" text="!!!!">
      <formula>NOT(ISERROR(SEARCH("!!!!",C35)))</formula>
    </cfRule>
    <cfRule type="containsText" dxfId="1061" priority="895" stopIfTrue="1" operator="containsText" text=" Изделия ">
      <formula>NOT(ISERROR(SEARCH(" Изделия ",C35)))</formula>
    </cfRule>
    <cfRule type="containsText" dxfId="1060" priority="896" stopIfTrue="1" operator="containsText" text=" Прокат ">
      <formula>NOT(ISERROR(SEARCH(" Прокат ",C35)))</formula>
    </cfRule>
    <cfRule type="containsText" dxfId="1059" priority="897" stopIfTrue="1" operator="containsText" text=" Сборочные единицы ">
      <formula>NOT(ISERROR(SEARCH(" Сборочные единицы ",C35)))</formula>
    </cfRule>
    <cfRule type="containsText" dxfId="1058" priority="898" stopIfTrue="1" operator="containsText" text=" Материалы ">
      <formula>NOT(ISERROR(SEARCH(" Материалы ",C35)))</formula>
    </cfRule>
    <cfRule type="containsText" dxfId="1057" priority="899" stopIfTrue="1" operator="containsText" text=", на ">
      <formula>NOT(ISERROR(SEARCH(", на ",C35)))</formula>
    </cfRule>
    <cfRule type="containsText" dxfId="1056" priority="900" stopIfTrue="1" operator="containsText" text="шт.)">
      <formula>NOT(ISERROR(SEARCH("шт.)",C35)))</formula>
    </cfRule>
  </conditionalFormatting>
  <conditionalFormatting sqref="J35">
    <cfRule type="containsText" dxfId="1055" priority="884" stopIfTrue="1" operator="containsText" text="С ЛИСТА">
      <formula>NOT(ISERROR(SEARCH("С ЛИСТА",J35)))</formula>
    </cfRule>
    <cfRule type="containsText" dxfId="1054" priority="885" stopIfTrue="1" operator="containsText" text="ИЗ ФАЙЛА">
      <formula>NOT(ISERROR(SEARCH("ИЗ ФАЙЛА",J35)))</formula>
    </cfRule>
    <cfRule type="containsText" dxfId="1053" priority="886" stopIfTrue="1" operator="containsText" text="!!!">
      <formula>NOT(ISERROR(SEARCH("!!!",J35)))</formula>
    </cfRule>
    <cfRule type="containsText" dxfId="1052" priority="887" stopIfTrue="1" operator="containsText" text=" Изделия ">
      <formula>NOT(ISERROR(SEARCH(" Изделия ",J35)))</formula>
    </cfRule>
    <cfRule type="containsText" dxfId="1051" priority="888" stopIfTrue="1" operator="containsText" text=" Прокат ">
      <formula>NOT(ISERROR(SEARCH(" Прокат ",J35)))</formula>
    </cfRule>
    <cfRule type="containsText" dxfId="1050" priority="889" stopIfTrue="1" operator="containsText" text=" Сборочные единицы ">
      <formula>NOT(ISERROR(SEARCH(" Сборочные единицы ",J35)))</formula>
    </cfRule>
    <cfRule type="containsText" dxfId="1049" priority="890" stopIfTrue="1" operator="containsText" text=" Материалы ">
      <formula>NOT(ISERROR(SEARCH(" Материалы ",J35)))</formula>
    </cfRule>
    <cfRule type="containsText" dxfId="1048" priority="891" stopIfTrue="1" operator="containsText" text=", на ">
      <formula>NOT(ISERROR(SEARCH(", на ",J35)))</formula>
    </cfRule>
    <cfRule type="containsText" dxfId="1047" priority="892" stopIfTrue="1" operator="containsText" text="шт.)">
      <formula>NOT(ISERROR(SEARCH("шт.)",J35)))</formula>
    </cfRule>
  </conditionalFormatting>
  <conditionalFormatting sqref="C92">
    <cfRule type="containsText" dxfId="1046" priority="876" stopIfTrue="1" operator="containsText" text="ИЗ ФАЙЛА">
      <formula>NOT(ISERROR(SEARCH("ИЗ ФАЙЛА",C92)))</formula>
    </cfRule>
    <cfRule type="containsText" dxfId="1045" priority="877" stopIfTrue="1" operator="containsText" text="!!!!">
      <formula>NOT(ISERROR(SEARCH("!!!!",C92)))</formula>
    </cfRule>
    <cfRule type="containsText" dxfId="1044" priority="878" stopIfTrue="1" operator="containsText" text=" Изделия ">
      <formula>NOT(ISERROR(SEARCH(" Изделия ",C92)))</formula>
    </cfRule>
    <cfRule type="containsText" dxfId="1043" priority="879" stopIfTrue="1" operator="containsText" text=" Прокат ">
      <formula>NOT(ISERROR(SEARCH(" Прокат ",C92)))</formula>
    </cfRule>
    <cfRule type="containsText" dxfId="1042" priority="880" stopIfTrue="1" operator="containsText" text=" Сборочные единицы ">
      <formula>NOT(ISERROR(SEARCH(" Сборочные единицы ",C92)))</formula>
    </cfRule>
    <cfRule type="containsText" dxfId="1041" priority="881" stopIfTrue="1" operator="containsText" text=" Материалы ">
      <formula>NOT(ISERROR(SEARCH(" Материалы ",C92)))</formula>
    </cfRule>
    <cfRule type="containsText" dxfId="1040" priority="882" stopIfTrue="1" operator="containsText" text=", на ">
      <formula>NOT(ISERROR(SEARCH(", на ",C92)))</formula>
    </cfRule>
    <cfRule type="containsText" dxfId="1039" priority="883" stopIfTrue="1" operator="containsText" text="шт.)">
      <formula>NOT(ISERROR(SEARCH("шт.)",C92)))</formula>
    </cfRule>
  </conditionalFormatting>
  <conditionalFormatting sqref="J92">
    <cfRule type="containsText" dxfId="1038" priority="867" stopIfTrue="1" operator="containsText" text="С ЛИСТА">
      <formula>NOT(ISERROR(SEARCH("С ЛИСТА",J92)))</formula>
    </cfRule>
    <cfRule type="containsText" dxfId="1037" priority="868" stopIfTrue="1" operator="containsText" text="ИЗ ФАЙЛА">
      <formula>NOT(ISERROR(SEARCH("ИЗ ФАЙЛА",J92)))</formula>
    </cfRule>
    <cfRule type="containsText" dxfId="1036" priority="869" stopIfTrue="1" operator="containsText" text="!!!">
      <formula>NOT(ISERROR(SEARCH("!!!",J92)))</formula>
    </cfRule>
    <cfRule type="containsText" dxfId="1035" priority="870" stopIfTrue="1" operator="containsText" text=" Изделия ">
      <formula>NOT(ISERROR(SEARCH(" Изделия ",J92)))</formula>
    </cfRule>
    <cfRule type="containsText" dxfId="1034" priority="871" stopIfTrue="1" operator="containsText" text=" Прокат ">
      <formula>NOT(ISERROR(SEARCH(" Прокат ",J92)))</formula>
    </cfRule>
    <cfRule type="containsText" dxfId="1033" priority="872" stopIfTrue="1" operator="containsText" text=" Сборочные единицы ">
      <formula>NOT(ISERROR(SEARCH(" Сборочные единицы ",J92)))</formula>
    </cfRule>
    <cfRule type="containsText" dxfId="1032" priority="873" stopIfTrue="1" operator="containsText" text=" Материалы ">
      <formula>NOT(ISERROR(SEARCH(" Материалы ",J92)))</formula>
    </cfRule>
    <cfRule type="containsText" dxfId="1031" priority="874" stopIfTrue="1" operator="containsText" text=", на ">
      <formula>NOT(ISERROR(SEARCH(", на ",J92)))</formula>
    </cfRule>
    <cfRule type="containsText" dxfId="1030" priority="875" stopIfTrue="1" operator="containsText" text="шт.)">
      <formula>NOT(ISERROR(SEARCH("шт.)",J92)))</formula>
    </cfRule>
  </conditionalFormatting>
  <conditionalFormatting sqref="J481">
    <cfRule type="containsText" dxfId="1029" priority="697" stopIfTrue="1" operator="containsText" text="С ЛИСТА">
      <formula>NOT(ISERROR(SEARCH("С ЛИСТА",J481)))</formula>
    </cfRule>
    <cfRule type="containsText" dxfId="1028" priority="698" stopIfTrue="1" operator="containsText" text="ИЗ ФАЙЛА">
      <formula>NOT(ISERROR(SEARCH("ИЗ ФАЙЛА",J481)))</formula>
    </cfRule>
    <cfRule type="containsText" dxfId="1027" priority="699" stopIfTrue="1" operator="containsText" text="!!!">
      <formula>NOT(ISERROR(SEARCH("!!!",J481)))</formula>
    </cfRule>
    <cfRule type="containsText" dxfId="1026" priority="700" stopIfTrue="1" operator="containsText" text=" Изделия ">
      <formula>NOT(ISERROR(SEARCH(" Изделия ",J481)))</formula>
    </cfRule>
    <cfRule type="containsText" dxfId="1025" priority="701" stopIfTrue="1" operator="containsText" text=" Прокат ">
      <formula>NOT(ISERROR(SEARCH(" Прокат ",J481)))</formula>
    </cfRule>
    <cfRule type="containsText" dxfId="1024" priority="702" stopIfTrue="1" operator="containsText" text=" Сборочные единицы ">
      <formula>NOT(ISERROR(SEARCH(" Сборочные единицы ",J481)))</formula>
    </cfRule>
    <cfRule type="containsText" dxfId="1023" priority="703" stopIfTrue="1" operator="containsText" text=" Материалы ">
      <formula>NOT(ISERROR(SEARCH(" Материалы ",J481)))</formula>
    </cfRule>
    <cfRule type="containsText" dxfId="1022" priority="704" stopIfTrue="1" operator="containsText" text=", на ">
      <formula>NOT(ISERROR(SEARCH(", на ",J481)))</formula>
    </cfRule>
    <cfRule type="containsText" dxfId="1021" priority="705" stopIfTrue="1" operator="containsText" text="шт.)">
      <formula>NOT(ISERROR(SEARCH("шт.)",J481)))</formula>
    </cfRule>
  </conditionalFormatting>
  <conditionalFormatting sqref="C54">
    <cfRule type="containsText" dxfId="1020" priority="859" stopIfTrue="1" operator="containsText" text="ИЗ ФАЙЛА">
      <formula>NOT(ISERROR(SEARCH("ИЗ ФАЙЛА",C54)))</formula>
    </cfRule>
    <cfRule type="containsText" dxfId="1019" priority="860" stopIfTrue="1" operator="containsText" text="!!!!">
      <formula>NOT(ISERROR(SEARCH("!!!!",C54)))</formula>
    </cfRule>
    <cfRule type="containsText" dxfId="1018" priority="861" stopIfTrue="1" operator="containsText" text=" Изделия ">
      <formula>NOT(ISERROR(SEARCH(" Изделия ",C54)))</formula>
    </cfRule>
    <cfRule type="containsText" dxfId="1017" priority="862" stopIfTrue="1" operator="containsText" text=" Прокат ">
      <formula>NOT(ISERROR(SEARCH(" Прокат ",C54)))</formula>
    </cfRule>
    <cfRule type="containsText" dxfId="1016" priority="863" stopIfTrue="1" operator="containsText" text=" Сборочные единицы ">
      <formula>NOT(ISERROR(SEARCH(" Сборочные единицы ",C54)))</formula>
    </cfRule>
    <cfRule type="containsText" dxfId="1015" priority="864" stopIfTrue="1" operator="containsText" text=" Материалы ">
      <formula>NOT(ISERROR(SEARCH(" Материалы ",C54)))</formula>
    </cfRule>
    <cfRule type="containsText" dxfId="1014" priority="865" stopIfTrue="1" operator="containsText" text=", на ">
      <formula>NOT(ISERROR(SEARCH(", на ",C54)))</formula>
    </cfRule>
    <cfRule type="containsText" dxfId="1013" priority="866" stopIfTrue="1" operator="containsText" text="шт.)">
      <formula>NOT(ISERROR(SEARCH("шт.)",C54)))</formula>
    </cfRule>
  </conditionalFormatting>
  <conditionalFormatting sqref="J54">
    <cfRule type="containsText" dxfId="1012" priority="850" stopIfTrue="1" operator="containsText" text="С ЛИСТА">
      <formula>NOT(ISERROR(SEARCH("С ЛИСТА",J54)))</formula>
    </cfRule>
    <cfRule type="containsText" dxfId="1011" priority="851" stopIfTrue="1" operator="containsText" text="ИЗ ФАЙЛА">
      <formula>NOT(ISERROR(SEARCH("ИЗ ФАЙЛА",J54)))</formula>
    </cfRule>
    <cfRule type="containsText" dxfId="1010" priority="852" stopIfTrue="1" operator="containsText" text="!!!">
      <formula>NOT(ISERROR(SEARCH("!!!",J54)))</formula>
    </cfRule>
    <cfRule type="containsText" dxfId="1009" priority="853" stopIfTrue="1" operator="containsText" text=" Изделия ">
      <formula>NOT(ISERROR(SEARCH(" Изделия ",J54)))</formula>
    </cfRule>
    <cfRule type="containsText" dxfId="1008" priority="854" stopIfTrue="1" operator="containsText" text=" Прокат ">
      <formula>NOT(ISERROR(SEARCH(" Прокат ",J54)))</formula>
    </cfRule>
    <cfRule type="containsText" dxfId="1007" priority="855" stopIfTrue="1" operator="containsText" text=" Сборочные единицы ">
      <formula>NOT(ISERROR(SEARCH(" Сборочные единицы ",J54)))</formula>
    </cfRule>
    <cfRule type="containsText" dxfId="1006" priority="856" stopIfTrue="1" operator="containsText" text=" Материалы ">
      <formula>NOT(ISERROR(SEARCH(" Материалы ",J54)))</formula>
    </cfRule>
    <cfRule type="containsText" dxfId="1005" priority="857" stopIfTrue="1" operator="containsText" text=", на ">
      <formula>NOT(ISERROR(SEARCH(", на ",J54)))</formula>
    </cfRule>
    <cfRule type="containsText" dxfId="1004" priority="858" stopIfTrue="1" operator="containsText" text="шт.)">
      <formula>NOT(ISERROR(SEARCH("шт.)",J54)))</formula>
    </cfRule>
  </conditionalFormatting>
  <conditionalFormatting sqref="C73">
    <cfRule type="containsText" dxfId="1003" priority="842" stopIfTrue="1" operator="containsText" text="ИЗ ФАЙЛА">
      <formula>NOT(ISERROR(SEARCH("ИЗ ФАЙЛА",C73)))</formula>
    </cfRule>
    <cfRule type="containsText" dxfId="1002" priority="843" stopIfTrue="1" operator="containsText" text="!!!!">
      <formula>NOT(ISERROR(SEARCH("!!!!",C73)))</formula>
    </cfRule>
    <cfRule type="containsText" dxfId="1001" priority="844" stopIfTrue="1" operator="containsText" text=" Изделия ">
      <formula>NOT(ISERROR(SEARCH(" Изделия ",C73)))</formula>
    </cfRule>
    <cfRule type="containsText" dxfId="1000" priority="845" stopIfTrue="1" operator="containsText" text=" Прокат ">
      <formula>NOT(ISERROR(SEARCH(" Прокат ",C73)))</formula>
    </cfRule>
    <cfRule type="containsText" dxfId="999" priority="846" stopIfTrue="1" operator="containsText" text=" Сборочные единицы ">
      <formula>NOT(ISERROR(SEARCH(" Сборочные единицы ",C73)))</formula>
    </cfRule>
    <cfRule type="containsText" dxfId="998" priority="847" stopIfTrue="1" operator="containsText" text=" Материалы ">
      <formula>NOT(ISERROR(SEARCH(" Материалы ",C73)))</formula>
    </cfRule>
    <cfRule type="containsText" dxfId="997" priority="848" stopIfTrue="1" operator="containsText" text=", на ">
      <formula>NOT(ISERROR(SEARCH(", на ",C73)))</formula>
    </cfRule>
    <cfRule type="containsText" dxfId="996" priority="849" stopIfTrue="1" operator="containsText" text="шт.)">
      <formula>NOT(ISERROR(SEARCH("шт.)",C73)))</formula>
    </cfRule>
  </conditionalFormatting>
  <conditionalFormatting sqref="J73">
    <cfRule type="containsText" dxfId="995" priority="833" stopIfTrue="1" operator="containsText" text="С ЛИСТА">
      <formula>NOT(ISERROR(SEARCH("С ЛИСТА",J73)))</formula>
    </cfRule>
    <cfRule type="containsText" dxfId="994" priority="834" stopIfTrue="1" operator="containsText" text="ИЗ ФАЙЛА">
      <formula>NOT(ISERROR(SEARCH("ИЗ ФАЙЛА",J73)))</formula>
    </cfRule>
    <cfRule type="containsText" dxfId="993" priority="835" stopIfTrue="1" operator="containsText" text="!!!">
      <formula>NOT(ISERROR(SEARCH("!!!",J73)))</formula>
    </cfRule>
    <cfRule type="containsText" dxfId="992" priority="836" stopIfTrue="1" operator="containsText" text=" Изделия ">
      <formula>NOT(ISERROR(SEARCH(" Изделия ",J73)))</formula>
    </cfRule>
    <cfRule type="containsText" dxfId="991" priority="837" stopIfTrue="1" operator="containsText" text=" Прокат ">
      <formula>NOT(ISERROR(SEARCH(" Прокат ",J73)))</formula>
    </cfRule>
    <cfRule type="containsText" dxfId="990" priority="838" stopIfTrue="1" operator="containsText" text=" Сборочные единицы ">
      <formula>NOT(ISERROR(SEARCH(" Сборочные единицы ",J73)))</formula>
    </cfRule>
    <cfRule type="containsText" dxfId="989" priority="839" stopIfTrue="1" operator="containsText" text=" Материалы ">
      <formula>NOT(ISERROR(SEARCH(" Материалы ",J73)))</formula>
    </cfRule>
    <cfRule type="containsText" dxfId="988" priority="840" stopIfTrue="1" operator="containsText" text=", на ">
      <formula>NOT(ISERROR(SEARCH(", на ",J73)))</formula>
    </cfRule>
    <cfRule type="containsText" dxfId="987" priority="841" stopIfTrue="1" operator="containsText" text="шт.)">
      <formula>NOT(ISERROR(SEARCH("шт.)",J73)))</formula>
    </cfRule>
  </conditionalFormatting>
  <conditionalFormatting sqref="C481">
    <cfRule type="containsText" dxfId="986" priority="706" stopIfTrue="1" operator="containsText" text="ИЗ ФАЙЛА">
      <formula>NOT(ISERROR(SEARCH("ИЗ ФАЙЛА",C481)))</formula>
    </cfRule>
    <cfRule type="containsText" dxfId="985" priority="707" stopIfTrue="1" operator="containsText" text="!!!!">
      <formula>NOT(ISERROR(SEARCH("!!!!",C481)))</formula>
    </cfRule>
    <cfRule type="containsText" dxfId="984" priority="708" stopIfTrue="1" operator="containsText" text=" Изделия ">
      <formula>NOT(ISERROR(SEARCH(" Изделия ",C481)))</formula>
    </cfRule>
    <cfRule type="containsText" dxfId="983" priority="709" stopIfTrue="1" operator="containsText" text=" Прокат ">
      <formula>NOT(ISERROR(SEARCH(" Прокат ",C481)))</formula>
    </cfRule>
    <cfRule type="containsText" dxfId="982" priority="710" stopIfTrue="1" operator="containsText" text=" Сборочные единицы ">
      <formula>NOT(ISERROR(SEARCH(" Сборочные единицы ",C481)))</formula>
    </cfRule>
    <cfRule type="containsText" dxfId="981" priority="711" stopIfTrue="1" operator="containsText" text=" Материалы ">
      <formula>NOT(ISERROR(SEARCH(" Материалы ",C481)))</formula>
    </cfRule>
    <cfRule type="containsText" dxfId="980" priority="712" stopIfTrue="1" operator="containsText" text=", на ">
      <formula>NOT(ISERROR(SEARCH(", на ",C481)))</formula>
    </cfRule>
    <cfRule type="containsText" dxfId="979" priority="713" stopIfTrue="1" operator="containsText" text="шт.)">
      <formula>NOT(ISERROR(SEARCH("шт.)",C481)))</formula>
    </cfRule>
  </conditionalFormatting>
  <conditionalFormatting sqref="C110">
    <cfRule type="containsText" dxfId="978" priority="825" stopIfTrue="1" operator="containsText" text="ИЗ ФАЙЛА">
      <formula>NOT(ISERROR(SEARCH("ИЗ ФАЙЛА",C110)))</formula>
    </cfRule>
    <cfRule type="containsText" dxfId="977" priority="826" stopIfTrue="1" operator="containsText" text="!!!!">
      <formula>NOT(ISERROR(SEARCH("!!!!",C110)))</formula>
    </cfRule>
    <cfRule type="containsText" dxfId="976" priority="827" stopIfTrue="1" operator="containsText" text=" Изделия ">
      <formula>NOT(ISERROR(SEARCH(" Изделия ",C110)))</formula>
    </cfRule>
    <cfRule type="containsText" dxfId="975" priority="828" stopIfTrue="1" operator="containsText" text=" Прокат ">
      <formula>NOT(ISERROR(SEARCH(" Прокат ",C110)))</formula>
    </cfRule>
    <cfRule type="containsText" dxfId="974" priority="829" stopIfTrue="1" operator="containsText" text=" Сборочные единицы ">
      <formula>NOT(ISERROR(SEARCH(" Сборочные единицы ",C110)))</formula>
    </cfRule>
    <cfRule type="containsText" dxfId="973" priority="830" stopIfTrue="1" operator="containsText" text=" Материалы ">
      <formula>NOT(ISERROR(SEARCH(" Материалы ",C110)))</formula>
    </cfRule>
    <cfRule type="containsText" dxfId="972" priority="831" stopIfTrue="1" operator="containsText" text=", на ">
      <formula>NOT(ISERROR(SEARCH(", на ",C110)))</formula>
    </cfRule>
    <cfRule type="containsText" dxfId="971" priority="832" stopIfTrue="1" operator="containsText" text="шт.)">
      <formula>NOT(ISERROR(SEARCH("шт.)",C110)))</formula>
    </cfRule>
  </conditionalFormatting>
  <conditionalFormatting sqref="J110">
    <cfRule type="containsText" dxfId="970" priority="816" stopIfTrue="1" operator="containsText" text="С ЛИСТА">
      <formula>NOT(ISERROR(SEARCH("С ЛИСТА",J110)))</formula>
    </cfRule>
    <cfRule type="containsText" dxfId="969" priority="817" stopIfTrue="1" operator="containsText" text="ИЗ ФАЙЛА">
      <formula>NOT(ISERROR(SEARCH("ИЗ ФАЙЛА",J110)))</formula>
    </cfRule>
    <cfRule type="containsText" dxfId="968" priority="818" stopIfTrue="1" operator="containsText" text="!!!">
      <formula>NOT(ISERROR(SEARCH("!!!",J110)))</formula>
    </cfRule>
    <cfRule type="containsText" dxfId="967" priority="819" stopIfTrue="1" operator="containsText" text=" Изделия ">
      <formula>NOT(ISERROR(SEARCH(" Изделия ",J110)))</formula>
    </cfRule>
    <cfRule type="containsText" dxfId="966" priority="820" stopIfTrue="1" operator="containsText" text=" Прокат ">
      <formula>NOT(ISERROR(SEARCH(" Прокат ",J110)))</formula>
    </cfRule>
    <cfRule type="containsText" dxfId="965" priority="821" stopIfTrue="1" operator="containsText" text=" Сборочные единицы ">
      <formula>NOT(ISERROR(SEARCH(" Сборочные единицы ",J110)))</formula>
    </cfRule>
    <cfRule type="containsText" dxfId="964" priority="822" stopIfTrue="1" operator="containsText" text=" Материалы ">
      <formula>NOT(ISERROR(SEARCH(" Материалы ",J110)))</formula>
    </cfRule>
    <cfRule type="containsText" dxfId="963" priority="823" stopIfTrue="1" operator="containsText" text=", на ">
      <formula>NOT(ISERROR(SEARCH(", на ",J110)))</formula>
    </cfRule>
    <cfRule type="containsText" dxfId="962" priority="824" stopIfTrue="1" operator="containsText" text="шт.)">
      <formula>NOT(ISERROR(SEARCH("шт.)",J110)))</formula>
    </cfRule>
  </conditionalFormatting>
  <conditionalFormatting sqref="C129">
    <cfRule type="containsText" dxfId="961" priority="808" stopIfTrue="1" operator="containsText" text="ИЗ ФАЙЛА">
      <formula>NOT(ISERROR(SEARCH("ИЗ ФАЙЛА",C129)))</formula>
    </cfRule>
    <cfRule type="containsText" dxfId="960" priority="809" stopIfTrue="1" operator="containsText" text="!!!!">
      <formula>NOT(ISERROR(SEARCH("!!!!",C129)))</formula>
    </cfRule>
    <cfRule type="containsText" dxfId="959" priority="810" stopIfTrue="1" operator="containsText" text=" Изделия ">
      <formula>NOT(ISERROR(SEARCH(" Изделия ",C129)))</formula>
    </cfRule>
    <cfRule type="containsText" dxfId="958" priority="811" stopIfTrue="1" operator="containsText" text=" Прокат ">
      <formula>NOT(ISERROR(SEARCH(" Прокат ",C129)))</formula>
    </cfRule>
    <cfRule type="containsText" dxfId="957" priority="812" stopIfTrue="1" operator="containsText" text=" Сборочные единицы ">
      <formula>NOT(ISERROR(SEARCH(" Сборочные единицы ",C129)))</formula>
    </cfRule>
    <cfRule type="containsText" dxfId="956" priority="813" stopIfTrue="1" operator="containsText" text=" Материалы ">
      <formula>NOT(ISERROR(SEARCH(" Материалы ",C129)))</formula>
    </cfRule>
    <cfRule type="containsText" dxfId="955" priority="814" stopIfTrue="1" operator="containsText" text=", на ">
      <formula>NOT(ISERROR(SEARCH(", на ",C129)))</formula>
    </cfRule>
    <cfRule type="containsText" dxfId="954" priority="815" stopIfTrue="1" operator="containsText" text="шт.)">
      <formula>NOT(ISERROR(SEARCH("шт.)",C129)))</formula>
    </cfRule>
  </conditionalFormatting>
  <conditionalFormatting sqref="J129">
    <cfRule type="containsText" dxfId="953" priority="799" stopIfTrue="1" operator="containsText" text="С ЛИСТА">
      <formula>NOT(ISERROR(SEARCH("С ЛИСТА",J129)))</formula>
    </cfRule>
    <cfRule type="containsText" dxfId="952" priority="800" stopIfTrue="1" operator="containsText" text="ИЗ ФАЙЛА">
      <formula>NOT(ISERROR(SEARCH("ИЗ ФАЙЛА",J129)))</formula>
    </cfRule>
    <cfRule type="containsText" dxfId="951" priority="801" stopIfTrue="1" operator="containsText" text="!!!">
      <formula>NOT(ISERROR(SEARCH("!!!",J129)))</formula>
    </cfRule>
    <cfRule type="containsText" dxfId="950" priority="802" stopIfTrue="1" operator="containsText" text=" Изделия ">
      <formula>NOT(ISERROR(SEARCH(" Изделия ",J129)))</formula>
    </cfRule>
    <cfRule type="containsText" dxfId="949" priority="803" stopIfTrue="1" operator="containsText" text=" Прокат ">
      <formula>NOT(ISERROR(SEARCH(" Прокат ",J129)))</formula>
    </cfRule>
    <cfRule type="containsText" dxfId="948" priority="804" stopIfTrue="1" operator="containsText" text=" Сборочные единицы ">
      <formula>NOT(ISERROR(SEARCH(" Сборочные единицы ",J129)))</formula>
    </cfRule>
    <cfRule type="containsText" dxfId="947" priority="805" stopIfTrue="1" operator="containsText" text=" Материалы ">
      <formula>NOT(ISERROR(SEARCH(" Материалы ",J129)))</formula>
    </cfRule>
    <cfRule type="containsText" dxfId="946" priority="806" stopIfTrue="1" operator="containsText" text=", на ">
      <formula>NOT(ISERROR(SEARCH(", на ",J129)))</formula>
    </cfRule>
    <cfRule type="containsText" dxfId="945" priority="807" stopIfTrue="1" operator="containsText" text="шт.)">
      <formula>NOT(ISERROR(SEARCH("шт.)",J129)))</formula>
    </cfRule>
  </conditionalFormatting>
  <conditionalFormatting sqref="C148">
    <cfRule type="containsText" dxfId="944" priority="791" stopIfTrue="1" operator="containsText" text="ИЗ ФАЙЛА">
      <formula>NOT(ISERROR(SEARCH("ИЗ ФАЙЛА",C148)))</formula>
    </cfRule>
    <cfRule type="containsText" dxfId="943" priority="792" stopIfTrue="1" operator="containsText" text="!!!!">
      <formula>NOT(ISERROR(SEARCH("!!!!",C148)))</formula>
    </cfRule>
    <cfRule type="containsText" dxfId="942" priority="793" stopIfTrue="1" operator="containsText" text=" Изделия ">
      <formula>NOT(ISERROR(SEARCH(" Изделия ",C148)))</formula>
    </cfRule>
    <cfRule type="containsText" dxfId="941" priority="794" stopIfTrue="1" operator="containsText" text=" Прокат ">
      <formula>NOT(ISERROR(SEARCH(" Прокат ",C148)))</formula>
    </cfRule>
    <cfRule type="containsText" dxfId="940" priority="795" stopIfTrue="1" operator="containsText" text=" Сборочные единицы ">
      <formula>NOT(ISERROR(SEARCH(" Сборочные единицы ",C148)))</formula>
    </cfRule>
    <cfRule type="containsText" dxfId="939" priority="796" stopIfTrue="1" operator="containsText" text=" Материалы ">
      <formula>NOT(ISERROR(SEARCH(" Материалы ",C148)))</formula>
    </cfRule>
    <cfRule type="containsText" dxfId="938" priority="797" stopIfTrue="1" operator="containsText" text=", на ">
      <formula>NOT(ISERROR(SEARCH(", на ",C148)))</formula>
    </cfRule>
    <cfRule type="containsText" dxfId="937" priority="798" stopIfTrue="1" operator="containsText" text="шт.)">
      <formula>NOT(ISERROR(SEARCH("шт.)",C148)))</formula>
    </cfRule>
  </conditionalFormatting>
  <conditionalFormatting sqref="J148">
    <cfRule type="containsText" dxfId="936" priority="782" stopIfTrue="1" operator="containsText" text="С ЛИСТА">
      <formula>NOT(ISERROR(SEARCH("С ЛИСТА",J148)))</formula>
    </cfRule>
    <cfRule type="containsText" dxfId="935" priority="783" stopIfTrue="1" operator="containsText" text="ИЗ ФАЙЛА">
      <formula>NOT(ISERROR(SEARCH("ИЗ ФАЙЛА",J148)))</formula>
    </cfRule>
    <cfRule type="containsText" dxfId="934" priority="784" stopIfTrue="1" operator="containsText" text="!!!">
      <formula>NOT(ISERROR(SEARCH("!!!",J148)))</formula>
    </cfRule>
    <cfRule type="containsText" dxfId="933" priority="785" stopIfTrue="1" operator="containsText" text=" Изделия ">
      <formula>NOT(ISERROR(SEARCH(" Изделия ",J148)))</formula>
    </cfRule>
    <cfRule type="containsText" dxfId="932" priority="786" stopIfTrue="1" operator="containsText" text=" Прокат ">
      <formula>NOT(ISERROR(SEARCH(" Прокат ",J148)))</formula>
    </cfRule>
    <cfRule type="containsText" dxfId="931" priority="787" stopIfTrue="1" operator="containsText" text=" Сборочные единицы ">
      <formula>NOT(ISERROR(SEARCH(" Сборочные единицы ",J148)))</formula>
    </cfRule>
    <cfRule type="containsText" dxfId="930" priority="788" stopIfTrue="1" operator="containsText" text=" Материалы ">
      <formula>NOT(ISERROR(SEARCH(" Материалы ",J148)))</formula>
    </cfRule>
    <cfRule type="containsText" dxfId="929" priority="789" stopIfTrue="1" operator="containsText" text=", на ">
      <formula>NOT(ISERROR(SEARCH(", на ",J148)))</formula>
    </cfRule>
    <cfRule type="containsText" dxfId="928" priority="790" stopIfTrue="1" operator="containsText" text="шт.)">
      <formula>NOT(ISERROR(SEARCH("шт.)",J148)))</formula>
    </cfRule>
  </conditionalFormatting>
  <conditionalFormatting sqref="C167">
    <cfRule type="containsText" dxfId="927" priority="774" stopIfTrue="1" operator="containsText" text="ИЗ ФАЙЛА">
      <formula>NOT(ISERROR(SEARCH("ИЗ ФАЙЛА",C167)))</formula>
    </cfRule>
    <cfRule type="containsText" dxfId="926" priority="775" stopIfTrue="1" operator="containsText" text="!!!!">
      <formula>NOT(ISERROR(SEARCH("!!!!",C167)))</formula>
    </cfRule>
    <cfRule type="containsText" dxfId="925" priority="776" stopIfTrue="1" operator="containsText" text=" Изделия ">
      <formula>NOT(ISERROR(SEARCH(" Изделия ",C167)))</formula>
    </cfRule>
    <cfRule type="containsText" dxfId="924" priority="777" stopIfTrue="1" operator="containsText" text=" Прокат ">
      <formula>NOT(ISERROR(SEARCH(" Прокат ",C167)))</formula>
    </cfRule>
    <cfRule type="containsText" dxfId="923" priority="778" stopIfTrue="1" operator="containsText" text=" Сборочные единицы ">
      <formula>NOT(ISERROR(SEARCH(" Сборочные единицы ",C167)))</formula>
    </cfRule>
    <cfRule type="containsText" dxfId="922" priority="779" stopIfTrue="1" operator="containsText" text=" Материалы ">
      <formula>NOT(ISERROR(SEARCH(" Материалы ",C167)))</formula>
    </cfRule>
    <cfRule type="containsText" dxfId="921" priority="780" stopIfTrue="1" operator="containsText" text=", на ">
      <formula>NOT(ISERROR(SEARCH(", на ",C167)))</formula>
    </cfRule>
    <cfRule type="containsText" dxfId="920" priority="781" stopIfTrue="1" operator="containsText" text="шт.)">
      <formula>NOT(ISERROR(SEARCH("шт.)",C167)))</formula>
    </cfRule>
  </conditionalFormatting>
  <conditionalFormatting sqref="J167">
    <cfRule type="containsText" dxfId="919" priority="765" stopIfTrue="1" operator="containsText" text="С ЛИСТА">
      <formula>NOT(ISERROR(SEARCH("С ЛИСТА",J167)))</formula>
    </cfRule>
    <cfRule type="containsText" dxfId="918" priority="766" stopIfTrue="1" operator="containsText" text="ИЗ ФАЙЛА">
      <formula>NOT(ISERROR(SEARCH("ИЗ ФАЙЛА",J167)))</formula>
    </cfRule>
    <cfRule type="containsText" dxfId="917" priority="767" stopIfTrue="1" operator="containsText" text="!!!">
      <formula>NOT(ISERROR(SEARCH("!!!",J167)))</formula>
    </cfRule>
    <cfRule type="containsText" dxfId="916" priority="768" stopIfTrue="1" operator="containsText" text=" Изделия ">
      <formula>NOT(ISERROR(SEARCH(" Изделия ",J167)))</formula>
    </cfRule>
    <cfRule type="containsText" dxfId="915" priority="769" stopIfTrue="1" operator="containsText" text=" Прокат ">
      <formula>NOT(ISERROR(SEARCH(" Прокат ",J167)))</formula>
    </cfRule>
    <cfRule type="containsText" dxfId="914" priority="770" stopIfTrue="1" operator="containsText" text=" Сборочные единицы ">
      <formula>NOT(ISERROR(SEARCH(" Сборочные единицы ",J167)))</formula>
    </cfRule>
    <cfRule type="containsText" dxfId="913" priority="771" stopIfTrue="1" operator="containsText" text=" Материалы ">
      <formula>NOT(ISERROR(SEARCH(" Материалы ",J167)))</formula>
    </cfRule>
    <cfRule type="containsText" dxfId="912" priority="772" stopIfTrue="1" operator="containsText" text=", на ">
      <formula>NOT(ISERROR(SEARCH(", на ",J167)))</formula>
    </cfRule>
    <cfRule type="containsText" dxfId="911" priority="773" stopIfTrue="1" operator="containsText" text="шт.)">
      <formula>NOT(ISERROR(SEARCH("шт.)",J167)))</formula>
    </cfRule>
  </conditionalFormatting>
  <conditionalFormatting sqref="C186">
    <cfRule type="containsText" dxfId="910" priority="757" stopIfTrue="1" operator="containsText" text="ИЗ ФАЙЛА">
      <formula>NOT(ISERROR(SEARCH("ИЗ ФАЙЛА",C186)))</formula>
    </cfRule>
    <cfRule type="containsText" dxfId="909" priority="758" stopIfTrue="1" operator="containsText" text="!!!!">
      <formula>NOT(ISERROR(SEARCH("!!!!",C186)))</formula>
    </cfRule>
    <cfRule type="containsText" dxfId="908" priority="759" stopIfTrue="1" operator="containsText" text=" Изделия ">
      <formula>NOT(ISERROR(SEARCH(" Изделия ",C186)))</formula>
    </cfRule>
    <cfRule type="containsText" dxfId="907" priority="760" stopIfTrue="1" operator="containsText" text=" Прокат ">
      <formula>NOT(ISERROR(SEARCH(" Прокат ",C186)))</formula>
    </cfRule>
    <cfRule type="containsText" dxfId="906" priority="761" stopIfTrue="1" operator="containsText" text=" Сборочные единицы ">
      <formula>NOT(ISERROR(SEARCH(" Сборочные единицы ",C186)))</formula>
    </cfRule>
    <cfRule type="containsText" dxfId="905" priority="762" stopIfTrue="1" operator="containsText" text=" Материалы ">
      <formula>NOT(ISERROR(SEARCH(" Материалы ",C186)))</formula>
    </cfRule>
    <cfRule type="containsText" dxfId="904" priority="763" stopIfTrue="1" operator="containsText" text=", на ">
      <formula>NOT(ISERROR(SEARCH(", на ",C186)))</formula>
    </cfRule>
    <cfRule type="containsText" dxfId="903" priority="764" stopIfTrue="1" operator="containsText" text="шт.)">
      <formula>NOT(ISERROR(SEARCH("шт.)",C186)))</formula>
    </cfRule>
  </conditionalFormatting>
  <conditionalFormatting sqref="J186">
    <cfRule type="containsText" dxfId="902" priority="748" stopIfTrue="1" operator="containsText" text="С ЛИСТА">
      <formula>NOT(ISERROR(SEARCH("С ЛИСТА",J186)))</formula>
    </cfRule>
    <cfRule type="containsText" dxfId="901" priority="749" stopIfTrue="1" operator="containsText" text="ИЗ ФАЙЛА">
      <formula>NOT(ISERROR(SEARCH("ИЗ ФАЙЛА",J186)))</formula>
    </cfRule>
    <cfRule type="containsText" dxfId="900" priority="750" stopIfTrue="1" operator="containsText" text="!!!">
      <formula>NOT(ISERROR(SEARCH("!!!",J186)))</formula>
    </cfRule>
    <cfRule type="containsText" dxfId="899" priority="751" stopIfTrue="1" operator="containsText" text=" Изделия ">
      <formula>NOT(ISERROR(SEARCH(" Изделия ",J186)))</formula>
    </cfRule>
    <cfRule type="containsText" dxfId="898" priority="752" stopIfTrue="1" operator="containsText" text=" Прокат ">
      <formula>NOT(ISERROR(SEARCH(" Прокат ",J186)))</formula>
    </cfRule>
    <cfRule type="containsText" dxfId="897" priority="753" stopIfTrue="1" operator="containsText" text=" Сборочные единицы ">
      <formula>NOT(ISERROR(SEARCH(" Сборочные единицы ",J186)))</formula>
    </cfRule>
    <cfRule type="containsText" dxfId="896" priority="754" stopIfTrue="1" operator="containsText" text=" Материалы ">
      <formula>NOT(ISERROR(SEARCH(" Материалы ",J186)))</formula>
    </cfRule>
    <cfRule type="containsText" dxfId="895" priority="755" stopIfTrue="1" operator="containsText" text=", на ">
      <formula>NOT(ISERROR(SEARCH(", на ",J186)))</formula>
    </cfRule>
    <cfRule type="containsText" dxfId="894" priority="756" stopIfTrue="1" operator="containsText" text="шт.)">
      <formula>NOT(ISERROR(SEARCH("шт.)",J186)))</formula>
    </cfRule>
  </conditionalFormatting>
  <conditionalFormatting sqref="C205">
    <cfRule type="containsText" dxfId="893" priority="740" stopIfTrue="1" operator="containsText" text="ИЗ ФАЙЛА">
      <formula>NOT(ISERROR(SEARCH("ИЗ ФАЙЛА",C205)))</formula>
    </cfRule>
    <cfRule type="containsText" dxfId="892" priority="741" stopIfTrue="1" operator="containsText" text="!!!!">
      <formula>NOT(ISERROR(SEARCH("!!!!",C205)))</formula>
    </cfRule>
    <cfRule type="containsText" dxfId="891" priority="742" stopIfTrue="1" operator="containsText" text=" Изделия ">
      <formula>NOT(ISERROR(SEARCH(" Изделия ",C205)))</formula>
    </cfRule>
    <cfRule type="containsText" dxfId="890" priority="743" stopIfTrue="1" operator="containsText" text=" Прокат ">
      <formula>NOT(ISERROR(SEARCH(" Прокат ",C205)))</formula>
    </cfRule>
    <cfRule type="containsText" dxfId="889" priority="744" stopIfTrue="1" operator="containsText" text=" Сборочные единицы ">
      <formula>NOT(ISERROR(SEARCH(" Сборочные единицы ",C205)))</formula>
    </cfRule>
    <cfRule type="containsText" dxfId="888" priority="745" stopIfTrue="1" operator="containsText" text=" Материалы ">
      <formula>NOT(ISERROR(SEARCH(" Материалы ",C205)))</formula>
    </cfRule>
    <cfRule type="containsText" dxfId="887" priority="746" stopIfTrue="1" operator="containsText" text=", на ">
      <formula>NOT(ISERROR(SEARCH(", на ",C205)))</formula>
    </cfRule>
    <cfRule type="containsText" dxfId="886" priority="747" stopIfTrue="1" operator="containsText" text="шт.)">
      <formula>NOT(ISERROR(SEARCH("шт.)",C205)))</formula>
    </cfRule>
  </conditionalFormatting>
  <conditionalFormatting sqref="J205">
    <cfRule type="containsText" dxfId="885" priority="731" stopIfTrue="1" operator="containsText" text="С ЛИСТА">
      <formula>NOT(ISERROR(SEARCH("С ЛИСТА",J205)))</formula>
    </cfRule>
    <cfRule type="containsText" dxfId="884" priority="732" stopIfTrue="1" operator="containsText" text="ИЗ ФАЙЛА">
      <formula>NOT(ISERROR(SEARCH("ИЗ ФАЙЛА",J205)))</formula>
    </cfRule>
    <cfRule type="containsText" dxfId="883" priority="733" stopIfTrue="1" operator="containsText" text="!!!">
      <formula>NOT(ISERROR(SEARCH("!!!",J205)))</formula>
    </cfRule>
    <cfRule type="containsText" dxfId="882" priority="734" stopIfTrue="1" operator="containsText" text=" Изделия ">
      <formula>NOT(ISERROR(SEARCH(" Изделия ",J205)))</formula>
    </cfRule>
    <cfRule type="containsText" dxfId="881" priority="735" stopIfTrue="1" operator="containsText" text=" Прокат ">
      <formula>NOT(ISERROR(SEARCH(" Прокат ",J205)))</formula>
    </cfRule>
    <cfRule type="containsText" dxfId="880" priority="736" stopIfTrue="1" operator="containsText" text=" Сборочные единицы ">
      <formula>NOT(ISERROR(SEARCH(" Сборочные единицы ",J205)))</formula>
    </cfRule>
    <cfRule type="containsText" dxfId="879" priority="737" stopIfTrue="1" operator="containsText" text=" Материалы ">
      <formula>NOT(ISERROR(SEARCH(" Материалы ",J205)))</formula>
    </cfRule>
    <cfRule type="containsText" dxfId="878" priority="738" stopIfTrue="1" operator="containsText" text=", на ">
      <formula>NOT(ISERROR(SEARCH(", на ",J205)))</formula>
    </cfRule>
    <cfRule type="containsText" dxfId="877" priority="739" stopIfTrue="1" operator="containsText" text="шт.)">
      <formula>NOT(ISERROR(SEARCH("шт.)",J205)))</formula>
    </cfRule>
  </conditionalFormatting>
  <conditionalFormatting sqref="C462">
    <cfRule type="containsText" dxfId="876" priority="723" stopIfTrue="1" operator="containsText" text="ИЗ ФАЙЛА">
      <formula>NOT(ISERROR(SEARCH("ИЗ ФАЙЛА",C462)))</formula>
    </cfRule>
    <cfRule type="containsText" dxfId="875" priority="724" stopIfTrue="1" operator="containsText" text="!!!!">
      <formula>NOT(ISERROR(SEARCH("!!!!",C462)))</formula>
    </cfRule>
    <cfRule type="containsText" dxfId="874" priority="725" stopIfTrue="1" operator="containsText" text=" Изделия ">
      <formula>NOT(ISERROR(SEARCH(" Изделия ",C462)))</formula>
    </cfRule>
    <cfRule type="containsText" dxfId="873" priority="726" stopIfTrue="1" operator="containsText" text=" Прокат ">
      <formula>NOT(ISERROR(SEARCH(" Прокат ",C462)))</formula>
    </cfRule>
    <cfRule type="containsText" dxfId="872" priority="727" stopIfTrue="1" operator="containsText" text=" Сборочные единицы ">
      <formula>NOT(ISERROR(SEARCH(" Сборочные единицы ",C462)))</formula>
    </cfRule>
    <cfRule type="containsText" dxfId="871" priority="728" stopIfTrue="1" operator="containsText" text=" Материалы ">
      <formula>NOT(ISERROR(SEARCH(" Материалы ",C462)))</formula>
    </cfRule>
    <cfRule type="containsText" dxfId="870" priority="729" stopIfTrue="1" operator="containsText" text=", на ">
      <formula>NOT(ISERROR(SEARCH(", на ",C462)))</formula>
    </cfRule>
    <cfRule type="containsText" dxfId="869" priority="730" stopIfTrue="1" operator="containsText" text="шт.)">
      <formula>NOT(ISERROR(SEARCH("шт.)",C462)))</formula>
    </cfRule>
  </conditionalFormatting>
  <conditionalFormatting sqref="J462">
    <cfRule type="containsText" dxfId="868" priority="714" stopIfTrue="1" operator="containsText" text="С ЛИСТА">
      <formula>NOT(ISERROR(SEARCH("С ЛИСТА",J462)))</formula>
    </cfRule>
    <cfRule type="containsText" dxfId="867" priority="715" stopIfTrue="1" operator="containsText" text="ИЗ ФАЙЛА">
      <formula>NOT(ISERROR(SEARCH("ИЗ ФАЙЛА",J462)))</formula>
    </cfRule>
    <cfRule type="containsText" dxfId="866" priority="716" stopIfTrue="1" operator="containsText" text="!!!">
      <formula>NOT(ISERROR(SEARCH("!!!",J462)))</formula>
    </cfRule>
    <cfRule type="containsText" dxfId="865" priority="717" stopIfTrue="1" operator="containsText" text=" Изделия ">
      <formula>NOT(ISERROR(SEARCH(" Изделия ",J462)))</formula>
    </cfRule>
    <cfRule type="containsText" dxfId="864" priority="718" stopIfTrue="1" operator="containsText" text=" Прокат ">
      <formula>NOT(ISERROR(SEARCH(" Прокат ",J462)))</formula>
    </cfRule>
    <cfRule type="containsText" dxfId="863" priority="719" stopIfTrue="1" operator="containsText" text=" Сборочные единицы ">
      <formula>NOT(ISERROR(SEARCH(" Сборочные единицы ",J462)))</formula>
    </cfRule>
    <cfRule type="containsText" dxfId="862" priority="720" stopIfTrue="1" operator="containsText" text=" Материалы ">
      <formula>NOT(ISERROR(SEARCH(" Материалы ",J462)))</formula>
    </cfRule>
    <cfRule type="containsText" dxfId="861" priority="721" stopIfTrue="1" operator="containsText" text=", на ">
      <formula>NOT(ISERROR(SEARCH(", на ",J462)))</formula>
    </cfRule>
    <cfRule type="containsText" dxfId="860" priority="722" stopIfTrue="1" operator="containsText" text="шт.)">
      <formula>NOT(ISERROR(SEARCH("шт.)",J462)))</formula>
    </cfRule>
  </conditionalFormatting>
  <conditionalFormatting sqref="H210:J211 A210:G210 C212:C223">
    <cfRule type="containsText" dxfId="859" priority="689" stopIfTrue="1" operator="containsText" text="ИЗ ФАЙЛА">
      <formula>NOT(ISERROR(SEARCH("ИЗ ФАЙЛА",A210)))</formula>
    </cfRule>
    <cfRule type="containsText" dxfId="858" priority="690" stopIfTrue="1" operator="containsText" text="!!!!">
      <formula>NOT(ISERROR(SEARCH("!!!!",A210)))</formula>
    </cfRule>
    <cfRule type="containsText" dxfId="857" priority="691" stopIfTrue="1" operator="containsText" text=" Изделия ">
      <formula>NOT(ISERROR(SEARCH(" Изделия ",A210)))</formula>
    </cfRule>
    <cfRule type="containsText" dxfId="856" priority="692" stopIfTrue="1" operator="containsText" text=" Прокат ">
      <formula>NOT(ISERROR(SEARCH(" Прокат ",A210)))</formula>
    </cfRule>
    <cfRule type="containsText" dxfId="855" priority="693" stopIfTrue="1" operator="containsText" text=" Сборочные единицы ">
      <formula>NOT(ISERROR(SEARCH(" Сборочные единицы ",A210)))</formula>
    </cfRule>
    <cfRule type="containsText" dxfId="854" priority="694" stopIfTrue="1" operator="containsText" text=" Материалы ">
      <formula>NOT(ISERROR(SEARCH(" Материалы ",A210)))</formula>
    </cfRule>
    <cfRule type="containsText" dxfId="853" priority="695" stopIfTrue="1" operator="containsText" text=", на ">
      <formula>NOT(ISERROR(SEARCH(", на ",A210)))</formula>
    </cfRule>
    <cfRule type="containsText" dxfId="852" priority="696" stopIfTrue="1" operator="containsText" text="шт.)">
      <formula>NOT(ISERROR(SEARCH("шт.)",A210)))</formula>
    </cfRule>
  </conditionalFormatting>
  <conditionalFormatting sqref="J212:J223">
    <cfRule type="containsText" dxfId="851" priority="680" stopIfTrue="1" operator="containsText" text="С ЛИСТА">
      <formula>NOT(ISERROR(SEARCH("С ЛИСТА",J212)))</formula>
    </cfRule>
    <cfRule type="containsText" dxfId="850" priority="681" stopIfTrue="1" operator="containsText" text="ИЗ ФАЙЛА">
      <formula>NOT(ISERROR(SEARCH("ИЗ ФАЙЛА",J212)))</formula>
    </cfRule>
    <cfRule type="containsText" dxfId="849" priority="682" stopIfTrue="1" operator="containsText" text="!!!">
      <formula>NOT(ISERROR(SEARCH("!!!",J212)))</formula>
    </cfRule>
    <cfRule type="containsText" dxfId="848" priority="683" stopIfTrue="1" operator="containsText" text=" Изделия ">
      <formula>NOT(ISERROR(SEARCH(" Изделия ",J212)))</formula>
    </cfRule>
    <cfRule type="containsText" dxfId="847" priority="684" stopIfTrue="1" operator="containsText" text=" Прокат ">
      <formula>NOT(ISERROR(SEARCH(" Прокат ",J212)))</formula>
    </cfRule>
    <cfRule type="containsText" dxfId="846" priority="685" stopIfTrue="1" operator="containsText" text=" Сборочные единицы ">
      <formula>NOT(ISERROR(SEARCH(" Сборочные единицы ",J212)))</formula>
    </cfRule>
    <cfRule type="containsText" dxfId="845" priority="686" stopIfTrue="1" operator="containsText" text=" Материалы ">
      <formula>NOT(ISERROR(SEARCH(" Материалы ",J212)))</formula>
    </cfRule>
    <cfRule type="containsText" dxfId="844" priority="687" stopIfTrue="1" operator="containsText" text=", на ">
      <formula>NOT(ISERROR(SEARCH(", на ",J212)))</formula>
    </cfRule>
    <cfRule type="containsText" dxfId="843" priority="688" stopIfTrue="1" operator="containsText" text="шт.)">
      <formula>NOT(ISERROR(SEARCH("шт.)",J212)))</formula>
    </cfRule>
  </conditionalFormatting>
  <conditionalFormatting sqref="F210:G210">
    <cfRule type="containsText" dxfId="842" priority="672" stopIfTrue="1" operator="containsText" text="ИЗ ФАЙЛА">
      <formula>NOT(ISERROR(SEARCH("ИЗ ФАЙЛА",F210)))</formula>
    </cfRule>
    <cfRule type="containsText" dxfId="841" priority="673" stopIfTrue="1" operator="containsText" text="!!!!">
      <formula>NOT(ISERROR(SEARCH("!!!!",F210)))</formula>
    </cfRule>
    <cfRule type="containsText" dxfId="840" priority="674" stopIfTrue="1" operator="containsText" text=" Изделия ">
      <formula>NOT(ISERROR(SEARCH(" Изделия ",F210)))</formula>
    </cfRule>
    <cfRule type="containsText" dxfId="839" priority="675" stopIfTrue="1" operator="containsText" text=" Прокат ">
      <formula>NOT(ISERROR(SEARCH(" Прокат ",F210)))</formula>
    </cfRule>
    <cfRule type="containsText" dxfId="838" priority="676" stopIfTrue="1" operator="containsText" text=" Сборочные единицы ">
      <formula>NOT(ISERROR(SEARCH(" Сборочные единицы ",F210)))</formula>
    </cfRule>
    <cfRule type="containsText" dxfId="837" priority="677" stopIfTrue="1" operator="containsText" text=" Материалы ">
      <formula>NOT(ISERROR(SEARCH(" Материалы ",F210)))</formula>
    </cfRule>
    <cfRule type="containsText" dxfId="836" priority="678" stopIfTrue="1" operator="containsText" text=", на ">
      <formula>NOT(ISERROR(SEARCH(", на ",F210)))</formula>
    </cfRule>
    <cfRule type="containsText" dxfId="835" priority="679" stopIfTrue="1" operator="containsText" text="шт.)">
      <formula>NOT(ISERROR(SEARCH("шт.)",F210)))</formula>
    </cfRule>
  </conditionalFormatting>
  <conditionalFormatting sqref="F210:G210">
    <cfRule type="containsText" dxfId="834" priority="664" stopIfTrue="1" operator="containsText" text="ИЗ ФАЙЛА">
      <formula>NOT(ISERROR(SEARCH("ИЗ ФАЙЛА",F210)))</formula>
    </cfRule>
    <cfRule type="containsText" dxfId="833" priority="665" stopIfTrue="1" operator="containsText" text="!!!!">
      <formula>NOT(ISERROR(SEARCH("!!!!",F210)))</formula>
    </cfRule>
    <cfRule type="containsText" dxfId="832" priority="666" stopIfTrue="1" operator="containsText" text=" Изделия ">
      <formula>NOT(ISERROR(SEARCH(" Изделия ",F210)))</formula>
    </cfRule>
    <cfRule type="containsText" dxfId="831" priority="667" stopIfTrue="1" operator="containsText" text=" Прокат ">
      <formula>NOT(ISERROR(SEARCH(" Прокат ",F210)))</formula>
    </cfRule>
    <cfRule type="containsText" dxfId="830" priority="668" stopIfTrue="1" operator="containsText" text=" Сборочные единицы ">
      <formula>NOT(ISERROR(SEARCH(" Сборочные единицы ",F210)))</formula>
    </cfRule>
    <cfRule type="containsText" dxfId="829" priority="669" stopIfTrue="1" operator="containsText" text=" Материалы ">
      <formula>NOT(ISERROR(SEARCH(" Материалы ",F210)))</formula>
    </cfRule>
    <cfRule type="containsText" dxfId="828" priority="670" stopIfTrue="1" operator="containsText" text=", на ">
      <formula>NOT(ISERROR(SEARCH(", на ",F210)))</formula>
    </cfRule>
    <cfRule type="containsText" dxfId="827" priority="671" stopIfTrue="1" operator="containsText" text="шт.)">
      <formula>NOT(ISERROR(SEARCH("шт.)",F210)))</formula>
    </cfRule>
  </conditionalFormatting>
  <conditionalFormatting sqref="F210:G210">
    <cfRule type="containsText" dxfId="826" priority="656" stopIfTrue="1" operator="containsText" text="ИЗ ФАЙЛА">
      <formula>NOT(ISERROR(SEARCH("ИЗ ФАЙЛА",F210)))</formula>
    </cfRule>
    <cfRule type="containsText" dxfId="825" priority="657" stopIfTrue="1" operator="containsText" text="!!!!">
      <formula>NOT(ISERROR(SEARCH("!!!!",F210)))</formula>
    </cfRule>
    <cfRule type="containsText" dxfId="824" priority="658" stopIfTrue="1" operator="containsText" text=" Изделия ">
      <formula>NOT(ISERROR(SEARCH(" Изделия ",F210)))</formula>
    </cfRule>
    <cfRule type="containsText" dxfId="823" priority="659" stopIfTrue="1" operator="containsText" text=" Прокат ">
      <formula>NOT(ISERROR(SEARCH(" Прокат ",F210)))</formula>
    </cfRule>
    <cfRule type="containsText" dxfId="822" priority="660" stopIfTrue="1" operator="containsText" text=" Сборочные единицы ">
      <formula>NOT(ISERROR(SEARCH(" Сборочные единицы ",F210)))</formula>
    </cfRule>
    <cfRule type="containsText" dxfId="821" priority="661" stopIfTrue="1" operator="containsText" text=" Материалы ">
      <formula>NOT(ISERROR(SEARCH(" Материалы ",F210)))</formula>
    </cfRule>
    <cfRule type="containsText" dxfId="820" priority="662" stopIfTrue="1" operator="containsText" text=", на ">
      <formula>NOT(ISERROR(SEARCH(", на ",F210)))</formula>
    </cfRule>
    <cfRule type="containsText" dxfId="819" priority="663" stopIfTrue="1" operator="containsText" text="шт.)">
      <formula>NOT(ISERROR(SEARCH("шт.)",F210)))</formula>
    </cfRule>
  </conditionalFormatting>
  <conditionalFormatting sqref="C224">
    <cfRule type="containsText" dxfId="818" priority="648" stopIfTrue="1" operator="containsText" text="ИЗ ФАЙЛА">
      <formula>NOT(ISERROR(SEARCH("ИЗ ФАЙЛА",C224)))</formula>
    </cfRule>
    <cfRule type="containsText" dxfId="817" priority="649" stopIfTrue="1" operator="containsText" text="!!!!">
      <formula>NOT(ISERROR(SEARCH("!!!!",C224)))</formula>
    </cfRule>
    <cfRule type="containsText" dxfId="816" priority="650" stopIfTrue="1" operator="containsText" text=" Изделия ">
      <formula>NOT(ISERROR(SEARCH(" Изделия ",C224)))</formula>
    </cfRule>
    <cfRule type="containsText" dxfId="815" priority="651" stopIfTrue="1" operator="containsText" text=" Прокат ">
      <formula>NOT(ISERROR(SEARCH(" Прокат ",C224)))</formula>
    </cfRule>
    <cfRule type="containsText" dxfId="814" priority="652" stopIfTrue="1" operator="containsText" text=" Сборочные единицы ">
      <formula>NOT(ISERROR(SEARCH(" Сборочные единицы ",C224)))</formula>
    </cfRule>
    <cfRule type="containsText" dxfId="813" priority="653" stopIfTrue="1" operator="containsText" text=" Материалы ">
      <formula>NOT(ISERROR(SEARCH(" Материалы ",C224)))</formula>
    </cfRule>
    <cfRule type="containsText" dxfId="812" priority="654" stopIfTrue="1" operator="containsText" text=", на ">
      <formula>NOT(ISERROR(SEARCH(", на ",C224)))</formula>
    </cfRule>
    <cfRule type="containsText" dxfId="811" priority="655" stopIfTrue="1" operator="containsText" text="шт.)">
      <formula>NOT(ISERROR(SEARCH("шт.)",C224)))</formula>
    </cfRule>
  </conditionalFormatting>
  <conditionalFormatting sqref="J224">
    <cfRule type="containsText" dxfId="810" priority="639" stopIfTrue="1" operator="containsText" text="С ЛИСТА">
      <formula>NOT(ISERROR(SEARCH("С ЛИСТА",J224)))</formula>
    </cfRule>
    <cfRule type="containsText" dxfId="809" priority="640" stopIfTrue="1" operator="containsText" text="ИЗ ФАЙЛА">
      <formula>NOT(ISERROR(SEARCH("ИЗ ФАЙЛА",J224)))</formula>
    </cfRule>
    <cfRule type="containsText" dxfId="808" priority="641" stopIfTrue="1" operator="containsText" text="!!!">
      <formula>NOT(ISERROR(SEARCH("!!!",J224)))</formula>
    </cfRule>
    <cfRule type="containsText" dxfId="807" priority="642" stopIfTrue="1" operator="containsText" text=" Изделия ">
      <formula>NOT(ISERROR(SEARCH(" Изделия ",J224)))</formula>
    </cfRule>
    <cfRule type="containsText" dxfId="806" priority="643" stopIfTrue="1" operator="containsText" text=" Прокат ">
      <formula>NOT(ISERROR(SEARCH(" Прокат ",J224)))</formula>
    </cfRule>
    <cfRule type="containsText" dxfId="805" priority="644" stopIfTrue="1" operator="containsText" text=" Сборочные единицы ">
      <formula>NOT(ISERROR(SEARCH(" Сборочные единицы ",J224)))</formula>
    </cfRule>
    <cfRule type="containsText" dxfId="804" priority="645" stopIfTrue="1" operator="containsText" text=" Материалы ">
      <formula>NOT(ISERROR(SEARCH(" Материалы ",J224)))</formula>
    </cfRule>
    <cfRule type="containsText" dxfId="803" priority="646" stopIfTrue="1" operator="containsText" text=", на ">
      <formula>NOT(ISERROR(SEARCH(", на ",J224)))</formula>
    </cfRule>
    <cfRule type="containsText" dxfId="802" priority="647" stopIfTrue="1" operator="containsText" text="шт.)">
      <formula>NOT(ISERROR(SEARCH("шт.)",J224)))</formula>
    </cfRule>
  </conditionalFormatting>
  <conditionalFormatting sqref="H229:J230 A229:G229 C231:C242">
    <cfRule type="containsText" dxfId="801" priority="631" stopIfTrue="1" operator="containsText" text="ИЗ ФАЙЛА">
      <formula>NOT(ISERROR(SEARCH("ИЗ ФАЙЛА",A229)))</formula>
    </cfRule>
    <cfRule type="containsText" dxfId="800" priority="632" stopIfTrue="1" operator="containsText" text="!!!!">
      <formula>NOT(ISERROR(SEARCH("!!!!",A229)))</formula>
    </cfRule>
    <cfRule type="containsText" dxfId="799" priority="633" stopIfTrue="1" operator="containsText" text=" Изделия ">
      <formula>NOT(ISERROR(SEARCH(" Изделия ",A229)))</formula>
    </cfRule>
    <cfRule type="containsText" dxfId="798" priority="634" stopIfTrue="1" operator="containsText" text=" Прокат ">
      <formula>NOT(ISERROR(SEARCH(" Прокат ",A229)))</formula>
    </cfRule>
    <cfRule type="containsText" dxfId="797" priority="635" stopIfTrue="1" operator="containsText" text=" Сборочные единицы ">
      <formula>NOT(ISERROR(SEARCH(" Сборочные единицы ",A229)))</formula>
    </cfRule>
    <cfRule type="containsText" dxfId="796" priority="636" stopIfTrue="1" operator="containsText" text=" Материалы ">
      <formula>NOT(ISERROR(SEARCH(" Материалы ",A229)))</formula>
    </cfRule>
    <cfRule type="containsText" dxfId="795" priority="637" stopIfTrue="1" operator="containsText" text=", на ">
      <formula>NOT(ISERROR(SEARCH(", на ",A229)))</formula>
    </cfRule>
    <cfRule type="containsText" dxfId="794" priority="638" stopIfTrue="1" operator="containsText" text="шт.)">
      <formula>NOT(ISERROR(SEARCH("шт.)",A229)))</formula>
    </cfRule>
  </conditionalFormatting>
  <conditionalFormatting sqref="J231:J242">
    <cfRule type="containsText" dxfId="793" priority="622" stopIfTrue="1" operator="containsText" text="С ЛИСТА">
      <formula>NOT(ISERROR(SEARCH("С ЛИСТА",J231)))</formula>
    </cfRule>
    <cfRule type="containsText" dxfId="792" priority="623" stopIfTrue="1" operator="containsText" text="ИЗ ФАЙЛА">
      <formula>NOT(ISERROR(SEARCH("ИЗ ФАЙЛА",J231)))</formula>
    </cfRule>
    <cfRule type="containsText" dxfId="791" priority="624" stopIfTrue="1" operator="containsText" text="!!!">
      <formula>NOT(ISERROR(SEARCH("!!!",J231)))</formula>
    </cfRule>
    <cfRule type="containsText" dxfId="790" priority="625" stopIfTrue="1" operator="containsText" text=" Изделия ">
      <formula>NOT(ISERROR(SEARCH(" Изделия ",J231)))</formula>
    </cfRule>
    <cfRule type="containsText" dxfId="789" priority="626" stopIfTrue="1" operator="containsText" text=" Прокат ">
      <formula>NOT(ISERROR(SEARCH(" Прокат ",J231)))</formula>
    </cfRule>
    <cfRule type="containsText" dxfId="788" priority="627" stopIfTrue="1" operator="containsText" text=" Сборочные единицы ">
      <formula>NOT(ISERROR(SEARCH(" Сборочные единицы ",J231)))</formula>
    </cfRule>
    <cfRule type="containsText" dxfId="787" priority="628" stopIfTrue="1" operator="containsText" text=" Материалы ">
      <formula>NOT(ISERROR(SEARCH(" Материалы ",J231)))</formula>
    </cfRule>
    <cfRule type="containsText" dxfId="786" priority="629" stopIfTrue="1" operator="containsText" text=", на ">
      <formula>NOT(ISERROR(SEARCH(", на ",J231)))</formula>
    </cfRule>
    <cfRule type="containsText" dxfId="785" priority="630" stopIfTrue="1" operator="containsText" text="шт.)">
      <formula>NOT(ISERROR(SEARCH("шт.)",J231)))</formula>
    </cfRule>
  </conditionalFormatting>
  <conditionalFormatting sqref="F229:G229">
    <cfRule type="containsText" dxfId="784" priority="614" stopIfTrue="1" operator="containsText" text="ИЗ ФАЙЛА">
      <formula>NOT(ISERROR(SEARCH("ИЗ ФАЙЛА",F229)))</formula>
    </cfRule>
    <cfRule type="containsText" dxfId="783" priority="615" stopIfTrue="1" operator="containsText" text="!!!!">
      <formula>NOT(ISERROR(SEARCH("!!!!",F229)))</formula>
    </cfRule>
    <cfRule type="containsText" dxfId="782" priority="616" stopIfTrue="1" operator="containsText" text=" Изделия ">
      <formula>NOT(ISERROR(SEARCH(" Изделия ",F229)))</formula>
    </cfRule>
    <cfRule type="containsText" dxfId="781" priority="617" stopIfTrue="1" operator="containsText" text=" Прокат ">
      <formula>NOT(ISERROR(SEARCH(" Прокат ",F229)))</formula>
    </cfRule>
    <cfRule type="containsText" dxfId="780" priority="618" stopIfTrue="1" operator="containsText" text=" Сборочные единицы ">
      <formula>NOT(ISERROR(SEARCH(" Сборочные единицы ",F229)))</formula>
    </cfRule>
    <cfRule type="containsText" dxfId="779" priority="619" stopIfTrue="1" operator="containsText" text=" Материалы ">
      <formula>NOT(ISERROR(SEARCH(" Материалы ",F229)))</formula>
    </cfRule>
    <cfRule type="containsText" dxfId="778" priority="620" stopIfTrue="1" operator="containsText" text=", на ">
      <formula>NOT(ISERROR(SEARCH(", на ",F229)))</formula>
    </cfRule>
    <cfRule type="containsText" dxfId="777" priority="621" stopIfTrue="1" operator="containsText" text="шт.)">
      <formula>NOT(ISERROR(SEARCH("шт.)",F229)))</formula>
    </cfRule>
  </conditionalFormatting>
  <conditionalFormatting sqref="F229:G229">
    <cfRule type="containsText" dxfId="776" priority="606" stopIfTrue="1" operator="containsText" text="ИЗ ФАЙЛА">
      <formula>NOT(ISERROR(SEARCH("ИЗ ФАЙЛА",F229)))</formula>
    </cfRule>
    <cfRule type="containsText" dxfId="775" priority="607" stopIfTrue="1" operator="containsText" text="!!!!">
      <formula>NOT(ISERROR(SEARCH("!!!!",F229)))</formula>
    </cfRule>
    <cfRule type="containsText" dxfId="774" priority="608" stopIfTrue="1" operator="containsText" text=" Изделия ">
      <formula>NOT(ISERROR(SEARCH(" Изделия ",F229)))</formula>
    </cfRule>
    <cfRule type="containsText" dxfId="773" priority="609" stopIfTrue="1" operator="containsText" text=" Прокат ">
      <formula>NOT(ISERROR(SEARCH(" Прокат ",F229)))</formula>
    </cfRule>
    <cfRule type="containsText" dxfId="772" priority="610" stopIfTrue="1" operator="containsText" text=" Сборочные единицы ">
      <formula>NOT(ISERROR(SEARCH(" Сборочные единицы ",F229)))</formula>
    </cfRule>
    <cfRule type="containsText" dxfId="771" priority="611" stopIfTrue="1" operator="containsText" text=" Материалы ">
      <formula>NOT(ISERROR(SEARCH(" Материалы ",F229)))</formula>
    </cfRule>
    <cfRule type="containsText" dxfId="770" priority="612" stopIfTrue="1" operator="containsText" text=", на ">
      <formula>NOT(ISERROR(SEARCH(", на ",F229)))</formula>
    </cfRule>
    <cfRule type="containsText" dxfId="769" priority="613" stopIfTrue="1" operator="containsText" text="шт.)">
      <formula>NOT(ISERROR(SEARCH("шт.)",F229)))</formula>
    </cfRule>
  </conditionalFormatting>
  <conditionalFormatting sqref="F229:G229">
    <cfRule type="containsText" dxfId="768" priority="598" stopIfTrue="1" operator="containsText" text="ИЗ ФАЙЛА">
      <formula>NOT(ISERROR(SEARCH("ИЗ ФАЙЛА",F229)))</formula>
    </cfRule>
    <cfRule type="containsText" dxfId="767" priority="599" stopIfTrue="1" operator="containsText" text="!!!!">
      <formula>NOT(ISERROR(SEARCH("!!!!",F229)))</formula>
    </cfRule>
    <cfRule type="containsText" dxfId="766" priority="600" stopIfTrue="1" operator="containsText" text=" Изделия ">
      <formula>NOT(ISERROR(SEARCH(" Изделия ",F229)))</formula>
    </cfRule>
    <cfRule type="containsText" dxfId="765" priority="601" stopIfTrue="1" operator="containsText" text=" Прокат ">
      <formula>NOT(ISERROR(SEARCH(" Прокат ",F229)))</formula>
    </cfRule>
    <cfRule type="containsText" dxfId="764" priority="602" stopIfTrue="1" operator="containsText" text=" Сборочные единицы ">
      <formula>NOT(ISERROR(SEARCH(" Сборочные единицы ",F229)))</formula>
    </cfRule>
    <cfRule type="containsText" dxfId="763" priority="603" stopIfTrue="1" operator="containsText" text=" Материалы ">
      <formula>NOT(ISERROR(SEARCH(" Материалы ",F229)))</formula>
    </cfRule>
    <cfRule type="containsText" dxfId="762" priority="604" stopIfTrue="1" operator="containsText" text=", на ">
      <formula>NOT(ISERROR(SEARCH(", на ",F229)))</formula>
    </cfRule>
    <cfRule type="containsText" dxfId="761" priority="605" stopIfTrue="1" operator="containsText" text="шт.)">
      <formula>NOT(ISERROR(SEARCH("шт.)",F229)))</formula>
    </cfRule>
  </conditionalFormatting>
  <conditionalFormatting sqref="C243">
    <cfRule type="containsText" dxfId="760" priority="590" stopIfTrue="1" operator="containsText" text="ИЗ ФАЙЛА">
      <formula>NOT(ISERROR(SEARCH("ИЗ ФАЙЛА",C243)))</formula>
    </cfRule>
    <cfRule type="containsText" dxfId="759" priority="591" stopIfTrue="1" operator="containsText" text="!!!!">
      <formula>NOT(ISERROR(SEARCH("!!!!",C243)))</formula>
    </cfRule>
    <cfRule type="containsText" dxfId="758" priority="592" stopIfTrue="1" operator="containsText" text=" Изделия ">
      <formula>NOT(ISERROR(SEARCH(" Изделия ",C243)))</formula>
    </cfRule>
    <cfRule type="containsText" dxfId="757" priority="593" stopIfTrue="1" operator="containsText" text=" Прокат ">
      <formula>NOT(ISERROR(SEARCH(" Прокат ",C243)))</formula>
    </cfRule>
    <cfRule type="containsText" dxfId="756" priority="594" stopIfTrue="1" operator="containsText" text=" Сборочные единицы ">
      <formula>NOT(ISERROR(SEARCH(" Сборочные единицы ",C243)))</formula>
    </cfRule>
    <cfRule type="containsText" dxfId="755" priority="595" stopIfTrue="1" operator="containsText" text=" Материалы ">
      <formula>NOT(ISERROR(SEARCH(" Материалы ",C243)))</formula>
    </cfRule>
    <cfRule type="containsText" dxfId="754" priority="596" stopIfTrue="1" operator="containsText" text=", на ">
      <formula>NOT(ISERROR(SEARCH(", на ",C243)))</formula>
    </cfRule>
    <cfRule type="containsText" dxfId="753" priority="597" stopIfTrue="1" operator="containsText" text="шт.)">
      <formula>NOT(ISERROR(SEARCH("шт.)",C243)))</formula>
    </cfRule>
  </conditionalFormatting>
  <conditionalFormatting sqref="J243">
    <cfRule type="containsText" dxfId="752" priority="581" stopIfTrue="1" operator="containsText" text="С ЛИСТА">
      <formula>NOT(ISERROR(SEARCH("С ЛИСТА",J243)))</formula>
    </cfRule>
    <cfRule type="containsText" dxfId="751" priority="582" stopIfTrue="1" operator="containsText" text="ИЗ ФАЙЛА">
      <formula>NOT(ISERROR(SEARCH("ИЗ ФАЙЛА",J243)))</formula>
    </cfRule>
    <cfRule type="containsText" dxfId="750" priority="583" stopIfTrue="1" operator="containsText" text="!!!">
      <formula>NOT(ISERROR(SEARCH("!!!",J243)))</formula>
    </cfRule>
    <cfRule type="containsText" dxfId="749" priority="584" stopIfTrue="1" operator="containsText" text=" Изделия ">
      <formula>NOT(ISERROR(SEARCH(" Изделия ",J243)))</formula>
    </cfRule>
    <cfRule type="containsText" dxfId="748" priority="585" stopIfTrue="1" operator="containsText" text=" Прокат ">
      <formula>NOT(ISERROR(SEARCH(" Прокат ",J243)))</formula>
    </cfRule>
    <cfRule type="containsText" dxfId="747" priority="586" stopIfTrue="1" operator="containsText" text=" Сборочные единицы ">
      <formula>NOT(ISERROR(SEARCH(" Сборочные единицы ",J243)))</formula>
    </cfRule>
    <cfRule type="containsText" dxfId="746" priority="587" stopIfTrue="1" operator="containsText" text=" Материалы ">
      <formula>NOT(ISERROR(SEARCH(" Материалы ",J243)))</formula>
    </cfRule>
    <cfRule type="containsText" dxfId="745" priority="588" stopIfTrue="1" operator="containsText" text=", на ">
      <formula>NOT(ISERROR(SEARCH(", на ",J243)))</formula>
    </cfRule>
    <cfRule type="containsText" dxfId="744" priority="589" stopIfTrue="1" operator="containsText" text="шт.)">
      <formula>NOT(ISERROR(SEARCH("шт.)",J243)))</formula>
    </cfRule>
  </conditionalFormatting>
  <conditionalFormatting sqref="H248:J249 A248:G248 C250:C261">
    <cfRule type="containsText" dxfId="743" priority="573" stopIfTrue="1" operator="containsText" text="ИЗ ФАЙЛА">
      <formula>NOT(ISERROR(SEARCH("ИЗ ФАЙЛА",A248)))</formula>
    </cfRule>
    <cfRule type="containsText" dxfId="742" priority="574" stopIfTrue="1" operator="containsText" text="!!!!">
      <formula>NOT(ISERROR(SEARCH("!!!!",A248)))</formula>
    </cfRule>
    <cfRule type="containsText" dxfId="741" priority="575" stopIfTrue="1" operator="containsText" text=" Изделия ">
      <formula>NOT(ISERROR(SEARCH(" Изделия ",A248)))</formula>
    </cfRule>
    <cfRule type="containsText" dxfId="740" priority="576" stopIfTrue="1" operator="containsText" text=" Прокат ">
      <formula>NOT(ISERROR(SEARCH(" Прокат ",A248)))</formula>
    </cfRule>
    <cfRule type="containsText" dxfId="739" priority="577" stopIfTrue="1" operator="containsText" text=" Сборочные единицы ">
      <formula>NOT(ISERROR(SEARCH(" Сборочные единицы ",A248)))</formula>
    </cfRule>
    <cfRule type="containsText" dxfId="738" priority="578" stopIfTrue="1" operator="containsText" text=" Материалы ">
      <formula>NOT(ISERROR(SEARCH(" Материалы ",A248)))</formula>
    </cfRule>
    <cfRule type="containsText" dxfId="737" priority="579" stopIfTrue="1" operator="containsText" text=", на ">
      <formula>NOT(ISERROR(SEARCH(", на ",A248)))</formula>
    </cfRule>
    <cfRule type="containsText" dxfId="736" priority="580" stopIfTrue="1" operator="containsText" text="шт.)">
      <formula>NOT(ISERROR(SEARCH("шт.)",A248)))</formula>
    </cfRule>
  </conditionalFormatting>
  <conditionalFormatting sqref="J250:J261">
    <cfRule type="containsText" dxfId="735" priority="564" stopIfTrue="1" operator="containsText" text="С ЛИСТА">
      <formula>NOT(ISERROR(SEARCH("С ЛИСТА",J250)))</formula>
    </cfRule>
    <cfRule type="containsText" dxfId="734" priority="565" stopIfTrue="1" operator="containsText" text="ИЗ ФАЙЛА">
      <formula>NOT(ISERROR(SEARCH("ИЗ ФАЙЛА",J250)))</formula>
    </cfRule>
    <cfRule type="containsText" dxfId="733" priority="566" stopIfTrue="1" operator="containsText" text="!!!">
      <formula>NOT(ISERROR(SEARCH("!!!",J250)))</formula>
    </cfRule>
    <cfRule type="containsText" dxfId="732" priority="567" stopIfTrue="1" operator="containsText" text=" Изделия ">
      <formula>NOT(ISERROR(SEARCH(" Изделия ",J250)))</formula>
    </cfRule>
    <cfRule type="containsText" dxfId="731" priority="568" stopIfTrue="1" operator="containsText" text=" Прокат ">
      <formula>NOT(ISERROR(SEARCH(" Прокат ",J250)))</formula>
    </cfRule>
    <cfRule type="containsText" dxfId="730" priority="569" stopIfTrue="1" operator="containsText" text=" Сборочные единицы ">
      <formula>NOT(ISERROR(SEARCH(" Сборочные единицы ",J250)))</formula>
    </cfRule>
    <cfRule type="containsText" dxfId="729" priority="570" stopIfTrue="1" operator="containsText" text=" Материалы ">
      <formula>NOT(ISERROR(SEARCH(" Материалы ",J250)))</formula>
    </cfRule>
    <cfRule type="containsText" dxfId="728" priority="571" stopIfTrue="1" operator="containsText" text=", на ">
      <formula>NOT(ISERROR(SEARCH(", на ",J250)))</formula>
    </cfRule>
    <cfRule type="containsText" dxfId="727" priority="572" stopIfTrue="1" operator="containsText" text="шт.)">
      <formula>NOT(ISERROR(SEARCH("шт.)",J250)))</formula>
    </cfRule>
  </conditionalFormatting>
  <conditionalFormatting sqref="F248:G248">
    <cfRule type="containsText" dxfId="726" priority="556" stopIfTrue="1" operator="containsText" text="ИЗ ФАЙЛА">
      <formula>NOT(ISERROR(SEARCH("ИЗ ФАЙЛА",F248)))</formula>
    </cfRule>
    <cfRule type="containsText" dxfId="725" priority="557" stopIfTrue="1" operator="containsText" text="!!!!">
      <formula>NOT(ISERROR(SEARCH("!!!!",F248)))</formula>
    </cfRule>
    <cfRule type="containsText" dxfId="724" priority="558" stopIfTrue="1" operator="containsText" text=" Изделия ">
      <formula>NOT(ISERROR(SEARCH(" Изделия ",F248)))</formula>
    </cfRule>
    <cfRule type="containsText" dxfId="723" priority="559" stopIfTrue="1" operator="containsText" text=" Прокат ">
      <formula>NOT(ISERROR(SEARCH(" Прокат ",F248)))</formula>
    </cfRule>
    <cfRule type="containsText" dxfId="722" priority="560" stopIfTrue="1" operator="containsText" text=" Сборочные единицы ">
      <formula>NOT(ISERROR(SEARCH(" Сборочные единицы ",F248)))</formula>
    </cfRule>
    <cfRule type="containsText" dxfId="721" priority="561" stopIfTrue="1" operator="containsText" text=" Материалы ">
      <formula>NOT(ISERROR(SEARCH(" Материалы ",F248)))</formula>
    </cfRule>
    <cfRule type="containsText" dxfId="720" priority="562" stopIfTrue="1" operator="containsText" text=", на ">
      <formula>NOT(ISERROR(SEARCH(", на ",F248)))</formula>
    </cfRule>
    <cfRule type="containsText" dxfId="719" priority="563" stopIfTrue="1" operator="containsText" text="шт.)">
      <formula>NOT(ISERROR(SEARCH("шт.)",F248)))</formula>
    </cfRule>
  </conditionalFormatting>
  <conditionalFormatting sqref="F248:G248">
    <cfRule type="containsText" dxfId="718" priority="548" stopIfTrue="1" operator="containsText" text="ИЗ ФАЙЛА">
      <formula>NOT(ISERROR(SEARCH("ИЗ ФАЙЛА",F248)))</formula>
    </cfRule>
    <cfRule type="containsText" dxfId="717" priority="549" stopIfTrue="1" operator="containsText" text="!!!!">
      <formula>NOT(ISERROR(SEARCH("!!!!",F248)))</formula>
    </cfRule>
    <cfRule type="containsText" dxfId="716" priority="550" stopIfTrue="1" operator="containsText" text=" Изделия ">
      <formula>NOT(ISERROR(SEARCH(" Изделия ",F248)))</formula>
    </cfRule>
    <cfRule type="containsText" dxfId="715" priority="551" stopIfTrue="1" operator="containsText" text=" Прокат ">
      <formula>NOT(ISERROR(SEARCH(" Прокат ",F248)))</formula>
    </cfRule>
    <cfRule type="containsText" dxfId="714" priority="552" stopIfTrue="1" operator="containsText" text=" Сборочные единицы ">
      <formula>NOT(ISERROR(SEARCH(" Сборочные единицы ",F248)))</formula>
    </cfRule>
    <cfRule type="containsText" dxfId="713" priority="553" stopIfTrue="1" operator="containsText" text=" Материалы ">
      <formula>NOT(ISERROR(SEARCH(" Материалы ",F248)))</formula>
    </cfRule>
    <cfRule type="containsText" dxfId="712" priority="554" stopIfTrue="1" operator="containsText" text=", на ">
      <formula>NOT(ISERROR(SEARCH(", на ",F248)))</formula>
    </cfRule>
    <cfRule type="containsText" dxfId="711" priority="555" stopIfTrue="1" operator="containsText" text="шт.)">
      <formula>NOT(ISERROR(SEARCH("шт.)",F248)))</formula>
    </cfRule>
  </conditionalFormatting>
  <conditionalFormatting sqref="F248:G248">
    <cfRule type="containsText" dxfId="710" priority="540" stopIfTrue="1" operator="containsText" text="ИЗ ФАЙЛА">
      <formula>NOT(ISERROR(SEARCH("ИЗ ФАЙЛА",F248)))</formula>
    </cfRule>
    <cfRule type="containsText" dxfId="709" priority="541" stopIfTrue="1" operator="containsText" text="!!!!">
      <formula>NOT(ISERROR(SEARCH("!!!!",F248)))</formula>
    </cfRule>
    <cfRule type="containsText" dxfId="708" priority="542" stopIfTrue="1" operator="containsText" text=" Изделия ">
      <formula>NOT(ISERROR(SEARCH(" Изделия ",F248)))</formula>
    </cfRule>
    <cfRule type="containsText" dxfId="707" priority="543" stopIfTrue="1" operator="containsText" text=" Прокат ">
      <formula>NOT(ISERROR(SEARCH(" Прокат ",F248)))</formula>
    </cfRule>
    <cfRule type="containsText" dxfId="706" priority="544" stopIfTrue="1" operator="containsText" text=" Сборочные единицы ">
      <formula>NOT(ISERROR(SEARCH(" Сборочные единицы ",F248)))</formula>
    </cfRule>
    <cfRule type="containsText" dxfId="705" priority="545" stopIfTrue="1" operator="containsText" text=" Материалы ">
      <formula>NOT(ISERROR(SEARCH(" Материалы ",F248)))</formula>
    </cfRule>
    <cfRule type="containsText" dxfId="704" priority="546" stopIfTrue="1" operator="containsText" text=", на ">
      <formula>NOT(ISERROR(SEARCH(", на ",F248)))</formula>
    </cfRule>
    <cfRule type="containsText" dxfId="703" priority="547" stopIfTrue="1" operator="containsText" text="шт.)">
      <formula>NOT(ISERROR(SEARCH("шт.)",F248)))</formula>
    </cfRule>
  </conditionalFormatting>
  <conditionalFormatting sqref="C262">
    <cfRule type="containsText" dxfId="702" priority="532" stopIfTrue="1" operator="containsText" text="ИЗ ФАЙЛА">
      <formula>NOT(ISERROR(SEARCH("ИЗ ФАЙЛА",C262)))</formula>
    </cfRule>
    <cfRule type="containsText" dxfId="701" priority="533" stopIfTrue="1" operator="containsText" text="!!!!">
      <formula>NOT(ISERROR(SEARCH("!!!!",C262)))</formula>
    </cfRule>
    <cfRule type="containsText" dxfId="700" priority="534" stopIfTrue="1" operator="containsText" text=" Изделия ">
      <formula>NOT(ISERROR(SEARCH(" Изделия ",C262)))</formula>
    </cfRule>
    <cfRule type="containsText" dxfId="699" priority="535" stopIfTrue="1" operator="containsText" text=" Прокат ">
      <formula>NOT(ISERROR(SEARCH(" Прокат ",C262)))</formula>
    </cfRule>
    <cfRule type="containsText" dxfId="698" priority="536" stopIfTrue="1" operator="containsText" text=" Сборочные единицы ">
      <formula>NOT(ISERROR(SEARCH(" Сборочные единицы ",C262)))</formula>
    </cfRule>
    <cfRule type="containsText" dxfId="697" priority="537" stopIfTrue="1" operator="containsText" text=" Материалы ">
      <formula>NOT(ISERROR(SEARCH(" Материалы ",C262)))</formula>
    </cfRule>
    <cfRule type="containsText" dxfId="696" priority="538" stopIfTrue="1" operator="containsText" text=", на ">
      <formula>NOT(ISERROR(SEARCH(", на ",C262)))</formula>
    </cfRule>
    <cfRule type="containsText" dxfId="695" priority="539" stopIfTrue="1" operator="containsText" text="шт.)">
      <formula>NOT(ISERROR(SEARCH("шт.)",C262)))</formula>
    </cfRule>
  </conditionalFormatting>
  <conditionalFormatting sqref="J262">
    <cfRule type="containsText" dxfId="694" priority="523" stopIfTrue="1" operator="containsText" text="С ЛИСТА">
      <formula>NOT(ISERROR(SEARCH("С ЛИСТА",J262)))</formula>
    </cfRule>
    <cfRule type="containsText" dxfId="693" priority="524" stopIfTrue="1" operator="containsText" text="ИЗ ФАЙЛА">
      <formula>NOT(ISERROR(SEARCH("ИЗ ФАЙЛА",J262)))</formula>
    </cfRule>
    <cfRule type="containsText" dxfId="692" priority="525" stopIfTrue="1" operator="containsText" text="!!!">
      <formula>NOT(ISERROR(SEARCH("!!!",J262)))</formula>
    </cfRule>
    <cfRule type="containsText" dxfId="691" priority="526" stopIfTrue="1" operator="containsText" text=" Изделия ">
      <formula>NOT(ISERROR(SEARCH(" Изделия ",J262)))</formula>
    </cfRule>
    <cfRule type="containsText" dxfId="690" priority="527" stopIfTrue="1" operator="containsText" text=" Прокат ">
      <formula>NOT(ISERROR(SEARCH(" Прокат ",J262)))</formula>
    </cfRule>
    <cfRule type="containsText" dxfId="689" priority="528" stopIfTrue="1" operator="containsText" text=" Сборочные единицы ">
      <formula>NOT(ISERROR(SEARCH(" Сборочные единицы ",J262)))</formula>
    </cfRule>
    <cfRule type="containsText" dxfId="688" priority="529" stopIfTrue="1" operator="containsText" text=" Материалы ">
      <formula>NOT(ISERROR(SEARCH(" Материалы ",J262)))</formula>
    </cfRule>
    <cfRule type="containsText" dxfId="687" priority="530" stopIfTrue="1" operator="containsText" text=", на ">
      <formula>NOT(ISERROR(SEARCH(", на ",J262)))</formula>
    </cfRule>
    <cfRule type="containsText" dxfId="686" priority="531" stopIfTrue="1" operator="containsText" text="шт.)">
      <formula>NOT(ISERROR(SEARCH("шт.)",J262)))</formula>
    </cfRule>
  </conditionalFormatting>
  <conditionalFormatting sqref="H267:J268 A267:G267 C269:C280">
    <cfRule type="containsText" dxfId="685" priority="515" stopIfTrue="1" operator="containsText" text="ИЗ ФАЙЛА">
      <formula>NOT(ISERROR(SEARCH("ИЗ ФАЙЛА",A267)))</formula>
    </cfRule>
    <cfRule type="containsText" dxfId="684" priority="516" stopIfTrue="1" operator="containsText" text="!!!!">
      <formula>NOT(ISERROR(SEARCH("!!!!",A267)))</formula>
    </cfRule>
    <cfRule type="containsText" dxfId="683" priority="517" stopIfTrue="1" operator="containsText" text=" Изделия ">
      <formula>NOT(ISERROR(SEARCH(" Изделия ",A267)))</formula>
    </cfRule>
    <cfRule type="containsText" dxfId="682" priority="518" stopIfTrue="1" operator="containsText" text=" Прокат ">
      <formula>NOT(ISERROR(SEARCH(" Прокат ",A267)))</formula>
    </cfRule>
    <cfRule type="containsText" dxfId="681" priority="519" stopIfTrue="1" operator="containsText" text=" Сборочные единицы ">
      <formula>NOT(ISERROR(SEARCH(" Сборочные единицы ",A267)))</formula>
    </cfRule>
    <cfRule type="containsText" dxfId="680" priority="520" stopIfTrue="1" operator="containsText" text=" Материалы ">
      <formula>NOT(ISERROR(SEARCH(" Материалы ",A267)))</formula>
    </cfRule>
    <cfRule type="containsText" dxfId="679" priority="521" stopIfTrue="1" operator="containsText" text=", на ">
      <formula>NOT(ISERROR(SEARCH(", на ",A267)))</formula>
    </cfRule>
    <cfRule type="containsText" dxfId="678" priority="522" stopIfTrue="1" operator="containsText" text="шт.)">
      <formula>NOT(ISERROR(SEARCH("шт.)",A267)))</formula>
    </cfRule>
  </conditionalFormatting>
  <conditionalFormatting sqref="J269:J280">
    <cfRule type="containsText" dxfId="677" priority="506" stopIfTrue="1" operator="containsText" text="С ЛИСТА">
      <formula>NOT(ISERROR(SEARCH("С ЛИСТА",J269)))</formula>
    </cfRule>
    <cfRule type="containsText" dxfId="676" priority="507" stopIfTrue="1" operator="containsText" text="ИЗ ФАЙЛА">
      <formula>NOT(ISERROR(SEARCH("ИЗ ФАЙЛА",J269)))</formula>
    </cfRule>
    <cfRule type="containsText" dxfId="675" priority="508" stopIfTrue="1" operator="containsText" text="!!!">
      <formula>NOT(ISERROR(SEARCH("!!!",J269)))</formula>
    </cfRule>
    <cfRule type="containsText" dxfId="674" priority="509" stopIfTrue="1" operator="containsText" text=" Изделия ">
      <formula>NOT(ISERROR(SEARCH(" Изделия ",J269)))</formula>
    </cfRule>
    <cfRule type="containsText" dxfId="673" priority="510" stopIfTrue="1" operator="containsText" text=" Прокат ">
      <formula>NOT(ISERROR(SEARCH(" Прокат ",J269)))</formula>
    </cfRule>
    <cfRule type="containsText" dxfId="672" priority="511" stopIfTrue="1" operator="containsText" text=" Сборочные единицы ">
      <formula>NOT(ISERROR(SEARCH(" Сборочные единицы ",J269)))</formula>
    </cfRule>
    <cfRule type="containsText" dxfId="671" priority="512" stopIfTrue="1" operator="containsText" text=" Материалы ">
      <formula>NOT(ISERROR(SEARCH(" Материалы ",J269)))</formula>
    </cfRule>
    <cfRule type="containsText" dxfId="670" priority="513" stopIfTrue="1" operator="containsText" text=", на ">
      <formula>NOT(ISERROR(SEARCH(", на ",J269)))</formula>
    </cfRule>
    <cfRule type="containsText" dxfId="669" priority="514" stopIfTrue="1" operator="containsText" text="шт.)">
      <formula>NOT(ISERROR(SEARCH("шт.)",J269)))</formula>
    </cfRule>
  </conditionalFormatting>
  <conditionalFormatting sqref="F267:G267">
    <cfRule type="containsText" dxfId="668" priority="498" stopIfTrue="1" operator="containsText" text="ИЗ ФАЙЛА">
      <formula>NOT(ISERROR(SEARCH("ИЗ ФАЙЛА",F267)))</formula>
    </cfRule>
    <cfRule type="containsText" dxfId="667" priority="499" stopIfTrue="1" operator="containsText" text="!!!!">
      <formula>NOT(ISERROR(SEARCH("!!!!",F267)))</formula>
    </cfRule>
    <cfRule type="containsText" dxfId="666" priority="500" stopIfTrue="1" operator="containsText" text=" Изделия ">
      <formula>NOT(ISERROR(SEARCH(" Изделия ",F267)))</formula>
    </cfRule>
    <cfRule type="containsText" dxfId="665" priority="501" stopIfTrue="1" operator="containsText" text=" Прокат ">
      <formula>NOT(ISERROR(SEARCH(" Прокат ",F267)))</formula>
    </cfRule>
    <cfRule type="containsText" dxfId="664" priority="502" stopIfTrue="1" operator="containsText" text=" Сборочные единицы ">
      <formula>NOT(ISERROR(SEARCH(" Сборочные единицы ",F267)))</formula>
    </cfRule>
    <cfRule type="containsText" dxfId="663" priority="503" stopIfTrue="1" operator="containsText" text=" Материалы ">
      <formula>NOT(ISERROR(SEARCH(" Материалы ",F267)))</formula>
    </cfRule>
    <cfRule type="containsText" dxfId="662" priority="504" stopIfTrue="1" operator="containsText" text=", на ">
      <formula>NOT(ISERROR(SEARCH(", на ",F267)))</formula>
    </cfRule>
    <cfRule type="containsText" dxfId="661" priority="505" stopIfTrue="1" operator="containsText" text="шт.)">
      <formula>NOT(ISERROR(SEARCH("шт.)",F267)))</formula>
    </cfRule>
  </conditionalFormatting>
  <conditionalFormatting sqref="F267:G267">
    <cfRule type="containsText" dxfId="660" priority="490" stopIfTrue="1" operator="containsText" text="ИЗ ФАЙЛА">
      <formula>NOT(ISERROR(SEARCH("ИЗ ФАЙЛА",F267)))</formula>
    </cfRule>
    <cfRule type="containsText" dxfId="659" priority="491" stopIfTrue="1" operator="containsText" text="!!!!">
      <formula>NOT(ISERROR(SEARCH("!!!!",F267)))</formula>
    </cfRule>
    <cfRule type="containsText" dxfId="658" priority="492" stopIfTrue="1" operator="containsText" text=" Изделия ">
      <formula>NOT(ISERROR(SEARCH(" Изделия ",F267)))</formula>
    </cfRule>
    <cfRule type="containsText" dxfId="657" priority="493" stopIfTrue="1" operator="containsText" text=" Прокат ">
      <formula>NOT(ISERROR(SEARCH(" Прокат ",F267)))</formula>
    </cfRule>
    <cfRule type="containsText" dxfId="656" priority="494" stopIfTrue="1" operator="containsText" text=" Сборочные единицы ">
      <formula>NOT(ISERROR(SEARCH(" Сборочные единицы ",F267)))</formula>
    </cfRule>
    <cfRule type="containsText" dxfId="655" priority="495" stopIfTrue="1" operator="containsText" text=" Материалы ">
      <formula>NOT(ISERROR(SEARCH(" Материалы ",F267)))</formula>
    </cfRule>
    <cfRule type="containsText" dxfId="654" priority="496" stopIfTrue="1" operator="containsText" text=", на ">
      <formula>NOT(ISERROR(SEARCH(", на ",F267)))</formula>
    </cfRule>
    <cfRule type="containsText" dxfId="653" priority="497" stopIfTrue="1" operator="containsText" text="шт.)">
      <formula>NOT(ISERROR(SEARCH("шт.)",F267)))</formula>
    </cfRule>
  </conditionalFormatting>
  <conditionalFormatting sqref="F267:G267">
    <cfRule type="containsText" dxfId="652" priority="482" stopIfTrue="1" operator="containsText" text="ИЗ ФАЙЛА">
      <formula>NOT(ISERROR(SEARCH("ИЗ ФАЙЛА",F267)))</formula>
    </cfRule>
    <cfRule type="containsText" dxfId="651" priority="483" stopIfTrue="1" operator="containsText" text="!!!!">
      <formula>NOT(ISERROR(SEARCH("!!!!",F267)))</formula>
    </cfRule>
    <cfRule type="containsText" dxfId="650" priority="484" stopIfTrue="1" operator="containsText" text=" Изделия ">
      <formula>NOT(ISERROR(SEARCH(" Изделия ",F267)))</formula>
    </cfRule>
    <cfRule type="containsText" dxfId="649" priority="485" stopIfTrue="1" operator="containsText" text=" Прокат ">
      <formula>NOT(ISERROR(SEARCH(" Прокат ",F267)))</formula>
    </cfRule>
    <cfRule type="containsText" dxfId="648" priority="486" stopIfTrue="1" operator="containsText" text=" Сборочные единицы ">
      <formula>NOT(ISERROR(SEARCH(" Сборочные единицы ",F267)))</formula>
    </cfRule>
    <cfRule type="containsText" dxfId="647" priority="487" stopIfTrue="1" operator="containsText" text=" Материалы ">
      <formula>NOT(ISERROR(SEARCH(" Материалы ",F267)))</formula>
    </cfRule>
    <cfRule type="containsText" dxfId="646" priority="488" stopIfTrue="1" operator="containsText" text=", на ">
      <formula>NOT(ISERROR(SEARCH(", на ",F267)))</formula>
    </cfRule>
    <cfRule type="containsText" dxfId="645" priority="489" stopIfTrue="1" operator="containsText" text="шт.)">
      <formula>NOT(ISERROR(SEARCH("шт.)",F267)))</formula>
    </cfRule>
  </conditionalFormatting>
  <conditionalFormatting sqref="C281">
    <cfRule type="containsText" dxfId="644" priority="474" stopIfTrue="1" operator="containsText" text="ИЗ ФАЙЛА">
      <formula>NOT(ISERROR(SEARCH("ИЗ ФАЙЛА",C281)))</formula>
    </cfRule>
    <cfRule type="containsText" dxfId="643" priority="475" stopIfTrue="1" operator="containsText" text="!!!!">
      <formula>NOT(ISERROR(SEARCH("!!!!",C281)))</formula>
    </cfRule>
    <cfRule type="containsText" dxfId="642" priority="476" stopIfTrue="1" operator="containsText" text=" Изделия ">
      <formula>NOT(ISERROR(SEARCH(" Изделия ",C281)))</formula>
    </cfRule>
    <cfRule type="containsText" dxfId="641" priority="477" stopIfTrue="1" operator="containsText" text=" Прокат ">
      <formula>NOT(ISERROR(SEARCH(" Прокат ",C281)))</formula>
    </cfRule>
    <cfRule type="containsText" dxfId="640" priority="478" stopIfTrue="1" operator="containsText" text=" Сборочные единицы ">
      <formula>NOT(ISERROR(SEARCH(" Сборочные единицы ",C281)))</formula>
    </cfRule>
    <cfRule type="containsText" dxfId="639" priority="479" stopIfTrue="1" operator="containsText" text=" Материалы ">
      <formula>NOT(ISERROR(SEARCH(" Материалы ",C281)))</formula>
    </cfRule>
    <cfRule type="containsText" dxfId="638" priority="480" stopIfTrue="1" operator="containsText" text=", на ">
      <formula>NOT(ISERROR(SEARCH(", на ",C281)))</formula>
    </cfRule>
    <cfRule type="containsText" dxfId="637" priority="481" stopIfTrue="1" operator="containsText" text="шт.)">
      <formula>NOT(ISERROR(SEARCH("шт.)",C281)))</formula>
    </cfRule>
  </conditionalFormatting>
  <conditionalFormatting sqref="J281">
    <cfRule type="containsText" dxfId="636" priority="465" stopIfTrue="1" operator="containsText" text="С ЛИСТА">
      <formula>NOT(ISERROR(SEARCH("С ЛИСТА",J281)))</formula>
    </cfRule>
    <cfRule type="containsText" dxfId="635" priority="466" stopIfTrue="1" operator="containsText" text="ИЗ ФАЙЛА">
      <formula>NOT(ISERROR(SEARCH("ИЗ ФАЙЛА",J281)))</formula>
    </cfRule>
    <cfRule type="containsText" dxfId="634" priority="467" stopIfTrue="1" operator="containsText" text="!!!">
      <formula>NOT(ISERROR(SEARCH("!!!",J281)))</formula>
    </cfRule>
    <cfRule type="containsText" dxfId="633" priority="468" stopIfTrue="1" operator="containsText" text=" Изделия ">
      <formula>NOT(ISERROR(SEARCH(" Изделия ",J281)))</formula>
    </cfRule>
    <cfRule type="containsText" dxfId="632" priority="469" stopIfTrue="1" operator="containsText" text=" Прокат ">
      <formula>NOT(ISERROR(SEARCH(" Прокат ",J281)))</formula>
    </cfRule>
    <cfRule type="containsText" dxfId="631" priority="470" stopIfTrue="1" operator="containsText" text=" Сборочные единицы ">
      <formula>NOT(ISERROR(SEARCH(" Сборочные единицы ",J281)))</formula>
    </cfRule>
    <cfRule type="containsText" dxfId="630" priority="471" stopIfTrue="1" operator="containsText" text=" Материалы ">
      <formula>NOT(ISERROR(SEARCH(" Материалы ",J281)))</formula>
    </cfRule>
    <cfRule type="containsText" dxfId="629" priority="472" stopIfTrue="1" operator="containsText" text=", на ">
      <formula>NOT(ISERROR(SEARCH(", на ",J281)))</formula>
    </cfRule>
    <cfRule type="containsText" dxfId="628" priority="473" stopIfTrue="1" operator="containsText" text="шт.)">
      <formula>NOT(ISERROR(SEARCH("шт.)",J281)))</formula>
    </cfRule>
  </conditionalFormatting>
  <conditionalFormatting sqref="H286:J287 A286:G286 C288:C299">
    <cfRule type="containsText" dxfId="627" priority="457" stopIfTrue="1" operator="containsText" text="ИЗ ФАЙЛА">
      <formula>NOT(ISERROR(SEARCH("ИЗ ФАЙЛА",A286)))</formula>
    </cfRule>
    <cfRule type="containsText" dxfId="626" priority="458" stopIfTrue="1" operator="containsText" text="!!!!">
      <formula>NOT(ISERROR(SEARCH("!!!!",A286)))</formula>
    </cfRule>
    <cfRule type="containsText" dxfId="625" priority="459" stopIfTrue="1" operator="containsText" text=" Изделия ">
      <formula>NOT(ISERROR(SEARCH(" Изделия ",A286)))</formula>
    </cfRule>
    <cfRule type="containsText" dxfId="624" priority="460" stopIfTrue="1" operator="containsText" text=" Прокат ">
      <formula>NOT(ISERROR(SEARCH(" Прокат ",A286)))</formula>
    </cfRule>
    <cfRule type="containsText" dxfId="623" priority="461" stopIfTrue="1" operator="containsText" text=" Сборочные единицы ">
      <formula>NOT(ISERROR(SEARCH(" Сборочные единицы ",A286)))</formula>
    </cfRule>
    <cfRule type="containsText" dxfId="622" priority="462" stopIfTrue="1" operator="containsText" text=" Материалы ">
      <formula>NOT(ISERROR(SEARCH(" Материалы ",A286)))</formula>
    </cfRule>
    <cfRule type="containsText" dxfId="621" priority="463" stopIfTrue="1" operator="containsText" text=", на ">
      <formula>NOT(ISERROR(SEARCH(", на ",A286)))</formula>
    </cfRule>
    <cfRule type="containsText" dxfId="620" priority="464" stopIfTrue="1" operator="containsText" text="шт.)">
      <formula>NOT(ISERROR(SEARCH("шт.)",A286)))</formula>
    </cfRule>
  </conditionalFormatting>
  <conditionalFormatting sqref="J288:J299">
    <cfRule type="containsText" dxfId="619" priority="448" stopIfTrue="1" operator="containsText" text="С ЛИСТА">
      <formula>NOT(ISERROR(SEARCH("С ЛИСТА",J288)))</formula>
    </cfRule>
    <cfRule type="containsText" dxfId="618" priority="449" stopIfTrue="1" operator="containsText" text="ИЗ ФАЙЛА">
      <formula>NOT(ISERROR(SEARCH("ИЗ ФАЙЛА",J288)))</formula>
    </cfRule>
    <cfRule type="containsText" dxfId="617" priority="450" stopIfTrue="1" operator="containsText" text="!!!">
      <formula>NOT(ISERROR(SEARCH("!!!",J288)))</formula>
    </cfRule>
    <cfRule type="containsText" dxfId="616" priority="451" stopIfTrue="1" operator="containsText" text=" Изделия ">
      <formula>NOT(ISERROR(SEARCH(" Изделия ",J288)))</formula>
    </cfRule>
    <cfRule type="containsText" dxfId="615" priority="452" stopIfTrue="1" operator="containsText" text=" Прокат ">
      <formula>NOT(ISERROR(SEARCH(" Прокат ",J288)))</formula>
    </cfRule>
    <cfRule type="containsText" dxfId="614" priority="453" stopIfTrue="1" operator="containsText" text=" Сборочные единицы ">
      <formula>NOT(ISERROR(SEARCH(" Сборочные единицы ",J288)))</formula>
    </cfRule>
    <cfRule type="containsText" dxfId="613" priority="454" stopIfTrue="1" operator="containsText" text=" Материалы ">
      <formula>NOT(ISERROR(SEARCH(" Материалы ",J288)))</formula>
    </cfRule>
    <cfRule type="containsText" dxfId="612" priority="455" stopIfTrue="1" operator="containsText" text=", на ">
      <formula>NOT(ISERROR(SEARCH(", на ",J288)))</formula>
    </cfRule>
    <cfRule type="containsText" dxfId="611" priority="456" stopIfTrue="1" operator="containsText" text="шт.)">
      <formula>NOT(ISERROR(SEARCH("шт.)",J288)))</formula>
    </cfRule>
  </conditionalFormatting>
  <conditionalFormatting sqref="F286:G286">
    <cfRule type="containsText" dxfId="610" priority="440" stopIfTrue="1" operator="containsText" text="ИЗ ФАЙЛА">
      <formula>NOT(ISERROR(SEARCH("ИЗ ФАЙЛА",F286)))</formula>
    </cfRule>
    <cfRule type="containsText" dxfId="609" priority="441" stopIfTrue="1" operator="containsText" text="!!!!">
      <formula>NOT(ISERROR(SEARCH("!!!!",F286)))</formula>
    </cfRule>
    <cfRule type="containsText" dxfId="608" priority="442" stopIfTrue="1" operator="containsText" text=" Изделия ">
      <formula>NOT(ISERROR(SEARCH(" Изделия ",F286)))</formula>
    </cfRule>
    <cfRule type="containsText" dxfId="607" priority="443" stopIfTrue="1" operator="containsText" text=" Прокат ">
      <formula>NOT(ISERROR(SEARCH(" Прокат ",F286)))</formula>
    </cfRule>
    <cfRule type="containsText" dxfId="606" priority="444" stopIfTrue="1" operator="containsText" text=" Сборочные единицы ">
      <formula>NOT(ISERROR(SEARCH(" Сборочные единицы ",F286)))</formula>
    </cfRule>
    <cfRule type="containsText" dxfId="605" priority="445" stopIfTrue="1" operator="containsText" text=" Материалы ">
      <formula>NOT(ISERROR(SEARCH(" Материалы ",F286)))</formula>
    </cfRule>
    <cfRule type="containsText" dxfId="604" priority="446" stopIfTrue="1" operator="containsText" text=", на ">
      <formula>NOT(ISERROR(SEARCH(", на ",F286)))</formula>
    </cfRule>
    <cfRule type="containsText" dxfId="603" priority="447" stopIfTrue="1" operator="containsText" text="шт.)">
      <formula>NOT(ISERROR(SEARCH("шт.)",F286)))</formula>
    </cfRule>
  </conditionalFormatting>
  <conditionalFormatting sqref="F286:G286">
    <cfRule type="containsText" dxfId="602" priority="432" stopIfTrue="1" operator="containsText" text="ИЗ ФАЙЛА">
      <formula>NOT(ISERROR(SEARCH("ИЗ ФАЙЛА",F286)))</formula>
    </cfRule>
    <cfRule type="containsText" dxfId="601" priority="433" stopIfTrue="1" operator="containsText" text="!!!!">
      <formula>NOT(ISERROR(SEARCH("!!!!",F286)))</formula>
    </cfRule>
    <cfRule type="containsText" dxfId="600" priority="434" stopIfTrue="1" operator="containsText" text=" Изделия ">
      <formula>NOT(ISERROR(SEARCH(" Изделия ",F286)))</formula>
    </cfRule>
    <cfRule type="containsText" dxfId="599" priority="435" stopIfTrue="1" operator="containsText" text=" Прокат ">
      <formula>NOT(ISERROR(SEARCH(" Прокат ",F286)))</formula>
    </cfRule>
    <cfRule type="containsText" dxfId="598" priority="436" stopIfTrue="1" operator="containsText" text=" Сборочные единицы ">
      <formula>NOT(ISERROR(SEARCH(" Сборочные единицы ",F286)))</formula>
    </cfRule>
    <cfRule type="containsText" dxfId="597" priority="437" stopIfTrue="1" operator="containsText" text=" Материалы ">
      <formula>NOT(ISERROR(SEARCH(" Материалы ",F286)))</formula>
    </cfRule>
    <cfRule type="containsText" dxfId="596" priority="438" stopIfTrue="1" operator="containsText" text=", на ">
      <formula>NOT(ISERROR(SEARCH(", на ",F286)))</formula>
    </cfRule>
    <cfRule type="containsText" dxfId="595" priority="439" stopIfTrue="1" operator="containsText" text="шт.)">
      <formula>NOT(ISERROR(SEARCH("шт.)",F286)))</formula>
    </cfRule>
  </conditionalFormatting>
  <conditionalFormatting sqref="F286:G286">
    <cfRule type="containsText" dxfId="594" priority="424" stopIfTrue="1" operator="containsText" text="ИЗ ФАЙЛА">
      <formula>NOT(ISERROR(SEARCH("ИЗ ФАЙЛА",F286)))</formula>
    </cfRule>
    <cfRule type="containsText" dxfId="593" priority="425" stopIfTrue="1" operator="containsText" text="!!!!">
      <formula>NOT(ISERROR(SEARCH("!!!!",F286)))</formula>
    </cfRule>
    <cfRule type="containsText" dxfId="592" priority="426" stopIfTrue="1" operator="containsText" text=" Изделия ">
      <formula>NOT(ISERROR(SEARCH(" Изделия ",F286)))</formula>
    </cfRule>
    <cfRule type="containsText" dxfId="591" priority="427" stopIfTrue="1" operator="containsText" text=" Прокат ">
      <formula>NOT(ISERROR(SEARCH(" Прокат ",F286)))</formula>
    </cfRule>
    <cfRule type="containsText" dxfId="590" priority="428" stopIfTrue="1" operator="containsText" text=" Сборочные единицы ">
      <formula>NOT(ISERROR(SEARCH(" Сборочные единицы ",F286)))</formula>
    </cfRule>
    <cfRule type="containsText" dxfId="589" priority="429" stopIfTrue="1" operator="containsText" text=" Материалы ">
      <formula>NOT(ISERROR(SEARCH(" Материалы ",F286)))</formula>
    </cfRule>
    <cfRule type="containsText" dxfId="588" priority="430" stopIfTrue="1" operator="containsText" text=", на ">
      <formula>NOT(ISERROR(SEARCH(", на ",F286)))</formula>
    </cfRule>
    <cfRule type="containsText" dxfId="587" priority="431" stopIfTrue="1" operator="containsText" text="шт.)">
      <formula>NOT(ISERROR(SEARCH("шт.)",F286)))</formula>
    </cfRule>
  </conditionalFormatting>
  <conditionalFormatting sqref="C300">
    <cfRule type="containsText" dxfId="586" priority="416" stopIfTrue="1" operator="containsText" text="ИЗ ФАЙЛА">
      <formula>NOT(ISERROR(SEARCH("ИЗ ФАЙЛА",C300)))</formula>
    </cfRule>
    <cfRule type="containsText" dxfId="585" priority="417" stopIfTrue="1" operator="containsText" text="!!!!">
      <formula>NOT(ISERROR(SEARCH("!!!!",C300)))</formula>
    </cfRule>
    <cfRule type="containsText" dxfId="584" priority="418" stopIfTrue="1" operator="containsText" text=" Изделия ">
      <formula>NOT(ISERROR(SEARCH(" Изделия ",C300)))</formula>
    </cfRule>
    <cfRule type="containsText" dxfId="583" priority="419" stopIfTrue="1" operator="containsText" text=" Прокат ">
      <formula>NOT(ISERROR(SEARCH(" Прокат ",C300)))</formula>
    </cfRule>
    <cfRule type="containsText" dxfId="582" priority="420" stopIfTrue="1" operator="containsText" text=" Сборочные единицы ">
      <formula>NOT(ISERROR(SEARCH(" Сборочные единицы ",C300)))</formula>
    </cfRule>
    <cfRule type="containsText" dxfId="581" priority="421" stopIfTrue="1" operator="containsText" text=" Материалы ">
      <formula>NOT(ISERROR(SEARCH(" Материалы ",C300)))</formula>
    </cfRule>
    <cfRule type="containsText" dxfId="580" priority="422" stopIfTrue="1" operator="containsText" text=", на ">
      <formula>NOT(ISERROR(SEARCH(", на ",C300)))</formula>
    </cfRule>
    <cfRule type="containsText" dxfId="579" priority="423" stopIfTrue="1" operator="containsText" text="шт.)">
      <formula>NOT(ISERROR(SEARCH("шт.)",C300)))</formula>
    </cfRule>
  </conditionalFormatting>
  <conditionalFormatting sqref="J300">
    <cfRule type="containsText" dxfId="578" priority="407" stopIfTrue="1" operator="containsText" text="С ЛИСТА">
      <formula>NOT(ISERROR(SEARCH("С ЛИСТА",J300)))</formula>
    </cfRule>
    <cfRule type="containsText" dxfId="577" priority="408" stopIfTrue="1" operator="containsText" text="ИЗ ФАЙЛА">
      <formula>NOT(ISERROR(SEARCH("ИЗ ФАЙЛА",J300)))</formula>
    </cfRule>
    <cfRule type="containsText" dxfId="576" priority="409" stopIfTrue="1" operator="containsText" text="!!!">
      <formula>NOT(ISERROR(SEARCH("!!!",J300)))</formula>
    </cfRule>
    <cfRule type="containsText" dxfId="575" priority="410" stopIfTrue="1" operator="containsText" text=" Изделия ">
      <formula>NOT(ISERROR(SEARCH(" Изделия ",J300)))</formula>
    </cfRule>
    <cfRule type="containsText" dxfId="574" priority="411" stopIfTrue="1" operator="containsText" text=" Прокат ">
      <formula>NOT(ISERROR(SEARCH(" Прокат ",J300)))</formula>
    </cfRule>
    <cfRule type="containsText" dxfId="573" priority="412" stopIfTrue="1" operator="containsText" text=" Сборочные единицы ">
      <formula>NOT(ISERROR(SEARCH(" Сборочные единицы ",J300)))</formula>
    </cfRule>
    <cfRule type="containsText" dxfId="572" priority="413" stopIfTrue="1" operator="containsText" text=" Материалы ">
      <formula>NOT(ISERROR(SEARCH(" Материалы ",J300)))</formula>
    </cfRule>
    <cfRule type="containsText" dxfId="571" priority="414" stopIfTrue="1" operator="containsText" text=", на ">
      <formula>NOT(ISERROR(SEARCH(", на ",J300)))</formula>
    </cfRule>
    <cfRule type="containsText" dxfId="570" priority="415" stopIfTrue="1" operator="containsText" text="шт.)">
      <formula>NOT(ISERROR(SEARCH("шт.)",J300)))</formula>
    </cfRule>
  </conditionalFormatting>
  <conditionalFormatting sqref="J319">
    <cfRule type="containsText" dxfId="569" priority="349" stopIfTrue="1" operator="containsText" text="С ЛИСТА">
      <formula>NOT(ISERROR(SEARCH("С ЛИСТА",J319)))</formula>
    </cfRule>
    <cfRule type="containsText" dxfId="568" priority="350" stopIfTrue="1" operator="containsText" text="ИЗ ФАЙЛА">
      <formula>NOT(ISERROR(SEARCH("ИЗ ФАЙЛА",J319)))</formula>
    </cfRule>
    <cfRule type="containsText" dxfId="567" priority="351" stopIfTrue="1" operator="containsText" text="!!!">
      <formula>NOT(ISERROR(SEARCH("!!!",J319)))</formula>
    </cfRule>
    <cfRule type="containsText" dxfId="566" priority="352" stopIfTrue="1" operator="containsText" text=" Изделия ">
      <formula>NOT(ISERROR(SEARCH(" Изделия ",J319)))</formula>
    </cfRule>
    <cfRule type="containsText" dxfId="565" priority="353" stopIfTrue="1" operator="containsText" text=" Прокат ">
      <formula>NOT(ISERROR(SEARCH(" Прокат ",J319)))</formula>
    </cfRule>
    <cfRule type="containsText" dxfId="564" priority="354" stopIfTrue="1" operator="containsText" text=" Сборочные единицы ">
      <formula>NOT(ISERROR(SEARCH(" Сборочные единицы ",J319)))</formula>
    </cfRule>
    <cfRule type="containsText" dxfId="563" priority="355" stopIfTrue="1" operator="containsText" text=" Материалы ">
      <formula>NOT(ISERROR(SEARCH(" Материалы ",J319)))</formula>
    </cfRule>
    <cfRule type="containsText" dxfId="562" priority="356" stopIfTrue="1" operator="containsText" text=", на ">
      <formula>NOT(ISERROR(SEARCH(", на ",J319)))</formula>
    </cfRule>
    <cfRule type="containsText" dxfId="561" priority="357" stopIfTrue="1" operator="containsText" text="шт.)">
      <formula>NOT(ISERROR(SEARCH("шт.)",J319)))</formula>
    </cfRule>
  </conditionalFormatting>
  <conditionalFormatting sqref="J338">
    <cfRule type="containsText" dxfId="560" priority="291" stopIfTrue="1" operator="containsText" text="С ЛИСТА">
      <formula>NOT(ISERROR(SEARCH("С ЛИСТА",J338)))</formula>
    </cfRule>
    <cfRule type="containsText" dxfId="559" priority="292" stopIfTrue="1" operator="containsText" text="ИЗ ФАЙЛА">
      <formula>NOT(ISERROR(SEARCH("ИЗ ФАЙЛА",J338)))</formula>
    </cfRule>
    <cfRule type="containsText" dxfId="558" priority="293" stopIfTrue="1" operator="containsText" text="!!!">
      <formula>NOT(ISERROR(SEARCH("!!!",J338)))</formula>
    </cfRule>
    <cfRule type="containsText" dxfId="557" priority="294" stopIfTrue="1" operator="containsText" text=" Изделия ">
      <formula>NOT(ISERROR(SEARCH(" Изделия ",J338)))</formula>
    </cfRule>
    <cfRule type="containsText" dxfId="556" priority="295" stopIfTrue="1" operator="containsText" text=" Прокат ">
      <formula>NOT(ISERROR(SEARCH(" Прокат ",J338)))</formula>
    </cfRule>
    <cfRule type="containsText" dxfId="555" priority="296" stopIfTrue="1" operator="containsText" text=" Сборочные единицы ">
      <formula>NOT(ISERROR(SEARCH(" Сборочные единицы ",J338)))</formula>
    </cfRule>
    <cfRule type="containsText" dxfId="554" priority="297" stopIfTrue="1" operator="containsText" text=" Материалы ">
      <formula>NOT(ISERROR(SEARCH(" Материалы ",J338)))</formula>
    </cfRule>
    <cfRule type="containsText" dxfId="553" priority="298" stopIfTrue="1" operator="containsText" text=", на ">
      <formula>NOT(ISERROR(SEARCH(", на ",J338)))</formula>
    </cfRule>
    <cfRule type="containsText" dxfId="552" priority="299" stopIfTrue="1" operator="containsText" text="шт.)">
      <formula>NOT(ISERROR(SEARCH("шт.)",J338)))</formula>
    </cfRule>
  </conditionalFormatting>
  <conditionalFormatting sqref="H305:J306 A305:G305 C307:C318">
    <cfRule type="containsText" dxfId="551" priority="399" stopIfTrue="1" operator="containsText" text="ИЗ ФАЙЛА">
      <formula>NOT(ISERROR(SEARCH("ИЗ ФАЙЛА",A305)))</formula>
    </cfRule>
    <cfRule type="containsText" dxfId="550" priority="400" stopIfTrue="1" operator="containsText" text="!!!!">
      <formula>NOT(ISERROR(SEARCH("!!!!",A305)))</formula>
    </cfRule>
    <cfRule type="containsText" dxfId="549" priority="401" stopIfTrue="1" operator="containsText" text=" Изделия ">
      <formula>NOT(ISERROR(SEARCH(" Изделия ",A305)))</formula>
    </cfRule>
    <cfRule type="containsText" dxfId="548" priority="402" stopIfTrue="1" operator="containsText" text=" Прокат ">
      <formula>NOT(ISERROR(SEARCH(" Прокат ",A305)))</formula>
    </cfRule>
    <cfRule type="containsText" dxfId="547" priority="403" stopIfTrue="1" operator="containsText" text=" Сборочные единицы ">
      <formula>NOT(ISERROR(SEARCH(" Сборочные единицы ",A305)))</formula>
    </cfRule>
    <cfRule type="containsText" dxfId="546" priority="404" stopIfTrue="1" operator="containsText" text=" Материалы ">
      <formula>NOT(ISERROR(SEARCH(" Материалы ",A305)))</formula>
    </cfRule>
    <cfRule type="containsText" dxfId="545" priority="405" stopIfTrue="1" operator="containsText" text=", на ">
      <formula>NOT(ISERROR(SEARCH(", на ",A305)))</formula>
    </cfRule>
    <cfRule type="containsText" dxfId="544" priority="406" stopIfTrue="1" operator="containsText" text="шт.)">
      <formula>NOT(ISERROR(SEARCH("шт.)",A305)))</formula>
    </cfRule>
  </conditionalFormatting>
  <conditionalFormatting sqref="J307:J318">
    <cfRule type="containsText" dxfId="543" priority="390" stopIfTrue="1" operator="containsText" text="С ЛИСТА">
      <formula>NOT(ISERROR(SEARCH("С ЛИСТА",J307)))</formula>
    </cfRule>
    <cfRule type="containsText" dxfId="542" priority="391" stopIfTrue="1" operator="containsText" text="ИЗ ФАЙЛА">
      <formula>NOT(ISERROR(SEARCH("ИЗ ФАЙЛА",J307)))</formula>
    </cfRule>
    <cfRule type="containsText" dxfId="541" priority="392" stopIfTrue="1" operator="containsText" text="!!!">
      <formula>NOT(ISERROR(SEARCH("!!!",J307)))</formula>
    </cfRule>
    <cfRule type="containsText" dxfId="540" priority="393" stopIfTrue="1" operator="containsText" text=" Изделия ">
      <formula>NOT(ISERROR(SEARCH(" Изделия ",J307)))</formula>
    </cfRule>
    <cfRule type="containsText" dxfId="539" priority="394" stopIfTrue="1" operator="containsText" text=" Прокат ">
      <formula>NOT(ISERROR(SEARCH(" Прокат ",J307)))</formula>
    </cfRule>
    <cfRule type="containsText" dxfId="538" priority="395" stopIfTrue="1" operator="containsText" text=" Сборочные единицы ">
      <formula>NOT(ISERROR(SEARCH(" Сборочные единицы ",J307)))</formula>
    </cfRule>
    <cfRule type="containsText" dxfId="537" priority="396" stopIfTrue="1" operator="containsText" text=" Материалы ">
      <formula>NOT(ISERROR(SEARCH(" Материалы ",J307)))</formula>
    </cfRule>
    <cfRule type="containsText" dxfId="536" priority="397" stopIfTrue="1" operator="containsText" text=", на ">
      <formula>NOT(ISERROR(SEARCH(", на ",J307)))</formula>
    </cfRule>
    <cfRule type="containsText" dxfId="535" priority="398" stopIfTrue="1" operator="containsText" text="шт.)">
      <formula>NOT(ISERROR(SEARCH("шт.)",J307)))</formula>
    </cfRule>
  </conditionalFormatting>
  <conditionalFormatting sqref="F305:G305">
    <cfRule type="containsText" dxfId="534" priority="382" stopIfTrue="1" operator="containsText" text="ИЗ ФАЙЛА">
      <formula>NOT(ISERROR(SEARCH("ИЗ ФАЙЛА",F305)))</formula>
    </cfRule>
    <cfRule type="containsText" dxfId="533" priority="383" stopIfTrue="1" operator="containsText" text="!!!!">
      <formula>NOT(ISERROR(SEARCH("!!!!",F305)))</formula>
    </cfRule>
    <cfRule type="containsText" dxfId="532" priority="384" stopIfTrue="1" operator="containsText" text=" Изделия ">
      <formula>NOT(ISERROR(SEARCH(" Изделия ",F305)))</formula>
    </cfRule>
    <cfRule type="containsText" dxfId="531" priority="385" stopIfTrue="1" operator="containsText" text=" Прокат ">
      <formula>NOT(ISERROR(SEARCH(" Прокат ",F305)))</formula>
    </cfRule>
    <cfRule type="containsText" dxfId="530" priority="386" stopIfTrue="1" operator="containsText" text=" Сборочные единицы ">
      <formula>NOT(ISERROR(SEARCH(" Сборочные единицы ",F305)))</formula>
    </cfRule>
    <cfRule type="containsText" dxfId="529" priority="387" stopIfTrue="1" operator="containsText" text=" Материалы ">
      <formula>NOT(ISERROR(SEARCH(" Материалы ",F305)))</formula>
    </cfRule>
    <cfRule type="containsText" dxfId="528" priority="388" stopIfTrue="1" operator="containsText" text=", на ">
      <formula>NOT(ISERROR(SEARCH(", на ",F305)))</formula>
    </cfRule>
    <cfRule type="containsText" dxfId="527" priority="389" stopIfTrue="1" operator="containsText" text="шт.)">
      <formula>NOT(ISERROR(SEARCH("шт.)",F305)))</formula>
    </cfRule>
  </conditionalFormatting>
  <conditionalFormatting sqref="F305:G305">
    <cfRule type="containsText" dxfId="526" priority="374" stopIfTrue="1" operator="containsText" text="ИЗ ФАЙЛА">
      <formula>NOT(ISERROR(SEARCH("ИЗ ФАЙЛА",F305)))</formula>
    </cfRule>
    <cfRule type="containsText" dxfId="525" priority="375" stopIfTrue="1" operator="containsText" text="!!!!">
      <formula>NOT(ISERROR(SEARCH("!!!!",F305)))</formula>
    </cfRule>
    <cfRule type="containsText" dxfId="524" priority="376" stopIfTrue="1" operator="containsText" text=" Изделия ">
      <formula>NOT(ISERROR(SEARCH(" Изделия ",F305)))</formula>
    </cfRule>
    <cfRule type="containsText" dxfId="523" priority="377" stopIfTrue="1" operator="containsText" text=" Прокат ">
      <formula>NOT(ISERROR(SEARCH(" Прокат ",F305)))</formula>
    </cfRule>
    <cfRule type="containsText" dxfId="522" priority="378" stopIfTrue="1" operator="containsText" text=" Сборочные единицы ">
      <formula>NOT(ISERROR(SEARCH(" Сборочные единицы ",F305)))</formula>
    </cfRule>
    <cfRule type="containsText" dxfId="521" priority="379" stopIfTrue="1" operator="containsText" text=" Материалы ">
      <formula>NOT(ISERROR(SEARCH(" Материалы ",F305)))</formula>
    </cfRule>
    <cfRule type="containsText" dxfId="520" priority="380" stopIfTrue="1" operator="containsText" text=", на ">
      <formula>NOT(ISERROR(SEARCH(", на ",F305)))</formula>
    </cfRule>
    <cfRule type="containsText" dxfId="519" priority="381" stopIfTrue="1" operator="containsText" text="шт.)">
      <formula>NOT(ISERROR(SEARCH("шт.)",F305)))</formula>
    </cfRule>
  </conditionalFormatting>
  <conditionalFormatting sqref="F305:G305">
    <cfRule type="containsText" dxfId="518" priority="366" stopIfTrue="1" operator="containsText" text="ИЗ ФАЙЛА">
      <formula>NOT(ISERROR(SEARCH("ИЗ ФАЙЛА",F305)))</formula>
    </cfRule>
    <cfRule type="containsText" dxfId="517" priority="367" stopIfTrue="1" operator="containsText" text="!!!!">
      <formula>NOT(ISERROR(SEARCH("!!!!",F305)))</formula>
    </cfRule>
    <cfRule type="containsText" dxfId="516" priority="368" stopIfTrue="1" operator="containsText" text=" Изделия ">
      <formula>NOT(ISERROR(SEARCH(" Изделия ",F305)))</formula>
    </cfRule>
    <cfRule type="containsText" dxfId="515" priority="369" stopIfTrue="1" operator="containsText" text=" Прокат ">
      <formula>NOT(ISERROR(SEARCH(" Прокат ",F305)))</formula>
    </cfRule>
    <cfRule type="containsText" dxfId="514" priority="370" stopIfTrue="1" operator="containsText" text=" Сборочные единицы ">
      <formula>NOT(ISERROR(SEARCH(" Сборочные единицы ",F305)))</formula>
    </cfRule>
    <cfRule type="containsText" dxfId="513" priority="371" stopIfTrue="1" operator="containsText" text=" Материалы ">
      <formula>NOT(ISERROR(SEARCH(" Материалы ",F305)))</formula>
    </cfRule>
    <cfRule type="containsText" dxfId="512" priority="372" stopIfTrue="1" operator="containsText" text=", на ">
      <formula>NOT(ISERROR(SEARCH(", на ",F305)))</formula>
    </cfRule>
    <cfRule type="containsText" dxfId="511" priority="373" stopIfTrue="1" operator="containsText" text="шт.)">
      <formula>NOT(ISERROR(SEARCH("шт.)",F305)))</formula>
    </cfRule>
  </conditionalFormatting>
  <conditionalFormatting sqref="C319">
    <cfRule type="containsText" dxfId="510" priority="358" stopIfTrue="1" operator="containsText" text="ИЗ ФАЙЛА">
      <formula>NOT(ISERROR(SEARCH("ИЗ ФАЙЛА",C319)))</formula>
    </cfRule>
    <cfRule type="containsText" dxfId="509" priority="359" stopIfTrue="1" operator="containsText" text="!!!!">
      <formula>NOT(ISERROR(SEARCH("!!!!",C319)))</formula>
    </cfRule>
    <cfRule type="containsText" dxfId="508" priority="360" stopIfTrue="1" operator="containsText" text=" Изделия ">
      <formula>NOT(ISERROR(SEARCH(" Изделия ",C319)))</formula>
    </cfRule>
    <cfRule type="containsText" dxfId="507" priority="361" stopIfTrue="1" operator="containsText" text=" Прокат ">
      <formula>NOT(ISERROR(SEARCH(" Прокат ",C319)))</formula>
    </cfRule>
    <cfRule type="containsText" dxfId="506" priority="362" stopIfTrue="1" operator="containsText" text=" Сборочные единицы ">
      <formula>NOT(ISERROR(SEARCH(" Сборочные единицы ",C319)))</formula>
    </cfRule>
    <cfRule type="containsText" dxfId="505" priority="363" stopIfTrue="1" operator="containsText" text=" Материалы ">
      <formula>NOT(ISERROR(SEARCH(" Материалы ",C319)))</formula>
    </cfRule>
    <cfRule type="containsText" dxfId="504" priority="364" stopIfTrue="1" operator="containsText" text=", на ">
      <formula>NOT(ISERROR(SEARCH(", на ",C319)))</formula>
    </cfRule>
    <cfRule type="containsText" dxfId="503" priority="365" stopIfTrue="1" operator="containsText" text="шт.)">
      <formula>NOT(ISERROR(SEARCH("шт.)",C319)))</formula>
    </cfRule>
  </conditionalFormatting>
  <conditionalFormatting sqref="H324:J325 A324:G324 C326:C337">
    <cfRule type="containsText" dxfId="502" priority="341" stopIfTrue="1" operator="containsText" text="ИЗ ФАЙЛА">
      <formula>NOT(ISERROR(SEARCH("ИЗ ФАЙЛА",A324)))</formula>
    </cfRule>
    <cfRule type="containsText" dxfId="501" priority="342" stopIfTrue="1" operator="containsText" text="!!!!">
      <formula>NOT(ISERROR(SEARCH("!!!!",A324)))</formula>
    </cfRule>
    <cfRule type="containsText" dxfId="500" priority="343" stopIfTrue="1" operator="containsText" text=" Изделия ">
      <formula>NOT(ISERROR(SEARCH(" Изделия ",A324)))</formula>
    </cfRule>
    <cfRule type="containsText" dxfId="499" priority="344" stopIfTrue="1" operator="containsText" text=" Прокат ">
      <formula>NOT(ISERROR(SEARCH(" Прокат ",A324)))</formula>
    </cfRule>
    <cfRule type="containsText" dxfId="498" priority="345" stopIfTrue="1" operator="containsText" text=" Сборочные единицы ">
      <formula>NOT(ISERROR(SEARCH(" Сборочные единицы ",A324)))</formula>
    </cfRule>
    <cfRule type="containsText" dxfId="497" priority="346" stopIfTrue="1" operator="containsText" text=" Материалы ">
      <formula>NOT(ISERROR(SEARCH(" Материалы ",A324)))</formula>
    </cfRule>
    <cfRule type="containsText" dxfId="496" priority="347" stopIfTrue="1" operator="containsText" text=", на ">
      <formula>NOT(ISERROR(SEARCH(", на ",A324)))</formula>
    </cfRule>
    <cfRule type="containsText" dxfId="495" priority="348" stopIfTrue="1" operator="containsText" text="шт.)">
      <formula>NOT(ISERROR(SEARCH("шт.)",A324)))</formula>
    </cfRule>
  </conditionalFormatting>
  <conditionalFormatting sqref="J326:J337">
    <cfRule type="containsText" dxfId="494" priority="332" stopIfTrue="1" operator="containsText" text="С ЛИСТА">
      <formula>NOT(ISERROR(SEARCH("С ЛИСТА",J326)))</formula>
    </cfRule>
    <cfRule type="containsText" dxfId="493" priority="333" stopIfTrue="1" operator="containsText" text="ИЗ ФАЙЛА">
      <formula>NOT(ISERROR(SEARCH("ИЗ ФАЙЛА",J326)))</formula>
    </cfRule>
    <cfRule type="containsText" dxfId="492" priority="334" stopIfTrue="1" operator="containsText" text="!!!">
      <formula>NOT(ISERROR(SEARCH("!!!",J326)))</formula>
    </cfRule>
    <cfRule type="containsText" dxfId="491" priority="335" stopIfTrue="1" operator="containsText" text=" Изделия ">
      <formula>NOT(ISERROR(SEARCH(" Изделия ",J326)))</formula>
    </cfRule>
    <cfRule type="containsText" dxfId="490" priority="336" stopIfTrue="1" operator="containsText" text=" Прокат ">
      <formula>NOT(ISERROR(SEARCH(" Прокат ",J326)))</formula>
    </cfRule>
    <cfRule type="containsText" dxfId="489" priority="337" stopIfTrue="1" operator="containsText" text=" Сборочные единицы ">
      <formula>NOT(ISERROR(SEARCH(" Сборочные единицы ",J326)))</formula>
    </cfRule>
    <cfRule type="containsText" dxfId="488" priority="338" stopIfTrue="1" operator="containsText" text=" Материалы ">
      <formula>NOT(ISERROR(SEARCH(" Материалы ",J326)))</formula>
    </cfRule>
    <cfRule type="containsText" dxfId="487" priority="339" stopIfTrue="1" operator="containsText" text=", на ">
      <formula>NOT(ISERROR(SEARCH(", на ",J326)))</formula>
    </cfRule>
    <cfRule type="containsText" dxfId="486" priority="340" stopIfTrue="1" operator="containsText" text="шт.)">
      <formula>NOT(ISERROR(SEARCH("шт.)",J326)))</formula>
    </cfRule>
  </conditionalFormatting>
  <conditionalFormatting sqref="F324:G324">
    <cfRule type="containsText" dxfId="485" priority="324" stopIfTrue="1" operator="containsText" text="ИЗ ФАЙЛА">
      <formula>NOT(ISERROR(SEARCH("ИЗ ФАЙЛА",F324)))</formula>
    </cfRule>
    <cfRule type="containsText" dxfId="484" priority="325" stopIfTrue="1" operator="containsText" text="!!!!">
      <formula>NOT(ISERROR(SEARCH("!!!!",F324)))</formula>
    </cfRule>
    <cfRule type="containsText" dxfId="483" priority="326" stopIfTrue="1" operator="containsText" text=" Изделия ">
      <formula>NOT(ISERROR(SEARCH(" Изделия ",F324)))</formula>
    </cfRule>
    <cfRule type="containsText" dxfId="482" priority="327" stopIfTrue="1" operator="containsText" text=" Прокат ">
      <formula>NOT(ISERROR(SEARCH(" Прокат ",F324)))</formula>
    </cfRule>
    <cfRule type="containsText" dxfId="481" priority="328" stopIfTrue="1" operator="containsText" text=" Сборочные единицы ">
      <formula>NOT(ISERROR(SEARCH(" Сборочные единицы ",F324)))</formula>
    </cfRule>
    <cfRule type="containsText" dxfId="480" priority="329" stopIfTrue="1" operator="containsText" text=" Материалы ">
      <formula>NOT(ISERROR(SEARCH(" Материалы ",F324)))</formula>
    </cfRule>
    <cfRule type="containsText" dxfId="479" priority="330" stopIfTrue="1" operator="containsText" text=", на ">
      <formula>NOT(ISERROR(SEARCH(", на ",F324)))</formula>
    </cfRule>
    <cfRule type="containsText" dxfId="478" priority="331" stopIfTrue="1" operator="containsText" text="шт.)">
      <formula>NOT(ISERROR(SEARCH("шт.)",F324)))</formula>
    </cfRule>
  </conditionalFormatting>
  <conditionalFormatting sqref="F324:G324">
    <cfRule type="containsText" dxfId="477" priority="316" stopIfTrue="1" operator="containsText" text="ИЗ ФАЙЛА">
      <formula>NOT(ISERROR(SEARCH("ИЗ ФАЙЛА",F324)))</formula>
    </cfRule>
    <cfRule type="containsText" dxfId="476" priority="317" stopIfTrue="1" operator="containsText" text="!!!!">
      <formula>NOT(ISERROR(SEARCH("!!!!",F324)))</formula>
    </cfRule>
    <cfRule type="containsText" dxfId="475" priority="318" stopIfTrue="1" operator="containsText" text=" Изделия ">
      <formula>NOT(ISERROR(SEARCH(" Изделия ",F324)))</formula>
    </cfRule>
    <cfRule type="containsText" dxfId="474" priority="319" stopIfTrue="1" operator="containsText" text=" Прокат ">
      <formula>NOT(ISERROR(SEARCH(" Прокат ",F324)))</formula>
    </cfRule>
    <cfRule type="containsText" dxfId="473" priority="320" stopIfTrue="1" operator="containsText" text=" Сборочные единицы ">
      <formula>NOT(ISERROR(SEARCH(" Сборочные единицы ",F324)))</formula>
    </cfRule>
    <cfRule type="containsText" dxfId="472" priority="321" stopIfTrue="1" operator="containsText" text=" Материалы ">
      <formula>NOT(ISERROR(SEARCH(" Материалы ",F324)))</formula>
    </cfRule>
    <cfRule type="containsText" dxfId="471" priority="322" stopIfTrue="1" operator="containsText" text=", на ">
      <formula>NOT(ISERROR(SEARCH(", на ",F324)))</formula>
    </cfRule>
    <cfRule type="containsText" dxfId="470" priority="323" stopIfTrue="1" operator="containsText" text="шт.)">
      <formula>NOT(ISERROR(SEARCH("шт.)",F324)))</formula>
    </cfRule>
  </conditionalFormatting>
  <conditionalFormatting sqref="F324:G324">
    <cfRule type="containsText" dxfId="469" priority="308" stopIfTrue="1" operator="containsText" text="ИЗ ФАЙЛА">
      <formula>NOT(ISERROR(SEARCH("ИЗ ФАЙЛА",F324)))</formula>
    </cfRule>
    <cfRule type="containsText" dxfId="468" priority="309" stopIfTrue="1" operator="containsText" text="!!!!">
      <formula>NOT(ISERROR(SEARCH("!!!!",F324)))</formula>
    </cfRule>
    <cfRule type="containsText" dxfId="467" priority="310" stopIfTrue="1" operator="containsText" text=" Изделия ">
      <formula>NOT(ISERROR(SEARCH(" Изделия ",F324)))</formula>
    </cfRule>
    <cfRule type="containsText" dxfId="466" priority="311" stopIfTrue="1" operator="containsText" text=" Прокат ">
      <formula>NOT(ISERROR(SEARCH(" Прокат ",F324)))</formula>
    </cfRule>
    <cfRule type="containsText" dxfId="465" priority="312" stopIfTrue="1" operator="containsText" text=" Сборочные единицы ">
      <formula>NOT(ISERROR(SEARCH(" Сборочные единицы ",F324)))</formula>
    </cfRule>
    <cfRule type="containsText" dxfId="464" priority="313" stopIfTrue="1" operator="containsText" text=" Материалы ">
      <formula>NOT(ISERROR(SEARCH(" Материалы ",F324)))</formula>
    </cfRule>
    <cfRule type="containsText" dxfId="463" priority="314" stopIfTrue="1" operator="containsText" text=", на ">
      <formula>NOT(ISERROR(SEARCH(", на ",F324)))</formula>
    </cfRule>
    <cfRule type="containsText" dxfId="462" priority="315" stopIfTrue="1" operator="containsText" text="шт.)">
      <formula>NOT(ISERROR(SEARCH("шт.)",F324)))</formula>
    </cfRule>
  </conditionalFormatting>
  <conditionalFormatting sqref="C338">
    <cfRule type="containsText" dxfId="461" priority="300" stopIfTrue="1" operator="containsText" text="ИЗ ФАЙЛА">
      <formula>NOT(ISERROR(SEARCH("ИЗ ФАЙЛА",C338)))</formula>
    </cfRule>
    <cfRule type="containsText" dxfId="460" priority="301" stopIfTrue="1" operator="containsText" text="!!!!">
      <formula>NOT(ISERROR(SEARCH("!!!!",C338)))</formula>
    </cfRule>
    <cfRule type="containsText" dxfId="459" priority="302" stopIfTrue="1" operator="containsText" text=" Изделия ">
      <formula>NOT(ISERROR(SEARCH(" Изделия ",C338)))</formula>
    </cfRule>
    <cfRule type="containsText" dxfId="458" priority="303" stopIfTrue="1" operator="containsText" text=" Прокат ">
      <formula>NOT(ISERROR(SEARCH(" Прокат ",C338)))</formula>
    </cfRule>
    <cfRule type="containsText" dxfId="457" priority="304" stopIfTrue="1" operator="containsText" text=" Сборочные единицы ">
      <formula>NOT(ISERROR(SEARCH(" Сборочные единицы ",C338)))</formula>
    </cfRule>
    <cfRule type="containsText" dxfId="456" priority="305" stopIfTrue="1" operator="containsText" text=" Материалы ">
      <formula>NOT(ISERROR(SEARCH(" Материалы ",C338)))</formula>
    </cfRule>
    <cfRule type="containsText" dxfId="455" priority="306" stopIfTrue="1" operator="containsText" text=", на ">
      <formula>NOT(ISERROR(SEARCH(", на ",C338)))</formula>
    </cfRule>
    <cfRule type="containsText" dxfId="454" priority="307" stopIfTrue="1" operator="containsText" text="шт.)">
      <formula>NOT(ISERROR(SEARCH("шт.)",C338)))</formula>
    </cfRule>
  </conditionalFormatting>
  <conditionalFormatting sqref="J357">
    <cfRule type="containsText" dxfId="453" priority="233" stopIfTrue="1" operator="containsText" text="С ЛИСТА">
      <formula>NOT(ISERROR(SEARCH("С ЛИСТА",J357)))</formula>
    </cfRule>
    <cfRule type="containsText" dxfId="452" priority="234" stopIfTrue="1" operator="containsText" text="ИЗ ФАЙЛА">
      <formula>NOT(ISERROR(SEARCH("ИЗ ФАЙЛА",J357)))</formula>
    </cfRule>
    <cfRule type="containsText" dxfId="451" priority="235" stopIfTrue="1" operator="containsText" text="!!!">
      <formula>NOT(ISERROR(SEARCH("!!!",J357)))</formula>
    </cfRule>
    <cfRule type="containsText" dxfId="450" priority="236" stopIfTrue="1" operator="containsText" text=" Изделия ">
      <formula>NOT(ISERROR(SEARCH(" Изделия ",J357)))</formula>
    </cfRule>
    <cfRule type="containsText" dxfId="449" priority="237" stopIfTrue="1" operator="containsText" text=" Прокат ">
      <formula>NOT(ISERROR(SEARCH(" Прокат ",J357)))</formula>
    </cfRule>
    <cfRule type="containsText" dxfId="448" priority="238" stopIfTrue="1" operator="containsText" text=" Сборочные единицы ">
      <formula>NOT(ISERROR(SEARCH(" Сборочные единицы ",J357)))</formula>
    </cfRule>
    <cfRule type="containsText" dxfId="447" priority="239" stopIfTrue="1" operator="containsText" text=" Материалы ">
      <formula>NOT(ISERROR(SEARCH(" Материалы ",J357)))</formula>
    </cfRule>
    <cfRule type="containsText" dxfId="446" priority="240" stopIfTrue="1" operator="containsText" text=", на ">
      <formula>NOT(ISERROR(SEARCH(", на ",J357)))</formula>
    </cfRule>
    <cfRule type="containsText" dxfId="445" priority="241" stopIfTrue="1" operator="containsText" text="шт.)">
      <formula>NOT(ISERROR(SEARCH("шт.)",J357)))</formula>
    </cfRule>
  </conditionalFormatting>
  <conditionalFormatting sqref="H343:J344 A343:G343 C345:C356">
    <cfRule type="containsText" dxfId="444" priority="283" stopIfTrue="1" operator="containsText" text="ИЗ ФАЙЛА">
      <formula>NOT(ISERROR(SEARCH("ИЗ ФАЙЛА",A343)))</formula>
    </cfRule>
    <cfRule type="containsText" dxfId="443" priority="284" stopIfTrue="1" operator="containsText" text="!!!!">
      <formula>NOT(ISERROR(SEARCH("!!!!",A343)))</formula>
    </cfRule>
    <cfRule type="containsText" dxfId="442" priority="285" stopIfTrue="1" operator="containsText" text=" Изделия ">
      <formula>NOT(ISERROR(SEARCH(" Изделия ",A343)))</formula>
    </cfRule>
    <cfRule type="containsText" dxfId="441" priority="286" stopIfTrue="1" operator="containsText" text=" Прокат ">
      <formula>NOT(ISERROR(SEARCH(" Прокат ",A343)))</formula>
    </cfRule>
    <cfRule type="containsText" dxfId="440" priority="287" stopIfTrue="1" operator="containsText" text=" Сборочные единицы ">
      <formula>NOT(ISERROR(SEARCH(" Сборочные единицы ",A343)))</formula>
    </cfRule>
    <cfRule type="containsText" dxfId="439" priority="288" stopIfTrue="1" operator="containsText" text=" Материалы ">
      <formula>NOT(ISERROR(SEARCH(" Материалы ",A343)))</formula>
    </cfRule>
    <cfRule type="containsText" dxfId="438" priority="289" stopIfTrue="1" operator="containsText" text=", на ">
      <formula>NOT(ISERROR(SEARCH(", на ",A343)))</formula>
    </cfRule>
    <cfRule type="containsText" dxfId="437" priority="290" stopIfTrue="1" operator="containsText" text="шт.)">
      <formula>NOT(ISERROR(SEARCH("шт.)",A343)))</formula>
    </cfRule>
  </conditionalFormatting>
  <conditionalFormatting sqref="J345:J356">
    <cfRule type="containsText" dxfId="436" priority="274" stopIfTrue="1" operator="containsText" text="С ЛИСТА">
      <formula>NOT(ISERROR(SEARCH("С ЛИСТА",J345)))</formula>
    </cfRule>
    <cfRule type="containsText" dxfId="435" priority="275" stopIfTrue="1" operator="containsText" text="ИЗ ФАЙЛА">
      <formula>NOT(ISERROR(SEARCH("ИЗ ФАЙЛА",J345)))</formula>
    </cfRule>
    <cfRule type="containsText" dxfId="434" priority="276" stopIfTrue="1" operator="containsText" text="!!!">
      <formula>NOT(ISERROR(SEARCH("!!!",J345)))</formula>
    </cfRule>
    <cfRule type="containsText" dxfId="433" priority="277" stopIfTrue="1" operator="containsText" text=" Изделия ">
      <formula>NOT(ISERROR(SEARCH(" Изделия ",J345)))</formula>
    </cfRule>
    <cfRule type="containsText" dxfId="432" priority="278" stopIfTrue="1" operator="containsText" text=" Прокат ">
      <formula>NOT(ISERROR(SEARCH(" Прокат ",J345)))</formula>
    </cfRule>
    <cfRule type="containsText" dxfId="431" priority="279" stopIfTrue="1" operator="containsText" text=" Сборочные единицы ">
      <formula>NOT(ISERROR(SEARCH(" Сборочные единицы ",J345)))</formula>
    </cfRule>
    <cfRule type="containsText" dxfId="430" priority="280" stopIfTrue="1" operator="containsText" text=" Материалы ">
      <formula>NOT(ISERROR(SEARCH(" Материалы ",J345)))</formula>
    </cfRule>
    <cfRule type="containsText" dxfId="429" priority="281" stopIfTrue="1" operator="containsText" text=", на ">
      <formula>NOT(ISERROR(SEARCH(", на ",J345)))</formula>
    </cfRule>
    <cfRule type="containsText" dxfId="428" priority="282" stopIfTrue="1" operator="containsText" text="шт.)">
      <formula>NOT(ISERROR(SEARCH("шт.)",J345)))</formula>
    </cfRule>
  </conditionalFormatting>
  <conditionalFormatting sqref="F343:G343">
    <cfRule type="containsText" dxfId="427" priority="266" stopIfTrue="1" operator="containsText" text="ИЗ ФАЙЛА">
      <formula>NOT(ISERROR(SEARCH("ИЗ ФАЙЛА",F343)))</formula>
    </cfRule>
    <cfRule type="containsText" dxfId="426" priority="267" stopIfTrue="1" operator="containsText" text="!!!!">
      <formula>NOT(ISERROR(SEARCH("!!!!",F343)))</formula>
    </cfRule>
    <cfRule type="containsText" dxfId="425" priority="268" stopIfTrue="1" operator="containsText" text=" Изделия ">
      <formula>NOT(ISERROR(SEARCH(" Изделия ",F343)))</formula>
    </cfRule>
    <cfRule type="containsText" dxfId="424" priority="269" stopIfTrue="1" operator="containsText" text=" Прокат ">
      <formula>NOT(ISERROR(SEARCH(" Прокат ",F343)))</formula>
    </cfRule>
    <cfRule type="containsText" dxfId="423" priority="270" stopIfTrue="1" operator="containsText" text=" Сборочные единицы ">
      <formula>NOT(ISERROR(SEARCH(" Сборочные единицы ",F343)))</formula>
    </cfRule>
    <cfRule type="containsText" dxfId="422" priority="271" stopIfTrue="1" operator="containsText" text=" Материалы ">
      <formula>NOT(ISERROR(SEARCH(" Материалы ",F343)))</formula>
    </cfRule>
    <cfRule type="containsText" dxfId="421" priority="272" stopIfTrue="1" operator="containsText" text=", на ">
      <formula>NOT(ISERROR(SEARCH(", на ",F343)))</formula>
    </cfRule>
    <cfRule type="containsText" dxfId="420" priority="273" stopIfTrue="1" operator="containsText" text="шт.)">
      <formula>NOT(ISERROR(SEARCH("шт.)",F343)))</formula>
    </cfRule>
  </conditionalFormatting>
  <conditionalFormatting sqref="F343:G343">
    <cfRule type="containsText" dxfId="419" priority="258" stopIfTrue="1" operator="containsText" text="ИЗ ФАЙЛА">
      <formula>NOT(ISERROR(SEARCH("ИЗ ФАЙЛА",F343)))</formula>
    </cfRule>
    <cfRule type="containsText" dxfId="418" priority="259" stopIfTrue="1" operator="containsText" text="!!!!">
      <formula>NOT(ISERROR(SEARCH("!!!!",F343)))</formula>
    </cfRule>
    <cfRule type="containsText" dxfId="417" priority="260" stopIfTrue="1" operator="containsText" text=" Изделия ">
      <formula>NOT(ISERROR(SEARCH(" Изделия ",F343)))</formula>
    </cfRule>
    <cfRule type="containsText" dxfId="416" priority="261" stopIfTrue="1" operator="containsText" text=" Прокат ">
      <formula>NOT(ISERROR(SEARCH(" Прокат ",F343)))</formula>
    </cfRule>
    <cfRule type="containsText" dxfId="415" priority="262" stopIfTrue="1" operator="containsText" text=" Сборочные единицы ">
      <formula>NOT(ISERROR(SEARCH(" Сборочные единицы ",F343)))</formula>
    </cfRule>
    <cfRule type="containsText" dxfId="414" priority="263" stopIfTrue="1" operator="containsText" text=" Материалы ">
      <formula>NOT(ISERROR(SEARCH(" Материалы ",F343)))</formula>
    </cfRule>
    <cfRule type="containsText" dxfId="413" priority="264" stopIfTrue="1" operator="containsText" text=", на ">
      <formula>NOT(ISERROR(SEARCH(", на ",F343)))</formula>
    </cfRule>
    <cfRule type="containsText" dxfId="412" priority="265" stopIfTrue="1" operator="containsText" text="шт.)">
      <formula>NOT(ISERROR(SEARCH("шт.)",F343)))</formula>
    </cfRule>
  </conditionalFormatting>
  <conditionalFormatting sqref="F343:G343">
    <cfRule type="containsText" dxfId="411" priority="250" stopIfTrue="1" operator="containsText" text="ИЗ ФАЙЛА">
      <formula>NOT(ISERROR(SEARCH("ИЗ ФАЙЛА",F343)))</formula>
    </cfRule>
    <cfRule type="containsText" dxfId="410" priority="251" stopIfTrue="1" operator="containsText" text="!!!!">
      <formula>NOT(ISERROR(SEARCH("!!!!",F343)))</formula>
    </cfRule>
    <cfRule type="containsText" dxfId="409" priority="252" stopIfTrue="1" operator="containsText" text=" Изделия ">
      <formula>NOT(ISERROR(SEARCH(" Изделия ",F343)))</formula>
    </cfRule>
    <cfRule type="containsText" dxfId="408" priority="253" stopIfTrue="1" operator="containsText" text=" Прокат ">
      <formula>NOT(ISERROR(SEARCH(" Прокат ",F343)))</formula>
    </cfRule>
    <cfRule type="containsText" dxfId="407" priority="254" stopIfTrue="1" operator="containsText" text=" Сборочные единицы ">
      <formula>NOT(ISERROR(SEARCH(" Сборочные единицы ",F343)))</formula>
    </cfRule>
    <cfRule type="containsText" dxfId="406" priority="255" stopIfTrue="1" operator="containsText" text=" Материалы ">
      <formula>NOT(ISERROR(SEARCH(" Материалы ",F343)))</formula>
    </cfRule>
    <cfRule type="containsText" dxfId="405" priority="256" stopIfTrue="1" operator="containsText" text=", на ">
      <formula>NOT(ISERROR(SEARCH(", на ",F343)))</formula>
    </cfRule>
    <cfRule type="containsText" dxfId="404" priority="257" stopIfTrue="1" operator="containsText" text="шт.)">
      <formula>NOT(ISERROR(SEARCH("шт.)",F343)))</formula>
    </cfRule>
  </conditionalFormatting>
  <conditionalFormatting sqref="C357">
    <cfRule type="containsText" dxfId="403" priority="242" stopIfTrue="1" operator="containsText" text="ИЗ ФАЙЛА">
      <formula>NOT(ISERROR(SEARCH("ИЗ ФАЙЛА",C357)))</formula>
    </cfRule>
    <cfRule type="containsText" dxfId="402" priority="243" stopIfTrue="1" operator="containsText" text="!!!!">
      <formula>NOT(ISERROR(SEARCH("!!!!",C357)))</formula>
    </cfRule>
    <cfRule type="containsText" dxfId="401" priority="244" stopIfTrue="1" operator="containsText" text=" Изделия ">
      <formula>NOT(ISERROR(SEARCH(" Изделия ",C357)))</formula>
    </cfRule>
    <cfRule type="containsText" dxfId="400" priority="245" stopIfTrue="1" operator="containsText" text=" Прокат ">
      <formula>NOT(ISERROR(SEARCH(" Прокат ",C357)))</formula>
    </cfRule>
    <cfRule type="containsText" dxfId="399" priority="246" stopIfTrue="1" operator="containsText" text=" Сборочные единицы ">
      <formula>NOT(ISERROR(SEARCH(" Сборочные единицы ",C357)))</formula>
    </cfRule>
    <cfRule type="containsText" dxfId="398" priority="247" stopIfTrue="1" operator="containsText" text=" Материалы ">
      <formula>NOT(ISERROR(SEARCH(" Материалы ",C357)))</formula>
    </cfRule>
    <cfRule type="containsText" dxfId="397" priority="248" stopIfTrue="1" operator="containsText" text=", на ">
      <formula>NOT(ISERROR(SEARCH(", на ",C357)))</formula>
    </cfRule>
    <cfRule type="containsText" dxfId="396" priority="249" stopIfTrue="1" operator="containsText" text="шт.)">
      <formula>NOT(ISERROR(SEARCH("шт.)",C357)))</formula>
    </cfRule>
  </conditionalFormatting>
  <conditionalFormatting sqref="J376">
    <cfRule type="containsText" dxfId="395" priority="175" stopIfTrue="1" operator="containsText" text="С ЛИСТА">
      <formula>NOT(ISERROR(SEARCH("С ЛИСТА",J376)))</formula>
    </cfRule>
    <cfRule type="containsText" dxfId="394" priority="176" stopIfTrue="1" operator="containsText" text="ИЗ ФАЙЛА">
      <formula>NOT(ISERROR(SEARCH("ИЗ ФАЙЛА",J376)))</formula>
    </cfRule>
    <cfRule type="containsText" dxfId="393" priority="177" stopIfTrue="1" operator="containsText" text="!!!">
      <formula>NOT(ISERROR(SEARCH("!!!",J376)))</formula>
    </cfRule>
    <cfRule type="containsText" dxfId="392" priority="178" stopIfTrue="1" operator="containsText" text=" Изделия ">
      <formula>NOT(ISERROR(SEARCH(" Изделия ",J376)))</formula>
    </cfRule>
    <cfRule type="containsText" dxfId="391" priority="179" stopIfTrue="1" operator="containsText" text=" Прокат ">
      <formula>NOT(ISERROR(SEARCH(" Прокат ",J376)))</formula>
    </cfRule>
    <cfRule type="containsText" dxfId="390" priority="180" stopIfTrue="1" operator="containsText" text=" Сборочные единицы ">
      <formula>NOT(ISERROR(SEARCH(" Сборочные единицы ",J376)))</formula>
    </cfRule>
    <cfRule type="containsText" dxfId="389" priority="181" stopIfTrue="1" operator="containsText" text=" Материалы ">
      <formula>NOT(ISERROR(SEARCH(" Материалы ",J376)))</formula>
    </cfRule>
    <cfRule type="containsText" dxfId="388" priority="182" stopIfTrue="1" operator="containsText" text=", на ">
      <formula>NOT(ISERROR(SEARCH(", на ",J376)))</formula>
    </cfRule>
    <cfRule type="containsText" dxfId="387" priority="183" stopIfTrue="1" operator="containsText" text="шт.)">
      <formula>NOT(ISERROR(SEARCH("шт.)",J376)))</formula>
    </cfRule>
  </conditionalFormatting>
  <conditionalFormatting sqref="H362:J363 A362:G362 C364:C375">
    <cfRule type="containsText" dxfId="386" priority="225" stopIfTrue="1" operator="containsText" text="ИЗ ФАЙЛА">
      <formula>NOT(ISERROR(SEARCH("ИЗ ФАЙЛА",A362)))</formula>
    </cfRule>
    <cfRule type="containsText" dxfId="385" priority="226" stopIfTrue="1" operator="containsText" text="!!!!">
      <formula>NOT(ISERROR(SEARCH("!!!!",A362)))</formula>
    </cfRule>
    <cfRule type="containsText" dxfId="384" priority="227" stopIfTrue="1" operator="containsText" text=" Изделия ">
      <formula>NOT(ISERROR(SEARCH(" Изделия ",A362)))</formula>
    </cfRule>
    <cfRule type="containsText" dxfId="383" priority="228" stopIfTrue="1" operator="containsText" text=" Прокат ">
      <formula>NOT(ISERROR(SEARCH(" Прокат ",A362)))</formula>
    </cfRule>
    <cfRule type="containsText" dxfId="382" priority="229" stopIfTrue="1" operator="containsText" text=" Сборочные единицы ">
      <formula>NOT(ISERROR(SEARCH(" Сборочные единицы ",A362)))</formula>
    </cfRule>
    <cfRule type="containsText" dxfId="381" priority="230" stopIfTrue="1" operator="containsText" text=" Материалы ">
      <formula>NOT(ISERROR(SEARCH(" Материалы ",A362)))</formula>
    </cfRule>
    <cfRule type="containsText" dxfId="380" priority="231" stopIfTrue="1" operator="containsText" text=", на ">
      <formula>NOT(ISERROR(SEARCH(", на ",A362)))</formula>
    </cfRule>
    <cfRule type="containsText" dxfId="379" priority="232" stopIfTrue="1" operator="containsText" text="шт.)">
      <formula>NOT(ISERROR(SEARCH("шт.)",A362)))</formula>
    </cfRule>
  </conditionalFormatting>
  <conditionalFormatting sqref="J364:J375">
    <cfRule type="containsText" dxfId="378" priority="216" stopIfTrue="1" operator="containsText" text="С ЛИСТА">
      <formula>NOT(ISERROR(SEARCH("С ЛИСТА",J364)))</formula>
    </cfRule>
    <cfRule type="containsText" dxfId="377" priority="217" stopIfTrue="1" operator="containsText" text="ИЗ ФАЙЛА">
      <formula>NOT(ISERROR(SEARCH("ИЗ ФАЙЛА",J364)))</formula>
    </cfRule>
    <cfRule type="containsText" dxfId="376" priority="218" stopIfTrue="1" operator="containsText" text="!!!">
      <formula>NOT(ISERROR(SEARCH("!!!",J364)))</formula>
    </cfRule>
    <cfRule type="containsText" dxfId="375" priority="219" stopIfTrue="1" operator="containsText" text=" Изделия ">
      <formula>NOT(ISERROR(SEARCH(" Изделия ",J364)))</formula>
    </cfRule>
    <cfRule type="containsText" dxfId="374" priority="220" stopIfTrue="1" operator="containsText" text=" Прокат ">
      <formula>NOT(ISERROR(SEARCH(" Прокат ",J364)))</formula>
    </cfRule>
    <cfRule type="containsText" dxfId="373" priority="221" stopIfTrue="1" operator="containsText" text=" Сборочные единицы ">
      <formula>NOT(ISERROR(SEARCH(" Сборочные единицы ",J364)))</formula>
    </cfRule>
    <cfRule type="containsText" dxfId="372" priority="222" stopIfTrue="1" operator="containsText" text=" Материалы ">
      <formula>NOT(ISERROR(SEARCH(" Материалы ",J364)))</formula>
    </cfRule>
    <cfRule type="containsText" dxfId="371" priority="223" stopIfTrue="1" operator="containsText" text=", на ">
      <formula>NOT(ISERROR(SEARCH(", на ",J364)))</formula>
    </cfRule>
    <cfRule type="containsText" dxfId="370" priority="224" stopIfTrue="1" operator="containsText" text="шт.)">
      <formula>NOT(ISERROR(SEARCH("шт.)",J364)))</formula>
    </cfRule>
  </conditionalFormatting>
  <conditionalFormatting sqref="F362:G362">
    <cfRule type="containsText" dxfId="369" priority="208" stopIfTrue="1" operator="containsText" text="ИЗ ФАЙЛА">
      <formula>NOT(ISERROR(SEARCH("ИЗ ФАЙЛА",F362)))</formula>
    </cfRule>
    <cfRule type="containsText" dxfId="368" priority="209" stopIfTrue="1" operator="containsText" text="!!!!">
      <formula>NOT(ISERROR(SEARCH("!!!!",F362)))</formula>
    </cfRule>
    <cfRule type="containsText" dxfId="367" priority="210" stopIfTrue="1" operator="containsText" text=" Изделия ">
      <formula>NOT(ISERROR(SEARCH(" Изделия ",F362)))</formula>
    </cfRule>
    <cfRule type="containsText" dxfId="366" priority="211" stopIfTrue="1" operator="containsText" text=" Прокат ">
      <formula>NOT(ISERROR(SEARCH(" Прокат ",F362)))</formula>
    </cfRule>
    <cfRule type="containsText" dxfId="365" priority="212" stopIfTrue="1" operator="containsText" text=" Сборочные единицы ">
      <formula>NOT(ISERROR(SEARCH(" Сборочные единицы ",F362)))</formula>
    </cfRule>
    <cfRule type="containsText" dxfId="364" priority="213" stopIfTrue="1" operator="containsText" text=" Материалы ">
      <formula>NOT(ISERROR(SEARCH(" Материалы ",F362)))</formula>
    </cfRule>
    <cfRule type="containsText" dxfId="363" priority="214" stopIfTrue="1" operator="containsText" text=", на ">
      <formula>NOT(ISERROR(SEARCH(", на ",F362)))</formula>
    </cfRule>
    <cfRule type="containsText" dxfId="362" priority="215" stopIfTrue="1" operator="containsText" text="шт.)">
      <formula>NOT(ISERROR(SEARCH("шт.)",F362)))</formula>
    </cfRule>
  </conditionalFormatting>
  <conditionalFormatting sqref="F362:G362">
    <cfRule type="containsText" dxfId="361" priority="200" stopIfTrue="1" operator="containsText" text="ИЗ ФАЙЛА">
      <formula>NOT(ISERROR(SEARCH("ИЗ ФАЙЛА",F362)))</formula>
    </cfRule>
    <cfRule type="containsText" dxfId="360" priority="201" stopIfTrue="1" operator="containsText" text="!!!!">
      <formula>NOT(ISERROR(SEARCH("!!!!",F362)))</formula>
    </cfRule>
    <cfRule type="containsText" dxfId="359" priority="202" stopIfTrue="1" operator="containsText" text=" Изделия ">
      <formula>NOT(ISERROR(SEARCH(" Изделия ",F362)))</formula>
    </cfRule>
    <cfRule type="containsText" dxfId="358" priority="203" stopIfTrue="1" operator="containsText" text=" Прокат ">
      <formula>NOT(ISERROR(SEARCH(" Прокат ",F362)))</formula>
    </cfRule>
    <cfRule type="containsText" dxfId="357" priority="204" stopIfTrue="1" operator="containsText" text=" Сборочные единицы ">
      <formula>NOT(ISERROR(SEARCH(" Сборочные единицы ",F362)))</formula>
    </cfRule>
    <cfRule type="containsText" dxfId="356" priority="205" stopIfTrue="1" operator="containsText" text=" Материалы ">
      <formula>NOT(ISERROR(SEARCH(" Материалы ",F362)))</formula>
    </cfRule>
    <cfRule type="containsText" dxfId="355" priority="206" stopIfTrue="1" operator="containsText" text=", на ">
      <formula>NOT(ISERROR(SEARCH(", на ",F362)))</formula>
    </cfRule>
    <cfRule type="containsText" dxfId="354" priority="207" stopIfTrue="1" operator="containsText" text="шт.)">
      <formula>NOT(ISERROR(SEARCH("шт.)",F362)))</formula>
    </cfRule>
  </conditionalFormatting>
  <conditionalFormatting sqref="F362:G362">
    <cfRule type="containsText" dxfId="353" priority="192" stopIfTrue="1" operator="containsText" text="ИЗ ФАЙЛА">
      <formula>NOT(ISERROR(SEARCH("ИЗ ФАЙЛА",F362)))</formula>
    </cfRule>
    <cfRule type="containsText" dxfId="352" priority="193" stopIfTrue="1" operator="containsText" text="!!!!">
      <formula>NOT(ISERROR(SEARCH("!!!!",F362)))</formula>
    </cfRule>
    <cfRule type="containsText" dxfId="351" priority="194" stopIfTrue="1" operator="containsText" text=" Изделия ">
      <formula>NOT(ISERROR(SEARCH(" Изделия ",F362)))</formula>
    </cfRule>
    <cfRule type="containsText" dxfId="350" priority="195" stopIfTrue="1" operator="containsText" text=" Прокат ">
      <formula>NOT(ISERROR(SEARCH(" Прокат ",F362)))</formula>
    </cfRule>
    <cfRule type="containsText" dxfId="349" priority="196" stopIfTrue="1" operator="containsText" text=" Сборочные единицы ">
      <formula>NOT(ISERROR(SEARCH(" Сборочные единицы ",F362)))</formula>
    </cfRule>
    <cfRule type="containsText" dxfId="348" priority="197" stopIfTrue="1" operator="containsText" text=" Материалы ">
      <formula>NOT(ISERROR(SEARCH(" Материалы ",F362)))</formula>
    </cfRule>
    <cfRule type="containsText" dxfId="347" priority="198" stopIfTrue="1" operator="containsText" text=", на ">
      <formula>NOT(ISERROR(SEARCH(", на ",F362)))</formula>
    </cfRule>
    <cfRule type="containsText" dxfId="346" priority="199" stopIfTrue="1" operator="containsText" text="шт.)">
      <formula>NOT(ISERROR(SEARCH("шт.)",F362)))</formula>
    </cfRule>
  </conditionalFormatting>
  <conditionalFormatting sqref="C376">
    <cfRule type="containsText" dxfId="345" priority="184" stopIfTrue="1" operator="containsText" text="ИЗ ФАЙЛА">
      <formula>NOT(ISERROR(SEARCH("ИЗ ФАЙЛА",C376)))</formula>
    </cfRule>
    <cfRule type="containsText" dxfId="344" priority="185" stopIfTrue="1" operator="containsText" text="!!!!">
      <formula>NOT(ISERROR(SEARCH("!!!!",C376)))</formula>
    </cfRule>
    <cfRule type="containsText" dxfId="343" priority="186" stopIfTrue="1" operator="containsText" text=" Изделия ">
      <formula>NOT(ISERROR(SEARCH(" Изделия ",C376)))</formula>
    </cfRule>
    <cfRule type="containsText" dxfId="342" priority="187" stopIfTrue="1" operator="containsText" text=" Прокат ">
      <formula>NOT(ISERROR(SEARCH(" Прокат ",C376)))</formula>
    </cfRule>
    <cfRule type="containsText" dxfId="341" priority="188" stopIfTrue="1" operator="containsText" text=" Сборочные единицы ">
      <formula>NOT(ISERROR(SEARCH(" Сборочные единицы ",C376)))</formula>
    </cfRule>
    <cfRule type="containsText" dxfId="340" priority="189" stopIfTrue="1" operator="containsText" text=" Материалы ">
      <formula>NOT(ISERROR(SEARCH(" Материалы ",C376)))</formula>
    </cfRule>
    <cfRule type="containsText" dxfId="339" priority="190" stopIfTrue="1" operator="containsText" text=", на ">
      <formula>NOT(ISERROR(SEARCH(", на ",C376)))</formula>
    </cfRule>
    <cfRule type="containsText" dxfId="338" priority="191" stopIfTrue="1" operator="containsText" text="шт.)">
      <formula>NOT(ISERROR(SEARCH("шт.)",C376)))</formula>
    </cfRule>
  </conditionalFormatting>
  <conditionalFormatting sqref="J395">
    <cfRule type="containsText" dxfId="337" priority="117" stopIfTrue="1" operator="containsText" text="С ЛИСТА">
      <formula>NOT(ISERROR(SEARCH("С ЛИСТА",J395)))</formula>
    </cfRule>
    <cfRule type="containsText" dxfId="336" priority="118" stopIfTrue="1" operator="containsText" text="ИЗ ФАЙЛА">
      <formula>NOT(ISERROR(SEARCH("ИЗ ФАЙЛА",J395)))</formula>
    </cfRule>
    <cfRule type="containsText" dxfId="335" priority="119" stopIfTrue="1" operator="containsText" text="!!!">
      <formula>NOT(ISERROR(SEARCH("!!!",J395)))</formula>
    </cfRule>
    <cfRule type="containsText" dxfId="334" priority="120" stopIfTrue="1" operator="containsText" text=" Изделия ">
      <formula>NOT(ISERROR(SEARCH(" Изделия ",J395)))</formula>
    </cfRule>
    <cfRule type="containsText" dxfId="333" priority="121" stopIfTrue="1" operator="containsText" text=" Прокат ">
      <formula>NOT(ISERROR(SEARCH(" Прокат ",J395)))</formula>
    </cfRule>
    <cfRule type="containsText" dxfId="332" priority="122" stopIfTrue="1" operator="containsText" text=" Сборочные единицы ">
      <formula>NOT(ISERROR(SEARCH(" Сборочные единицы ",J395)))</formula>
    </cfRule>
    <cfRule type="containsText" dxfId="331" priority="123" stopIfTrue="1" operator="containsText" text=" Материалы ">
      <formula>NOT(ISERROR(SEARCH(" Материалы ",J395)))</formula>
    </cfRule>
    <cfRule type="containsText" dxfId="330" priority="124" stopIfTrue="1" operator="containsText" text=", на ">
      <formula>NOT(ISERROR(SEARCH(", на ",J395)))</formula>
    </cfRule>
    <cfRule type="containsText" dxfId="329" priority="125" stopIfTrue="1" operator="containsText" text="шт.)">
      <formula>NOT(ISERROR(SEARCH("шт.)",J395)))</formula>
    </cfRule>
  </conditionalFormatting>
  <conditionalFormatting sqref="H381:J382 A381:G381 C383:C394">
    <cfRule type="containsText" dxfId="328" priority="167" stopIfTrue="1" operator="containsText" text="ИЗ ФАЙЛА">
      <formula>NOT(ISERROR(SEARCH("ИЗ ФАЙЛА",A381)))</formula>
    </cfRule>
    <cfRule type="containsText" dxfId="327" priority="168" stopIfTrue="1" operator="containsText" text="!!!!">
      <formula>NOT(ISERROR(SEARCH("!!!!",A381)))</formula>
    </cfRule>
    <cfRule type="containsText" dxfId="326" priority="169" stopIfTrue="1" operator="containsText" text=" Изделия ">
      <formula>NOT(ISERROR(SEARCH(" Изделия ",A381)))</formula>
    </cfRule>
    <cfRule type="containsText" dxfId="325" priority="170" stopIfTrue="1" operator="containsText" text=" Прокат ">
      <formula>NOT(ISERROR(SEARCH(" Прокат ",A381)))</formula>
    </cfRule>
    <cfRule type="containsText" dxfId="324" priority="171" stopIfTrue="1" operator="containsText" text=" Сборочные единицы ">
      <formula>NOT(ISERROR(SEARCH(" Сборочные единицы ",A381)))</formula>
    </cfRule>
    <cfRule type="containsText" dxfId="323" priority="172" stopIfTrue="1" operator="containsText" text=" Материалы ">
      <formula>NOT(ISERROR(SEARCH(" Материалы ",A381)))</formula>
    </cfRule>
    <cfRule type="containsText" dxfId="322" priority="173" stopIfTrue="1" operator="containsText" text=", на ">
      <formula>NOT(ISERROR(SEARCH(", на ",A381)))</formula>
    </cfRule>
    <cfRule type="containsText" dxfId="321" priority="174" stopIfTrue="1" operator="containsText" text="шт.)">
      <formula>NOT(ISERROR(SEARCH("шт.)",A381)))</formula>
    </cfRule>
  </conditionalFormatting>
  <conditionalFormatting sqref="J383:J394">
    <cfRule type="containsText" dxfId="320" priority="158" stopIfTrue="1" operator="containsText" text="С ЛИСТА">
      <formula>NOT(ISERROR(SEARCH("С ЛИСТА",J383)))</formula>
    </cfRule>
    <cfRule type="containsText" dxfId="319" priority="159" stopIfTrue="1" operator="containsText" text="ИЗ ФАЙЛА">
      <formula>NOT(ISERROR(SEARCH("ИЗ ФАЙЛА",J383)))</formula>
    </cfRule>
    <cfRule type="containsText" dxfId="318" priority="160" stopIfTrue="1" operator="containsText" text="!!!">
      <formula>NOT(ISERROR(SEARCH("!!!",J383)))</formula>
    </cfRule>
    <cfRule type="containsText" dxfId="317" priority="161" stopIfTrue="1" operator="containsText" text=" Изделия ">
      <formula>NOT(ISERROR(SEARCH(" Изделия ",J383)))</formula>
    </cfRule>
    <cfRule type="containsText" dxfId="316" priority="162" stopIfTrue="1" operator="containsText" text=" Прокат ">
      <formula>NOT(ISERROR(SEARCH(" Прокат ",J383)))</formula>
    </cfRule>
    <cfRule type="containsText" dxfId="315" priority="163" stopIfTrue="1" operator="containsText" text=" Сборочные единицы ">
      <formula>NOT(ISERROR(SEARCH(" Сборочные единицы ",J383)))</formula>
    </cfRule>
    <cfRule type="containsText" dxfId="314" priority="164" stopIfTrue="1" operator="containsText" text=" Материалы ">
      <formula>NOT(ISERROR(SEARCH(" Материалы ",J383)))</formula>
    </cfRule>
    <cfRule type="containsText" dxfId="313" priority="165" stopIfTrue="1" operator="containsText" text=", на ">
      <formula>NOT(ISERROR(SEARCH(", на ",J383)))</formula>
    </cfRule>
    <cfRule type="containsText" dxfId="312" priority="166" stopIfTrue="1" operator="containsText" text="шт.)">
      <formula>NOT(ISERROR(SEARCH("шт.)",J383)))</formula>
    </cfRule>
  </conditionalFormatting>
  <conditionalFormatting sqref="F381:G381">
    <cfRule type="containsText" dxfId="311" priority="150" stopIfTrue="1" operator="containsText" text="ИЗ ФАЙЛА">
      <formula>NOT(ISERROR(SEARCH("ИЗ ФАЙЛА",F381)))</formula>
    </cfRule>
    <cfRule type="containsText" dxfId="310" priority="151" stopIfTrue="1" operator="containsText" text="!!!!">
      <formula>NOT(ISERROR(SEARCH("!!!!",F381)))</formula>
    </cfRule>
    <cfRule type="containsText" dxfId="309" priority="152" stopIfTrue="1" operator="containsText" text=" Изделия ">
      <formula>NOT(ISERROR(SEARCH(" Изделия ",F381)))</formula>
    </cfRule>
    <cfRule type="containsText" dxfId="308" priority="153" stopIfTrue="1" operator="containsText" text=" Прокат ">
      <formula>NOT(ISERROR(SEARCH(" Прокат ",F381)))</formula>
    </cfRule>
    <cfRule type="containsText" dxfId="307" priority="154" stopIfTrue="1" operator="containsText" text=" Сборочные единицы ">
      <formula>NOT(ISERROR(SEARCH(" Сборочные единицы ",F381)))</formula>
    </cfRule>
    <cfRule type="containsText" dxfId="306" priority="155" stopIfTrue="1" operator="containsText" text=" Материалы ">
      <formula>NOT(ISERROR(SEARCH(" Материалы ",F381)))</formula>
    </cfRule>
    <cfRule type="containsText" dxfId="305" priority="156" stopIfTrue="1" operator="containsText" text=", на ">
      <formula>NOT(ISERROR(SEARCH(", на ",F381)))</formula>
    </cfRule>
    <cfRule type="containsText" dxfId="304" priority="157" stopIfTrue="1" operator="containsText" text="шт.)">
      <formula>NOT(ISERROR(SEARCH("шт.)",F381)))</formula>
    </cfRule>
  </conditionalFormatting>
  <conditionalFormatting sqref="F381:G381">
    <cfRule type="containsText" dxfId="303" priority="142" stopIfTrue="1" operator="containsText" text="ИЗ ФАЙЛА">
      <formula>NOT(ISERROR(SEARCH("ИЗ ФАЙЛА",F381)))</formula>
    </cfRule>
    <cfRule type="containsText" dxfId="302" priority="143" stopIfTrue="1" operator="containsText" text="!!!!">
      <formula>NOT(ISERROR(SEARCH("!!!!",F381)))</formula>
    </cfRule>
    <cfRule type="containsText" dxfId="301" priority="144" stopIfTrue="1" operator="containsText" text=" Изделия ">
      <formula>NOT(ISERROR(SEARCH(" Изделия ",F381)))</formula>
    </cfRule>
    <cfRule type="containsText" dxfId="300" priority="145" stopIfTrue="1" operator="containsText" text=" Прокат ">
      <formula>NOT(ISERROR(SEARCH(" Прокат ",F381)))</formula>
    </cfRule>
    <cfRule type="containsText" dxfId="299" priority="146" stopIfTrue="1" operator="containsText" text=" Сборочные единицы ">
      <formula>NOT(ISERROR(SEARCH(" Сборочные единицы ",F381)))</formula>
    </cfRule>
    <cfRule type="containsText" dxfId="298" priority="147" stopIfTrue="1" operator="containsText" text=" Материалы ">
      <formula>NOT(ISERROR(SEARCH(" Материалы ",F381)))</formula>
    </cfRule>
    <cfRule type="containsText" dxfId="297" priority="148" stopIfTrue="1" operator="containsText" text=", на ">
      <formula>NOT(ISERROR(SEARCH(", на ",F381)))</formula>
    </cfRule>
    <cfRule type="containsText" dxfId="296" priority="149" stopIfTrue="1" operator="containsText" text="шт.)">
      <formula>NOT(ISERROR(SEARCH("шт.)",F381)))</formula>
    </cfRule>
  </conditionalFormatting>
  <conditionalFormatting sqref="F381:G381">
    <cfRule type="containsText" dxfId="295" priority="134" stopIfTrue="1" operator="containsText" text="ИЗ ФАЙЛА">
      <formula>NOT(ISERROR(SEARCH("ИЗ ФАЙЛА",F381)))</formula>
    </cfRule>
    <cfRule type="containsText" dxfId="294" priority="135" stopIfTrue="1" operator="containsText" text="!!!!">
      <formula>NOT(ISERROR(SEARCH("!!!!",F381)))</formula>
    </cfRule>
    <cfRule type="containsText" dxfId="293" priority="136" stopIfTrue="1" operator="containsText" text=" Изделия ">
      <formula>NOT(ISERROR(SEARCH(" Изделия ",F381)))</formula>
    </cfRule>
    <cfRule type="containsText" dxfId="292" priority="137" stopIfTrue="1" operator="containsText" text=" Прокат ">
      <formula>NOT(ISERROR(SEARCH(" Прокат ",F381)))</formula>
    </cfRule>
    <cfRule type="containsText" dxfId="291" priority="138" stopIfTrue="1" operator="containsText" text=" Сборочные единицы ">
      <formula>NOT(ISERROR(SEARCH(" Сборочные единицы ",F381)))</formula>
    </cfRule>
    <cfRule type="containsText" dxfId="290" priority="139" stopIfTrue="1" operator="containsText" text=" Материалы ">
      <formula>NOT(ISERROR(SEARCH(" Материалы ",F381)))</formula>
    </cfRule>
    <cfRule type="containsText" dxfId="289" priority="140" stopIfTrue="1" operator="containsText" text=", на ">
      <formula>NOT(ISERROR(SEARCH(", на ",F381)))</formula>
    </cfRule>
    <cfRule type="containsText" dxfId="288" priority="141" stopIfTrue="1" operator="containsText" text="шт.)">
      <formula>NOT(ISERROR(SEARCH("шт.)",F381)))</formula>
    </cfRule>
  </conditionalFormatting>
  <conditionalFormatting sqref="C395">
    <cfRule type="containsText" dxfId="287" priority="126" stopIfTrue="1" operator="containsText" text="ИЗ ФАЙЛА">
      <formula>NOT(ISERROR(SEARCH("ИЗ ФАЙЛА",C395)))</formula>
    </cfRule>
    <cfRule type="containsText" dxfId="286" priority="127" stopIfTrue="1" operator="containsText" text="!!!!">
      <formula>NOT(ISERROR(SEARCH("!!!!",C395)))</formula>
    </cfRule>
    <cfRule type="containsText" dxfId="285" priority="128" stopIfTrue="1" operator="containsText" text=" Изделия ">
      <formula>NOT(ISERROR(SEARCH(" Изделия ",C395)))</formula>
    </cfRule>
    <cfRule type="containsText" dxfId="284" priority="129" stopIfTrue="1" operator="containsText" text=" Прокат ">
      <formula>NOT(ISERROR(SEARCH(" Прокат ",C395)))</formula>
    </cfRule>
    <cfRule type="containsText" dxfId="283" priority="130" stopIfTrue="1" operator="containsText" text=" Сборочные единицы ">
      <formula>NOT(ISERROR(SEARCH(" Сборочные единицы ",C395)))</formula>
    </cfRule>
    <cfRule type="containsText" dxfId="282" priority="131" stopIfTrue="1" operator="containsText" text=" Материалы ">
      <formula>NOT(ISERROR(SEARCH(" Материалы ",C395)))</formula>
    </cfRule>
    <cfRule type="containsText" dxfId="281" priority="132" stopIfTrue="1" operator="containsText" text=", на ">
      <formula>NOT(ISERROR(SEARCH(", на ",C395)))</formula>
    </cfRule>
    <cfRule type="containsText" dxfId="280" priority="133" stopIfTrue="1" operator="containsText" text="шт.)">
      <formula>NOT(ISERROR(SEARCH("шт.)",C395)))</formula>
    </cfRule>
  </conditionalFormatting>
  <conditionalFormatting sqref="J414">
    <cfRule type="containsText" dxfId="279" priority="59" stopIfTrue="1" operator="containsText" text="С ЛИСТА">
      <formula>NOT(ISERROR(SEARCH("С ЛИСТА",J414)))</formula>
    </cfRule>
    <cfRule type="containsText" dxfId="278" priority="60" stopIfTrue="1" operator="containsText" text="ИЗ ФАЙЛА">
      <formula>NOT(ISERROR(SEARCH("ИЗ ФАЙЛА",J414)))</formula>
    </cfRule>
    <cfRule type="containsText" dxfId="277" priority="61" stopIfTrue="1" operator="containsText" text="!!!">
      <formula>NOT(ISERROR(SEARCH("!!!",J414)))</formula>
    </cfRule>
    <cfRule type="containsText" dxfId="276" priority="62" stopIfTrue="1" operator="containsText" text=" Изделия ">
      <formula>NOT(ISERROR(SEARCH(" Изделия ",J414)))</formula>
    </cfRule>
    <cfRule type="containsText" dxfId="275" priority="63" stopIfTrue="1" operator="containsText" text=" Прокат ">
      <formula>NOT(ISERROR(SEARCH(" Прокат ",J414)))</formula>
    </cfRule>
    <cfRule type="containsText" dxfId="274" priority="64" stopIfTrue="1" operator="containsText" text=" Сборочные единицы ">
      <formula>NOT(ISERROR(SEARCH(" Сборочные единицы ",J414)))</formula>
    </cfRule>
    <cfRule type="containsText" dxfId="273" priority="65" stopIfTrue="1" operator="containsText" text=" Материалы ">
      <formula>NOT(ISERROR(SEARCH(" Материалы ",J414)))</formula>
    </cfRule>
    <cfRule type="containsText" dxfId="272" priority="66" stopIfTrue="1" operator="containsText" text=", на ">
      <formula>NOT(ISERROR(SEARCH(", на ",J414)))</formula>
    </cfRule>
    <cfRule type="containsText" dxfId="271" priority="67" stopIfTrue="1" operator="containsText" text="шт.)">
      <formula>NOT(ISERROR(SEARCH("шт.)",J414)))</formula>
    </cfRule>
  </conditionalFormatting>
  <conditionalFormatting sqref="H400:J401 A400:G400 C402:C413">
    <cfRule type="containsText" dxfId="270" priority="109" stopIfTrue="1" operator="containsText" text="ИЗ ФАЙЛА">
      <formula>NOT(ISERROR(SEARCH("ИЗ ФАЙЛА",A400)))</formula>
    </cfRule>
    <cfRule type="containsText" dxfId="269" priority="110" stopIfTrue="1" operator="containsText" text="!!!!">
      <formula>NOT(ISERROR(SEARCH("!!!!",A400)))</formula>
    </cfRule>
    <cfRule type="containsText" dxfId="268" priority="111" stopIfTrue="1" operator="containsText" text=" Изделия ">
      <formula>NOT(ISERROR(SEARCH(" Изделия ",A400)))</formula>
    </cfRule>
    <cfRule type="containsText" dxfId="267" priority="112" stopIfTrue="1" operator="containsText" text=" Прокат ">
      <formula>NOT(ISERROR(SEARCH(" Прокат ",A400)))</formula>
    </cfRule>
    <cfRule type="containsText" dxfId="266" priority="113" stopIfTrue="1" operator="containsText" text=" Сборочные единицы ">
      <formula>NOT(ISERROR(SEARCH(" Сборочные единицы ",A400)))</formula>
    </cfRule>
    <cfRule type="containsText" dxfId="265" priority="114" stopIfTrue="1" operator="containsText" text=" Материалы ">
      <formula>NOT(ISERROR(SEARCH(" Материалы ",A400)))</formula>
    </cfRule>
    <cfRule type="containsText" dxfId="264" priority="115" stopIfTrue="1" operator="containsText" text=", на ">
      <formula>NOT(ISERROR(SEARCH(", на ",A400)))</formula>
    </cfRule>
    <cfRule type="containsText" dxfId="263" priority="116" stopIfTrue="1" operator="containsText" text="шт.)">
      <formula>NOT(ISERROR(SEARCH("шт.)",A400)))</formula>
    </cfRule>
  </conditionalFormatting>
  <conditionalFormatting sqref="J402:J413">
    <cfRule type="containsText" dxfId="262" priority="100" stopIfTrue="1" operator="containsText" text="С ЛИСТА">
      <formula>NOT(ISERROR(SEARCH("С ЛИСТА",J402)))</formula>
    </cfRule>
    <cfRule type="containsText" dxfId="261" priority="101" stopIfTrue="1" operator="containsText" text="ИЗ ФАЙЛА">
      <formula>NOT(ISERROR(SEARCH("ИЗ ФАЙЛА",J402)))</formula>
    </cfRule>
    <cfRule type="containsText" dxfId="260" priority="102" stopIfTrue="1" operator="containsText" text="!!!">
      <formula>NOT(ISERROR(SEARCH("!!!",J402)))</formula>
    </cfRule>
    <cfRule type="containsText" dxfId="259" priority="103" stopIfTrue="1" operator="containsText" text=" Изделия ">
      <formula>NOT(ISERROR(SEARCH(" Изделия ",J402)))</formula>
    </cfRule>
    <cfRule type="containsText" dxfId="258" priority="104" stopIfTrue="1" operator="containsText" text=" Прокат ">
      <formula>NOT(ISERROR(SEARCH(" Прокат ",J402)))</formula>
    </cfRule>
    <cfRule type="containsText" dxfId="257" priority="105" stopIfTrue="1" operator="containsText" text=" Сборочные единицы ">
      <formula>NOT(ISERROR(SEARCH(" Сборочные единицы ",J402)))</formula>
    </cfRule>
    <cfRule type="containsText" dxfId="256" priority="106" stopIfTrue="1" operator="containsText" text=" Материалы ">
      <formula>NOT(ISERROR(SEARCH(" Материалы ",J402)))</formula>
    </cfRule>
    <cfRule type="containsText" dxfId="255" priority="107" stopIfTrue="1" operator="containsText" text=", на ">
      <formula>NOT(ISERROR(SEARCH(", на ",J402)))</formula>
    </cfRule>
    <cfRule type="containsText" dxfId="254" priority="108" stopIfTrue="1" operator="containsText" text="шт.)">
      <formula>NOT(ISERROR(SEARCH("шт.)",J402)))</formula>
    </cfRule>
  </conditionalFormatting>
  <conditionalFormatting sqref="F400:G400">
    <cfRule type="containsText" dxfId="253" priority="92" stopIfTrue="1" operator="containsText" text="ИЗ ФАЙЛА">
      <formula>NOT(ISERROR(SEARCH("ИЗ ФАЙЛА",F400)))</formula>
    </cfRule>
    <cfRule type="containsText" dxfId="252" priority="93" stopIfTrue="1" operator="containsText" text="!!!!">
      <formula>NOT(ISERROR(SEARCH("!!!!",F400)))</formula>
    </cfRule>
    <cfRule type="containsText" dxfId="251" priority="94" stopIfTrue="1" operator="containsText" text=" Изделия ">
      <formula>NOT(ISERROR(SEARCH(" Изделия ",F400)))</formula>
    </cfRule>
    <cfRule type="containsText" dxfId="250" priority="95" stopIfTrue="1" operator="containsText" text=" Прокат ">
      <formula>NOT(ISERROR(SEARCH(" Прокат ",F400)))</formula>
    </cfRule>
    <cfRule type="containsText" dxfId="249" priority="96" stopIfTrue="1" operator="containsText" text=" Сборочные единицы ">
      <formula>NOT(ISERROR(SEARCH(" Сборочные единицы ",F400)))</formula>
    </cfRule>
    <cfRule type="containsText" dxfId="248" priority="97" stopIfTrue="1" operator="containsText" text=" Материалы ">
      <formula>NOT(ISERROR(SEARCH(" Материалы ",F400)))</formula>
    </cfRule>
    <cfRule type="containsText" dxfId="247" priority="98" stopIfTrue="1" operator="containsText" text=", на ">
      <formula>NOT(ISERROR(SEARCH(", на ",F400)))</formula>
    </cfRule>
    <cfRule type="containsText" dxfId="246" priority="99" stopIfTrue="1" operator="containsText" text="шт.)">
      <formula>NOT(ISERROR(SEARCH("шт.)",F400)))</formula>
    </cfRule>
  </conditionalFormatting>
  <conditionalFormatting sqref="F400:G400">
    <cfRule type="containsText" dxfId="245" priority="84" stopIfTrue="1" operator="containsText" text="ИЗ ФАЙЛА">
      <formula>NOT(ISERROR(SEARCH("ИЗ ФАЙЛА",F400)))</formula>
    </cfRule>
    <cfRule type="containsText" dxfId="244" priority="85" stopIfTrue="1" operator="containsText" text="!!!!">
      <formula>NOT(ISERROR(SEARCH("!!!!",F400)))</formula>
    </cfRule>
    <cfRule type="containsText" dxfId="243" priority="86" stopIfTrue="1" operator="containsText" text=" Изделия ">
      <formula>NOT(ISERROR(SEARCH(" Изделия ",F400)))</formula>
    </cfRule>
    <cfRule type="containsText" dxfId="242" priority="87" stopIfTrue="1" operator="containsText" text=" Прокат ">
      <formula>NOT(ISERROR(SEARCH(" Прокат ",F400)))</formula>
    </cfRule>
    <cfRule type="containsText" dxfId="241" priority="88" stopIfTrue="1" operator="containsText" text=" Сборочные единицы ">
      <formula>NOT(ISERROR(SEARCH(" Сборочные единицы ",F400)))</formula>
    </cfRule>
    <cfRule type="containsText" dxfId="240" priority="89" stopIfTrue="1" operator="containsText" text=" Материалы ">
      <formula>NOT(ISERROR(SEARCH(" Материалы ",F400)))</formula>
    </cfRule>
    <cfRule type="containsText" dxfId="239" priority="90" stopIfTrue="1" operator="containsText" text=", на ">
      <formula>NOT(ISERROR(SEARCH(", на ",F400)))</formula>
    </cfRule>
    <cfRule type="containsText" dxfId="238" priority="91" stopIfTrue="1" operator="containsText" text="шт.)">
      <formula>NOT(ISERROR(SEARCH("шт.)",F400)))</formula>
    </cfRule>
  </conditionalFormatting>
  <conditionalFormatting sqref="F400:G400">
    <cfRule type="containsText" dxfId="237" priority="76" stopIfTrue="1" operator="containsText" text="ИЗ ФАЙЛА">
      <formula>NOT(ISERROR(SEARCH("ИЗ ФАЙЛА",F400)))</formula>
    </cfRule>
    <cfRule type="containsText" dxfId="236" priority="77" stopIfTrue="1" operator="containsText" text="!!!!">
      <formula>NOT(ISERROR(SEARCH("!!!!",F400)))</formula>
    </cfRule>
    <cfRule type="containsText" dxfId="235" priority="78" stopIfTrue="1" operator="containsText" text=" Изделия ">
      <formula>NOT(ISERROR(SEARCH(" Изделия ",F400)))</formula>
    </cfRule>
    <cfRule type="containsText" dxfId="234" priority="79" stopIfTrue="1" operator="containsText" text=" Прокат ">
      <formula>NOT(ISERROR(SEARCH(" Прокат ",F400)))</formula>
    </cfRule>
    <cfRule type="containsText" dxfId="233" priority="80" stopIfTrue="1" operator="containsText" text=" Сборочные единицы ">
      <formula>NOT(ISERROR(SEARCH(" Сборочные единицы ",F400)))</formula>
    </cfRule>
    <cfRule type="containsText" dxfId="232" priority="81" stopIfTrue="1" operator="containsText" text=" Материалы ">
      <formula>NOT(ISERROR(SEARCH(" Материалы ",F400)))</formula>
    </cfRule>
    <cfRule type="containsText" dxfId="231" priority="82" stopIfTrue="1" operator="containsText" text=", на ">
      <formula>NOT(ISERROR(SEARCH(", на ",F400)))</formula>
    </cfRule>
    <cfRule type="containsText" dxfId="230" priority="83" stopIfTrue="1" operator="containsText" text="шт.)">
      <formula>NOT(ISERROR(SEARCH("шт.)",F400)))</formula>
    </cfRule>
  </conditionalFormatting>
  <conditionalFormatting sqref="C414">
    <cfRule type="containsText" dxfId="229" priority="68" stopIfTrue="1" operator="containsText" text="ИЗ ФАЙЛА">
      <formula>NOT(ISERROR(SEARCH("ИЗ ФАЙЛА",C414)))</formula>
    </cfRule>
    <cfRule type="containsText" dxfId="228" priority="69" stopIfTrue="1" operator="containsText" text="!!!!">
      <formula>NOT(ISERROR(SEARCH("!!!!",C414)))</formula>
    </cfRule>
    <cfRule type="containsText" dxfId="227" priority="70" stopIfTrue="1" operator="containsText" text=" Изделия ">
      <formula>NOT(ISERROR(SEARCH(" Изделия ",C414)))</formula>
    </cfRule>
    <cfRule type="containsText" dxfId="226" priority="71" stopIfTrue="1" operator="containsText" text=" Прокат ">
      <formula>NOT(ISERROR(SEARCH(" Прокат ",C414)))</formula>
    </cfRule>
    <cfRule type="containsText" dxfId="225" priority="72" stopIfTrue="1" operator="containsText" text=" Сборочные единицы ">
      <formula>NOT(ISERROR(SEARCH(" Сборочные единицы ",C414)))</formula>
    </cfRule>
    <cfRule type="containsText" dxfId="224" priority="73" stopIfTrue="1" operator="containsText" text=" Материалы ">
      <formula>NOT(ISERROR(SEARCH(" Материалы ",C414)))</formula>
    </cfRule>
    <cfRule type="containsText" dxfId="223" priority="74" stopIfTrue="1" operator="containsText" text=", на ">
      <formula>NOT(ISERROR(SEARCH(", на ",C414)))</formula>
    </cfRule>
    <cfRule type="containsText" dxfId="222" priority="75" stopIfTrue="1" operator="containsText" text="шт.)">
      <formula>NOT(ISERROR(SEARCH("шт.)",C414)))</formula>
    </cfRule>
  </conditionalFormatting>
  <conditionalFormatting sqref="J433">
    <cfRule type="containsText" dxfId="221" priority="1" stopIfTrue="1" operator="containsText" text="С ЛИСТА">
      <formula>NOT(ISERROR(SEARCH("С ЛИСТА",J433)))</formula>
    </cfRule>
    <cfRule type="containsText" dxfId="220" priority="2" stopIfTrue="1" operator="containsText" text="ИЗ ФАЙЛА">
      <formula>NOT(ISERROR(SEARCH("ИЗ ФАЙЛА",J433)))</formula>
    </cfRule>
    <cfRule type="containsText" dxfId="219" priority="3" stopIfTrue="1" operator="containsText" text="!!!">
      <formula>NOT(ISERROR(SEARCH("!!!",J433)))</formula>
    </cfRule>
    <cfRule type="containsText" dxfId="218" priority="4" stopIfTrue="1" operator="containsText" text=" Изделия ">
      <formula>NOT(ISERROR(SEARCH(" Изделия ",J433)))</formula>
    </cfRule>
    <cfRule type="containsText" dxfId="217" priority="5" stopIfTrue="1" operator="containsText" text=" Прокат ">
      <formula>NOT(ISERROR(SEARCH(" Прокат ",J433)))</formula>
    </cfRule>
    <cfRule type="containsText" dxfId="216" priority="6" stopIfTrue="1" operator="containsText" text=" Сборочные единицы ">
      <formula>NOT(ISERROR(SEARCH(" Сборочные единицы ",J433)))</formula>
    </cfRule>
    <cfRule type="containsText" dxfId="215" priority="7" stopIfTrue="1" operator="containsText" text=" Материалы ">
      <formula>NOT(ISERROR(SEARCH(" Материалы ",J433)))</formula>
    </cfRule>
    <cfRule type="containsText" dxfId="214" priority="8" stopIfTrue="1" operator="containsText" text=", на ">
      <formula>NOT(ISERROR(SEARCH(", на ",J433)))</formula>
    </cfRule>
    <cfRule type="containsText" dxfId="213" priority="9" stopIfTrue="1" operator="containsText" text="шт.)">
      <formula>NOT(ISERROR(SEARCH("шт.)",J433)))</formula>
    </cfRule>
  </conditionalFormatting>
  <conditionalFormatting sqref="H419:J420 A419:G419 C421:C432">
    <cfRule type="containsText" dxfId="212" priority="51" stopIfTrue="1" operator="containsText" text="ИЗ ФАЙЛА">
      <formula>NOT(ISERROR(SEARCH("ИЗ ФАЙЛА",A419)))</formula>
    </cfRule>
    <cfRule type="containsText" dxfId="211" priority="52" stopIfTrue="1" operator="containsText" text="!!!!">
      <formula>NOT(ISERROR(SEARCH("!!!!",A419)))</formula>
    </cfRule>
    <cfRule type="containsText" dxfId="210" priority="53" stopIfTrue="1" operator="containsText" text=" Изделия ">
      <formula>NOT(ISERROR(SEARCH(" Изделия ",A419)))</formula>
    </cfRule>
    <cfRule type="containsText" dxfId="209" priority="54" stopIfTrue="1" operator="containsText" text=" Прокат ">
      <formula>NOT(ISERROR(SEARCH(" Прокат ",A419)))</formula>
    </cfRule>
    <cfRule type="containsText" dxfId="208" priority="55" stopIfTrue="1" operator="containsText" text=" Сборочные единицы ">
      <formula>NOT(ISERROR(SEARCH(" Сборочные единицы ",A419)))</formula>
    </cfRule>
    <cfRule type="containsText" dxfId="207" priority="56" stopIfTrue="1" operator="containsText" text=" Материалы ">
      <formula>NOT(ISERROR(SEARCH(" Материалы ",A419)))</formula>
    </cfRule>
    <cfRule type="containsText" dxfId="206" priority="57" stopIfTrue="1" operator="containsText" text=", на ">
      <formula>NOT(ISERROR(SEARCH(", на ",A419)))</formula>
    </cfRule>
    <cfRule type="containsText" dxfId="205" priority="58" stopIfTrue="1" operator="containsText" text="шт.)">
      <formula>NOT(ISERROR(SEARCH("шт.)",A419)))</formula>
    </cfRule>
  </conditionalFormatting>
  <conditionalFormatting sqref="J421:J432">
    <cfRule type="containsText" dxfId="204" priority="42" stopIfTrue="1" operator="containsText" text="С ЛИСТА">
      <formula>NOT(ISERROR(SEARCH("С ЛИСТА",J421)))</formula>
    </cfRule>
    <cfRule type="containsText" dxfId="203" priority="43" stopIfTrue="1" operator="containsText" text="ИЗ ФАЙЛА">
      <formula>NOT(ISERROR(SEARCH("ИЗ ФАЙЛА",J421)))</formula>
    </cfRule>
    <cfRule type="containsText" dxfId="202" priority="44" stopIfTrue="1" operator="containsText" text="!!!">
      <formula>NOT(ISERROR(SEARCH("!!!",J421)))</formula>
    </cfRule>
    <cfRule type="containsText" dxfId="201" priority="45" stopIfTrue="1" operator="containsText" text=" Изделия ">
      <formula>NOT(ISERROR(SEARCH(" Изделия ",J421)))</formula>
    </cfRule>
    <cfRule type="containsText" dxfId="200" priority="46" stopIfTrue="1" operator="containsText" text=" Прокат ">
      <formula>NOT(ISERROR(SEARCH(" Прокат ",J421)))</formula>
    </cfRule>
    <cfRule type="containsText" dxfId="199" priority="47" stopIfTrue="1" operator="containsText" text=" Сборочные единицы ">
      <formula>NOT(ISERROR(SEARCH(" Сборочные единицы ",J421)))</formula>
    </cfRule>
    <cfRule type="containsText" dxfId="198" priority="48" stopIfTrue="1" operator="containsText" text=" Материалы ">
      <formula>NOT(ISERROR(SEARCH(" Материалы ",J421)))</formula>
    </cfRule>
    <cfRule type="containsText" dxfId="197" priority="49" stopIfTrue="1" operator="containsText" text=", на ">
      <formula>NOT(ISERROR(SEARCH(", на ",J421)))</formula>
    </cfRule>
    <cfRule type="containsText" dxfId="196" priority="50" stopIfTrue="1" operator="containsText" text="шт.)">
      <formula>NOT(ISERROR(SEARCH("шт.)",J421)))</formula>
    </cfRule>
  </conditionalFormatting>
  <conditionalFormatting sqref="F419:G419">
    <cfRule type="containsText" dxfId="195" priority="34" stopIfTrue="1" operator="containsText" text="ИЗ ФАЙЛА">
      <formula>NOT(ISERROR(SEARCH("ИЗ ФАЙЛА",F419)))</formula>
    </cfRule>
    <cfRule type="containsText" dxfId="194" priority="35" stopIfTrue="1" operator="containsText" text="!!!!">
      <formula>NOT(ISERROR(SEARCH("!!!!",F419)))</formula>
    </cfRule>
    <cfRule type="containsText" dxfId="193" priority="36" stopIfTrue="1" operator="containsText" text=" Изделия ">
      <formula>NOT(ISERROR(SEARCH(" Изделия ",F419)))</formula>
    </cfRule>
    <cfRule type="containsText" dxfId="192" priority="37" stopIfTrue="1" operator="containsText" text=" Прокат ">
      <formula>NOT(ISERROR(SEARCH(" Прокат ",F419)))</formula>
    </cfRule>
    <cfRule type="containsText" dxfId="191" priority="38" stopIfTrue="1" operator="containsText" text=" Сборочные единицы ">
      <formula>NOT(ISERROR(SEARCH(" Сборочные единицы ",F419)))</formula>
    </cfRule>
    <cfRule type="containsText" dxfId="190" priority="39" stopIfTrue="1" operator="containsText" text=" Материалы ">
      <formula>NOT(ISERROR(SEARCH(" Материалы ",F419)))</formula>
    </cfRule>
    <cfRule type="containsText" dxfId="189" priority="40" stopIfTrue="1" operator="containsText" text=", на ">
      <formula>NOT(ISERROR(SEARCH(", на ",F419)))</formula>
    </cfRule>
    <cfRule type="containsText" dxfId="188" priority="41" stopIfTrue="1" operator="containsText" text="шт.)">
      <formula>NOT(ISERROR(SEARCH("шт.)",F419)))</formula>
    </cfRule>
  </conditionalFormatting>
  <conditionalFormatting sqref="F419:G419">
    <cfRule type="containsText" dxfId="187" priority="26" stopIfTrue="1" operator="containsText" text="ИЗ ФАЙЛА">
      <formula>NOT(ISERROR(SEARCH("ИЗ ФАЙЛА",F419)))</formula>
    </cfRule>
    <cfRule type="containsText" dxfId="186" priority="27" stopIfTrue="1" operator="containsText" text="!!!!">
      <formula>NOT(ISERROR(SEARCH("!!!!",F419)))</formula>
    </cfRule>
    <cfRule type="containsText" dxfId="185" priority="28" stopIfTrue="1" operator="containsText" text=" Изделия ">
      <formula>NOT(ISERROR(SEARCH(" Изделия ",F419)))</formula>
    </cfRule>
    <cfRule type="containsText" dxfId="184" priority="29" stopIfTrue="1" operator="containsText" text=" Прокат ">
      <formula>NOT(ISERROR(SEARCH(" Прокат ",F419)))</formula>
    </cfRule>
    <cfRule type="containsText" dxfId="183" priority="30" stopIfTrue="1" operator="containsText" text=" Сборочные единицы ">
      <formula>NOT(ISERROR(SEARCH(" Сборочные единицы ",F419)))</formula>
    </cfRule>
    <cfRule type="containsText" dxfId="182" priority="31" stopIfTrue="1" operator="containsText" text=" Материалы ">
      <formula>NOT(ISERROR(SEARCH(" Материалы ",F419)))</formula>
    </cfRule>
    <cfRule type="containsText" dxfId="181" priority="32" stopIfTrue="1" operator="containsText" text=", на ">
      <formula>NOT(ISERROR(SEARCH(", на ",F419)))</formula>
    </cfRule>
    <cfRule type="containsText" dxfId="180" priority="33" stopIfTrue="1" operator="containsText" text="шт.)">
      <formula>NOT(ISERROR(SEARCH("шт.)",F419)))</formula>
    </cfRule>
  </conditionalFormatting>
  <conditionalFormatting sqref="F419:G419">
    <cfRule type="containsText" dxfId="179" priority="18" stopIfTrue="1" operator="containsText" text="ИЗ ФАЙЛА">
      <formula>NOT(ISERROR(SEARCH("ИЗ ФАЙЛА",F419)))</formula>
    </cfRule>
    <cfRule type="containsText" dxfId="178" priority="19" stopIfTrue="1" operator="containsText" text="!!!!">
      <formula>NOT(ISERROR(SEARCH("!!!!",F419)))</formula>
    </cfRule>
    <cfRule type="containsText" dxfId="177" priority="20" stopIfTrue="1" operator="containsText" text=" Изделия ">
      <formula>NOT(ISERROR(SEARCH(" Изделия ",F419)))</formula>
    </cfRule>
    <cfRule type="containsText" dxfId="176" priority="21" stopIfTrue="1" operator="containsText" text=" Прокат ">
      <formula>NOT(ISERROR(SEARCH(" Прокат ",F419)))</formula>
    </cfRule>
    <cfRule type="containsText" dxfId="175" priority="22" stopIfTrue="1" operator="containsText" text=" Сборочные единицы ">
      <formula>NOT(ISERROR(SEARCH(" Сборочные единицы ",F419)))</formula>
    </cfRule>
    <cfRule type="containsText" dxfId="174" priority="23" stopIfTrue="1" operator="containsText" text=" Материалы ">
      <formula>NOT(ISERROR(SEARCH(" Материалы ",F419)))</formula>
    </cfRule>
    <cfRule type="containsText" dxfId="173" priority="24" stopIfTrue="1" operator="containsText" text=", на ">
      <formula>NOT(ISERROR(SEARCH(", на ",F419)))</formula>
    </cfRule>
    <cfRule type="containsText" dxfId="172" priority="25" stopIfTrue="1" operator="containsText" text="шт.)">
      <formula>NOT(ISERROR(SEARCH("шт.)",F419)))</formula>
    </cfRule>
  </conditionalFormatting>
  <conditionalFormatting sqref="C433">
    <cfRule type="containsText" dxfId="171" priority="10" stopIfTrue="1" operator="containsText" text="ИЗ ФАЙЛА">
      <formula>NOT(ISERROR(SEARCH("ИЗ ФАЙЛА",C433)))</formula>
    </cfRule>
    <cfRule type="containsText" dxfId="170" priority="11" stopIfTrue="1" operator="containsText" text="!!!!">
      <formula>NOT(ISERROR(SEARCH("!!!!",C433)))</formula>
    </cfRule>
    <cfRule type="containsText" dxfId="169" priority="12" stopIfTrue="1" operator="containsText" text=" Изделия ">
      <formula>NOT(ISERROR(SEARCH(" Изделия ",C433)))</formula>
    </cfRule>
    <cfRule type="containsText" dxfId="168" priority="13" stopIfTrue="1" operator="containsText" text=" Прокат ">
      <formula>NOT(ISERROR(SEARCH(" Прокат ",C433)))</formula>
    </cfRule>
    <cfRule type="containsText" dxfId="167" priority="14" stopIfTrue="1" operator="containsText" text=" Сборочные единицы ">
      <formula>NOT(ISERROR(SEARCH(" Сборочные единицы ",C433)))</formula>
    </cfRule>
    <cfRule type="containsText" dxfId="166" priority="15" stopIfTrue="1" operator="containsText" text=" Материалы ">
      <formula>NOT(ISERROR(SEARCH(" Материалы ",C433)))</formula>
    </cfRule>
    <cfRule type="containsText" dxfId="165" priority="16" stopIfTrue="1" operator="containsText" text=", на ">
      <formula>NOT(ISERROR(SEARCH(", на ",C433)))</formula>
    </cfRule>
    <cfRule type="containsText" dxfId="164" priority="17" stopIfTrue="1" operator="containsText" text="шт.)">
      <formula>NOT(ISERROR(SEARCH("шт.)",C433)))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7" tint="0.39997558519241921"/>
    <pageSetUpPr fitToPage="1"/>
  </sheetPr>
  <dimension ref="A1:U251"/>
  <sheetViews>
    <sheetView zoomScale="85" zoomScaleNormal="85" workbookViewId="0">
      <pane xSplit="7" ySplit="1" topLeftCell="H41" activePane="bottomRight" state="frozen"/>
      <selection activeCell="H9" sqref="H9"/>
      <selection pane="topRight" activeCell="H9" sqref="H9"/>
      <selection pane="bottomLeft" activeCell="H9" sqref="H9"/>
      <selection pane="bottomRight" activeCell="U68" sqref="U6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1" t="str">
        <f>A6</f>
        <v>Пс8.7.1</v>
      </c>
      <c r="B3" s="22" t="s">
        <v>183</v>
      </c>
      <c r="C3" s="22" t="s">
        <v>184</v>
      </c>
      <c r="D3" s="22" t="s">
        <v>2818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5.75" x14ac:dyDescent="0.25">
      <c r="A4" s="21" t="str">
        <f>A6</f>
        <v>Пс8.7.1</v>
      </c>
      <c r="B4" s="22" t="s">
        <v>183</v>
      </c>
      <c r="C4" s="22" t="s">
        <v>2835</v>
      </c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15.75" x14ac:dyDescent="0.25">
      <c r="A5" s="21" t="s">
        <v>183</v>
      </c>
      <c r="B5" s="22" t="s">
        <v>183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21" ht="31.5" x14ac:dyDescent="0.25">
      <c r="A6" s="25" t="str">
        <f>'[1]Исх.Таблица из архикада'!A18</f>
        <v>Пс8.7.1</v>
      </c>
      <c r="B6" s="26" t="str">
        <f>A6</f>
        <v>Пс8.7.1</v>
      </c>
      <c r="C6" s="26"/>
      <c r="D6" s="26" t="str">
        <f>CONCATENATE("Монолитная подпорная стена ",A6)</f>
        <v>Монолитная подпорная стена Пс8.7.1</v>
      </c>
      <c r="E6" s="26">
        <v>1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</row>
    <row r="7" spans="1:21" ht="15.75" x14ac:dyDescent="0.25">
      <c r="A7" s="45" t="str">
        <f t="shared" ref="A7:A15" si="0">A6</f>
        <v>Пс8.7.1</v>
      </c>
      <c r="B7" s="46">
        <v>1</v>
      </c>
      <c r="C7" s="46" t="s">
        <v>258</v>
      </c>
      <c r="D7" s="46" t="str">
        <f>'[1]Таблица из архикада'!C288</f>
        <v>Гориз. В стене</v>
      </c>
      <c r="E7" s="46">
        <f>'[1]Таблица из архикада'!E288</f>
        <v>1</v>
      </c>
      <c r="F7" s="22">
        <v>0.61599999999999999</v>
      </c>
      <c r="G7" s="46" t="s">
        <v>27</v>
      </c>
      <c r="H7" s="46">
        <f>'[1]Таблица из архикада'!H288*2</f>
        <v>137940</v>
      </c>
      <c r="I7" s="46">
        <f>'[1]Таблица из архикада'!I288</f>
        <v>10</v>
      </c>
      <c r="J7" s="46" t="s">
        <v>2</v>
      </c>
      <c r="K7" s="46"/>
      <c r="L7" s="46"/>
      <c r="M7" s="46"/>
      <c r="N7" s="46"/>
      <c r="O7" s="46"/>
      <c r="P7" s="46"/>
      <c r="Q7" s="46"/>
      <c r="R7" s="46"/>
      <c r="S7" s="46">
        <v>540</v>
      </c>
      <c r="T7" s="46">
        <v>650</v>
      </c>
      <c r="U7" s="48">
        <v>25</v>
      </c>
    </row>
    <row r="8" spans="1:21" ht="15.75" x14ac:dyDescent="0.25">
      <c r="A8" s="45" t="str">
        <f t="shared" si="0"/>
        <v>Пс8.7.1</v>
      </c>
      <c r="B8" s="46">
        <v>2</v>
      </c>
      <c r="C8" s="46" t="s">
        <v>258</v>
      </c>
      <c r="D8" s="46" t="str">
        <f>'[1]Таблица из архикада'!C289</f>
        <v>П-шка в стене верт</v>
      </c>
      <c r="E8" s="46">
        <f>'[1]Таблица из архикада'!E289</f>
        <v>30</v>
      </c>
      <c r="F8" s="22">
        <v>0.61599999999999999</v>
      </c>
      <c r="G8" s="46" t="s">
        <v>0</v>
      </c>
      <c r="H8" s="46">
        <f>'[1]Таблица из архикада'!H289+500</f>
        <v>1800</v>
      </c>
      <c r="I8" s="46">
        <f>'[1]Таблица из архикада'!I289</f>
        <v>10</v>
      </c>
      <c r="J8" s="46" t="s">
        <v>2</v>
      </c>
      <c r="K8" s="46"/>
      <c r="L8" s="46"/>
      <c r="M8" s="46"/>
      <c r="N8" s="46"/>
      <c r="O8" s="46"/>
      <c r="P8" s="46"/>
      <c r="Q8" s="46"/>
      <c r="R8" s="46"/>
      <c r="S8" s="46">
        <v>540</v>
      </c>
      <c r="T8" s="46">
        <v>650</v>
      </c>
      <c r="U8" s="48">
        <v>25</v>
      </c>
    </row>
    <row r="9" spans="1:21" ht="15.75" x14ac:dyDescent="0.25">
      <c r="A9" s="45" t="str">
        <f t="shared" si="0"/>
        <v>Пс8.7.1</v>
      </c>
      <c r="B9" s="46">
        <v>3</v>
      </c>
      <c r="C9" s="46" t="s">
        <v>258</v>
      </c>
      <c r="D9" s="46" t="str">
        <f>'[1]Таблица из архикада'!C290</f>
        <v>П-шка в стене гориз.</v>
      </c>
      <c r="E9" s="46">
        <f>'[1]Таблица из архикада'!E290</f>
        <v>20</v>
      </c>
      <c r="F9" s="22">
        <v>0.61599999999999999</v>
      </c>
      <c r="G9" s="46" t="s">
        <v>0</v>
      </c>
      <c r="H9" s="46">
        <f>'[1]Таблица из архикада'!H290</f>
        <v>1320</v>
      </c>
      <c r="I9" s="46">
        <f>'[1]Таблица из архикада'!I290</f>
        <v>10</v>
      </c>
      <c r="J9" s="46" t="s">
        <v>2</v>
      </c>
      <c r="K9" s="46"/>
      <c r="L9" s="46"/>
      <c r="M9" s="46"/>
      <c r="N9" s="46"/>
      <c r="O9" s="46"/>
      <c r="P9" s="46"/>
      <c r="Q9" s="46"/>
      <c r="R9" s="46"/>
      <c r="S9" s="46">
        <v>540</v>
      </c>
      <c r="T9" s="46">
        <v>650</v>
      </c>
      <c r="U9" s="48">
        <v>25</v>
      </c>
    </row>
    <row r="10" spans="1:21" ht="15.75" x14ac:dyDescent="0.25">
      <c r="A10" s="45" t="str">
        <f t="shared" si="0"/>
        <v>Пс8.7.1</v>
      </c>
      <c r="B10" s="46">
        <v>4</v>
      </c>
      <c r="C10" s="46" t="s">
        <v>258</v>
      </c>
      <c r="D10" s="46" t="str">
        <f>'[1]Таблица из архикада'!C291</f>
        <v>Вертик. В стене</v>
      </c>
      <c r="E10" s="46">
        <f>'[1]Таблица из архикада'!E291</f>
        <v>60</v>
      </c>
      <c r="F10" s="22">
        <v>0.61599999999999999</v>
      </c>
      <c r="G10" s="46" t="s">
        <v>0</v>
      </c>
      <c r="H10" s="46">
        <f>'[1]Таблица из архикада'!H291</f>
        <v>2390</v>
      </c>
      <c r="I10" s="46">
        <f>'[1]Таблица из архикада'!I291</f>
        <v>10</v>
      </c>
      <c r="J10" s="46" t="s">
        <v>2</v>
      </c>
      <c r="K10" s="46"/>
      <c r="L10" s="46"/>
      <c r="M10" s="46"/>
      <c r="N10" s="46"/>
      <c r="O10" s="46"/>
      <c r="P10" s="46"/>
      <c r="Q10" s="46"/>
      <c r="R10" s="46"/>
      <c r="S10" s="46">
        <v>540</v>
      </c>
      <c r="T10" s="46">
        <v>650</v>
      </c>
      <c r="U10" s="48">
        <v>25</v>
      </c>
    </row>
    <row r="11" spans="1:21" ht="15.75" x14ac:dyDescent="0.25">
      <c r="A11" s="45" t="str">
        <f t="shared" si="0"/>
        <v>Пс8.7.1</v>
      </c>
      <c r="B11" s="46">
        <v>5</v>
      </c>
      <c r="C11" s="46" t="s">
        <v>190</v>
      </c>
      <c r="D11" s="46" t="str">
        <f>'[1]Таблица из архикада'!C292</f>
        <v>Шпилька</v>
      </c>
      <c r="E11" s="46">
        <f>'[1]Таблица из архикада'!E292</f>
        <v>156</v>
      </c>
      <c r="F11" s="22">
        <v>0.222</v>
      </c>
      <c r="G11" s="46" t="s">
        <v>0</v>
      </c>
      <c r="H11" s="46">
        <f>'[1]Таблица из архикада'!H292</f>
        <v>470</v>
      </c>
      <c r="I11" s="46">
        <f>'[1]Таблица из архикада'!I292</f>
        <v>6</v>
      </c>
      <c r="J11" s="46" t="s">
        <v>1</v>
      </c>
      <c r="K11" s="46"/>
      <c r="L11" s="46"/>
      <c r="M11" s="46"/>
      <c r="N11" s="46"/>
      <c r="O11" s="46"/>
      <c r="P11" s="46"/>
      <c r="Q11" s="46"/>
      <c r="R11" s="46"/>
      <c r="S11" s="46">
        <v>200</v>
      </c>
      <c r="T11" s="46">
        <v>250</v>
      </c>
      <c r="U11" s="48">
        <v>7.5</v>
      </c>
    </row>
    <row r="12" spans="1:21" ht="15.75" x14ac:dyDescent="0.25">
      <c r="A12" s="45" t="str">
        <f t="shared" si="0"/>
        <v>Пс8.7.1</v>
      </c>
      <c r="B12" s="46">
        <v>6</v>
      </c>
      <c r="C12" s="46" t="s">
        <v>258</v>
      </c>
      <c r="D12" s="46" t="str">
        <f>'[1]Таблица из архикада'!C293</f>
        <v>Поперечная в подошве</v>
      </c>
      <c r="E12" s="46">
        <f>'[1]Таблица из архикада'!E293</f>
        <v>30</v>
      </c>
      <c r="F12" s="22">
        <v>0.61599999999999999</v>
      </c>
      <c r="G12" s="46"/>
      <c r="H12" s="46">
        <f>'[1]Таблица из архикада'!H293</f>
        <v>950</v>
      </c>
      <c r="I12" s="46">
        <f>'[1]Таблица из архикада'!I293</f>
        <v>10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>
        <v>540</v>
      </c>
      <c r="T12" s="46">
        <v>650</v>
      </c>
      <c r="U12" s="48">
        <v>25</v>
      </c>
    </row>
    <row r="13" spans="1:21" ht="15.75" x14ac:dyDescent="0.25">
      <c r="A13" s="45" t="str">
        <f t="shared" si="0"/>
        <v>Пс8.7.1</v>
      </c>
      <c r="B13" s="46">
        <v>7</v>
      </c>
      <c r="C13" s="46" t="s">
        <v>258</v>
      </c>
      <c r="D13" s="46" t="str">
        <f>'[1]Таблица из архикада'!C294</f>
        <v>Продольная в подошве</v>
      </c>
      <c r="E13" s="46">
        <f>'[1]Таблица из архикада'!E294</f>
        <v>1</v>
      </c>
      <c r="F13" s="22">
        <v>0.61599999999999999</v>
      </c>
      <c r="G13" s="46" t="s">
        <v>27</v>
      </c>
      <c r="H13" s="46">
        <f>'[1]Таблица из архикада'!H294*2</f>
        <v>70900</v>
      </c>
      <c r="I13" s="46">
        <f>'[1]Таблица из архикада'!I294</f>
        <v>10</v>
      </c>
      <c r="J13" s="46" t="s">
        <v>2</v>
      </c>
      <c r="K13" s="46"/>
      <c r="L13" s="46"/>
      <c r="M13" s="46"/>
      <c r="N13" s="46"/>
      <c r="O13" s="46"/>
      <c r="P13" s="46"/>
      <c r="Q13" s="46"/>
      <c r="R13" s="46"/>
      <c r="S13" s="46">
        <v>540</v>
      </c>
      <c r="T13" s="46">
        <v>650</v>
      </c>
      <c r="U13" s="48">
        <v>25</v>
      </c>
    </row>
    <row r="14" spans="1:21" ht="15.75" x14ac:dyDescent="0.25">
      <c r="A14" s="45" t="str">
        <f t="shared" si="0"/>
        <v>Пс8.7.1</v>
      </c>
      <c r="B14" s="46">
        <v>9</v>
      </c>
      <c r="C14" s="46" t="s">
        <v>258</v>
      </c>
      <c r="D14" s="46" t="str">
        <f>'[1]Таблица из архикада'!C296</f>
        <v>П-шка в продол.сеч.</v>
      </c>
      <c r="E14" s="46">
        <f>'[1]Таблица из архикада'!E296</f>
        <v>10</v>
      </c>
      <c r="F14" s="22">
        <v>0.61599999999999999</v>
      </c>
      <c r="G14" s="46" t="s">
        <v>0</v>
      </c>
      <c r="H14" s="46">
        <f>'[1]Таблица из архикада'!H296</f>
        <v>1200</v>
      </c>
      <c r="I14" s="46">
        <f>'[1]Таблица из архикада'!I296</f>
        <v>10</v>
      </c>
      <c r="J14" s="46" t="s">
        <v>2</v>
      </c>
      <c r="K14" s="46"/>
      <c r="L14" s="46"/>
      <c r="M14" s="46"/>
      <c r="N14" s="46"/>
      <c r="O14" s="46"/>
      <c r="P14" s="46"/>
      <c r="Q14" s="46"/>
      <c r="R14" s="46"/>
      <c r="S14" s="46">
        <v>540</v>
      </c>
      <c r="T14" s="46">
        <v>650</v>
      </c>
      <c r="U14" s="48">
        <v>25</v>
      </c>
    </row>
    <row r="15" spans="1:21" ht="31.5" x14ac:dyDescent="0.25">
      <c r="A15" s="45" t="str">
        <f t="shared" si="0"/>
        <v>Пс8.7.1</v>
      </c>
      <c r="B15" s="46">
        <v>13</v>
      </c>
      <c r="C15" s="46" t="s">
        <v>258</v>
      </c>
      <c r="D15" s="46" t="str">
        <f>'[1]Таблица из архикада'!C300</f>
        <v>С-образная попер. В подошве</v>
      </c>
      <c r="E15" s="46">
        <f>'[1]Таблица из архикада'!E300</f>
        <v>30</v>
      </c>
      <c r="F15" s="22">
        <v>0.61599999999999999</v>
      </c>
      <c r="G15" s="46" t="s">
        <v>0</v>
      </c>
      <c r="H15" s="46">
        <f>'[1]Таблица из архикада'!H300</f>
        <v>1420</v>
      </c>
      <c r="I15" s="46">
        <f>'[1]Таблица из архикада'!I300</f>
        <v>10</v>
      </c>
      <c r="J15" s="46" t="s">
        <v>2</v>
      </c>
      <c r="K15" s="46"/>
      <c r="L15" s="46"/>
      <c r="M15" s="46"/>
      <c r="N15" s="46"/>
      <c r="O15" s="46"/>
      <c r="P15" s="46"/>
      <c r="Q15" s="46"/>
      <c r="R15" s="46"/>
      <c r="S15" s="46">
        <v>540</v>
      </c>
      <c r="T15" s="46">
        <v>650</v>
      </c>
      <c r="U15" s="48">
        <v>25</v>
      </c>
    </row>
    <row r="16" spans="1:21" ht="15.75" x14ac:dyDescent="0.25">
      <c r="A16" s="45" t="str">
        <f>A15</f>
        <v>Пс8.7.1</v>
      </c>
      <c r="B16" s="46">
        <v>15</v>
      </c>
      <c r="C16" s="46" t="s">
        <v>190</v>
      </c>
      <c r="D16" s="46" t="s">
        <v>2855</v>
      </c>
      <c r="E16" s="46">
        <f>ROUNDUP('[1]Таблица из архикада'!O287/400,0)</f>
        <v>15</v>
      </c>
      <c r="F16" s="22">
        <v>0.222</v>
      </c>
      <c r="G16" s="46"/>
      <c r="H16" s="46">
        <v>1320</v>
      </c>
      <c r="I16" s="46">
        <v>6</v>
      </c>
      <c r="J16" s="46" t="s">
        <v>1</v>
      </c>
      <c r="K16" s="46"/>
      <c r="L16" s="46"/>
      <c r="M16" s="46"/>
      <c r="N16" s="46"/>
      <c r="O16" s="46"/>
      <c r="P16" s="46"/>
      <c r="Q16" s="46"/>
      <c r="R16" s="46"/>
      <c r="S16" s="46">
        <v>200</v>
      </c>
      <c r="T16" s="46">
        <v>250</v>
      </c>
      <c r="U16" s="48">
        <v>7.5</v>
      </c>
    </row>
    <row r="17" spans="1:21" ht="31.5" x14ac:dyDescent="0.25">
      <c r="A17" s="45" t="str">
        <f>A16</f>
        <v>Пс8.7.1</v>
      </c>
      <c r="B17" s="46"/>
      <c r="C17" s="28" t="s">
        <v>195</v>
      </c>
      <c r="D17" s="28" t="s">
        <v>2819</v>
      </c>
      <c r="E17" s="28">
        <f>'[1]Таблица из архикада'!F288</f>
        <v>6.6</v>
      </c>
      <c r="F17" s="22" t="s">
        <v>4</v>
      </c>
      <c r="G17" s="46" t="s">
        <v>3</v>
      </c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8"/>
    </row>
    <row r="18" spans="1:21" ht="15.75" x14ac:dyDescent="0.25">
      <c r="A18" s="45" t="str">
        <f>A17</f>
        <v>Пс8.7.1</v>
      </c>
      <c r="B18" s="46"/>
      <c r="C18" s="28" t="s">
        <v>195</v>
      </c>
      <c r="D18" s="28" t="s">
        <v>2820</v>
      </c>
      <c r="E18" s="28">
        <f>'[1]Таблица из архикада'!G288</f>
        <v>0.79999999999999993</v>
      </c>
      <c r="F18" s="22" t="s">
        <v>4</v>
      </c>
      <c r="G18" s="46" t="s">
        <v>3</v>
      </c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8"/>
    </row>
    <row r="19" spans="1:21" ht="31.5" x14ac:dyDescent="0.25">
      <c r="A19" s="21" t="s">
        <v>183</v>
      </c>
      <c r="B19" s="22" t="s">
        <v>183</v>
      </c>
      <c r="C19" s="22" t="s">
        <v>2821</v>
      </c>
      <c r="D19" s="22" t="s">
        <v>2822</v>
      </c>
      <c r="E19" s="22">
        <f>'[1]Исх.Таблица из архикада'!AI18</f>
        <v>0</v>
      </c>
      <c r="F19" s="22" t="s">
        <v>4</v>
      </c>
      <c r="G19" s="22" t="s">
        <v>3</v>
      </c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3"/>
    </row>
    <row r="20" spans="1:21" ht="15.75" x14ac:dyDescent="0.25">
      <c r="A20" s="21" t="s">
        <v>183</v>
      </c>
      <c r="B20" s="22" t="s">
        <v>183</v>
      </c>
      <c r="C20" s="22" t="s">
        <v>2823</v>
      </c>
      <c r="D20" s="22" t="s">
        <v>2824</v>
      </c>
      <c r="E20" s="22">
        <f>'[1]Исх.Таблица из архикада'!AG18</f>
        <v>0</v>
      </c>
      <c r="F20" s="22" t="s">
        <v>4</v>
      </c>
      <c r="G20" s="22" t="s">
        <v>3</v>
      </c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3"/>
    </row>
    <row r="21" spans="1:21" ht="15.75" x14ac:dyDescent="0.25">
      <c r="A21" s="45"/>
      <c r="B21" s="46"/>
      <c r="C21" s="46" t="s">
        <v>2825</v>
      </c>
      <c r="D21" s="46" t="s">
        <v>2826</v>
      </c>
      <c r="E21" s="46">
        <f>9.27+5.49+7.64*0.4</f>
        <v>17.815999999999999</v>
      </c>
      <c r="F21" s="46"/>
      <c r="G21" s="46" t="s">
        <v>2689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8"/>
    </row>
    <row r="22" spans="1:21" ht="15.75" x14ac:dyDescent="0.25">
      <c r="A22" s="45"/>
      <c r="B22" s="46"/>
      <c r="C22" s="46" t="s">
        <v>2827</v>
      </c>
      <c r="D22" s="46" t="s">
        <v>2828</v>
      </c>
      <c r="E22" s="46">
        <f>'[1]Исх.Таблица из архикада'!AO18</f>
        <v>24.6</v>
      </c>
      <c r="F22" s="46"/>
      <c r="G22" s="46" t="s">
        <v>2689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8"/>
    </row>
    <row r="23" spans="1:21" ht="15.75" x14ac:dyDescent="0.25">
      <c r="A23" s="45"/>
      <c r="B23" s="46"/>
      <c r="C23" s="46" t="s">
        <v>2829</v>
      </c>
      <c r="D23" s="46" t="s">
        <v>2830</v>
      </c>
      <c r="E23" s="46">
        <f>'[1]Исх.Таблица из архикада'!AK18</f>
        <v>2.1999999999999999E-2</v>
      </c>
      <c r="F23" s="46"/>
      <c r="G23" s="46" t="s">
        <v>3</v>
      </c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8"/>
    </row>
    <row r="24" spans="1:21" ht="15.75" x14ac:dyDescent="0.25">
      <c r="A24" s="45"/>
      <c r="B24" s="46"/>
      <c r="C24" s="46"/>
      <c r="D24" s="46" t="s">
        <v>2831</v>
      </c>
      <c r="E24" s="46">
        <f>'[1]Исх.Таблица из архикада'!AJ18</f>
        <v>4</v>
      </c>
      <c r="F24" s="46"/>
      <c r="G24" s="46" t="s">
        <v>27</v>
      </c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8"/>
    </row>
    <row r="25" spans="1:21" ht="15.75" x14ac:dyDescent="0.25">
      <c r="A25" s="45"/>
      <c r="B25" s="46"/>
      <c r="C25" s="46" t="s">
        <v>258</v>
      </c>
      <c r="D25" s="46" t="s">
        <v>2836</v>
      </c>
      <c r="E25" s="46">
        <f>'[1]Исх.Таблица из архикада'!AL18</f>
        <v>7</v>
      </c>
      <c r="F25" s="46">
        <f>2.47*0.3</f>
        <v>0.74099999999999999</v>
      </c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8"/>
    </row>
    <row r="26" spans="1:21" ht="15.75" x14ac:dyDescent="0.25">
      <c r="A26" s="45"/>
      <c r="B26" s="46"/>
      <c r="C26" s="46" t="s">
        <v>2834</v>
      </c>
      <c r="D26" s="46" t="s">
        <v>2789</v>
      </c>
      <c r="E26" s="46">
        <f>'[1]Исх.Таблица из архикада'!AM18</f>
        <v>7</v>
      </c>
      <c r="F26" s="46">
        <f>1.53*0.32</f>
        <v>0.48960000000000004</v>
      </c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8"/>
    </row>
    <row r="27" spans="1:21" ht="15.75" x14ac:dyDescent="0.25">
      <c r="A27" s="21" t="s">
        <v>183</v>
      </c>
      <c r="B27" s="22" t="s">
        <v>183</v>
      </c>
      <c r="C27" s="22" t="s">
        <v>2832</v>
      </c>
      <c r="D27" s="22" t="s">
        <v>2847</v>
      </c>
      <c r="E27" s="22">
        <f>ROUNDUP(('[1]Исх.Таблица из архикада'!B18)/2000,0)</f>
        <v>3</v>
      </c>
      <c r="F27" s="22">
        <f>6.1*0.2</f>
        <v>1.22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3"/>
    </row>
    <row r="28" spans="1:21" ht="15.75" x14ac:dyDescent="0.25">
      <c r="A28" s="45" t="str">
        <f>A16</f>
        <v>Пс8.7.1</v>
      </c>
      <c r="B28" s="46" t="s">
        <v>2752</v>
      </c>
      <c r="C28" s="46" t="s">
        <v>2701</v>
      </c>
      <c r="D28" s="46" t="s">
        <v>2753</v>
      </c>
      <c r="E28" s="46">
        <v>3</v>
      </c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8"/>
    </row>
    <row r="29" spans="1:21" ht="15.75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 ht="15.75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 ht="15.75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 ht="15.75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1:21" ht="15.75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</row>
    <row r="34" spans="1:21" ht="15.75" x14ac:dyDescent="0.25">
      <c r="A34" s="21" t="str">
        <f>A37</f>
        <v>Пс8.7.2</v>
      </c>
      <c r="B34" s="22" t="s">
        <v>183</v>
      </c>
      <c r="C34" s="22" t="s">
        <v>184</v>
      </c>
      <c r="D34" s="22" t="s">
        <v>2818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3"/>
    </row>
    <row r="35" spans="1:21" ht="15.75" x14ac:dyDescent="0.25">
      <c r="A35" s="21" t="str">
        <f>A37</f>
        <v>Пс8.7.2</v>
      </c>
      <c r="B35" s="22" t="s">
        <v>183</v>
      </c>
      <c r="C35" s="22" t="s">
        <v>2835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3"/>
    </row>
    <row r="36" spans="1:21" ht="15.75" x14ac:dyDescent="0.25">
      <c r="A36" s="21" t="s">
        <v>183</v>
      </c>
      <c r="B36" s="22" t="s">
        <v>183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3"/>
    </row>
    <row r="37" spans="1:21" ht="31.5" x14ac:dyDescent="0.25">
      <c r="A37" s="25" t="str">
        <f>'[1]Исх.Таблица из архикада'!A19</f>
        <v>Пс8.7.2</v>
      </c>
      <c r="B37" s="26" t="str">
        <f>A37</f>
        <v>Пс8.7.2</v>
      </c>
      <c r="C37" s="26"/>
      <c r="D37" s="26" t="str">
        <f>CONCATENATE("Монолитная подпорная стена ",A37)</f>
        <v>Монолитная подпорная стена Пс8.7.2</v>
      </c>
      <c r="E37" s="26">
        <v>1</v>
      </c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5.75" x14ac:dyDescent="0.25">
      <c r="A38" s="45" t="str">
        <f t="shared" ref="A38:A51" si="1">A37</f>
        <v>Пс8.7.2</v>
      </c>
      <c r="B38" s="46">
        <v>1</v>
      </c>
      <c r="C38" s="46" t="s">
        <v>258</v>
      </c>
      <c r="D38" s="46" t="str">
        <f>'[1]Таблица из архикада'!C307</f>
        <v>Гориз. В стене</v>
      </c>
      <c r="E38" s="46">
        <f>'[1]Таблица из архикада'!E307</f>
        <v>1</v>
      </c>
      <c r="F38" s="22">
        <v>0.61599999999999999</v>
      </c>
      <c r="G38" s="46" t="s">
        <v>27</v>
      </c>
      <c r="H38" s="46">
        <f>'[1]Таблица из архикада'!H307*2</f>
        <v>271940</v>
      </c>
      <c r="I38" s="46">
        <f>'[1]Таблица из архикада'!I307</f>
        <v>10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540</v>
      </c>
      <c r="T38" s="46">
        <v>650</v>
      </c>
      <c r="U38" s="48">
        <v>25</v>
      </c>
    </row>
    <row r="39" spans="1:21" ht="15.75" x14ac:dyDescent="0.25">
      <c r="A39" s="45" t="str">
        <f t="shared" si="1"/>
        <v>Пс8.7.2</v>
      </c>
      <c r="B39" s="46">
        <v>2</v>
      </c>
      <c r="C39" s="46" t="s">
        <v>258</v>
      </c>
      <c r="D39" s="46" t="str">
        <f>'[1]Таблица из архикада'!C308</f>
        <v>П-шка в стене верт</v>
      </c>
      <c r="E39" s="46">
        <f>'[1]Таблица из архикада'!E308</f>
        <v>43</v>
      </c>
      <c r="F39" s="22">
        <v>0.61599999999999999</v>
      </c>
      <c r="G39" s="46" t="s">
        <v>0</v>
      </c>
      <c r="H39" s="46">
        <f>'[1]Таблица из архикада'!H308+500</f>
        <v>1800</v>
      </c>
      <c r="I39" s="46">
        <f>'[1]Таблица из архикада'!I308</f>
        <v>10</v>
      </c>
      <c r="J39" s="46" t="s">
        <v>2</v>
      </c>
      <c r="K39" s="46"/>
      <c r="L39" s="46"/>
      <c r="M39" s="46"/>
      <c r="N39" s="46"/>
      <c r="O39" s="46"/>
      <c r="P39" s="46"/>
      <c r="Q39" s="46"/>
      <c r="R39" s="46"/>
      <c r="S39" s="46">
        <v>540</v>
      </c>
      <c r="T39" s="46">
        <v>650</v>
      </c>
      <c r="U39" s="48">
        <v>25</v>
      </c>
    </row>
    <row r="40" spans="1:21" ht="15.75" x14ac:dyDescent="0.25">
      <c r="A40" s="45" t="str">
        <f t="shared" si="1"/>
        <v>Пс8.7.2</v>
      </c>
      <c r="B40" s="46">
        <v>3</v>
      </c>
      <c r="C40" s="46" t="s">
        <v>258</v>
      </c>
      <c r="D40" s="46" t="str">
        <f>'[1]Таблица из архикада'!C309</f>
        <v>П-шка в стене гориз.</v>
      </c>
      <c r="E40" s="46">
        <f>'[1]Таблица из архикада'!E309</f>
        <v>28</v>
      </c>
      <c r="F40" s="22">
        <v>0.61599999999999999</v>
      </c>
      <c r="G40" s="46" t="s">
        <v>0</v>
      </c>
      <c r="H40" s="46">
        <f>'[1]Таблица из архикада'!H309</f>
        <v>1320</v>
      </c>
      <c r="I40" s="46">
        <f>'[1]Таблица из архикада'!I309</f>
        <v>10</v>
      </c>
      <c r="J40" s="46" t="s">
        <v>2</v>
      </c>
      <c r="K40" s="46"/>
      <c r="L40" s="46"/>
      <c r="M40" s="46"/>
      <c r="N40" s="46"/>
      <c r="O40" s="46"/>
      <c r="P40" s="46"/>
      <c r="Q40" s="46"/>
      <c r="R40" s="46"/>
      <c r="S40" s="46">
        <v>540</v>
      </c>
      <c r="T40" s="46">
        <v>650</v>
      </c>
      <c r="U40" s="48">
        <v>25</v>
      </c>
    </row>
    <row r="41" spans="1:21" ht="15.75" x14ac:dyDescent="0.25">
      <c r="A41" s="45" t="str">
        <f t="shared" si="1"/>
        <v>Пс8.7.2</v>
      </c>
      <c r="B41" s="46">
        <v>4</v>
      </c>
      <c r="C41" s="46" t="s">
        <v>258</v>
      </c>
      <c r="D41" s="46" t="str">
        <f>'[1]Таблица из архикада'!C310</f>
        <v>Вертик. В стене</v>
      </c>
      <c r="E41" s="46">
        <f>'[1]Таблица из архикада'!E310</f>
        <v>86</v>
      </c>
      <c r="F41" s="22">
        <v>0.61599999999999999</v>
      </c>
      <c r="G41" s="46" t="s">
        <v>0</v>
      </c>
      <c r="H41" s="46">
        <f>'[1]Таблица из архикада'!H310</f>
        <v>3240</v>
      </c>
      <c r="I41" s="46">
        <f>'[1]Таблица из архикада'!I310</f>
        <v>10</v>
      </c>
      <c r="J41" s="46" t="s">
        <v>2</v>
      </c>
      <c r="K41" s="46"/>
      <c r="L41" s="46"/>
      <c r="M41" s="46"/>
      <c r="N41" s="46"/>
      <c r="O41" s="46"/>
      <c r="P41" s="46"/>
      <c r="Q41" s="46"/>
      <c r="R41" s="46"/>
      <c r="S41" s="46">
        <v>540</v>
      </c>
      <c r="T41" s="46">
        <v>650</v>
      </c>
      <c r="U41" s="48">
        <v>25</v>
      </c>
    </row>
    <row r="42" spans="1:21" ht="15.75" x14ac:dyDescent="0.25">
      <c r="A42" s="45" t="str">
        <f t="shared" si="1"/>
        <v>Пс8.7.2</v>
      </c>
      <c r="B42" s="46">
        <v>5</v>
      </c>
      <c r="C42" s="46" t="s">
        <v>190</v>
      </c>
      <c r="D42" s="46" t="str">
        <f>'[1]Таблица из архикада'!C311</f>
        <v>Шпилька</v>
      </c>
      <c r="E42" s="46">
        <f>'[1]Таблица из архикада'!E311</f>
        <v>314</v>
      </c>
      <c r="F42" s="22">
        <v>0.222</v>
      </c>
      <c r="G42" s="46" t="s">
        <v>0</v>
      </c>
      <c r="H42" s="46">
        <f>'[1]Таблица из архикада'!H311</f>
        <v>470</v>
      </c>
      <c r="I42" s="46">
        <f>'[1]Таблица из архикада'!I311</f>
        <v>6</v>
      </c>
      <c r="J42" s="46" t="s">
        <v>1</v>
      </c>
      <c r="K42" s="46"/>
      <c r="L42" s="46"/>
      <c r="M42" s="46"/>
      <c r="N42" s="46"/>
      <c r="O42" s="46"/>
      <c r="P42" s="46"/>
      <c r="Q42" s="46"/>
      <c r="R42" s="46"/>
      <c r="S42" s="46">
        <v>200</v>
      </c>
      <c r="T42" s="46">
        <v>250</v>
      </c>
      <c r="U42" s="48">
        <v>7.5</v>
      </c>
    </row>
    <row r="43" spans="1:21" ht="15.75" x14ac:dyDescent="0.25">
      <c r="A43" s="45" t="str">
        <f t="shared" si="1"/>
        <v>Пс8.7.2</v>
      </c>
      <c r="B43" s="46">
        <v>6</v>
      </c>
      <c r="C43" s="46" t="s">
        <v>258</v>
      </c>
      <c r="D43" s="46" t="str">
        <f>'[1]Таблица из архикада'!C312</f>
        <v>Поперечная в подошве</v>
      </c>
      <c r="E43" s="46">
        <f>'[1]Таблица из архикада'!E312</f>
        <v>43</v>
      </c>
      <c r="F43" s="22">
        <v>0.61599999999999999</v>
      </c>
      <c r="G43" s="46"/>
      <c r="H43" s="46">
        <f>'[1]Таблица из архикада'!H312</f>
        <v>1850</v>
      </c>
      <c r="I43" s="46">
        <f>'[1]Таблица из архикада'!I312</f>
        <v>10</v>
      </c>
      <c r="J43" s="46" t="s">
        <v>2</v>
      </c>
      <c r="K43" s="46"/>
      <c r="L43" s="46"/>
      <c r="M43" s="46"/>
      <c r="N43" s="46"/>
      <c r="O43" s="46"/>
      <c r="P43" s="46"/>
      <c r="Q43" s="46"/>
      <c r="R43" s="46"/>
      <c r="S43" s="46">
        <v>540</v>
      </c>
      <c r="T43" s="46">
        <v>650</v>
      </c>
      <c r="U43" s="48">
        <v>25</v>
      </c>
    </row>
    <row r="44" spans="1:21" ht="15.75" x14ac:dyDescent="0.25">
      <c r="A44" s="45" t="str">
        <f t="shared" si="1"/>
        <v>Пс8.7.2</v>
      </c>
      <c r="B44" s="46">
        <v>7</v>
      </c>
      <c r="C44" s="46" t="s">
        <v>258</v>
      </c>
      <c r="D44" s="46" t="str">
        <f>'[1]Таблица из архикада'!C313</f>
        <v>Продольная в подошве</v>
      </c>
      <c r="E44" s="46">
        <f>'[1]Таблица из архикада'!E313</f>
        <v>1</v>
      </c>
      <c r="F44" s="22">
        <v>0.61599999999999999</v>
      </c>
      <c r="G44" s="46" t="s">
        <v>27</v>
      </c>
      <c r="H44" s="46">
        <f>'[1]Таблица из архикада'!H313*2</f>
        <v>183760</v>
      </c>
      <c r="I44" s="46">
        <f>'[1]Таблица из архикада'!I313</f>
        <v>10</v>
      </c>
      <c r="J44" s="46" t="s">
        <v>2</v>
      </c>
      <c r="K44" s="46"/>
      <c r="L44" s="46"/>
      <c r="M44" s="46"/>
      <c r="N44" s="46"/>
      <c r="O44" s="46"/>
      <c r="P44" s="46"/>
      <c r="Q44" s="46"/>
      <c r="R44" s="46"/>
      <c r="S44" s="46">
        <v>540</v>
      </c>
      <c r="T44" s="46">
        <v>650</v>
      </c>
      <c r="U44" s="48">
        <v>25</v>
      </c>
    </row>
    <row r="45" spans="1:21" ht="15.75" x14ac:dyDescent="0.25">
      <c r="A45" s="45" t="str">
        <f t="shared" si="1"/>
        <v>Пс8.7.2</v>
      </c>
      <c r="B45" s="46">
        <v>8</v>
      </c>
      <c r="C45" s="46" t="s">
        <v>258</v>
      </c>
      <c r="D45" s="46" t="str">
        <f>'[1]Таблица из архикада'!C314</f>
        <v>П-шка в поперечном сеч.</v>
      </c>
      <c r="E45" s="46">
        <f>'[1]Таблица из архикада'!E314</f>
        <v>0</v>
      </c>
      <c r="F45" s="22">
        <v>0.61599999999999999</v>
      </c>
      <c r="G45" s="46" t="s">
        <v>27</v>
      </c>
      <c r="H45" s="46">
        <f>'[1]Таблица из архикада'!H314*2</f>
        <v>2440</v>
      </c>
      <c r="I45" s="46">
        <f>'[1]Таблица из архикада'!I314</f>
        <v>10</v>
      </c>
      <c r="J45" s="46" t="s">
        <v>2</v>
      </c>
      <c r="K45" s="46"/>
      <c r="L45" s="46"/>
      <c r="M45" s="46"/>
      <c r="N45" s="46"/>
      <c r="O45" s="46"/>
      <c r="P45" s="46"/>
      <c r="Q45" s="46"/>
      <c r="R45" s="46"/>
      <c r="S45" s="46">
        <v>540</v>
      </c>
      <c r="T45" s="46">
        <v>650</v>
      </c>
      <c r="U45" s="48">
        <v>25</v>
      </c>
    </row>
    <row r="46" spans="1:21" ht="15.75" x14ac:dyDescent="0.25">
      <c r="A46" s="45" t="str">
        <f t="shared" si="1"/>
        <v>Пс8.7.2</v>
      </c>
      <c r="B46" s="46">
        <v>9</v>
      </c>
      <c r="C46" s="46" t="s">
        <v>258</v>
      </c>
      <c r="D46" s="46" t="str">
        <f>'[1]Таблица из архикада'!C315</f>
        <v>П-шка в продол.сеч.</v>
      </c>
      <c r="E46" s="46">
        <f>'[1]Таблица из архикада'!E315</f>
        <v>20</v>
      </c>
      <c r="F46" s="22">
        <v>0.61599999999999999</v>
      </c>
      <c r="G46" s="46" t="s">
        <v>0</v>
      </c>
      <c r="H46" s="46">
        <f>'[1]Таблица из архикада'!H315</f>
        <v>1200</v>
      </c>
      <c r="I46" s="46">
        <f>'[1]Таблица из архикада'!I315</f>
        <v>10</v>
      </c>
      <c r="J46" s="46" t="s">
        <v>2</v>
      </c>
      <c r="K46" s="46"/>
      <c r="L46" s="46"/>
      <c r="M46" s="46"/>
      <c r="N46" s="46"/>
      <c r="O46" s="46"/>
      <c r="P46" s="46"/>
      <c r="Q46" s="46"/>
      <c r="R46" s="46"/>
      <c r="S46" s="46">
        <v>540</v>
      </c>
      <c r="T46" s="46">
        <v>650</v>
      </c>
      <c r="U46" s="48">
        <v>25</v>
      </c>
    </row>
    <row r="47" spans="1:21" ht="15.75" x14ac:dyDescent="0.25">
      <c r="A47" s="45" t="str">
        <f t="shared" si="1"/>
        <v>Пс8.7.2</v>
      </c>
      <c r="B47" s="46">
        <v>12</v>
      </c>
      <c r="C47" s="46" t="s">
        <v>258</v>
      </c>
      <c r="D47" s="46" t="str">
        <f>'[1]Таблица из архикада'!C318</f>
        <v>Г-шка угловая</v>
      </c>
      <c r="E47" s="46">
        <f>'[1]Таблица из архикада'!E318</f>
        <v>30</v>
      </c>
      <c r="F47" s="22">
        <v>0.61599999999999999</v>
      </c>
      <c r="G47" s="46" t="s">
        <v>0</v>
      </c>
      <c r="H47" s="46">
        <f>'[1]Таблица из архикада'!H318</f>
        <v>1000</v>
      </c>
      <c r="I47" s="46">
        <f>'[1]Таблица из архикада'!I318</f>
        <v>10</v>
      </c>
      <c r="J47" s="46" t="s">
        <v>2</v>
      </c>
      <c r="K47" s="46"/>
      <c r="L47" s="46"/>
      <c r="M47" s="46"/>
      <c r="N47" s="46"/>
      <c r="O47" s="46"/>
      <c r="P47" s="46"/>
      <c r="Q47" s="46"/>
      <c r="R47" s="46"/>
      <c r="S47" s="46">
        <v>540</v>
      </c>
      <c r="T47" s="46">
        <v>650</v>
      </c>
      <c r="U47" s="48">
        <v>25</v>
      </c>
    </row>
    <row r="48" spans="1:21" ht="31.5" x14ac:dyDescent="0.25">
      <c r="A48" s="45" t="str">
        <f t="shared" si="1"/>
        <v>Пс8.7.2</v>
      </c>
      <c r="B48" s="46">
        <v>13</v>
      </c>
      <c r="C48" s="46" t="s">
        <v>258</v>
      </c>
      <c r="D48" s="46" t="str">
        <f>'[1]Таблица из архикада'!C319</f>
        <v>С-образная попер. В подошве</v>
      </c>
      <c r="E48" s="46">
        <f>'[1]Таблица из архикада'!E319</f>
        <v>43</v>
      </c>
      <c r="F48" s="22">
        <v>0.61599999999999999</v>
      </c>
      <c r="G48" s="46" t="s">
        <v>0</v>
      </c>
      <c r="H48" s="46">
        <f>'[1]Таблица из архикада'!H319</f>
        <v>2320</v>
      </c>
      <c r="I48" s="46">
        <f>'[1]Таблица из архикада'!I319</f>
        <v>10</v>
      </c>
      <c r="J48" s="46" t="s">
        <v>2</v>
      </c>
      <c r="K48" s="46"/>
      <c r="L48" s="46"/>
      <c r="M48" s="46"/>
      <c r="N48" s="46"/>
      <c r="O48" s="46"/>
      <c r="P48" s="46"/>
      <c r="Q48" s="46"/>
      <c r="R48" s="46"/>
      <c r="S48" s="46">
        <v>540</v>
      </c>
      <c r="T48" s="46">
        <v>650</v>
      </c>
      <c r="U48" s="48">
        <v>25</v>
      </c>
    </row>
    <row r="49" spans="1:21" ht="15.75" x14ac:dyDescent="0.25">
      <c r="A49" s="45" t="str">
        <f>A48</f>
        <v>Пс8.7.2</v>
      </c>
      <c r="B49" s="46">
        <v>16</v>
      </c>
      <c r="C49" s="46" t="s">
        <v>190</v>
      </c>
      <c r="D49" s="46" t="s">
        <v>2855</v>
      </c>
      <c r="E49" s="46">
        <f>ROUNDUP('[1]Таблица из архикада'!O306/400,0)</f>
        <v>22</v>
      </c>
      <c r="F49" s="22">
        <v>0.222</v>
      </c>
      <c r="G49" s="46"/>
      <c r="H49" s="46">
        <v>1180</v>
      </c>
      <c r="I49" s="46">
        <v>6</v>
      </c>
      <c r="J49" s="46" t="s">
        <v>1</v>
      </c>
      <c r="K49" s="46"/>
      <c r="L49" s="46"/>
      <c r="M49" s="46"/>
      <c r="N49" s="46"/>
      <c r="O49" s="46"/>
      <c r="P49" s="46"/>
      <c r="Q49" s="46"/>
      <c r="R49" s="46"/>
      <c r="S49" s="46">
        <v>200</v>
      </c>
      <c r="T49" s="46">
        <v>250</v>
      </c>
      <c r="U49" s="48">
        <v>7.5</v>
      </c>
    </row>
    <row r="50" spans="1:21" ht="15.75" x14ac:dyDescent="0.25">
      <c r="A50" s="45" t="str">
        <f>A49</f>
        <v>Пс8.7.2</v>
      </c>
      <c r="B50" s="46"/>
      <c r="C50" s="28" t="s">
        <v>195</v>
      </c>
      <c r="D50" s="28" t="s">
        <v>2820</v>
      </c>
      <c r="E50" s="28">
        <f>'[1]Таблица из архикада'!F307</f>
        <v>14.5</v>
      </c>
      <c r="F50" s="22" t="s">
        <v>4</v>
      </c>
      <c r="G50" s="46" t="s">
        <v>3</v>
      </c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8"/>
    </row>
    <row r="51" spans="1:21" ht="31.5" x14ac:dyDescent="0.25">
      <c r="A51" s="45" t="str">
        <f t="shared" si="1"/>
        <v>Пс8.7.2</v>
      </c>
      <c r="B51" s="46"/>
      <c r="C51" s="28" t="s">
        <v>195</v>
      </c>
      <c r="D51" s="28" t="s">
        <v>2819</v>
      </c>
      <c r="E51" s="28">
        <f>'[1]Таблица из архикада'!G307</f>
        <v>1.8</v>
      </c>
      <c r="F51" s="22" t="s">
        <v>4</v>
      </c>
      <c r="G51" s="46" t="s">
        <v>3</v>
      </c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8"/>
    </row>
    <row r="52" spans="1:21" ht="15.75" x14ac:dyDescent="0.25">
      <c r="A52" s="45"/>
      <c r="B52" s="46"/>
      <c r="C52" s="46" t="s">
        <v>2821</v>
      </c>
      <c r="D52" s="46" t="s">
        <v>2849</v>
      </c>
      <c r="E52" s="46">
        <f>'[1]Исх.Таблица из архикада'!AI19</f>
        <v>0</v>
      </c>
      <c r="F52" s="46" t="s">
        <v>4</v>
      </c>
      <c r="G52" s="46" t="s">
        <v>3</v>
      </c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8"/>
    </row>
    <row r="53" spans="1:21" ht="15.75" x14ac:dyDescent="0.25">
      <c r="A53" s="45"/>
      <c r="B53" s="46"/>
      <c r="C53" s="46" t="s">
        <v>2823</v>
      </c>
      <c r="D53" s="46" t="s">
        <v>2850</v>
      </c>
      <c r="E53" s="46">
        <f>'[1]Исх.Таблица из архикада'!AG19</f>
        <v>0</v>
      </c>
      <c r="F53" s="46" t="s">
        <v>4</v>
      </c>
      <c r="G53" s="46" t="s">
        <v>3</v>
      </c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8"/>
    </row>
    <row r="54" spans="1:21" ht="15.75" x14ac:dyDescent="0.25">
      <c r="A54" s="45"/>
      <c r="B54" s="46"/>
      <c r="C54" s="46" t="s">
        <v>2825</v>
      </c>
      <c r="D54" s="46" t="s">
        <v>2826</v>
      </c>
      <c r="E54" s="46">
        <f>21.62+6.89+10.61*0.4</f>
        <v>32.754000000000005</v>
      </c>
      <c r="F54" s="46"/>
      <c r="G54" s="46" t="s">
        <v>2689</v>
      </c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8"/>
    </row>
    <row r="55" spans="1:21" ht="15.75" x14ac:dyDescent="0.25">
      <c r="A55" s="45"/>
      <c r="B55" s="46"/>
      <c r="C55" s="46" t="s">
        <v>2827</v>
      </c>
      <c r="D55" s="46" t="s">
        <v>2828</v>
      </c>
      <c r="E55" s="46">
        <f>'[1]Исх.Таблица из архикада'!AO19</f>
        <v>46.823999999999998</v>
      </c>
      <c r="F55" s="46"/>
      <c r="G55" s="46" t="s">
        <v>2689</v>
      </c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8"/>
    </row>
    <row r="56" spans="1:21" ht="15.75" x14ac:dyDescent="0.25">
      <c r="A56" s="45"/>
      <c r="B56" s="46"/>
      <c r="C56" s="46" t="s">
        <v>2829</v>
      </c>
      <c r="D56" s="46" t="s">
        <v>2830</v>
      </c>
      <c r="E56" s="46">
        <f>'[1]Исх.Таблица из архикада'!AK19</f>
        <v>3.4199999999999994E-2</v>
      </c>
      <c r="F56" s="46"/>
      <c r="G56" s="46" t="s">
        <v>3</v>
      </c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8"/>
    </row>
    <row r="57" spans="1:21" ht="15.75" x14ac:dyDescent="0.25">
      <c r="A57" s="45"/>
      <c r="B57" s="46"/>
      <c r="C57" s="46"/>
      <c r="D57" s="46" t="s">
        <v>2831</v>
      </c>
      <c r="E57" s="46">
        <f>'[1]Исх.Таблица из архикада'!AJ19</f>
        <v>5.7</v>
      </c>
      <c r="F57" s="46"/>
      <c r="G57" s="46" t="s">
        <v>27</v>
      </c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8"/>
    </row>
    <row r="58" spans="1:21" ht="15.75" x14ac:dyDescent="0.25">
      <c r="A58" s="45"/>
      <c r="B58" s="46"/>
      <c r="C58" s="46" t="s">
        <v>258</v>
      </c>
      <c r="D58" s="46" t="s">
        <v>2836</v>
      </c>
      <c r="E58" s="46">
        <f>'[1]Исх.Таблица из архикада'!AL19</f>
        <v>10</v>
      </c>
      <c r="F58" s="46">
        <f>2.47*0.3</f>
        <v>0.74099999999999999</v>
      </c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8"/>
    </row>
    <row r="59" spans="1:21" ht="15.75" x14ac:dyDescent="0.25">
      <c r="A59" s="45"/>
      <c r="B59" s="46"/>
      <c r="C59" s="46" t="s">
        <v>2834</v>
      </c>
      <c r="D59" s="46" t="s">
        <v>2789</v>
      </c>
      <c r="E59" s="46">
        <f>'[1]Исх.Таблица из архикада'!AM19</f>
        <v>10</v>
      </c>
      <c r="F59" s="46">
        <f>1.53*0.32</f>
        <v>0.48960000000000004</v>
      </c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8"/>
    </row>
    <row r="60" spans="1:21" ht="15.75" x14ac:dyDescent="0.25">
      <c r="A60" s="45"/>
      <c r="B60" s="46" t="s">
        <v>2844</v>
      </c>
      <c r="C60" s="46" t="s">
        <v>2832</v>
      </c>
      <c r="D60" s="46" t="s">
        <v>2833</v>
      </c>
      <c r="E60" s="46">
        <f>ROUNDUP(('[1]Исх.Таблица из архикада'!B19)/2000,0)</f>
        <v>5</v>
      </c>
      <c r="F60" s="46">
        <f>6.1*0.2</f>
        <v>1.22</v>
      </c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8"/>
    </row>
    <row r="61" spans="1:21" ht="15.75" x14ac:dyDescent="0.25">
      <c r="A61" s="45" t="str">
        <f>A49</f>
        <v>Пс8.7.2</v>
      </c>
      <c r="B61" s="46" t="s">
        <v>2752</v>
      </c>
      <c r="C61" s="46" t="s">
        <v>2701</v>
      </c>
      <c r="D61" s="46" t="s">
        <v>2753</v>
      </c>
      <c r="E61" s="46">
        <v>4</v>
      </c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8"/>
    </row>
    <row r="62" spans="1:21" ht="15.7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</row>
    <row r="63" spans="1:21" ht="15.7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</row>
    <row r="64" spans="1:21" ht="15.7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</row>
    <row r="65" spans="1:21" ht="15.7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</row>
    <row r="66" spans="1:21" ht="15.7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</row>
    <row r="67" spans="1:21" ht="15.75" x14ac:dyDescent="0.25">
      <c r="A67" s="21" t="str">
        <f>A70</f>
        <v>Пс8.7.3</v>
      </c>
      <c r="B67" s="22" t="s">
        <v>183</v>
      </c>
      <c r="C67" s="22" t="s">
        <v>184</v>
      </c>
      <c r="D67" s="22" t="s">
        <v>2818</v>
      </c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3"/>
    </row>
    <row r="68" spans="1:21" ht="15.75" x14ac:dyDescent="0.25">
      <c r="A68" s="21" t="str">
        <f>A70</f>
        <v>Пс8.7.3</v>
      </c>
      <c r="B68" s="22" t="s">
        <v>183</v>
      </c>
      <c r="C68" s="22" t="s">
        <v>2835</v>
      </c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3"/>
    </row>
    <row r="69" spans="1:21" ht="15.75" x14ac:dyDescent="0.25">
      <c r="A69" s="21" t="s">
        <v>183</v>
      </c>
      <c r="B69" s="22" t="s">
        <v>183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3"/>
    </row>
    <row r="70" spans="1:21" ht="31.5" x14ac:dyDescent="0.25">
      <c r="A70" s="25" t="str">
        <f>'[1]Исх.Таблица из архикада'!A20</f>
        <v>Пс8.7.3</v>
      </c>
      <c r="B70" s="26" t="str">
        <f>A70</f>
        <v>Пс8.7.3</v>
      </c>
      <c r="C70" s="26"/>
      <c r="D70" s="26" t="str">
        <f>CONCATENATE("Монолитная подпорная стена ",A70)</f>
        <v>Монолитная подпорная стена Пс8.7.3</v>
      </c>
      <c r="E70" s="26">
        <v>1</v>
      </c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7"/>
    </row>
    <row r="71" spans="1:21" ht="15.75" x14ac:dyDescent="0.25">
      <c r="A71" s="45" t="str">
        <f t="shared" ref="A71:A83" si="2">A70</f>
        <v>Пс8.7.3</v>
      </c>
      <c r="B71" s="46">
        <v>1</v>
      </c>
      <c r="C71" s="46" t="s">
        <v>258</v>
      </c>
      <c r="D71" s="46" t="str">
        <f>'[1]Таблица из архикада'!C326</f>
        <v>Гориз. В стене</v>
      </c>
      <c r="E71" s="46">
        <f>'[1]Таблица из архикада'!E326</f>
        <v>1</v>
      </c>
      <c r="F71" s="22">
        <v>0.61599999999999999</v>
      </c>
      <c r="G71" s="46" t="s">
        <v>27</v>
      </c>
      <c r="H71" s="46">
        <f>'[1]Таблица из архикада'!H326*2</f>
        <v>298360</v>
      </c>
      <c r="I71" s="46">
        <f>'[1]Таблица из архикада'!I326</f>
        <v>10</v>
      </c>
      <c r="J71" s="46" t="s">
        <v>2</v>
      </c>
      <c r="K71" s="46"/>
      <c r="L71" s="46"/>
      <c r="M71" s="46"/>
      <c r="N71" s="46"/>
      <c r="O71" s="46"/>
      <c r="P71" s="46"/>
      <c r="Q71" s="46"/>
      <c r="R71" s="46"/>
      <c r="S71" s="46">
        <v>540</v>
      </c>
      <c r="T71" s="46">
        <v>650</v>
      </c>
      <c r="U71" s="48">
        <v>25</v>
      </c>
    </row>
    <row r="72" spans="1:21" ht="15.75" x14ac:dyDescent="0.25">
      <c r="A72" s="45" t="str">
        <f t="shared" si="2"/>
        <v>Пс8.7.3</v>
      </c>
      <c r="B72" s="46">
        <v>2</v>
      </c>
      <c r="C72" s="46" t="s">
        <v>258</v>
      </c>
      <c r="D72" s="46" t="str">
        <f>'[1]Таблица из архикада'!C327</f>
        <v>П-шка в стене верт</v>
      </c>
      <c r="E72" s="46">
        <f>'[1]Таблица из архикада'!E327</f>
        <v>47</v>
      </c>
      <c r="F72" s="22">
        <v>0.61599999999999999</v>
      </c>
      <c r="G72" s="46" t="s">
        <v>0</v>
      </c>
      <c r="H72" s="46">
        <f>'[1]Таблица из архикада'!H327+500</f>
        <v>1800</v>
      </c>
      <c r="I72" s="46">
        <f>'[1]Таблица из архикада'!I327</f>
        <v>10</v>
      </c>
      <c r="J72" s="46" t="s">
        <v>2</v>
      </c>
      <c r="K72" s="46"/>
      <c r="L72" s="46"/>
      <c r="M72" s="46"/>
      <c r="N72" s="46"/>
      <c r="O72" s="46"/>
      <c r="P72" s="46"/>
      <c r="Q72" s="46"/>
      <c r="R72" s="46"/>
      <c r="S72" s="46">
        <v>540</v>
      </c>
      <c r="T72" s="46">
        <v>650</v>
      </c>
      <c r="U72" s="48">
        <v>25</v>
      </c>
    </row>
    <row r="73" spans="1:21" ht="15.75" x14ac:dyDescent="0.25">
      <c r="A73" s="45" t="str">
        <f t="shared" si="2"/>
        <v>Пс8.7.3</v>
      </c>
      <c r="B73" s="46">
        <v>3</v>
      </c>
      <c r="C73" s="46" t="s">
        <v>258</v>
      </c>
      <c r="D73" s="46" t="str">
        <f>'[1]Таблица из архикада'!C328</f>
        <v>П-шка в стене гориз.</v>
      </c>
      <c r="E73" s="46">
        <f>'[1]Таблица из архикада'!E328</f>
        <v>28</v>
      </c>
      <c r="F73" s="22">
        <v>0.61599999999999999</v>
      </c>
      <c r="G73" s="46" t="s">
        <v>0</v>
      </c>
      <c r="H73" s="46">
        <f>'[1]Таблица из архикада'!H328</f>
        <v>1320</v>
      </c>
      <c r="I73" s="46">
        <f>'[1]Таблица из архикада'!I328</f>
        <v>10</v>
      </c>
      <c r="J73" s="46" t="s">
        <v>2</v>
      </c>
      <c r="K73" s="46"/>
      <c r="L73" s="46"/>
      <c r="M73" s="46"/>
      <c r="N73" s="46"/>
      <c r="O73" s="46"/>
      <c r="P73" s="46"/>
      <c r="Q73" s="46"/>
      <c r="R73" s="46"/>
      <c r="S73" s="46">
        <v>540</v>
      </c>
      <c r="T73" s="46">
        <v>650</v>
      </c>
      <c r="U73" s="48">
        <v>25</v>
      </c>
    </row>
    <row r="74" spans="1:21" ht="15.75" x14ac:dyDescent="0.25">
      <c r="A74" s="45" t="str">
        <f t="shared" si="2"/>
        <v>Пс8.7.3</v>
      </c>
      <c r="B74" s="46">
        <v>4</v>
      </c>
      <c r="C74" s="46" t="s">
        <v>258</v>
      </c>
      <c r="D74" s="46" t="str">
        <f>'[1]Таблица из архикада'!C329</f>
        <v>Вертик. В стене</v>
      </c>
      <c r="E74" s="46">
        <f>'[1]Таблица из архикада'!E329</f>
        <v>94</v>
      </c>
      <c r="F74" s="22">
        <v>0.61599999999999999</v>
      </c>
      <c r="G74" s="46" t="s">
        <v>0</v>
      </c>
      <c r="H74" s="46">
        <f>'[1]Таблица из архикада'!H329</f>
        <v>3240</v>
      </c>
      <c r="I74" s="46">
        <f>'[1]Таблица из архикада'!I329</f>
        <v>10</v>
      </c>
      <c r="J74" s="46" t="s">
        <v>2</v>
      </c>
      <c r="K74" s="46"/>
      <c r="L74" s="46"/>
      <c r="M74" s="46"/>
      <c r="N74" s="46"/>
      <c r="O74" s="46"/>
      <c r="P74" s="46"/>
      <c r="Q74" s="46"/>
      <c r="R74" s="46"/>
      <c r="S74" s="46">
        <v>540</v>
      </c>
      <c r="T74" s="46">
        <v>650</v>
      </c>
      <c r="U74" s="48">
        <v>25</v>
      </c>
    </row>
    <row r="75" spans="1:21" ht="15.75" x14ac:dyDescent="0.25">
      <c r="A75" s="45" t="str">
        <f t="shared" si="2"/>
        <v>Пс8.7.3</v>
      </c>
      <c r="B75" s="46">
        <v>5</v>
      </c>
      <c r="C75" s="46" t="s">
        <v>190</v>
      </c>
      <c r="D75" s="46" t="str">
        <f>'[1]Таблица из архикада'!C330</f>
        <v>Шпилька</v>
      </c>
      <c r="E75" s="46">
        <f>'[1]Таблица из архикада'!E330</f>
        <v>345</v>
      </c>
      <c r="F75" s="22">
        <v>0.222</v>
      </c>
      <c r="G75" s="46" t="s">
        <v>0</v>
      </c>
      <c r="H75" s="46">
        <f>'[1]Таблица из архикада'!H330</f>
        <v>470</v>
      </c>
      <c r="I75" s="46">
        <f>'[1]Таблица из архикада'!I330</f>
        <v>6</v>
      </c>
      <c r="J75" s="46" t="s">
        <v>1</v>
      </c>
      <c r="K75" s="46"/>
      <c r="L75" s="46"/>
      <c r="M75" s="46"/>
      <c r="N75" s="46"/>
      <c r="O75" s="46"/>
      <c r="P75" s="46"/>
      <c r="Q75" s="46"/>
      <c r="R75" s="46"/>
      <c r="S75" s="46">
        <v>200</v>
      </c>
      <c r="T75" s="46">
        <v>250</v>
      </c>
      <c r="U75" s="48">
        <v>7.5</v>
      </c>
    </row>
    <row r="76" spans="1:21" ht="15.75" x14ac:dyDescent="0.25">
      <c r="A76" s="45" t="str">
        <f t="shared" si="2"/>
        <v>Пс8.7.3</v>
      </c>
      <c r="B76" s="46">
        <v>6</v>
      </c>
      <c r="C76" s="46" t="s">
        <v>258</v>
      </c>
      <c r="D76" s="46" t="str">
        <f>'[1]Таблица из архикада'!C331</f>
        <v>Поперечная в подошве</v>
      </c>
      <c r="E76" s="46">
        <f>'[1]Таблица из архикада'!E331</f>
        <v>47</v>
      </c>
      <c r="F76" s="22">
        <v>0.61599999999999999</v>
      </c>
      <c r="G76" s="46"/>
      <c r="H76" s="46">
        <f>'[1]Таблица из архикада'!H331</f>
        <v>2050</v>
      </c>
      <c r="I76" s="46">
        <f>'[1]Таблица из архикада'!I331</f>
        <v>10</v>
      </c>
      <c r="J76" s="46" t="s">
        <v>2</v>
      </c>
      <c r="K76" s="46"/>
      <c r="L76" s="46"/>
      <c r="M76" s="46"/>
      <c r="N76" s="46"/>
      <c r="O76" s="46"/>
      <c r="P76" s="46"/>
      <c r="Q76" s="46"/>
      <c r="R76" s="46"/>
      <c r="S76" s="46">
        <v>540</v>
      </c>
      <c r="T76" s="46">
        <v>650</v>
      </c>
      <c r="U76" s="48">
        <v>25</v>
      </c>
    </row>
    <row r="77" spans="1:21" ht="15.75" x14ac:dyDescent="0.25">
      <c r="A77" s="45" t="str">
        <f t="shared" si="2"/>
        <v>Пс8.7.3</v>
      </c>
      <c r="B77" s="46">
        <v>7</v>
      </c>
      <c r="C77" s="46" t="s">
        <v>258</v>
      </c>
      <c r="D77" s="46" t="str">
        <f>'[1]Таблица из архикада'!C332</f>
        <v>Продольная в подошве</v>
      </c>
      <c r="E77" s="46">
        <f>'[1]Таблица из архикада'!E332</f>
        <v>1</v>
      </c>
      <c r="F77" s="22">
        <v>0.61599999999999999</v>
      </c>
      <c r="G77" s="46" t="s">
        <v>27</v>
      </c>
      <c r="H77" s="46">
        <f>'[1]Таблица из архикада'!H332*2</f>
        <v>222140</v>
      </c>
      <c r="I77" s="46">
        <f>'[1]Таблица из архикада'!I332</f>
        <v>10</v>
      </c>
      <c r="J77" s="46" t="s">
        <v>2</v>
      </c>
      <c r="K77" s="46"/>
      <c r="L77" s="46"/>
      <c r="M77" s="46"/>
      <c r="N77" s="46"/>
      <c r="O77" s="46"/>
      <c r="P77" s="46"/>
      <c r="Q77" s="46"/>
      <c r="R77" s="46"/>
      <c r="S77" s="46">
        <v>540</v>
      </c>
      <c r="T77" s="46">
        <v>650</v>
      </c>
      <c r="U77" s="48">
        <v>25</v>
      </c>
    </row>
    <row r="78" spans="1:21" ht="15.75" x14ac:dyDescent="0.25">
      <c r="A78" s="45" t="str">
        <f t="shared" si="2"/>
        <v>Пс8.7.3</v>
      </c>
      <c r="B78" s="46">
        <v>8</v>
      </c>
      <c r="C78" s="46" t="s">
        <v>258</v>
      </c>
      <c r="D78" s="46" t="str">
        <f>'[1]Таблица из архикада'!C333</f>
        <v>П-шка в поперечном сеч.</v>
      </c>
      <c r="E78" s="46">
        <f>'[1]Таблица из архикада'!E333</f>
        <v>94</v>
      </c>
      <c r="F78" s="22">
        <v>0.61599999999999999</v>
      </c>
      <c r="G78" s="46" t="s">
        <v>0</v>
      </c>
      <c r="H78" s="46">
        <f>'[1]Таблица из архикада'!H333</f>
        <v>1220</v>
      </c>
      <c r="I78" s="46">
        <f>'[1]Таблица из архикада'!I333</f>
        <v>10</v>
      </c>
      <c r="J78" s="46" t="s">
        <v>2</v>
      </c>
      <c r="K78" s="46"/>
      <c r="L78" s="46"/>
      <c r="M78" s="46"/>
      <c r="N78" s="46"/>
      <c r="O78" s="46"/>
      <c r="P78" s="46"/>
      <c r="Q78" s="46"/>
      <c r="R78" s="46"/>
      <c r="S78" s="46">
        <v>540</v>
      </c>
      <c r="T78" s="46">
        <v>650</v>
      </c>
      <c r="U78" s="48">
        <v>25</v>
      </c>
    </row>
    <row r="79" spans="1:21" ht="15.75" x14ac:dyDescent="0.25">
      <c r="A79" s="45" t="str">
        <f t="shared" si="2"/>
        <v>Пс8.7.3</v>
      </c>
      <c r="B79" s="46">
        <v>9</v>
      </c>
      <c r="C79" s="46" t="s">
        <v>258</v>
      </c>
      <c r="D79" s="46" t="str">
        <f>'[1]Таблица из архикада'!C334</f>
        <v>П-шка в продол.сеч.</v>
      </c>
      <c r="E79" s="46">
        <f>'[1]Таблица из архикада'!E334</f>
        <v>22</v>
      </c>
      <c r="F79" s="22">
        <v>0.61599999999999999</v>
      </c>
      <c r="G79" s="46" t="s">
        <v>0</v>
      </c>
      <c r="H79" s="46">
        <f>'[1]Таблица из архикада'!H334</f>
        <v>1200</v>
      </c>
      <c r="I79" s="46">
        <f>'[1]Таблица из архикада'!I334</f>
        <v>10</v>
      </c>
      <c r="J79" s="46" t="s">
        <v>2</v>
      </c>
      <c r="K79" s="46"/>
      <c r="L79" s="46"/>
      <c r="M79" s="46"/>
      <c r="N79" s="46"/>
      <c r="O79" s="46"/>
      <c r="P79" s="46"/>
      <c r="Q79" s="46"/>
      <c r="R79" s="46"/>
      <c r="S79" s="46">
        <v>540</v>
      </c>
      <c r="T79" s="46">
        <v>650</v>
      </c>
      <c r="U79" s="48">
        <v>25</v>
      </c>
    </row>
    <row r="80" spans="1:21" ht="15.75" x14ac:dyDescent="0.25">
      <c r="A80" s="45" t="str">
        <f>A79</f>
        <v>Пс8.7.3</v>
      </c>
      <c r="B80" s="46">
        <v>16</v>
      </c>
      <c r="C80" s="46" t="s">
        <v>190</v>
      </c>
      <c r="D80" s="46" t="s">
        <v>2855</v>
      </c>
      <c r="E80" s="46">
        <f>ROUNDUP('[1]Таблица из архикада'!O325/400,0)</f>
        <v>24</v>
      </c>
      <c r="F80" s="22">
        <v>0.222</v>
      </c>
      <c r="G80" s="46"/>
      <c r="H80" s="46">
        <v>1180</v>
      </c>
      <c r="I80" s="46">
        <v>6</v>
      </c>
      <c r="J80" s="46" t="s">
        <v>1</v>
      </c>
      <c r="K80" s="46"/>
      <c r="L80" s="46"/>
      <c r="M80" s="46"/>
      <c r="N80" s="46"/>
      <c r="O80" s="46"/>
      <c r="P80" s="46"/>
      <c r="Q80" s="46"/>
      <c r="R80" s="46"/>
      <c r="S80" s="46">
        <v>200</v>
      </c>
      <c r="T80" s="46">
        <v>250</v>
      </c>
      <c r="U80" s="48">
        <v>7.5</v>
      </c>
    </row>
    <row r="81" spans="1:21" ht="31.5" x14ac:dyDescent="0.25">
      <c r="A81" s="45" t="str">
        <f>A80</f>
        <v>Пс8.7.3</v>
      </c>
      <c r="B81" s="46" t="s">
        <v>310</v>
      </c>
      <c r="C81" s="46" t="s">
        <v>2701</v>
      </c>
      <c r="D81" s="46" t="s">
        <v>2751</v>
      </c>
      <c r="E81" s="46">
        <f>'[1]Таблица из архикада'!L326</f>
        <v>24</v>
      </c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8"/>
    </row>
    <row r="82" spans="1:21" ht="15.75" x14ac:dyDescent="0.25">
      <c r="A82" s="45" t="str">
        <f t="shared" si="2"/>
        <v>Пс8.7.3</v>
      </c>
      <c r="B82" s="46"/>
      <c r="C82" s="28" t="s">
        <v>195</v>
      </c>
      <c r="D82" s="28" t="s">
        <v>2820</v>
      </c>
      <c r="E82" s="28">
        <f>'[1]Таблица из архикада'!F326</f>
        <v>16.5</v>
      </c>
      <c r="F82" s="22" t="s">
        <v>4</v>
      </c>
      <c r="G82" s="46" t="s">
        <v>3</v>
      </c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8"/>
    </row>
    <row r="83" spans="1:21" ht="31.5" x14ac:dyDescent="0.25">
      <c r="A83" s="45" t="str">
        <f t="shared" si="2"/>
        <v>Пс8.7.3</v>
      </c>
      <c r="B83" s="46"/>
      <c r="C83" s="28" t="s">
        <v>195</v>
      </c>
      <c r="D83" s="28" t="s">
        <v>2819</v>
      </c>
      <c r="E83" s="28">
        <f>'[1]Таблица из архикада'!G326</f>
        <v>2.2000000000000002</v>
      </c>
      <c r="F83" s="22" t="s">
        <v>4</v>
      </c>
      <c r="G83" s="46" t="s">
        <v>3</v>
      </c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8"/>
    </row>
    <row r="84" spans="1:21" ht="15.75" x14ac:dyDescent="0.25">
      <c r="A84" s="45"/>
      <c r="B84" s="46"/>
      <c r="C84" s="46" t="s">
        <v>2821</v>
      </c>
      <c r="D84" s="46" t="s">
        <v>2849</v>
      </c>
      <c r="E84" s="46">
        <f>'[1]Исх.Таблица из архикада'!AI20</f>
        <v>0</v>
      </c>
      <c r="F84" s="46" t="s">
        <v>4</v>
      </c>
      <c r="G84" s="46" t="s">
        <v>3</v>
      </c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8"/>
    </row>
    <row r="85" spans="1:21" ht="15.75" x14ac:dyDescent="0.25">
      <c r="A85" s="45"/>
      <c r="B85" s="46"/>
      <c r="C85" s="46" t="s">
        <v>2823</v>
      </c>
      <c r="D85" s="46" t="s">
        <v>2850</v>
      </c>
      <c r="E85" s="46">
        <f>'[1]Исх.Таблица из архикада'!AG20</f>
        <v>0</v>
      </c>
      <c r="F85" s="46" t="s">
        <v>4</v>
      </c>
      <c r="G85" s="46" t="s">
        <v>3</v>
      </c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8"/>
    </row>
    <row r="86" spans="1:21" ht="15.75" x14ac:dyDescent="0.25">
      <c r="A86" s="45"/>
      <c r="B86" s="46"/>
      <c r="C86" s="46" t="s">
        <v>2825</v>
      </c>
      <c r="D86" s="46" t="s">
        <v>2826</v>
      </c>
      <c r="E86" s="46">
        <f>4.52+23.46+10.3*0.4</f>
        <v>32.1</v>
      </c>
      <c r="F86" s="46"/>
      <c r="G86" s="46" t="s">
        <v>2689</v>
      </c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8"/>
    </row>
    <row r="87" spans="1:21" ht="15.75" x14ac:dyDescent="0.25">
      <c r="A87" s="45"/>
      <c r="B87" s="46"/>
      <c r="C87" s="46" t="s">
        <v>2827</v>
      </c>
      <c r="D87" s="46" t="s">
        <v>2828</v>
      </c>
      <c r="E87" s="46">
        <f>'[1]Исх.Таблица из архикада'!AO20</f>
        <v>64.5</v>
      </c>
      <c r="F87" s="46"/>
      <c r="G87" s="46" t="s">
        <v>2689</v>
      </c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8"/>
    </row>
    <row r="88" spans="1:21" ht="15.75" x14ac:dyDescent="0.25">
      <c r="A88" s="45"/>
      <c r="B88" s="46"/>
      <c r="C88" s="46" t="s">
        <v>2829</v>
      </c>
      <c r="D88" s="46" t="s">
        <v>2830</v>
      </c>
      <c r="E88" s="46">
        <f>'[1]Исх.Таблица из архикада'!AK20</f>
        <v>3.5400000000000001E-2</v>
      </c>
      <c r="F88" s="46"/>
      <c r="G88" s="46" t="s">
        <v>3</v>
      </c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8"/>
    </row>
    <row r="89" spans="1:21" ht="15.75" x14ac:dyDescent="0.25">
      <c r="A89" s="45"/>
      <c r="B89" s="46"/>
      <c r="C89" s="46"/>
      <c r="D89" s="46" t="s">
        <v>2831</v>
      </c>
      <c r="E89" s="46">
        <f>'[1]Исх.Таблица из архикада'!AJ20</f>
        <v>5.7</v>
      </c>
      <c r="F89" s="46"/>
      <c r="G89" s="46" t="s">
        <v>27</v>
      </c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8"/>
    </row>
    <row r="90" spans="1:21" ht="15.75" x14ac:dyDescent="0.25">
      <c r="A90" s="45"/>
      <c r="B90" s="46"/>
      <c r="C90" s="46" t="s">
        <v>258</v>
      </c>
      <c r="D90" s="46" t="s">
        <v>2836</v>
      </c>
      <c r="E90" s="46">
        <f>'[1]Исх.Таблица из архикада'!AL20</f>
        <v>10</v>
      </c>
      <c r="F90" s="46">
        <f>2.47*0.3</f>
        <v>0.74099999999999999</v>
      </c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8"/>
    </row>
    <row r="91" spans="1:21" ht="15.75" x14ac:dyDescent="0.25">
      <c r="A91" s="45"/>
      <c r="B91" s="46"/>
      <c r="C91" s="46" t="s">
        <v>2834</v>
      </c>
      <c r="D91" s="46" t="s">
        <v>2789</v>
      </c>
      <c r="E91" s="46">
        <f>'[1]Исх.Таблица из архикада'!AM20</f>
        <v>10</v>
      </c>
      <c r="F91" s="46">
        <f>1.53*0.32</f>
        <v>0.48960000000000004</v>
      </c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8"/>
    </row>
    <row r="92" spans="1:21" ht="15.75" x14ac:dyDescent="0.25">
      <c r="A92" s="45"/>
      <c r="B92" s="46" t="s">
        <v>2844</v>
      </c>
      <c r="C92" s="46" t="s">
        <v>2832</v>
      </c>
      <c r="D92" s="46" t="s">
        <v>2833</v>
      </c>
      <c r="E92" s="46">
        <f>ROUNDUP(('[1]Исх.Таблица из архикада'!B20)/2000,0)</f>
        <v>5</v>
      </c>
      <c r="F92" s="46">
        <f>6.1*0.2</f>
        <v>1.22</v>
      </c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8"/>
    </row>
    <row r="93" spans="1:21" ht="15.75" x14ac:dyDescent="0.25">
      <c r="A93" s="45" t="str">
        <f>A81</f>
        <v>Пс8.7.3</v>
      </c>
      <c r="B93" s="46" t="s">
        <v>2752</v>
      </c>
      <c r="C93" s="46" t="s">
        <v>2701</v>
      </c>
      <c r="D93" s="46" t="s">
        <v>2753</v>
      </c>
      <c r="E93" s="46">
        <v>4</v>
      </c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8"/>
    </row>
    <row r="94" spans="1:21" ht="15.75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</row>
    <row r="95" spans="1:21" ht="15.75" x14ac:dyDescent="0.2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</row>
    <row r="96" spans="1:21" ht="15.75" x14ac:dyDescent="0.2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</row>
    <row r="97" spans="1:21" ht="15.75" x14ac:dyDescent="0.2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</row>
    <row r="98" spans="1:21" ht="15.75" x14ac:dyDescent="0.2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</row>
    <row r="99" spans="1:21" ht="15.75" x14ac:dyDescent="0.25">
      <c r="A99" s="21" t="str">
        <f>A102</f>
        <v>Пс8.7.4</v>
      </c>
      <c r="B99" s="22" t="s">
        <v>183</v>
      </c>
      <c r="C99" s="22" t="s">
        <v>184</v>
      </c>
      <c r="D99" s="22" t="s">
        <v>2818</v>
      </c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3"/>
    </row>
    <row r="100" spans="1:21" ht="15.75" x14ac:dyDescent="0.25">
      <c r="A100" s="21" t="str">
        <f>A102</f>
        <v>Пс8.7.4</v>
      </c>
      <c r="B100" s="22" t="s">
        <v>183</v>
      </c>
      <c r="C100" s="22" t="s">
        <v>2835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3"/>
    </row>
    <row r="101" spans="1:21" ht="15.75" x14ac:dyDescent="0.25">
      <c r="A101" s="21" t="s">
        <v>183</v>
      </c>
      <c r="B101" s="22" t="s">
        <v>183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3"/>
    </row>
    <row r="102" spans="1:21" ht="31.5" x14ac:dyDescent="0.25">
      <c r="A102" s="25" t="str">
        <f>'[1]Исх.Таблица из архикада'!A21</f>
        <v>Пс8.7.4</v>
      </c>
      <c r="B102" s="26" t="str">
        <f>A102</f>
        <v>Пс8.7.4</v>
      </c>
      <c r="C102" s="26"/>
      <c r="D102" s="26" t="str">
        <f>CONCATENATE("Монолитная подпорная стена ",A102)</f>
        <v>Монолитная подпорная стена Пс8.7.4</v>
      </c>
      <c r="E102" s="26">
        <v>1</v>
      </c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7"/>
    </row>
    <row r="103" spans="1:21" ht="15.75" x14ac:dyDescent="0.25">
      <c r="A103" s="45" t="str">
        <f t="shared" ref="A103:A116" si="3">A102</f>
        <v>Пс8.7.4</v>
      </c>
      <c r="B103" s="46">
        <v>1</v>
      </c>
      <c r="C103" s="46" t="s">
        <v>258</v>
      </c>
      <c r="D103" s="46" t="str">
        <f>'[1]Таблица из архикада'!C345</f>
        <v>Гориз. В стене</v>
      </c>
      <c r="E103" s="46">
        <f>'[1]Таблица из архикада'!E345</f>
        <v>1</v>
      </c>
      <c r="F103" s="22">
        <v>0.61599999999999999</v>
      </c>
      <c r="G103" s="46" t="s">
        <v>27</v>
      </c>
      <c r="H103" s="46">
        <f>'[1]Таблица из архикада'!H345*2</f>
        <v>314880</v>
      </c>
      <c r="I103" s="46">
        <f>'[1]Таблица из архикада'!I345</f>
        <v>10</v>
      </c>
      <c r="J103" s="46" t="s">
        <v>2</v>
      </c>
      <c r="K103" s="46"/>
      <c r="L103" s="46"/>
      <c r="M103" s="46"/>
      <c r="N103" s="46"/>
      <c r="O103" s="46"/>
      <c r="P103" s="46"/>
      <c r="Q103" s="46"/>
      <c r="R103" s="46"/>
      <c r="S103" s="46">
        <v>540</v>
      </c>
      <c r="T103" s="46">
        <v>650</v>
      </c>
      <c r="U103" s="48">
        <v>25</v>
      </c>
    </row>
    <row r="104" spans="1:21" ht="15.75" x14ac:dyDescent="0.25">
      <c r="A104" s="45" t="str">
        <f t="shared" si="3"/>
        <v>Пс8.7.4</v>
      </c>
      <c r="B104" s="46">
        <v>2</v>
      </c>
      <c r="C104" s="46" t="s">
        <v>258</v>
      </c>
      <c r="D104" s="46" t="str">
        <f>'[1]Таблица из архикада'!C346</f>
        <v>П-шка в стене верт</v>
      </c>
      <c r="E104" s="46">
        <f>'[1]Таблица из архикада'!E346</f>
        <v>49</v>
      </c>
      <c r="F104" s="22">
        <v>0.61599999999999999</v>
      </c>
      <c r="G104" s="46" t="s">
        <v>0</v>
      </c>
      <c r="H104" s="46">
        <f>'[1]Таблица из архикада'!H346+500</f>
        <v>1800</v>
      </c>
      <c r="I104" s="46">
        <f>'[1]Таблица из архикада'!I346</f>
        <v>10</v>
      </c>
      <c r="J104" s="46" t="s">
        <v>2</v>
      </c>
      <c r="K104" s="46"/>
      <c r="L104" s="46"/>
      <c r="M104" s="46"/>
      <c r="N104" s="46"/>
      <c r="O104" s="46"/>
      <c r="P104" s="46"/>
      <c r="Q104" s="46"/>
      <c r="R104" s="46"/>
      <c r="S104" s="46">
        <v>540</v>
      </c>
      <c r="T104" s="46">
        <v>650</v>
      </c>
      <c r="U104" s="48">
        <v>25</v>
      </c>
    </row>
    <row r="105" spans="1:21" ht="15.75" x14ac:dyDescent="0.25">
      <c r="A105" s="45" t="str">
        <f t="shared" si="3"/>
        <v>Пс8.7.4</v>
      </c>
      <c r="B105" s="46">
        <v>3</v>
      </c>
      <c r="C105" s="46" t="s">
        <v>258</v>
      </c>
      <c r="D105" s="46" t="str">
        <f>'[1]Таблица из архикада'!C347</f>
        <v>П-шка в стене гориз.</v>
      </c>
      <c r="E105" s="46">
        <f>'[1]Таблица из архикада'!E347</f>
        <v>28</v>
      </c>
      <c r="F105" s="22">
        <v>0.61599999999999999</v>
      </c>
      <c r="G105" s="46" t="s">
        <v>0</v>
      </c>
      <c r="H105" s="46">
        <f>'[1]Таблица из архикада'!H347</f>
        <v>1320</v>
      </c>
      <c r="I105" s="46">
        <f>'[1]Таблица из архикада'!I347</f>
        <v>10</v>
      </c>
      <c r="J105" s="46" t="s">
        <v>2</v>
      </c>
      <c r="K105" s="46"/>
      <c r="L105" s="46"/>
      <c r="M105" s="46"/>
      <c r="N105" s="46"/>
      <c r="O105" s="46"/>
      <c r="P105" s="46"/>
      <c r="Q105" s="46"/>
      <c r="R105" s="46"/>
      <c r="S105" s="46">
        <v>540</v>
      </c>
      <c r="T105" s="46">
        <v>650</v>
      </c>
      <c r="U105" s="48">
        <v>25</v>
      </c>
    </row>
    <row r="106" spans="1:21" ht="15.75" x14ac:dyDescent="0.25">
      <c r="A106" s="45" t="str">
        <f t="shared" si="3"/>
        <v>Пс8.7.4</v>
      </c>
      <c r="B106" s="46">
        <v>4</v>
      </c>
      <c r="C106" s="46" t="s">
        <v>258</v>
      </c>
      <c r="D106" s="46" t="str">
        <f>'[1]Таблица из архикада'!C348</f>
        <v>Вертик. В стене</v>
      </c>
      <c r="E106" s="46">
        <f>'[1]Таблица из архикада'!E348</f>
        <v>98</v>
      </c>
      <c r="F106" s="22">
        <v>0.61599999999999999</v>
      </c>
      <c r="G106" s="46" t="s">
        <v>0</v>
      </c>
      <c r="H106" s="46">
        <f>'[1]Таблица из архикада'!H348</f>
        <v>3240</v>
      </c>
      <c r="I106" s="46">
        <f>'[1]Таблица из архикада'!I348</f>
        <v>10</v>
      </c>
      <c r="J106" s="46" t="s">
        <v>2</v>
      </c>
      <c r="K106" s="46"/>
      <c r="L106" s="46"/>
      <c r="M106" s="46"/>
      <c r="N106" s="46"/>
      <c r="O106" s="46"/>
      <c r="P106" s="46"/>
      <c r="Q106" s="46"/>
      <c r="R106" s="46"/>
      <c r="S106" s="46">
        <v>540</v>
      </c>
      <c r="T106" s="46">
        <v>650</v>
      </c>
      <c r="U106" s="48">
        <v>25</v>
      </c>
    </row>
    <row r="107" spans="1:21" ht="15.75" x14ac:dyDescent="0.25">
      <c r="A107" s="45" t="str">
        <f t="shared" si="3"/>
        <v>Пс8.7.4</v>
      </c>
      <c r="B107" s="46">
        <v>5</v>
      </c>
      <c r="C107" s="46" t="s">
        <v>190</v>
      </c>
      <c r="D107" s="46" t="str">
        <f>'[1]Таблица из архикада'!C349</f>
        <v>Шпилька</v>
      </c>
      <c r="E107" s="46">
        <f>'[1]Таблица из архикада'!E349</f>
        <v>364</v>
      </c>
      <c r="F107" s="22">
        <v>0.222</v>
      </c>
      <c r="G107" s="46" t="s">
        <v>0</v>
      </c>
      <c r="H107" s="46">
        <f>'[1]Таблица из архикада'!H349</f>
        <v>470</v>
      </c>
      <c r="I107" s="46">
        <f>'[1]Таблица из архикада'!I349</f>
        <v>6</v>
      </c>
      <c r="J107" s="46" t="s">
        <v>1</v>
      </c>
      <c r="K107" s="46"/>
      <c r="L107" s="46"/>
      <c r="M107" s="46"/>
      <c r="N107" s="46"/>
      <c r="O107" s="46"/>
      <c r="P107" s="46"/>
      <c r="Q107" s="46"/>
      <c r="R107" s="46"/>
      <c r="S107" s="46">
        <v>200</v>
      </c>
      <c r="T107" s="46">
        <v>250</v>
      </c>
      <c r="U107" s="48">
        <v>7.5</v>
      </c>
    </row>
    <row r="108" spans="1:21" ht="15.75" x14ac:dyDescent="0.25">
      <c r="A108" s="45" t="str">
        <f t="shared" si="3"/>
        <v>Пс8.7.4</v>
      </c>
      <c r="B108" s="46">
        <v>6</v>
      </c>
      <c r="C108" s="46" t="s">
        <v>258</v>
      </c>
      <c r="D108" s="46" t="str">
        <f>'[1]Таблица из архикада'!C350</f>
        <v>Поперечная в подошве</v>
      </c>
      <c r="E108" s="46">
        <f>'[1]Таблица из архикада'!E350</f>
        <v>49</v>
      </c>
      <c r="F108" s="22">
        <v>0.61599999999999999</v>
      </c>
      <c r="G108" s="46"/>
      <c r="H108" s="46">
        <f>'[1]Таблица из архикада'!H350</f>
        <v>2050</v>
      </c>
      <c r="I108" s="46">
        <f>'[1]Таблица из архикада'!I350</f>
        <v>10</v>
      </c>
      <c r="J108" s="46" t="s">
        <v>2</v>
      </c>
      <c r="K108" s="46"/>
      <c r="L108" s="46"/>
      <c r="M108" s="46"/>
      <c r="N108" s="46"/>
      <c r="O108" s="46"/>
      <c r="P108" s="46"/>
      <c r="Q108" s="46"/>
      <c r="R108" s="46"/>
      <c r="S108" s="46">
        <v>540</v>
      </c>
      <c r="T108" s="46">
        <v>650</v>
      </c>
      <c r="U108" s="48">
        <v>25</v>
      </c>
    </row>
    <row r="109" spans="1:21" ht="15.75" x14ac:dyDescent="0.25">
      <c r="A109" s="45" t="str">
        <f t="shared" si="3"/>
        <v>Пс8.7.4</v>
      </c>
      <c r="B109" s="46">
        <v>7</v>
      </c>
      <c r="C109" s="46" t="s">
        <v>258</v>
      </c>
      <c r="D109" s="46" t="str">
        <f>'[1]Таблица из архикада'!C351</f>
        <v>Продольная в подошве</v>
      </c>
      <c r="E109" s="46">
        <f>'[1]Таблица из архикада'!E351</f>
        <v>1</v>
      </c>
      <c r="F109" s="22">
        <v>0.61599999999999999</v>
      </c>
      <c r="G109" s="46" t="s">
        <v>27</v>
      </c>
      <c r="H109" s="46">
        <f>'[1]Таблица из архикада'!H351*2</f>
        <v>232880</v>
      </c>
      <c r="I109" s="46">
        <f>'[1]Таблица из архикада'!I351</f>
        <v>10</v>
      </c>
      <c r="J109" s="46" t="s">
        <v>2</v>
      </c>
      <c r="K109" s="46"/>
      <c r="L109" s="46"/>
      <c r="M109" s="46"/>
      <c r="N109" s="46"/>
      <c r="O109" s="46"/>
      <c r="P109" s="46"/>
      <c r="Q109" s="46"/>
      <c r="R109" s="46"/>
      <c r="S109" s="46">
        <v>540</v>
      </c>
      <c r="T109" s="46">
        <v>650</v>
      </c>
      <c r="U109" s="48">
        <v>25</v>
      </c>
    </row>
    <row r="110" spans="1:21" ht="15.75" x14ac:dyDescent="0.25">
      <c r="A110" s="45" t="str">
        <f t="shared" si="3"/>
        <v>Пс8.7.4</v>
      </c>
      <c r="B110" s="46">
        <v>8</v>
      </c>
      <c r="C110" s="46" t="s">
        <v>258</v>
      </c>
      <c r="D110" s="46" t="str">
        <f>'[1]Таблица из архикада'!C352</f>
        <v>П-шка в поперечном сеч.</v>
      </c>
      <c r="E110" s="46">
        <f>'[1]Таблица из архикада'!E352</f>
        <v>98</v>
      </c>
      <c r="F110" s="22">
        <v>0.61599999999999999</v>
      </c>
      <c r="G110" s="46" t="s">
        <v>0</v>
      </c>
      <c r="H110" s="46">
        <f>'[1]Таблица из архикада'!H352</f>
        <v>1220</v>
      </c>
      <c r="I110" s="46">
        <f>'[1]Таблица из архикада'!I352</f>
        <v>10</v>
      </c>
      <c r="J110" s="46" t="s">
        <v>2</v>
      </c>
      <c r="K110" s="46"/>
      <c r="L110" s="46"/>
      <c r="M110" s="46"/>
      <c r="N110" s="46"/>
      <c r="O110" s="46"/>
      <c r="P110" s="46"/>
      <c r="Q110" s="46"/>
      <c r="R110" s="46"/>
      <c r="S110" s="46">
        <v>540</v>
      </c>
      <c r="T110" s="46">
        <v>650</v>
      </c>
      <c r="U110" s="48">
        <v>25</v>
      </c>
    </row>
    <row r="111" spans="1:21" ht="15.75" x14ac:dyDescent="0.25">
      <c r="A111" s="45" t="str">
        <f t="shared" si="3"/>
        <v>Пс8.7.4</v>
      </c>
      <c r="B111" s="46">
        <v>9</v>
      </c>
      <c r="C111" s="46" t="s">
        <v>258</v>
      </c>
      <c r="D111" s="46" t="str">
        <f>'[1]Таблица из архикада'!C353</f>
        <v>П-шка в продол.сеч.</v>
      </c>
      <c r="E111" s="46">
        <f>'[1]Таблица из архикада'!E353</f>
        <v>22</v>
      </c>
      <c r="F111" s="22">
        <v>0.61599999999999999</v>
      </c>
      <c r="G111" s="46" t="s">
        <v>0</v>
      </c>
      <c r="H111" s="46">
        <f>'[1]Таблица из архикада'!H353</f>
        <v>1200</v>
      </c>
      <c r="I111" s="46">
        <f>'[1]Таблица из архикада'!I353</f>
        <v>10</v>
      </c>
      <c r="J111" s="46" t="s">
        <v>2</v>
      </c>
      <c r="K111" s="46"/>
      <c r="L111" s="46"/>
      <c r="M111" s="46"/>
      <c r="N111" s="46"/>
      <c r="O111" s="46"/>
      <c r="P111" s="46"/>
      <c r="Q111" s="46"/>
      <c r="R111" s="46"/>
      <c r="S111" s="46">
        <v>540</v>
      </c>
      <c r="T111" s="46">
        <v>650</v>
      </c>
      <c r="U111" s="48">
        <v>25</v>
      </c>
    </row>
    <row r="112" spans="1:21" ht="15.75" x14ac:dyDescent="0.25">
      <c r="A112" s="45" t="str">
        <f t="shared" si="3"/>
        <v>Пс8.7.4</v>
      </c>
      <c r="B112" s="46">
        <v>12</v>
      </c>
      <c r="C112" s="46" t="s">
        <v>258</v>
      </c>
      <c r="D112" s="46" t="str">
        <f>'[1]Таблица из архикада'!C356</f>
        <v>Г-шка угловая</v>
      </c>
      <c r="E112" s="46">
        <f>'[1]Таблица из архикада'!E356</f>
        <v>30</v>
      </c>
      <c r="F112" s="22">
        <v>0.61599999999999999</v>
      </c>
      <c r="G112" s="46" t="s">
        <v>0</v>
      </c>
      <c r="H112" s="46">
        <f>'[1]Таблица из архикада'!H356</f>
        <v>1000</v>
      </c>
      <c r="I112" s="46">
        <f>'[1]Таблица из архикада'!I356</f>
        <v>10</v>
      </c>
      <c r="J112" s="46" t="s">
        <v>2</v>
      </c>
      <c r="K112" s="46"/>
      <c r="L112" s="46"/>
      <c r="M112" s="46"/>
      <c r="N112" s="46"/>
      <c r="O112" s="46"/>
      <c r="P112" s="46"/>
      <c r="Q112" s="46"/>
      <c r="R112" s="46"/>
      <c r="S112" s="46">
        <v>540</v>
      </c>
      <c r="T112" s="46">
        <v>650</v>
      </c>
      <c r="U112" s="48">
        <v>25</v>
      </c>
    </row>
    <row r="113" spans="1:21" ht="15.75" x14ac:dyDescent="0.25">
      <c r="A113" s="45" t="str">
        <f>A112</f>
        <v>Пс8.7.4</v>
      </c>
      <c r="B113" s="46">
        <v>16</v>
      </c>
      <c r="C113" s="46" t="s">
        <v>190</v>
      </c>
      <c r="D113" s="46" t="s">
        <v>2855</v>
      </c>
      <c r="E113" s="46">
        <f>ROUNDUP('[1]Таблица из архикада'!O344/400,0)</f>
        <v>25</v>
      </c>
      <c r="F113" s="22">
        <v>0.222</v>
      </c>
      <c r="G113" s="46"/>
      <c r="H113" s="46">
        <v>1180</v>
      </c>
      <c r="I113" s="46">
        <v>6</v>
      </c>
      <c r="J113" s="46" t="s">
        <v>1</v>
      </c>
      <c r="K113" s="46"/>
      <c r="L113" s="46"/>
      <c r="M113" s="46"/>
      <c r="N113" s="46"/>
      <c r="O113" s="46"/>
      <c r="P113" s="46"/>
      <c r="Q113" s="46"/>
      <c r="R113" s="46"/>
      <c r="S113" s="46">
        <v>200</v>
      </c>
      <c r="T113" s="46">
        <v>250</v>
      </c>
      <c r="U113" s="48">
        <v>7.5</v>
      </c>
    </row>
    <row r="114" spans="1:21" ht="31.5" x14ac:dyDescent="0.25">
      <c r="A114" s="45" t="str">
        <f>A113</f>
        <v>Пс8.7.4</v>
      </c>
      <c r="B114" s="46" t="s">
        <v>310</v>
      </c>
      <c r="C114" s="46" t="s">
        <v>2701</v>
      </c>
      <c r="D114" s="46" t="s">
        <v>2751</v>
      </c>
      <c r="E114" s="46">
        <f>'[1]Таблица из архикада'!L345</f>
        <v>26</v>
      </c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8"/>
    </row>
    <row r="115" spans="1:21" ht="15.75" x14ac:dyDescent="0.25">
      <c r="A115" s="45" t="str">
        <f t="shared" si="3"/>
        <v>Пс8.7.4</v>
      </c>
      <c r="B115" s="46"/>
      <c r="C115" s="28" t="s">
        <v>195</v>
      </c>
      <c r="D115" s="28" t="s">
        <v>2820</v>
      </c>
      <c r="E115" s="28">
        <f>'[1]Таблица из архикада'!F345</f>
        <v>17.400000000000002</v>
      </c>
      <c r="F115" s="22" t="s">
        <v>4</v>
      </c>
      <c r="G115" s="46" t="s">
        <v>3</v>
      </c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8"/>
    </row>
    <row r="116" spans="1:21" ht="31.5" x14ac:dyDescent="0.25">
      <c r="A116" s="45" t="str">
        <f t="shared" si="3"/>
        <v>Пс8.7.4</v>
      </c>
      <c r="B116" s="46"/>
      <c r="C116" s="28" t="s">
        <v>195</v>
      </c>
      <c r="D116" s="28" t="s">
        <v>2819</v>
      </c>
      <c r="E116" s="28">
        <f>'[1]Таблица из архикада'!G345</f>
        <v>2.3000000000000003</v>
      </c>
      <c r="F116" s="22" t="s">
        <v>4</v>
      </c>
      <c r="G116" s="46" t="s">
        <v>3</v>
      </c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8"/>
    </row>
    <row r="117" spans="1:21" ht="15.75" x14ac:dyDescent="0.25">
      <c r="A117" s="45"/>
      <c r="B117" s="46"/>
      <c r="C117" s="46" t="s">
        <v>2821</v>
      </c>
      <c r="D117" s="46" t="s">
        <v>2849</v>
      </c>
      <c r="E117" s="46">
        <f>'[1]Исх.Таблица из архикада'!AI21</f>
        <v>0</v>
      </c>
      <c r="F117" s="46" t="s">
        <v>4</v>
      </c>
      <c r="G117" s="46" t="s">
        <v>3</v>
      </c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8"/>
    </row>
    <row r="118" spans="1:21" ht="15.75" x14ac:dyDescent="0.25">
      <c r="A118" s="45"/>
      <c r="B118" s="46"/>
      <c r="C118" s="46" t="s">
        <v>2823</v>
      </c>
      <c r="D118" s="46" t="s">
        <v>2850</v>
      </c>
      <c r="E118" s="46">
        <f>'[1]Исх.Таблица из архикада'!AG21</f>
        <v>0</v>
      </c>
      <c r="F118" s="46" t="s">
        <v>4</v>
      </c>
      <c r="G118" s="46" t="s">
        <v>3</v>
      </c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8"/>
    </row>
    <row r="119" spans="1:21" ht="15.75" x14ac:dyDescent="0.25">
      <c r="A119" s="45"/>
      <c r="B119" s="46"/>
      <c r="C119" s="46" t="s">
        <v>2825</v>
      </c>
      <c r="D119" s="46" t="s">
        <v>2826</v>
      </c>
      <c r="E119" s="46">
        <f>3.98+24.19+10.6*0.4</f>
        <v>32.410000000000004</v>
      </c>
      <c r="F119" s="46"/>
      <c r="G119" s="46" t="s">
        <v>2689</v>
      </c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8"/>
    </row>
    <row r="120" spans="1:21" ht="15.75" x14ac:dyDescent="0.25">
      <c r="A120" s="45"/>
      <c r="B120" s="46"/>
      <c r="C120" s="46" t="s">
        <v>2827</v>
      </c>
      <c r="D120" s="46" t="s">
        <v>2828</v>
      </c>
      <c r="E120" s="46">
        <f>'[1]Исх.Таблица из архикада'!AO21</f>
        <v>67.900000000000006</v>
      </c>
      <c r="F120" s="46"/>
      <c r="G120" s="46" t="s">
        <v>2689</v>
      </c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8"/>
    </row>
    <row r="121" spans="1:21" ht="15.75" x14ac:dyDescent="0.25">
      <c r="A121" s="45"/>
      <c r="B121" s="46"/>
      <c r="C121" s="46" t="s">
        <v>2829</v>
      </c>
      <c r="D121" s="46" t="s">
        <v>2830</v>
      </c>
      <c r="E121" s="46">
        <f>'[1]Исх.Таблица из архикада'!AK21</f>
        <v>3.5400000000000001E-2</v>
      </c>
      <c r="F121" s="46"/>
      <c r="G121" s="46" t="s">
        <v>3</v>
      </c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8"/>
    </row>
    <row r="122" spans="1:21" ht="15.75" x14ac:dyDescent="0.25">
      <c r="A122" s="45"/>
      <c r="B122" s="46"/>
      <c r="C122" s="46"/>
      <c r="D122" s="46" t="s">
        <v>2831</v>
      </c>
      <c r="E122" s="46">
        <f>'[1]Исх.Таблица из архикада'!AJ21</f>
        <v>5.7</v>
      </c>
      <c r="F122" s="46"/>
      <c r="G122" s="46" t="s">
        <v>27</v>
      </c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8"/>
    </row>
    <row r="123" spans="1:21" ht="15.75" x14ac:dyDescent="0.25">
      <c r="A123" s="45"/>
      <c r="B123" s="46"/>
      <c r="C123" s="46" t="s">
        <v>258</v>
      </c>
      <c r="D123" s="46" t="s">
        <v>2836</v>
      </c>
      <c r="E123" s="46">
        <f>'[1]Исх.Таблица из архикада'!AL21</f>
        <v>10</v>
      </c>
      <c r="F123" s="46">
        <f>2.47*0.3</f>
        <v>0.74099999999999999</v>
      </c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8"/>
    </row>
    <row r="124" spans="1:21" ht="15.75" x14ac:dyDescent="0.25">
      <c r="A124" s="45"/>
      <c r="B124" s="46"/>
      <c r="C124" s="46" t="s">
        <v>2834</v>
      </c>
      <c r="D124" s="46" t="s">
        <v>2789</v>
      </c>
      <c r="E124" s="46">
        <f>'[1]Исх.Таблица из архикада'!AM21</f>
        <v>10</v>
      </c>
      <c r="F124" s="46">
        <f>1.53*0.32</f>
        <v>0.48960000000000004</v>
      </c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8"/>
    </row>
    <row r="125" spans="1:21" ht="15.75" x14ac:dyDescent="0.25">
      <c r="A125" s="45"/>
      <c r="B125" s="46" t="s">
        <v>2844</v>
      </c>
      <c r="C125" s="46" t="s">
        <v>2832</v>
      </c>
      <c r="D125" s="46" t="s">
        <v>2833</v>
      </c>
      <c r="E125" s="46">
        <f>ROUNDUP(('[1]Исх.Таблица из архикада'!B21)/2000,0)</f>
        <v>5</v>
      </c>
      <c r="F125" s="46">
        <f>6.1*0.2</f>
        <v>1.22</v>
      </c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8"/>
    </row>
    <row r="126" spans="1:21" ht="15.75" x14ac:dyDescent="0.25">
      <c r="A126" s="45" t="str">
        <f>A114</f>
        <v>Пс8.7.4</v>
      </c>
      <c r="B126" s="46" t="s">
        <v>2752</v>
      </c>
      <c r="C126" s="46" t="s">
        <v>2701</v>
      </c>
      <c r="D126" s="46" t="s">
        <v>2753</v>
      </c>
      <c r="E126" s="46">
        <v>4</v>
      </c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8"/>
    </row>
    <row r="127" spans="1:21" ht="15.75" x14ac:dyDescent="0.2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</row>
    <row r="128" spans="1:21" ht="15.75" x14ac:dyDescent="0.2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</row>
    <row r="129" spans="1:21" ht="15.75" x14ac:dyDescent="0.2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</row>
    <row r="130" spans="1:21" ht="15.75" x14ac:dyDescent="0.2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</row>
    <row r="131" spans="1:21" ht="15.75" x14ac:dyDescent="0.2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</row>
    <row r="132" spans="1:21" ht="15.75" x14ac:dyDescent="0.25">
      <c r="A132" s="21" t="str">
        <f>A135</f>
        <v>Пс8.7.5</v>
      </c>
      <c r="B132" s="22" t="s">
        <v>183</v>
      </c>
      <c r="C132" s="22" t="s">
        <v>184</v>
      </c>
      <c r="D132" s="22" t="s">
        <v>2818</v>
      </c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3"/>
    </row>
    <row r="133" spans="1:21" ht="15.75" x14ac:dyDescent="0.25">
      <c r="A133" s="21" t="str">
        <f>A135</f>
        <v>Пс8.7.5</v>
      </c>
      <c r="B133" s="22" t="s">
        <v>183</v>
      </c>
      <c r="C133" s="22" t="s">
        <v>2835</v>
      </c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3"/>
    </row>
    <row r="134" spans="1:21" ht="15.75" x14ac:dyDescent="0.25">
      <c r="A134" s="21" t="s">
        <v>183</v>
      </c>
      <c r="B134" s="22" t="s">
        <v>183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3"/>
    </row>
    <row r="135" spans="1:21" ht="31.5" x14ac:dyDescent="0.25">
      <c r="A135" s="25" t="str">
        <f>'[1]Исх.Таблица из архикада'!A22</f>
        <v>Пс8.7.5</v>
      </c>
      <c r="B135" s="26" t="str">
        <f>A135</f>
        <v>Пс8.7.5</v>
      </c>
      <c r="C135" s="26"/>
      <c r="D135" s="26" t="str">
        <f>CONCATENATE("Монолитная подпорная стена ",A135)</f>
        <v>Монолитная подпорная стена Пс8.7.5</v>
      </c>
      <c r="E135" s="26">
        <v>1</v>
      </c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7"/>
    </row>
    <row r="136" spans="1:21" ht="15.75" x14ac:dyDescent="0.25">
      <c r="A136" s="45" t="str">
        <f t="shared" ref="A136:A148" si="4">A135</f>
        <v>Пс8.7.5</v>
      </c>
      <c r="B136" s="46">
        <v>1</v>
      </c>
      <c r="C136" s="46" t="s">
        <v>258</v>
      </c>
      <c r="D136" s="46" t="str">
        <f>'[1]Таблица из архикада'!C364</f>
        <v>Гориз. В стене</v>
      </c>
      <c r="E136" s="46">
        <f>'[1]Таблица из архикада'!E364</f>
        <v>30</v>
      </c>
      <c r="F136" s="22">
        <v>0.61599999999999999</v>
      </c>
      <c r="G136" s="46" t="s">
        <v>27</v>
      </c>
      <c r="H136" s="46">
        <f>'[1]Таблица из архикада'!H364*2</f>
        <v>6500</v>
      </c>
      <c r="I136" s="46">
        <f>'[1]Таблица из архикада'!I364</f>
        <v>10</v>
      </c>
      <c r="J136" s="46" t="s">
        <v>2</v>
      </c>
      <c r="K136" s="46"/>
      <c r="L136" s="46"/>
      <c r="M136" s="46"/>
      <c r="N136" s="46"/>
      <c r="O136" s="46"/>
      <c r="P136" s="46"/>
      <c r="Q136" s="46"/>
      <c r="R136" s="46"/>
      <c r="S136" s="46">
        <v>540</v>
      </c>
      <c r="T136" s="46">
        <v>650</v>
      </c>
      <c r="U136" s="48">
        <v>25</v>
      </c>
    </row>
    <row r="137" spans="1:21" ht="15.75" x14ac:dyDescent="0.25">
      <c r="A137" s="45" t="str">
        <f t="shared" si="4"/>
        <v>Пс8.7.5</v>
      </c>
      <c r="B137" s="46">
        <v>2</v>
      </c>
      <c r="C137" s="46" t="s">
        <v>258</v>
      </c>
      <c r="D137" s="46" t="str">
        <f>'[1]Таблица из архикада'!C365</f>
        <v>П-шка в стене верт</v>
      </c>
      <c r="E137" s="46">
        <f>'[1]Таблица из архикада'!E365</f>
        <v>17</v>
      </c>
      <c r="F137" s="22">
        <v>0.61599999999999999</v>
      </c>
      <c r="G137" s="46" t="s">
        <v>0</v>
      </c>
      <c r="H137" s="46">
        <f>'[1]Таблица из архикада'!H365+500</f>
        <v>1800</v>
      </c>
      <c r="I137" s="46">
        <f>'[1]Таблица из архикада'!I365</f>
        <v>10</v>
      </c>
      <c r="J137" s="46" t="s">
        <v>2</v>
      </c>
      <c r="K137" s="46"/>
      <c r="L137" s="46"/>
      <c r="M137" s="46"/>
      <c r="N137" s="46"/>
      <c r="O137" s="46"/>
      <c r="P137" s="46"/>
      <c r="Q137" s="46"/>
      <c r="R137" s="46"/>
      <c r="S137" s="46">
        <v>540</v>
      </c>
      <c r="T137" s="46">
        <v>650</v>
      </c>
      <c r="U137" s="48">
        <v>25</v>
      </c>
    </row>
    <row r="138" spans="1:21" ht="15.75" x14ac:dyDescent="0.25">
      <c r="A138" s="45" t="str">
        <f t="shared" si="4"/>
        <v>Пс8.7.5</v>
      </c>
      <c r="B138" s="46">
        <v>3</v>
      </c>
      <c r="C138" s="46" t="s">
        <v>258</v>
      </c>
      <c r="D138" s="46" t="str">
        <f>'[1]Таблица из архикада'!C366</f>
        <v>П-шка в стене гориз.</v>
      </c>
      <c r="E138" s="46">
        <f>'[1]Таблица из архикада'!E366</f>
        <v>28</v>
      </c>
      <c r="F138" s="22">
        <v>0.61599999999999999</v>
      </c>
      <c r="G138" s="46" t="s">
        <v>0</v>
      </c>
      <c r="H138" s="46">
        <f>'[1]Таблица из архикада'!H366</f>
        <v>1320</v>
      </c>
      <c r="I138" s="46">
        <f>'[1]Таблица из архикада'!I366</f>
        <v>10</v>
      </c>
      <c r="J138" s="46" t="s">
        <v>2</v>
      </c>
      <c r="K138" s="46"/>
      <c r="L138" s="46"/>
      <c r="M138" s="46"/>
      <c r="N138" s="46"/>
      <c r="O138" s="46"/>
      <c r="P138" s="46"/>
      <c r="Q138" s="46"/>
      <c r="R138" s="46"/>
      <c r="S138" s="46">
        <v>540</v>
      </c>
      <c r="T138" s="46">
        <v>650</v>
      </c>
      <c r="U138" s="48">
        <v>25</v>
      </c>
    </row>
    <row r="139" spans="1:21" ht="15.75" x14ac:dyDescent="0.25">
      <c r="A139" s="45" t="str">
        <f t="shared" si="4"/>
        <v>Пс8.7.5</v>
      </c>
      <c r="B139" s="46">
        <v>4</v>
      </c>
      <c r="C139" s="46" t="s">
        <v>258</v>
      </c>
      <c r="D139" s="46" t="str">
        <f>'[1]Таблица из архикада'!C367</f>
        <v>Вертик. В стене</v>
      </c>
      <c r="E139" s="46">
        <f>'[1]Таблица из архикада'!E367</f>
        <v>34</v>
      </c>
      <c r="F139" s="22">
        <v>0.61599999999999999</v>
      </c>
      <c r="G139" s="46" t="s">
        <v>0</v>
      </c>
      <c r="H139" s="46">
        <f>'[1]Таблица из архикада'!H367</f>
        <v>3240</v>
      </c>
      <c r="I139" s="46">
        <f>'[1]Таблица из архикада'!I367</f>
        <v>10</v>
      </c>
      <c r="J139" s="46" t="s">
        <v>2</v>
      </c>
      <c r="K139" s="46"/>
      <c r="L139" s="46"/>
      <c r="M139" s="46"/>
      <c r="N139" s="46"/>
      <c r="O139" s="46"/>
      <c r="P139" s="46"/>
      <c r="Q139" s="46"/>
      <c r="R139" s="46"/>
      <c r="S139" s="46">
        <v>540</v>
      </c>
      <c r="T139" s="46">
        <v>650</v>
      </c>
      <c r="U139" s="48">
        <v>25</v>
      </c>
    </row>
    <row r="140" spans="1:21" ht="15.75" x14ac:dyDescent="0.25">
      <c r="A140" s="45" t="str">
        <f t="shared" si="4"/>
        <v>Пс8.7.5</v>
      </c>
      <c r="B140" s="46">
        <v>5</v>
      </c>
      <c r="C140" s="46" t="s">
        <v>190</v>
      </c>
      <c r="D140" s="46" t="str">
        <f>'[1]Таблица из архикада'!C368</f>
        <v>Шпилька</v>
      </c>
      <c r="E140" s="46">
        <f>'[1]Таблица из архикада'!E368</f>
        <v>123</v>
      </c>
      <c r="F140" s="22">
        <v>0.222</v>
      </c>
      <c r="G140" s="46" t="s">
        <v>0</v>
      </c>
      <c r="H140" s="46">
        <f>'[1]Таблица из архикада'!H368</f>
        <v>470</v>
      </c>
      <c r="I140" s="46">
        <f>'[1]Таблица из архикада'!I368</f>
        <v>6</v>
      </c>
      <c r="J140" s="46" t="s">
        <v>1</v>
      </c>
      <c r="K140" s="46"/>
      <c r="L140" s="46"/>
      <c r="M140" s="46"/>
      <c r="N140" s="46"/>
      <c r="O140" s="46"/>
      <c r="P140" s="46"/>
      <c r="Q140" s="46"/>
      <c r="R140" s="46"/>
      <c r="S140" s="46">
        <v>200</v>
      </c>
      <c r="T140" s="46">
        <v>250</v>
      </c>
      <c r="U140" s="48">
        <v>7.5</v>
      </c>
    </row>
    <row r="141" spans="1:21" ht="15.75" x14ac:dyDescent="0.25">
      <c r="A141" s="45" t="str">
        <f t="shared" si="4"/>
        <v>Пс8.7.5</v>
      </c>
      <c r="B141" s="46">
        <v>6</v>
      </c>
      <c r="C141" s="46" t="s">
        <v>258</v>
      </c>
      <c r="D141" s="46" t="str">
        <f>'[1]Таблица из архикада'!C369</f>
        <v>Поперечная в подошве</v>
      </c>
      <c r="E141" s="46">
        <f>'[1]Таблица из архикада'!E369</f>
        <v>17</v>
      </c>
      <c r="F141" s="22">
        <v>0.61599999999999999</v>
      </c>
      <c r="G141" s="46"/>
      <c r="H141" s="46">
        <f>'[1]Таблица из архикада'!H369</f>
        <v>2050</v>
      </c>
      <c r="I141" s="46">
        <f>'[1]Таблица из архикада'!I369</f>
        <v>10</v>
      </c>
      <c r="J141" s="46" t="s">
        <v>2</v>
      </c>
      <c r="K141" s="46"/>
      <c r="L141" s="46"/>
      <c r="M141" s="46"/>
      <c r="N141" s="46"/>
      <c r="O141" s="46"/>
      <c r="P141" s="46"/>
      <c r="Q141" s="46"/>
      <c r="R141" s="46"/>
      <c r="S141" s="46">
        <v>540</v>
      </c>
      <c r="T141" s="46">
        <v>650</v>
      </c>
      <c r="U141" s="48">
        <v>25</v>
      </c>
    </row>
    <row r="142" spans="1:21" ht="15.75" x14ac:dyDescent="0.25">
      <c r="A142" s="45" t="str">
        <f t="shared" si="4"/>
        <v>Пс8.7.5</v>
      </c>
      <c r="B142" s="46">
        <v>7</v>
      </c>
      <c r="C142" s="46" t="s">
        <v>258</v>
      </c>
      <c r="D142" s="46" t="str">
        <f>'[1]Таблица из архикада'!C370</f>
        <v>Продольная в подошве</v>
      </c>
      <c r="E142" s="46">
        <f>'[1]Таблица из архикада'!E370</f>
        <v>22</v>
      </c>
      <c r="F142" s="22">
        <v>0.61599999999999999</v>
      </c>
      <c r="G142" s="46"/>
      <c r="H142" s="46">
        <f>'[1]Таблица из архикада'!H370</f>
        <v>3250</v>
      </c>
      <c r="I142" s="46">
        <f>'[1]Таблица из архикада'!I370</f>
        <v>10</v>
      </c>
      <c r="J142" s="46" t="s">
        <v>2</v>
      </c>
      <c r="K142" s="46"/>
      <c r="L142" s="46"/>
      <c r="M142" s="46"/>
      <c r="N142" s="46"/>
      <c r="O142" s="46"/>
      <c r="P142" s="46"/>
      <c r="Q142" s="46"/>
      <c r="R142" s="46"/>
      <c r="S142" s="46">
        <v>540</v>
      </c>
      <c r="T142" s="46">
        <v>650</v>
      </c>
      <c r="U142" s="48">
        <v>25</v>
      </c>
    </row>
    <row r="143" spans="1:21" ht="15.75" x14ac:dyDescent="0.25">
      <c r="A143" s="45" t="str">
        <f t="shared" si="4"/>
        <v>Пс8.7.5</v>
      </c>
      <c r="B143" s="46">
        <v>8</v>
      </c>
      <c r="C143" s="46" t="s">
        <v>258</v>
      </c>
      <c r="D143" s="46" t="str">
        <f>'[1]Таблица из архикада'!C371</f>
        <v>П-шка в поперечном сеч.</v>
      </c>
      <c r="E143" s="46">
        <f>'[1]Таблица из архикада'!E371</f>
        <v>34</v>
      </c>
      <c r="F143" s="22">
        <v>0.61599999999999999</v>
      </c>
      <c r="G143" s="46" t="s">
        <v>0</v>
      </c>
      <c r="H143" s="46">
        <f>'[1]Таблица из архикада'!H371</f>
        <v>1220</v>
      </c>
      <c r="I143" s="46">
        <f>'[1]Таблица из архикада'!I371</f>
        <v>10</v>
      </c>
      <c r="J143" s="46" t="s">
        <v>2</v>
      </c>
      <c r="K143" s="46"/>
      <c r="L143" s="46"/>
      <c r="M143" s="46"/>
      <c r="N143" s="46"/>
      <c r="O143" s="46"/>
      <c r="P143" s="46"/>
      <c r="Q143" s="46"/>
      <c r="R143" s="46"/>
      <c r="S143" s="46">
        <v>540</v>
      </c>
      <c r="T143" s="46">
        <v>650</v>
      </c>
      <c r="U143" s="48">
        <v>25</v>
      </c>
    </row>
    <row r="144" spans="1:21" ht="15.75" x14ac:dyDescent="0.25">
      <c r="A144" s="45" t="str">
        <f t="shared" si="4"/>
        <v>Пс8.7.5</v>
      </c>
      <c r="B144" s="46">
        <v>9</v>
      </c>
      <c r="C144" s="46" t="s">
        <v>258</v>
      </c>
      <c r="D144" s="46" t="str">
        <f>'[1]Таблица из архикада'!C372</f>
        <v>П-шка в продол.сеч.</v>
      </c>
      <c r="E144" s="46">
        <f>'[1]Таблица из архикада'!E372</f>
        <v>22</v>
      </c>
      <c r="F144" s="22">
        <v>0.61599999999999999</v>
      </c>
      <c r="G144" s="46" t="s">
        <v>0</v>
      </c>
      <c r="H144" s="46">
        <f>'[1]Таблица из архикада'!H372</f>
        <v>1200</v>
      </c>
      <c r="I144" s="46">
        <f>'[1]Таблица из архикада'!I372</f>
        <v>10</v>
      </c>
      <c r="J144" s="46" t="s">
        <v>2</v>
      </c>
      <c r="K144" s="46"/>
      <c r="L144" s="46"/>
      <c r="M144" s="46"/>
      <c r="N144" s="46"/>
      <c r="O144" s="46"/>
      <c r="P144" s="46"/>
      <c r="Q144" s="46"/>
      <c r="R144" s="46"/>
      <c r="S144" s="46">
        <v>540</v>
      </c>
      <c r="T144" s="46">
        <v>650</v>
      </c>
      <c r="U144" s="48">
        <v>25</v>
      </c>
    </row>
    <row r="145" spans="1:21" ht="15.75" x14ac:dyDescent="0.25">
      <c r="A145" s="45" t="str">
        <f>A144</f>
        <v>Пс8.7.5</v>
      </c>
      <c r="B145" s="46">
        <v>16</v>
      </c>
      <c r="C145" s="46" t="s">
        <v>190</v>
      </c>
      <c r="D145" s="46" t="s">
        <v>2855</v>
      </c>
      <c r="E145" s="46">
        <f>ROUNDUP('[1]Таблица из архикада'!O363/400,0)</f>
        <v>9</v>
      </c>
      <c r="F145" s="22">
        <v>0.222</v>
      </c>
      <c r="G145" s="46"/>
      <c r="H145" s="46">
        <v>1180</v>
      </c>
      <c r="I145" s="46">
        <v>6</v>
      </c>
      <c r="J145" s="46" t="s">
        <v>1</v>
      </c>
      <c r="K145" s="46"/>
      <c r="L145" s="46"/>
      <c r="M145" s="46"/>
      <c r="N145" s="46"/>
      <c r="O145" s="46"/>
      <c r="P145" s="46"/>
      <c r="Q145" s="46"/>
      <c r="R145" s="46"/>
      <c r="S145" s="46">
        <v>200</v>
      </c>
      <c r="T145" s="46">
        <v>250</v>
      </c>
      <c r="U145" s="48">
        <v>7.5</v>
      </c>
    </row>
    <row r="146" spans="1:21" ht="31.5" x14ac:dyDescent="0.25">
      <c r="A146" s="45" t="str">
        <f>A145</f>
        <v>Пс8.7.5</v>
      </c>
      <c r="B146" s="46" t="s">
        <v>310</v>
      </c>
      <c r="C146" s="46" t="s">
        <v>2701</v>
      </c>
      <c r="D146" s="46" t="s">
        <v>2751</v>
      </c>
      <c r="E146" s="46">
        <f>'[1]Таблица из архикада'!L364</f>
        <v>10</v>
      </c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8"/>
    </row>
    <row r="147" spans="1:21" ht="15.75" x14ac:dyDescent="0.25">
      <c r="A147" s="45" t="str">
        <f t="shared" si="4"/>
        <v>Пс8.7.5</v>
      </c>
      <c r="B147" s="46"/>
      <c r="C147" s="28" t="s">
        <v>195</v>
      </c>
      <c r="D147" s="28" t="s">
        <v>2820</v>
      </c>
      <c r="E147" s="28">
        <f>'[1]Таблица из архикада'!F364</f>
        <v>5.8999999999999995</v>
      </c>
      <c r="F147" s="22" t="s">
        <v>4</v>
      </c>
      <c r="G147" s="46" t="s">
        <v>3</v>
      </c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8"/>
    </row>
    <row r="148" spans="1:21" ht="31.5" x14ac:dyDescent="0.25">
      <c r="A148" s="45" t="str">
        <f t="shared" si="4"/>
        <v>Пс8.7.5</v>
      </c>
      <c r="B148" s="46"/>
      <c r="C148" s="28" t="s">
        <v>195</v>
      </c>
      <c r="D148" s="28" t="s">
        <v>2819</v>
      </c>
      <c r="E148" s="28">
        <f>'[1]Таблица из архикада'!G364</f>
        <v>0.79999999999999993</v>
      </c>
      <c r="F148" s="22" t="s">
        <v>4</v>
      </c>
      <c r="G148" s="46" t="s">
        <v>3</v>
      </c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8"/>
    </row>
    <row r="149" spans="1:21" ht="15.75" x14ac:dyDescent="0.25">
      <c r="A149" s="45"/>
      <c r="B149" s="46"/>
      <c r="C149" s="46" t="s">
        <v>2821</v>
      </c>
      <c r="D149" s="46" t="s">
        <v>2849</v>
      </c>
      <c r="E149" s="46">
        <f>'[1]Исх.Таблица из архикада'!AI22</f>
        <v>0</v>
      </c>
      <c r="F149" s="46" t="s">
        <v>4</v>
      </c>
      <c r="G149" s="46" t="s">
        <v>3</v>
      </c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8"/>
    </row>
    <row r="150" spans="1:21" ht="15.75" x14ac:dyDescent="0.25">
      <c r="A150" s="45"/>
      <c r="B150" s="46"/>
      <c r="C150" s="46" t="s">
        <v>2823</v>
      </c>
      <c r="D150" s="46" t="s">
        <v>2850</v>
      </c>
      <c r="E150" s="46">
        <f>'[1]Исх.Таблица из архикада'!AG22</f>
        <v>0</v>
      </c>
      <c r="F150" s="46" t="s">
        <v>4</v>
      </c>
      <c r="G150" s="46" t="s">
        <v>3</v>
      </c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8"/>
    </row>
    <row r="151" spans="1:21" ht="15.75" x14ac:dyDescent="0.25">
      <c r="A151" s="45"/>
      <c r="B151" s="46"/>
      <c r="C151" s="46" t="s">
        <v>2825</v>
      </c>
      <c r="D151" s="46" t="s">
        <v>2826</v>
      </c>
      <c r="E151" s="46">
        <f>6.09+1.32+4.1*0.4</f>
        <v>9.0500000000000007</v>
      </c>
      <c r="F151" s="46"/>
      <c r="G151" s="46" t="s">
        <v>2689</v>
      </c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8"/>
    </row>
    <row r="152" spans="1:21" ht="15.75" x14ac:dyDescent="0.25">
      <c r="A152" s="45"/>
      <c r="B152" s="46"/>
      <c r="C152" s="46" t="s">
        <v>2827</v>
      </c>
      <c r="D152" s="46" t="s">
        <v>2828</v>
      </c>
      <c r="E152" s="46">
        <f>'[1]Исх.Таблица из архикада'!AO22</f>
        <v>23.699999999999996</v>
      </c>
      <c r="F152" s="46"/>
      <c r="G152" s="46" t="s">
        <v>2689</v>
      </c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8"/>
    </row>
    <row r="153" spans="1:21" ht="15.75" x14ac:dyDescent="0.25">
      <c r="A153" s="45"/>
      <c r="B153" s="46"/>
      <c r="C153" s="46" t="s">
        <v>2829</v>
      </c>
      <c r="D153" s="46" t="s">
        <v>2830</v>
      </c>
      <c r="E153" s="46">
        <f>'[1]Исх.Таблица из архикада'!AK22</f>
        <v>3.5400000000000001E-2</v>
      </c>
      <c r="F153" s="46"/>
      <c r="G153" s="46" t="s">
        <v>3</v>
      </c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8"/>
    </row>
    <row r="154" spans="1:21" ht="15.75" x14ac:dyDescent="0.25">
      <c r="A154" s="45"/>
      <c r="B154" s="46"/>
      <c r="C154" s="46"/>
      <c r="D154" s="46" t="s">
        <v>2831</v>
      </c>
      <c r="E154" s="46">
        <f>'[1]Исх.Таблица из архикада'!AJ22</f>
        <v>5.7</v>
      </c>
      <c r="F154" s="46"/>
      <c r="G154" s="46" t="s">
        <v>27</v>
      </c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8"/>
    </row>
    <row r="155" spans="1:21" ht="15.75" x14ac:dyDescent="0.25">
      <c r="A155" s="45"/>
      <c r="B155" s="46"/>
      <c r="C155" s="46" t="s">
        <v>258</v>
      </c>
      <c r="D155" s="46" t="s">
        <v>2836</v>
      </c>
      <c r="E155" s="46">
        <f>'[1]Исх.Таблица из архикада'!AL22</f>
        <v>10</v>
      </c>
      <c r="F155" s="46">
        <f>2.47*0.3</f>
        <v>0.74099999999999999</v>
      </c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8"/>
    </row>
    <row r="156" spans="1:21" ht="15.75" x14ac:dyDescent="0.25">
      <c r="A156" s="45"/>
      <c r="B156" s="46"/>
      <c r="C156" s="46" t="s">
        <v>2834</v>
      </c>
      <c r="D156" s="46" t="s">
        <v>2789</v>
      </c>
      <c r="E156" s="46">
        <f>'[1]Исх.Таблица из архикада'!AM22</f>
        <v>10</v>
      </c>
      <c r="F156" s="46">
        <f>1.53*0.32</f>
        <v>0.48960000000000004</v>
      </c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8"/>
    </row>
    <row r="157" spans="1:21" ht="15.75" x14ac:dyDescent="0.25">
      <c r="A157" s="45"/>
      <c r="B157" s="46" t="s">
        <v>2844</v>
      </c>
      <c r="C157" s="46" t="s">
        <v>2832</v>
      </c>
      <c r="D157" s="46" t="s">
        <v>2833</v>
      </c>
      <c r="E157" s="46">
        <f>ROUNDUP(('[1]Исх.Таблица из архикада'!B22)/2000,0)</f>
        <v>2</v>
      </c>
      <c r="F157" s="46">
        <f>6.1*0.2</f>
        <v>1.22</v>
      </c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8"/>
    </row>
    <row r="158" spans="1:21" ht="15.75" x14ac:dyDescent="0.25">
      <c r="A158" s="45" t="str">
        <f>A146</f>
        <v>Пс8.7.5</v>
      </c>
      <c r="B158" s="46" t="s">
        <v>2752</v>
      </c>
      <c r="C158" s="46" t="s">
        <v>2701</v>
      </c>
      <c r="D158" s="46" t="s">
        <v>2753</v>
      </c>
      <c r="E158" s="46">
        <v>2</v>
      </c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8"/>
    </row>
    <row r="159" spans="1:21" ht="15.75" x14ac:dyDescent="0.2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</row>
    <row r="160" spans="1:21" ht="15.75" x14ac:dyDescent="0.2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</row>
    <row r="161" spans="1:21" ht="15.75" x14ac:dyDescent="0.2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</row>
    <row r="162" spans="1:21" ht="15.75" x14ac:dyDescent="0.2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</row>
    <row r="163" spans="1:21" ht="15.75" x14ac:dyDescent="0.2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</row>
    <row r="164" spans="1:21" ht="15.75" x14ac:dyDescent="0.25">
      <c r="A164" s="21" t="str">
        <f>A167</f>
        <v>Пс8.7.6</v>
      </c>
      <c r="B164" s="22" t="s">
        <v>183</v>
      </c>
      <c r="C164" s="22" t="s">
        <v>184</v>
      </c>
      <c r="D164" s="22" t="s">
        <v>2818</v>
      </c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3"/>
    </row>
    <row r="165" spans="1:21" ht="15.75" x14ac:dyDescent="0.25">
      <c r="A165" s="21" t="str">
        <f>A167</f>
        <v>Пс8.7.6</v>
      </c>
      <c r="B165" s="22" t="s">
        <v>183</v>
      </c>
      <c r="C165" s="22" t="s">
        <v>2835</v>
      </c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3"/>
    </row>
    <row r="166" spans="1:21" ht="15.75" x14ac:dyDescent="0.25">
      <c r="A166" s="21" t="s">
        <v>183</v>
      </c>
      <c r="B166" s="22" t="s">
        <v>183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3"/>
    </row>
    <row r="167" spans="1:21" ht="31.5" x14ac:dyDescent="0.25">
      <c r="A167" s="25" t="str">
        <f>'[1]Исх.Таблица из архикада'!A23</f>
        <v>Пс8.7.6</v>
      </c>
      <c r="B167" s="26" t="str">
        <f>A167</f>
        <v>Пс8.7.6</v>
      </c>
      <c r="C167" s="26"/>
      <c r="D167" s="26" t="str">
        <f>CONCATENATE("Монолитная подпорная стена ",A167)</f>
        <v>Монолитная подпорная стена Пс8.7.6</v>
      </c>
      <c r="E167" s="26">
        <v>1</v>
      </c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7"/>
    </row>
    <row r="168" spans="1:21" ht="15.75" x14ac:dyDescent="0.25">
      <c r="A168" s="45" t="str">
        <f t="shared" ref="A168:A176" si="5">A167</f>
        <v>Пс8.7.6</v>
      </c>
      <c r="B168" s="46">
        <v>1</v>
      </c>
      <c r="C168" s="46" t="s">
        <v>258</v>
      </c>
      <c r="D168" s="46" t="str">
        <f>'[1]Таблица из архикада'!C383</f>
        <v>Гориз. В стене</v>
      </c>
      <c r="E168" s="46">
        <f>'[1]Таблица из архикада'!E383</f>
        <v>19</v>
      </c>
      <c r="F168" s="22">
        <v>0.61599999999999999</v>
      </c>
      <c r="G168" s="46" t="s">
        <v>27</v>
      </c>
      <c r="H168" s="46">
        <f>'[1]Таблица из архикада'!H383*2</f>
        <v>6500</v>
      </c>
      <c r="I168" s="46">
        <f>'[1]Таблица из архикада'!I383</f>
        <v>10</v>
      </c>
      <c r="J168" s="46" t="s">
        <v>2</v>
      </c>
      <c r="K168" s="46"/>
      <c r="L168" s="46"/>
      <c r="M168" s="46"/>
      <c r="N168" s="46"/>
      <c r="O168" s="46"/>
      <c r="P168" s="46"/>
      <c r="Q168" s="46"/>
      <c r="R168" s="46"/>
      <c r="S168" s="46">
        <v>540</v>
      </c>
      <c r="T168" s="46">
        <v>650</v>
      </c>
      <c r="U168" s="48">
        <v>25</v>
      </c>
    </row>
    <row r="169" spans="1:21" ht="15.75" x14ac:dyDescent="0.25">
      <c r="A169" s="45" t="str">
        <f t="shared" si="5"/>
        <v>Пс8.7.6</v>
      </c>
      <c r="B169" s="46">
        <v>2</v>
      </c>
      <c r="C169" s="46" t="s">
        <v>258</v>
      </c>
      <c r="D169" s="46" t="str">
        <f>'[1]Таблица из архикада'!C384</f>
        <v>П-шка в стене верт</v>
      </c>
      <c r="E169" s="46">
        <f>'[1]Таблица из архикада'!E384</f>
        <v>17</v>
      </c>
      <c r="F169" s="22">
        <v>0.61599999999999999</v>
      </c>
      <c r="G169" s="46" t="s">
        <v>0</v>
      </c>
      <c r="H169" s="46">
        <f>'[1]Таблица из архикада'!H384+500</f>
        <v>1800</v>
      </c>
      <c r="I169" s="46">
        <f>'[1]Таблица из архикада'!I384</f>
        <v>10</v>
      </c>
      <c r="J169" s="46" t="s">
        <v>2</v>
      </c>
      <c r="K169" s="46"/>
      <c r="L169" s="46"/>
      <c r="M169" s="46"/>
      <c r="N169" s="46"/>
      <c r="O169" s="46"/>
      <c r="P169" s="46"/>
      <c r="Q169" s="46"/>
      <c r="R169" s="46"/>
      <c r="S169" s="46">
        <v>540</v>
      </c>
      <c r="T169" s="46">
        <v>650</v>
      </c>
      <c r="U169" s="48">
        <v>25</v>
      </c>
    </row>
    <row r="170" spans="1:21" ht="15.75" x14ac:dyDescent="0.25">
      <c r="A170" s="45" t="str">
        <f t="shared" si="5"/>
        <v>Пс8.7.6</v>
      </c>
      <c r="B170" s="46">
        <v>3</v>
      </c>
      <c r="C170" s="46" t="s">
        <v>258</v>
      </c>
      <c r="D170" s="46" t="str">
        <f>'[1]Таблица из архикада'!C385</f>
        <v>П-шка в стене гориз.</v>
      </c>
      <c r="E170" s="46">
        <f>'[1]Таблица из архикада'!E385</f>
        <v>18</v>
      </c>
      <c r="F170" s="22">
        <v>0.61599999999999999</v>
      </c>
      <c r="G170" s="46" t="s">
        <v>0</v>
      </c>
      <c r="H170" s="46">
        <f>'[1]Таблица из архикада'!H385</f>
        <v>1320</v>
      </c>
      <c r="I170" s="46">
        <f>'[1]Таблица из архикада'!I385</f>
        <v>10</v>
      </c>
      <c r="J170" s="46" t="s">
        <v>2</v>
      </c>
      <c r="K170" s="46"/>
      <c r="L170" s="46"/>
      <c r="M170" s="46"/>
      <c r="N170" s="46"/>
      <c r="O170" s="46"/>
      <c r="P170" s="46"/>
      <c r="Q170" s="46"/>
      <c r="R170" s="46"/>
      <c r="S170" s="46">
        <v>540</v>
      </c>
      <c r="T170" s="46">
        <v>650</v>
      </c>
      <c r="U170" s="48">
        <v>25</v>
      </c>
    </row>
    <row r="171" spans="1:21" ht="15.75" x14ac:dyDescent="0.25">
      <c r="A171" s="45" t="str">
        <f t="shared" si="5"/>
        <v>Пс8.7.6</v>
      </c>
      <c r="B171" s="46">
        <v>4</v>
      </c>
      <c r="C171" s="46" t="s">
        <v>258</v>
      </c>
      <c r="D171" s="46" t="str">
        <f>'[1]Таблица из архикада'!C386</f>
        <v>Вертик. В стене</v>
      </c>
      <c r="E171" s="46">
        <f>'[1]Таблица из архикада'!E386</f>
        <v>34</v>
      </c>
      <c r="F171" s="22">
        <v>0.61599999999999999</v>
      </c>
      <c r="G171" s="46" t="s">
        <v>0</v>
      </c>
      <c r="H171" s="46">
        <f>'[1]Таблица из архикада'!H386</f>
        <v>2170</v>
      </c>
      <c r="I171" s="46">
        <f>'[1]Таблица из архикада'!I386</f>
        <v>10</v>
      </c>
      <c r="J171" s="46" t="s">
        <v>2</v>
      </c>
      <c r="K171" s="46"/>
      <c r="L171" s="46"/>
      <c r="M171" s="46"/>
      <c r="N171" s="46"/>
      <c r="O171" s="46"/>
      <c r="P171" s="46"/>
      <c r="Q171" s="46"/>
      <c r="R171" s="46"/>
      <c r="S171" s="46">
        <v>540</v>
      </c>
      <c r="T171" s="46">
        <v>650</v>
      </c>
      <c r="U171" s="48">
        <v>25</v>
      </c>
    </row>
    <row r="172" spans="1:21" ht="15.75" x14ac:dyDescent="0.25">
      <c r="A172" s="45" t="str">
        <f t="shared" si="5"/>
        <v>Пс8.7.6</v>
      </c>
      <c r="B172" s="46">
        <v>5</v>
      </c>
      <c r="C172" s="46" t="s">
        <v>190</v>
      </c>
      <c r="D172" s="46" t="str">
        <f>'[1]Таблица из архикада'!C387</f>
        <v>Шпилька</v>
      </c>
      <c r="E172" s="46">
        <f>'[1]Таблица из архикада'!E387</f>
        <v>77</v>
      </c>
      <c r="F172" s="22">
        <v>0.222</v>
      </c>
      <c r="G172" s="46" t="s">
        <v>0</v>
      </c>
      <c r="H172" s="46">
        <f>'[1]Таблица из архикада'!H387</f>
        <v>470</v>
      </c>
      <c r="I172" s="46">
        <f>'[1]Таблица из архикада'!I387</f>
        <v>6</v>
      </c>
      <c r="J172" s="46" t="s">
        <v>1</v>
      </c>
      <c r="K172" s="46"/>
      <c r="L172" s="46"/>
      <c r="M172" s="46"/>
      <c r="N172" s="46"/>
      <c r="O172" s="46"/>
      <c r="P172" s="46"/>
      <c r="Q172" s="46"/>
      <c r="R172" s="46"/>
      <c r="S172" s="46">
        <v>200</v>
      </c>
      <c r="T172" s="46">
        <v>250</v>
      </c>
      <c r="U172" s="48">
        <v>7.5</v>
      </c>
    </row>
    <row r="173" spans="1:21" ht="15.75" x14ac:dyDescent="0.25">
      <c r="A173" s="45" t="str">
        <f t="shared" si="5"/>
        <v>Пс8.7.6</v>
      </c>
      <c r="B173" s="46">
        <v>6</v>
      </c>
      <c r="C173" s="46" t="s">
        <v>258</v>
      </c>
      <c r="D173" s="46" t="str">
        <f>'[1]Таблица из архикада'!C388</f>
        <v>Поперечная в подошве</v>
      </c>
      <c r="E173" s="46">
        <f>'[1]Таблица из архикада'!E388</f>
        <v>17</v>
      </c>
      <c r="F173" s="22">
        <v>0.61599999999999999</v>
      </c>
      <c r="G173" s="46"/>
      <c r="H173" s="46">
        <f>'[1]Таблица из архикада'!H388</f>
        <v>950</v>
      </c>
      <c r="I173" s="46">
        <f>'[1]Таблица из архикада'!I388</f>
        <v>10</v>
      </c>
      <c r="J173" s="46" t="s">
        <v>2</v>
      </c>
      <c r="K173" s="46"/>
      <c r="L173" s="46"/>
      <c r="M173" s="46"/>
      <c r="N173" s="46"/>
      <c r="O173" s="46"/>
      <c r="P173" s="46"/>
      <c r="Q173" s="46"/>
      <c r="R173" s="46"/>
      <c r="S173" s="46">
        <v>540</v>
      </c>
      <c r="T173" s="46">
        <v>650</v>
      </c>
      <c r="U173" s="48">
        <v>25</v>
      </c>
    </row>
    <row r="174" spans="1:21" ht="15.75" x14ac:dyDescent="0.25">
      <c r="A174" s="45" t="str">
        <f t="shared" si="5"/>
        <v>Пс8.7.6</v>
      </c>
      <c r="B174" s="46">
        <v>7</v>
      </c>
      <c r="C174" s="46" t="s">
        <v>258</v>
      </c>
      <c r="D174" s="46" t="str">
        <f>'[1]Таблица из архикада'!C389</f>
        <v>Продольная в подошве</v>
      </c>
      <c r="E174" s="46">
        <f>'[1]Таблица из архикада'!E389</f>
        <v>10</v>
      </c>
      <c r="F174" s="22">
        <v>0.61599999999999999</v>
      </c>
      <c r="G174" s="46"/>
      <c r="H174" s="46">
        <f>'[1]Таблица из архикада'!H389</f>
        <v>3250</v>
      </c>
      <c r="I174" s="46">
        <f>'[1]Таблица из архикада'!I389</f>
        <v>10</v>
      </c>
      <c r="J174" s="46" t="s">
        <v>2</v>
      </c>
      <c r="K174" s="46"/>
      <c r="L174" s="46"/>
      <c r="M174" s="46"/>
      <c r="N174" s="46"/>
      <c r="O174" s="46"/>
      <c r="P174" s="46"/>
      <c r="Q174" s="46"/>
      <c r="R174" s="46"/>
      <c r="S174" s="46">
        <v>540</v>
      </c>
      <c r="T174" s="46">
        <v>650</v>
      </c>
      <c r="U174" s="48">
        <v>25</v>
      </c>
    </row>
    <row r="175" spans="1:21" ht="15.75" x14ac:dyDescent="0.25">
      <c r="A175" s="45" t="str">
        <f t="shared" si="5"/>
        <v>Пс8.7.6</v>
      </c>
      <c r="B175" s="46">
        <v>9</v>
      </c>
      <c r="C175" s="46" t="s">
        <v>258</v>
      </c>
      <c r="D175" s="46" t="str">
        <f>'[1]Таблица из архикада'!C391</f>
        <v>П-шка в продол.сеч.</v>
      </c>
      <c r="E175" s="46">
        <f>'[1]Таблица из архикада'!E391</f>
        <v>10</v>
      </c>
      <c r="F175" s="22">
        <v>0.61599999999999999</v>
      </c>
      <c r="G175" s="46" t="s">
        <v>0</v>
      </c>
      <c r="H175" s="46">
        <f>'[1]Таблица из архикада'!H391</f>
        <v>1200</v>
      </c>
      <c r="I175" s="46">
        <f>'[1]Таблица из архикада'!I391</f>
        <v>10</v>
      </c>
      <c r="J175" s="46" t="s">
        <v>2</v>
      </c>
      <c r="K175" s="46"/>
      <c r="L175" s="46"/>
      <c r="M175" s="46"/>
      <c r="N175" s="46"/>
      <c r="O175" s="46"/>
      <c r="P175" s="46"/>
      <c r="Q175" s="46"/>
      <c r="R175" s="46"/>
      <c r="S175" s="46">
        <v>540</v>
      </c>
      <c r="T175" s="46">
        <v>650</v>
      </c>
      <c r="U175" s="48">
        <v>25</v>
      </c>
    </row>
    <row r="176" spans="1:21" ht="31.5" x14ac:dyDescent="0.25">
      <c r="A176" s="45" t="str">
        <f t="shared" si="5"/>
        <v>Пс8.7.6</v>
      </c>
      <c r="B176" s="46">
        <v>13</v>
      </c>
      <c r="C176" s="46" t="s">
        <v>258</v>
      </c>
      <c r="D176" s="46" t="str">
        <f>'[1]Таблица из архикада'!C395</f>
        <v>С-образная попер. В подошве</v>
      </c>
      <c r="E176" s="46">
        <f>'[1]Таблица из архикада'!E395</f>
        <v>17</v>
      </c>
      <c r="F176" s="22">
        <v>0.61599999999999999</v>
      </c>
      <c r="G176" s="46" t="s">
        <v>0</v>
      </c>
      <c r="H176" s="46">
        <f>'[1]Таблица из архикада'!H395</f>
        <v>1420</v>
      </c>
      <c r="I176" s="46">
        <f>'[1]Таблица из архикада'!I395</f>
        <v>10</v>
      </c>
      <c r="J176" s="46" t="s">
        <v>2</v>
      </c>
      <c r="K176" s="46"/>
      <c r="L176" s="46"/>
      <c r="M176" s="46"/>
      <c r="N176" s="46"/>
      <c r="O176" s="46"/>
      <c r="P176" s="46"/>
      <c r="Q176" s="46"/>
      <c r="R176" s="46"/>
      <c r="S176" s="46">
        <v>540</v>
      </c>
      <c r="T176" s="46">
        <v>650</v>
      </c>
      <c r="U176" s="48">
        <v>25</v>
      </c>
    </row>
    <row r="177" spans="1:21" ht="15.75" x14ac:dyDescent="0.25">
      <c r="A177" s="45" t="str">
        <f>A176</f>
        <v>Пс8.7.6</v>
      </c>
      <c r="B177" s="46">
        <v>17</v>
      </c>
      <c r="C177" s="46" t="s">
        <v>190</v>
      </c>
      <c r="D177" s="46" t="s">
        <v>2855</v>
      </c>
      <c r="E177" s="46">
        <f>ROUNDUP('[1]Таблица из архикада'!O382/400,0)</f>
        <v>9</v>
      </c>
      <c r="F177" s="22">
        <v>0.222</v>
      </c>
      <c r="G177" s="46"/>
      <c r="H177" s="46">
        <v>1280</v>
      </c>
      <c r="I177" s="46">
        <v>6</v>
      </c>
      <c r="J177" s="46" t="s">
        <v>1</v>
      </c>
      <c r="K177" s="46"/>
      <c r="L177" s="46"/>
      <c r="M177" s="46"/>
      <c r="N177" s="46"/>
      <c r="O177" s="46"/>
      <c r="P177" s="46"/>
      <c r="Q177" s="46"/>
      <c r="R177" s="46"/>
      <c r="S177" s="46">
        <v>200</v>
      </c>
      <c r="T177" s="46">
        <v>250</v>
      </c>
      <c r="U177" s="48">
        <v>7.5</v>
      </c>
    </row>
    <row r="178" spans="1:21" ht="15.75" x14ac:dyDescent="0.25">
      <c r="A178" s="45" t="str">
        <f t="shared" ref="A178:A179" si="6">A177</f>
        <v>Пс8.7.6</v>
      </c>
      <c r="B178" s="46"/>
      <c r="C178" s="28" t="s">
        <v>195</v>
      </c>
      <c r="D178" s="28" t="s">
        <v>2820</v>
      </c>
      <c r="E178" s="28">
        <f>'[1]Таблица из архикада'!F383</f>
        <v>3.4</v>
      </c>
      <c r="F178" s="22" t="s">
        <v>4</v>
      </c>
      <c r="G178" s="46" t="s">
        <v>3</v>
      </c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8"/>
    </row>
    <row r="179" spans="1:21" ht="31.5" x14ac:dyDescent="0.25">
      <c r="A179" s="45" t="str">
        <f t="shared" si="6"/>
        <v>Пс8.7.6</v>
      </c>
      <c r="B179" s="46"/>
      <c r="C179" s="28" t="s">
        <v>195</v>
      </c>
      <c r="D179" s="28" t="s">
        <v>2819</v>
      </c>
      <c r="E179" s="28">
        <f>'[1]Таблица из архикада'!G383</f>
        <v>0.4</v>
      </c>
      <c r="F179" s="22" t="s">
        <v>4</v>
      </c>
      <c r="G179" s="46" t="s">
        <v>3</v>
      </c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8"/>
    </row>
    <row r="180" spans="1:21" ht="15.75" x14ac:dyDescent="0.25">
      <c r="A180" s="45"/>
      <c r="B180" s="46"/>
      <c r="C180" s="46" t="s">
        <v>2821</v>
      </c>
      <c r="D180" s="46" t="s">
        <v>2849</v>
      </c>
      <c r="E180" s="46">
        <f>'[1]Исх.Таблица из архикада'!AI23</f>
        <v>0</v>
      </c>
      <c r="F180" s="46" t="s">
        <v>4</v>
      </c>
      <c r="G180" s="46" t="s">
        <v>3</v>
      </c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8"/>
    </row>
    <row r="181" spans="1:21" ht="15.75" x14ac:dyDescent="0.25">
      <c r="A181" s="45"/>
      <c r="B181" s="46"/>
      <c r="C181" s="46" t="s">
        <v>2823</v>
      </c>
      <c r="D181" s="46" t="s">
        <v>2850</v>
      </c>
      <c r="E181" s="46">
        <f>'[1]Исх.Таблица из архикада'!AG23</f>
        <v>0</v>
      </c>
      <c r="F181" s="46" t="s">
        <v>4</v>
      </c>
      <c r="G181" s="46" t="s">
        <v>3</v>
      </c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8"/>
    </row>
    <row r="182" spans="1:21" ht="15.75" x14ac:dyDescent="0.25">
      <c r="A182" s="45"/>
      <c r="B182" s="46"/>
      <c r="C182" s="46" t="s">
        <v>2825</v>
      </c>
      <c r="D182" s="46" t="s">
        <v>2826</v>
      </c>
      <c r="E182" s="46">
        <f>3.1+1.32+4.1*0.4</f>
        <v>6.06</v>
      </c>
      <c r="F182" s="46"/>
      <c r="G182" s="46" t="s">
        <v>2689</v>
      </c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8"/>
    </row>
    <row r="183" spans="1:21" ht="15.75" x14ac:dyDescent="0.25">
      <c r="A183" s="45"/>
      <c r="B183" s="46"/>
      <c r="C183" s="46" t="s">
        <v>2827</v>
      </c>
      <c r="D183" s="46" t="s">
        <v>2828</v>
      </c>
      <c r="E183" s="46">
        <f>'[1]Исх.Таблица из архикада'!AO23</f>
        <v>18.288</v>
      </c>
      <c r="F183" s="46"/>
      <c r="G183" s="46" t="s">
        <v>2689</v>
      </c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8"/>
    </row>
    <row r="184" spans="1:21" ht="15.75" x14ac:dyDescent="0.25">
      <c r="A184" s="45"/>
      <c r="B184" s="46"/>
      <c r="C184" s="46" t="s">
        <v>2829</v>
      </c>
      <c r="D184" s="46" t="s">
        <v>2830</v>
      </c>
      <c r="E184" s="46">
        <f>'[1]Исх.Таблица из архикада'!AK23</f>
        <v>2.0240000000000001E-2</v>
      </c>
      <c r="F184" s="46"/>
      <c r="G184" s="46" t="s">
        <v>3</v>
      </c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8"/>
    </row>
    <row r="185" spans="1:21" ht="15.75" x14ac:dyDescent="0.25">
      <c r="A185" s="45"/>
      <c r="B185" s="46"/>
      <c r="C185" s="46"/>
      <c r="D185" s="46" t="s">
        <v>2831</v>
      </c>
      <c r="E185" s="46">
        <f>'[1]Исх.Таблица из архикада'!AJ23</f>
        <v>3.56</v>
      </c>
      <c r="F185" s="46"/>
      <c r="G185" s="46" t="s">
        <v>27</v>
      </c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8"/>
    </row>
    <row r="186" spans="1:21" ht="15.75" x14ac:dyDescent="0.25">
      <c r="A186" s="45"/>
      <c r="B186" s="46"/>
      <c r="C186" s="46" t="s">
        <v>258</v>
      </c>
      <c r="D186" s="46" t="s">
        <v>2836</v>
      </c>
      <c r="E186" s="46">
        <f>'[1]Исх.Таблица из архикада'!AL23</f>
        <v>6</v>
      </c>
      <c r="F186" s="46">
        <f>2.47*0.3</f>
        <v>0.74099999999999999</v>
      </c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8"/>
    </row>
    <row r="187" spans="1:21" ht="15.75" x14ac:dyDescent="0.25">
      <c r="A187" s="45"/>
      <c r="B187" s="46"/>
      <c r="C187" s="46" t="s">
        <v>2834</v>
      </c>
      <c r="D187" s="46" t="s">
        <v>2789</v>
      </c>
      <c r="E187" s="46">
        <f>'[1]Исх.Таблица из архикада'!AM23</f>
        <v>6</v>
      </c>
      <c r="F187" s="46">
        <f>1.53*0.32</f>
        <v>0.48960000000000004</v>
      </c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8"/>
    </row>
    <row r="188" spans="1:21" ht="15.75" x14ac:dyDescent="0.25">
      <c r="A188" s="45"/>
      <c r="B188" s="46" t="s">
        <v>2844</v>
      </c>
      <c r="C188" s="46" t="s">
        <v>2832</v>
      </c>
      <c r="D188" s="46" t="s">
        <v>2833</v>
      </c>
      <c r="E188" s="46">
        <f>ROUNDUP(('[1]Исх.Таблица из архикада'!B23)/2000,0)</f>
        <v>2</v>
      </c>
      <c r="F188" s="46">
        <f>6.1*0.2</f>
        <v>1.22</v>
      </c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8"/>
    </row>
    <row r="189" spans="1:21" ht="15.75" x14ac:dyDescent="0.25">
      <c r="A189" s="45" t="str">
        <f>A177</f>
        <v>Пс8.7.6</v>
      </c>
      <c r="B189" s="46" t="s">
        <v>2752</v>
      </c>
      <c r="C189" s="46" t="s">
        <v>2701</v>
      </c>
      <c r="D189" s="46" t="s">
        <v>2753</v>
      </c>
      <c r="E189" s="46">
        <v>2</v>
      </c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8"/>
    </row>
    <row r="190" spans="1:21" ht="15.75" x14ac:dyDescent="0.2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</row>
    <row r="191" spans="1:21" ht="15.75" x14ac:dyDescent="0.2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</row>
    <row r="192" spans="1:21" ht="15.75" x14ac:dyDescent="0.2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</row>
    <row r="193" spans="1:21" ht="15.75" x14ac:dyDescent="0.2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</row>
    <row r="194" spans="1:21" ht="15.75" x14ac:dyDescent="0.2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</row>
    <row r="195" spans="1:21" ht="15.75" x14ac:dyDescent="0.25">
      <c r="A195" s="21" t="str">
        <f>A198</f>
        <v>Пс8.7.7</v>
      </c>
      <c r="B195" s="22" t="s">
        <v>183</v>
      </c>
      <c r="C195" s="22" t="s">
        <v>184</v>
      </c>
      <c r="D195" s="22" t="s">
        <v>2818</v>
      </c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3"/>
    </row>
    <row r="196" spans="1:21" ht="15.75" x14ac:dyDescent="0.25">
      <c r="A196" s="21" t="str">
        <f>A198</f>
        <v>Пс8.7.7</v>
      </c>
      <c r="B196" s="22" t="s">
        <v>183</v>
      </c>
      <c r="C196" s="22" t="s">
        <v>2835</v>
      </c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3"/>
    </row>
    <row r="197" spans="1:21" ht="15.75" x14ac:dyDescent="0.25">
      <c r="A197" s="21" t="s">
        <v>183</v>
      </c>
      <c r="B197" s="22" t="s">
        <v>183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3"/>
    </row>
    <row r="198" spans="1:21" ht="31.5" x14ac:dyDescent="0.25">
      <c r="A198" s="25" t="str">
        <f>'[1]Исх.Таблица из архикада'!A24</f>
        <v>Пс8.7.7</v>
      </c>
      <c r="B198" s="26" t="str">
        <f>A198</f>
        <v>Пс8.7.7</v>
      </c>
      <c r="C198" s="26"/>
      <c r="D198" s="26" t="str">
        <f>CONCATENATE("Монолитная подпорная стена ",A198)</f>
        <v>Монолитная подпорная стена Пс8.7.7</v>
      </c>
      <c r="E198" s="26">
        <v>1</v>
      </c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7"/>
    </row>
    <row r="199" spans="1:21" ht="15.75" x14ac:dyDescent="0.25">
      <c r="A199" s="45" t="str">
        <f t="shared" ref="A199:A207" si="7">A198</f>
        <v>Пс8.7.7</v>
      </c>
      <c r="B199" s="46">
        <v>1</v>
      </c>
      <c r="C199" s="46" t="s">
        <v>258</v>
      </c>
      <c r="D199" s="46" t="str">
        <f>'[1]Таблица из архикада'!C402</f>
        <v>Гориз. В стене</v>
      </c>
      <c r="E199" s="46">
        <f>'[1]Таблица из архикада'!E402</f>
        <v>19</v>
      </c>
      <c r="F199" s="22">
        <v>0.61599999999999999</v>
      </c>
      <c r="G199" s="46" t="s">
        <v>27</v>
      </c>
      <c r="H199" s="46">
        <f>'[1]Таблица из архикада'!H402*2</f>
        <v>6500</v>
      </c>
      <c r="I199" s="46">
        <f>'[1]Таблица из архикада'!I402</f>
        <v>10</v>
      </c>
      <c r="J199" s="46" t="s">
        <v>2</v>
      </c>
      <c r="K199" s="46"/>
      <c r="L199" s="46"/>
      <c r="M199" s="46"/>
      <c r="N199" s="46"/>
      <c r="O199" s="46"/>
      <c r="P199" s="46"/>
      <c r="Q199" s="46"/>
      <c r="R199" s="46"/>
      <c r="S199" s="46">
        <v>540</v>
      </c>
      <c r="T199" s="46">
        <v>650</v>
      </c>
      <c r="U199" s="48">
        <v>25</v>
      </c>
    </row>
    <row r="200" spans="1:21" ht="15.75" x14ac:dyDescent="0.25">
      <c r="A200" s="45" t="str">
        <f t="shared" si="7"/>
        <v>Пс8.7.7</v>
      </c>
      <c r="B200" s="46">
        <v>2</v>
      </c>
      <c r="C200" s="46" t="s">
        <v>258</v>
      </c>
      <c r="D200" s="46" t="str">
        <f>'[1]Таблица из архикада'!C403</f>
        <v>П-шка в стене верт</v>
      </c>
      <c r="E200" s="46">
        <f>'[1]Таблица из архикада'!E403</f>
        <v>17</v>
      </c>
      <c r="F200" s="22">
        <v>0.61599999999999999</v>
      </c>
      <c r="G200" s="46" t="s">
        <v>0</v>
      </c>
      <c r="H200" s="46">
        <f>'[1]Таблица из архикада'!H403+500</f>
        <v>1800</v>
      </c>
      <c r="I200" s="46">
        <f>'[1]Таблица из архикада'!I403</f>
        <v>10</v>
      </c>
      <c r="J200" s="46" t="s">
        <v>2</v>
      </c>
      <c r="K200" s="46"/>
      <c r="L200" s="46"/>
      <c r="M200" s="46"/>
      <c r="N200" s="46"/>
      <c r="O200" s="46"/>
      <c r="P200" s="46"/>
      <c r="Q200" s="46"/>
      <c r="R200" s="46"/>
      <c r="S200" s="46">
        <v>540</v>
      </c>
      <c r="T200" s="46">
        <v>650</v>
      </c>
      <c r="U200" s="48">
        <v>25</v>
      </c>
    </row>
    <row r="201" spans="1:21" ht="15.75" x14ac:dyDescent="0.25">
      <c r="A201" s="45" t="str">
        <f t="shared" si="7"/>
        <v>Пс8.7.7</v>
      </c>
      <c r="B201" s="46">
        <v>3</v>
      </c>
      <c r="C201" s="46" t="s">
        <v>258</v>
      </c>
      <c r="D201" s="46" t="str">
        <f>'[1]Таблица из архикада'!C404</f>
        <v>П-шка в стене гориз.</v>
      </c>
      <c r="E201" s="46">
        <f>'[1]Таблица из архикада'!E404</f>
        <v>18</v>
      </c>
      <c r="F201" s="22">
        <v>0.61599999999999999</v>
      </c>
      <c r="G201" s="46" t="s">
        <v>0</v>
      </c>
      <c r="H201" s="46">
        <f>'[1]Таблица из архикада'!H404</f>
        <v>1320</v>
      </c>
      <c r="I201" s="46">
        <f>'[1]Таблица из архикада'!I404</f>
        <v>10</v>
      </c>
      <c r="J201" s="46" t="s">
        <v>2</v>
      </c>
      <c r="K201" s="46"/>
      <c r="L201" s="46"/>
      <c r="M201" s="46"/>
      <c r="N201" s="46"/>
      <c r="O201" s="46"/>
      <c r="P201" s="46"/>
      <c r="Q201" s="46"/>
      <c r="R201" s="46"/>
      <c r="S201" s="46">
        <v>540</v>
      </c>
      <c r="T201" s="46">
        <v>650</v>
      </c>
      <c r="U201" s="48">
        <v>25</v>
      </c>
    </row>
    <row r="202" spans="1:21" ht="15.75" x14ac:dyDescent="0.25">
      <c r="A202" s="45" t="str">
        <f t="shared" si="7"/>
        <v>Пс8.7.7</v>
      </c>
      <c r="B202" s="46">
        <v>4</v>
      </c>
      <c r="C202" s="46" t="s">
        <v>258</v>
      </c>
      <c r="D202" s="46" t="str">
        <f>'[1]Таблица из архикада'!C405</f>
        <v>Вертик. В стене</v>
      </c>
      <c r="E202" s="46">
        <f>'[1]Таблица из архикада'!E405</f>
        <v>34</v>
      </c>
      <c r="F202" s="22">
        <v>0.61599999999999999</v>
      </c>
      <c r="G202" s="46" t="s">
        <v>0</v>
      </c>
      <c r="H202" s="46">
        <f>'[1]Таблица из архикада'!H405</f>
        <v>2170</v>
      </c>
      <c r="I202" s="46">
        <f>'[1]Таблица из архикада'!I405</f>
        <v>10</v>
      </c>
      <c r="J202" s="46" t="s">
        <v>2</v>
      </c>
      <c r="K202" s="46"/>
      <c r="L202" s="46"/>
      <c r="M202" s="46"/>
      <c r="N202" s="46"/>
      <c r="O202" s="46"/>
      <c r="P202" s="46"/>
      <c r="Q202" s="46"/>
      <c r="R202" s="46"/>
      <c r="S202" s="46">
        <v>540</v>
      </c>
      <c r="T202" s="46">
        <v>650</v>
      </c>
      <c r="U202" s="48">
        <v>25</v>
      </c>
    </row>
    <row r="203" spans="1:21" ht="15.75" x14ac:dyDescent="0.25">
      <c r="A203" s="45" t="str">
        <f t="shared" si="7"/>
        <v>Пс8.7.7</v>
      </c>
      <c r="B203" s="46">
        <v>5</v>
      </c>
      <c r="C203" s="46" t="s">
        <v>190</v>
      </c>
      <c r="D203" s="46" t="str">
        <f>'[1]Таблица из архикада'!C406</f>
        <v>Шпилька</v>
      </c>
      <c r="E203" s="46">
        <f>'[1]Таблица из архикада'!E406</f>
        <v>77</v>
      </c>
      <c r="F203" s="22">
        <v>0.222</v>
      </c>
      <c r="G203" s="46" t="s">
        <v>0</v>
      </c>
      <c r="H203" s="46">
        <f>'[1]Таблица из архикада'!H406</f>
        <v>470</v>
      </c>
      <c r="I203" s="46">
        <f>'[1]Таблица из архикада'!I406</f>
        <v>6</v>
      </c>
      <c r="J203" s="46" t="s">
        <v>1</v>
      </c>
      <c r="K203" s="46"/>
      <c r="L203" s="46"/>
      <c r="M203" s="46"/>
      <c r="N203" s="46"/>
      <c r="O203" s="46"/>
      <c r="P203" s="46"/>
      <c r="Q203" s="46"/>
      <c r="R203" s="46"/>
      <c r="S203" s="46">
        <v>200</v>
      </c>
      <c r="T203" s="46">
        <v>250</v>
      </c>
      <c r="U203" s="48">
        <v>7.5</v>
      </c>
    </row>
    <row r="204" spans="1:21" ht="15.75" x14ac:dyDescent="0.25">
      <c r="A204" s="45" t="str">
        <f t="shared" si="7"/>
        <v>Пс8.7.7</v>
      </c>
      <c r="B204" s="46">
        <v>6</v>
      </c>
      <c r="C204" s="46" t="s">
        <v>258</v>
      </c>
      <c r="D204" s="46" t="str">
        <f>'[1]Таблица из архикада'!C407</f>
        <v>Поперечная в подошве</v>
      </c>
      <c r="E204" s="46">
        <f>'[1]Таблица из архикада'!E407</f>
        <v>17</v>
      </c>
      <c r="F204" s="22">
        <v>0.61599999999999999</v>
      </c>
      <c r="G204" s="46"/>
      <c r="H204" s="46">
        <f>'[1]Таблица из архикада'!H407</f>
        <v>950</v>
      </c>
      <c r="I204" s="46">
        <f>'[1]Таблица из архикада'!I407</f>
        <v>10</v>
      </c>
      <c r="J204" s="46" t="s">
        <v>2</v>
      </c>
      <c r="K204" s="46"/>
      <c r="L204" s="46"/>
      <c r="M204" s="46"/>
      <c r="N204" s="46"/>
      <c r="O204" s="46"/>
      <c r="P204" s="46"/>
      <c r="Q204" s="46"/>
      <c r="R204" s="46"/>
      <c r="S204" s="46">
        <v>540</v>
      </c>
      <c r="T204" s="46">
        <v>650</v>
      </c>
      <c r="U204" s="48">
        <v>25</v>
      </c>
    </row>
    <row r="205" spans="1:21" ht="15.75" x14ac:dyDescent="0.25">
      <c r="A205" s="45" t="str">
        <f t="shared" si="7"/>
        <v>Пс8.7.7</v>
      </c>
      <c r="B205" s="46">
        <v>7</v>
      </c>
      <c r="C205" s="46" t="s">
        <v>258</v>
      </c>
      <c r="D205" s="46" t="str">
        <f>'[1]Таблица из архикада'!C408</f>
        <v>Продольная в подошве</v>
      </c>
      <c r="E205" s="46">
        <f>'[1]Таблица из архикада'!E408</f>
        <v>10</v>
      </c>
      <c r="F205" s="22">
        <v>0.61599999999999999</v>
      </c>
      <c r="G205" s="46"/>
      <c r="H205" s="46">
        <f>'[1]Таблица из архикада'!H408</f>
        <v>3250</v>
      </c>
      <c r="I205" s="46">
        <f>'[1]Таблица из архикада'!I408</f>
        <v>10</v>
      </c>
      <c r="J205" s="46" t="s">
        <v>2</v>
      </c>
      <c r="K205" s="46"/>
      <c r="L205" s="46"/>
      <c r="M205" s="46"/>
      <c r="N205" s="46"/>
      <c r="O205" s="46"/>
      <c r="P205" s="46"/>
      <c r="Q205" s="46"/>
      <c r="R205" s="46"/>
      <c r="S205" s="46">
        <v>540</v>
      </c>
      <c r="T205" s="46">
        <v>650</v>
      </c>
      <c r="U205" s="48">
        <v>25</v>
      </c>
    </row>
    <row r="206" spans="1:21" ht="15.75" x14ac:dyDescent="0.25">
      <c r="A206" s="45" t="str">
        <f t="shared" si="7"/>
        <v>Пс8.7.7</v>
      </c>
      <c r="B206" s="46">
        <v>9</v>
      </c>
      <c r="C206" s="46" t="s">
        <v>258</v>
      </c>
      <c r="D206" s="46" t="str">
        <f>'[1]Таблица из архикада'!C410</f>
        <v>П-шка в продол.сеч.</v>
      </c>
      <c r="E206" s="46">
        <f>'[1]Таблица из архикада'!E410</f>
        <v>10</v>
      </c>
      <c r="F206" s="22">
        <v>0.61599999999999999</v>
      </c>
      <c r="G206" s="46" t="s">
        <v>0</v>
      </c>
      <c r="H206" s="46">
        <f>'[1]Таблица из архикада'!H410</f>
        <v>1200</v>
      </c>
      <c r="I206" s="46">
        <f>'[1]Таблица из архикада'!I410</f>
        <v>10</v>
      </c>
      <c r="J206" s="46" t="s">
        <v>2</v>
      </c>
      <c r="K206" s="46"/>
      <c r="L206" s="46"/>
      <c r="M206" s="46"/>
      <c r="N206" s="46"/>
      <c r="O206" s="46"/>
      <c r="P206" s="46"/>
      <c r="Q206" s="46"/>
      <c r="R206" s="46"/>
      <c r="S206" s="46">
        <v>540</v>
      </c>
      <c r="T206" s="46">
        <v>650</v>
      </c>
      <c r="U206" s="48">
        <v>25</v>
      </c>
    </row>
    <row r="207" spans="1:21" ht="31.5" x14ac:dyDescent="0.25">
      <c r="A207" s="45" t="str">
        <f t="shared" si="7"/>
        <v>Пс8.7.7</v>
      </c>
      <c r="B207" s="46">
        <v>13</v>
      </c>
      <c r="C207" s="46" t="s">
        <v>258</v>
      </c>
      <c r="D207" s="46" t="str">
        <f>'[1]Таблица из архикада'!C414</f>
        <v>С-образная попер. В подошве</v>
      </c>
      <c r="E207" s="46">
        <f>'[1]Таблица из архикада'!E414</f>
        <v>17</v>
      </c>
      <c r="F207" s="22">
        <v>0.61599999999999999</v>
      </c>
      <c r="G207" s="46" t="s">
        <v>0</v>
      </c>
      <c r="H207" s="46">
        <f>'[1]Таблица из архикада'!H414</f>
        <v>1420</v>
      </c>
      <c r="I207" s="46">
        <f>'[1]Таблица из архикада'!I414</f>
        <v>10</v>
      </c>
      <c r="J207" s="46" t="s">
        <v>2</v>
      </c>
      <c r="K207" s="46"/>
      <c r="L207" s="46"/>
      <c r="M207" s="46"/>
      <c r="N207" s="46"/>
      <c r="O207" s="46"/>
      <c r="P207" s="46"/>
      <c r="Q207" s="46"/>
      <c r="R207" s="46"/>
      <c r="S207" s="46">
        <v>540</v>
      </c>
      <c r="T207" s="46">
        <v>650</v>
      </c>
      <c r="U207" s="48">
        <v>25</v>
      </c>
    </row>
    <row r="208" spans="1:21" ht="15.75" x14ac:dyDescent="0.25">
      <c r="A208" s="45" t="str">
        <f>A207</f>
        <v>Пс8.7.7</v>
      </c>
      <c r="B208" s="46">
        <v>17</v>
      </c>
      <c r="C208" s="46" t="s">
        <v>190</v>
      </c>
      <c r="D208" s="46" t="s">
        <v>2855</v>
      </c>
      <c r="E208" s="46">
        <f>ROUNDUP('[1]Таблица из архикада'!O401/400,0)</f>
        <v>9</v>
      </c>
      <c r="F208" s="22">
        <v>0.222</v>
      </c>
      <c r="G208" s="46"/>
      <c r="H208" s="46">
        <v>1280</v>
      </c>
      <c r="I208" s="46">
        <v>6</v>
      </c>
      <c r="J208" s="46" t="s">
        <v>1</v>
      </c>
      <c r="K208" s="46"/>
      <c r="L208" s="46"/>
      <c r="M208" s="46"/>
      <c r="N208" s="46"/>
      <c r="O208" s="46"/>
      <c r="P208" s="46"/>
      <c r="Q208" s="46"/>
      <c r="R208" s="46"/>
      <c r="S208" s="46">
        <v>200</v>
      </c>
      <c r="T208" s="46">
        <v>250</v>
      </c>
      <c r="U208" s="48">
        <v>7.5</v>
      </c>
    </row>
    <row r="209" spans="1:21" ht="15.75" x14ac:dyDescent="0.25">
      <c r="A209" s="45" t="str">
        <f t="shared" ref="A209:A210" si="8">A208</f>
        <v>Пс8.7.7</v>
      </c>
      <c r="B209" s="46"/>
      <c r="C209" s="28" t="s">
        <v>195</v>
      </c>
      <c r="D209" s="28" t="s">
        <v>2820</v>
      </c>
      <c r="E209" s="28">
        <f>'[1]Таблица из архикада'!F402</f>
        <v>3.4</v>
      </c>
      <c r="F209" s="22" t="s">
        <v>4</v>
      </c>
      <c r="G209" s="46" t="s">
        <v>3</v>
      </c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8"/>
    </row>
    <row r="210" spans="1:21" ht="31.5" x14ac:dyDescent="0.25">
      <c r="A210" s="45" t="str">
        <f t="shared" si="8"/>
        <v>Пс8.7.7</v>
      </c>
      <c r="B210" s="46"/>
      <c r="C210" s="28" t="s">
        <v>195</v>
      </c>
      <c r="D210" s="28" t="s">
        <v>2819</v>
      </c>
      <c r="E210" s="28">
        <f>'[1]Таблица из архикада'!G402</f>
        <v>0.4</v>
      </c>
      <c r="F210" s="22" t="s">
        <v>4</v>
      </c>
      <c r="G210" s="46" t="s">
        <v>3</v>
      </c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8"/>
    </row>
    <row r="211" spans="1:21" ht="15.75" x14ac:dyDescent="0.25">
      <c r="A211" s="45"/>
      <c r="B211" s="46"/>
      <c r="C211" s="46" t="s">
        <v>2821</v>
      </c>
      <c r="D211" s="46" t="s">
        <v>2849</v>
      </c>
      <c r="E211" s="46">
        <f>'[1]Исх.Таблица из архикада'!AI24</f>
        <v>0</v>
      </c>
      <c r="F211" s="46" t="s">
        <v>4</v>
      </c>
      <c r="G211" s="46" t="s">
        <v>3</v>
      </c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8"/>
    </row>
    <row r="212" spans="1:21" ht="15.75" x14ac:dyDescent="0.25">
      <c r="A212" s="45"/>
      <c r="B212" s="46"/>
      <c r="C212" s="46" t="s">
        <v>2823</v>
      </c>
      <c r="D212" s="46" t="s">
        <v>2850</v>
      </c>
      <c r="E212" s="46">
        <f>'[1]Исх.Таблица из архикада'!AG24</f>
        <v>0</v>
      </c>
      <c r="F212" s="46" t="s">
        <v>4</v>
      </c>
      <c r="G212" s="46" t="s">
        <v>3</v>
      </c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8"/>
    </row>
    <row r="213" spans="1:21" ht="15.75" x14ac:dyDescent="0.25">
      <c r="A213" s="45"/>
      <c r="B213" s="46"/>
      <c r="C213" s="46" t="s">
        <v>2825</v>
      </c>
      <c r="D213" s="46" t="s">
        <v>2826</v>
      </c>
      <c r="E213" s="46">
        <f>4.13+2.93+5.01*0.4</f>
        <v>9.0640000000000001</v>
      </c>
      <c r="F213" s="46"/>
      <c r="G213" s="46" t="s">
        <v>2689</v>
      </c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8"/>
    </row>
    <row r="214" spans="1:21" ht="15.75" x14ac:dyDescent="0.25">
      <c r="A214" s="45"/>
      <c r="B214" s="46"/>
      <c r="C214" s="46" t="s">
        <v>2827</v>
      </c>
      <c r="D214" s="46" t="s">
        <v>2828</v>
      </c>
      <c r="E214" s="46">
        <f>'[1]Исх.Таблица из архикада'!AO24</f>
        <v>21.257999999999999</v>
      </c>
      <c r="F214" s="46"/>
      <c r="G214" s="46" t="s">
        <v>2689</v>
      </c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8"/>
    </row>
    <row r="215" spans="1:21" ht="15.75" x14ac:dyDescent="0.25">
      <c r="A215" s="45"/>
      <c r="B215" s="46"/>
      <c r="C215" s="46" t="s">
        <v>2829</v>
      </c>
      <c r="D215" s="46" t="s">
        <v>2830</v>
      </c>
      <c r="E215" s="46">
        <f>'[1]Исх.Таблица из архикада'!AK24</f>
        <v>2.0240000000000001E-2</v>
      </c>
      <c r="F215" s="46"/>
      <c r="G215" s="46" t="s">
        <v>3</v>
      </c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8"/>
    </row>
    <row r="216" spans="1:21" ht="15.75" x14ac:dyDescent="0.25">
      <c r="A216" s="45"/>
      <c r="B216" s="46"/>
      <c r="C216" s="46"/>
      <c r="D216" s="46" t="s">
        <v>2831</v>
      </c>
      <c r="E216" s="46">
        <f>'[1]Исх.Таблица из архикада'!AJ24</f>
        <v>3.56</v>
      </c>
      <c r="F216" s="46"/>
      <c r="G216" s="46" t="s">
        <v>27</v>
      </c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8"/>
    </row>
    <row r="217" spans="1:21" ht="15.75" x14ac:dyDescent="0.25">
      <c r="A217" s="45"/>
      <c r="B217" s="46"/>
      <c r="C217" s="46" t="s">
        <v>258</v>
      </c>
      <c r="D217" s="46" t="s">
        <v>2836</v>
      </c>
      <c r="E217" s="46">
        <f>'[1]Исх.Таблица из архикада'!AL24</f>
        <v>6</v>
      </c>
      <c r="F217" s="46">
        <f>2.47*0.3</f>
        <v>0.74099999999999999</v>
      </c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8"/>
    </row>
    <row r="218" spans="1:21" ht="15.75" x14ac:dyDescent="0.25">
      <c r="A218" s="45"/>
      <c r="B218" s="46"/>
      <c r="C218" s="46" t="s">
        <v>2834</v>
      </c>
      <c r="D218" s="46" t="s">
        <v>2789</v>
      </c>
      <c r="E218" s="46">
        <f>'[1]Исх.Таблица из архикада'!AM24</f>
        <v>6</v>
      </c>
      <c r="F218" s="46">
        <f>1.53*0.32</f>
        <v>0.48960000000000004</v>
      </c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8"/>
    </row>
    <row r="219" spans="1:21" ht="15.75" x14ac:dyDescent="0.25">
      <c r="A219" s="45"/>
      <c r="B219" s="46" t="s">
        <v>2844</v>
      </c>
      <c r="C219" s="46" t="s">
        <v>2832</v>
      </c>
      <c r="D219" s="46" t="s">
        <v>2833</v>
      </c>
      <c r="E219" s="46">
        <f>ROUNDUP(('[1]Исх.Таблица из архикада'!B24)/2000,0)</f>
        <v>2</v>
      </c>
      <c r="F219" s="46">
        <f>6.1*0.2</f>
        <v>1.22</v>
      </c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8"/>
    </row>
    <row r="220" spans="1:21" ht="15.75" x14ac:dyDescent="0.25">
      <c r="A220" s="45" t="str">
        <f>A208</f>
        <v>Пс8.7.7</v>
      </c>
      <c r="B220" s="46" t="s">
        <v>2752</v>
      </c>
      <c r="C220" s="46" t="s">
        <v>2701</v>
      </c>
      <c r="D220" s="46" t="s">
        <v>2753</v>
      </c>
      <c r="E220" s="46">
        <v>2</v>
      </c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8"/>
    </row>
    <row r="221" spans="1:21" ht="15.75" x14ac:dyDescent="0.2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</row>
    <row r="222" spans="1:21" ht="15.75" x14ac:dyDescent="0.2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</row>
    <row r="223" spans="1:21" ht="15.75" x14ac:dyDescent="0.2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</row>
    <row r="224" spans="1:21" ht="15.75" x14ac:dyDescent="0.2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</row>
    <row r="225" spans="1:21" ht="15.75" x14ac:dyDescent="0.2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</row>
    <row r="226" spans="1:21" ht="15.75" x14ac:dyDescent="0.25">
      <c r="A226" s="21" t="str">
        <f>A229</f>
        <v>Пс8.7.8</v>
      </c>
      <c r="B226" s="22" t="s">
        <v>183</v>
      </c>
      <c r="C226" s="22" t="s">
        <v>184</v>
      </c>
      <c r="D226" s="22" t="s">
        <v>2818</v>
      </c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3"/>
    </row>
    <row r="227" spans="1:21" ht="15.75" x14ac:dyDescent="0.25">
      <c r="A227" s="21" t="str">
        <f>A229</f>
        <v>Пс8.7.8</v>
      </c>
      <c r="B227" s="22" t="s">
        <v>183</v>
      </c>
      <c r="C227" s="22" t="s">
        <v>2835</v>
      </c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3"/>
    </row>
    <row r="228" spans="1:21" ht="15.75" x14ac:dyDescent="0.25">
      <c r="A228" s="21" t="s">
        <v>183</v>
      </c>
      <c r="B228" s="22" t="s">
        <v>183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3"/>
    </row>
    <row r="229" spans="1:21" ht="31.5" x14ac:dyDescent="0.25">
      <c r="A229" s="25" t="str">
        <f>'[1]Исх.Таблица из архикада'!A25</f>
        <v>Пс8.7.8</v>
      </c>
      <c r="B229" s="26" t="str">
        <f>A229</f>
        <v>Пс8.7.8</v>
      </c>
      <c r="C229" s="26"/>
      <c r="D229" s="26" t="str">
        <f>CONCATENATE("Монолитная подпорная стена ",A229)</f>
        <v>Монолитная подпорная стена Пс8.7.8</v>
      </c>
      <c r="E229" s="26">
        <v>1</v>
      </c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7"/>
    </row>
    <row r="230" spans="1:21" ht="15.75" x14ac:dyDescent="0.25">
      <c r="A230" s="45" t="str">
        <f t="shared" ref="A230:A238" si="9">A229</f>
        <v>Пс8.7.8</v>
      </c>
      <c r="B230" s="46">
        <v>1</v>
      </c>
      <c r="C230" s="46" t="s">
        <v>258</v>
      </c>
      <c r="D230" s="46" t="str">
        <f>'[1]Таблица из архикада'!C421</f>
        <v>Гориз. В стене</v>
      </c>
      <c r="E230" s="46">
        <f>'[1]Таблица из архикада'!E421</f>
        <v>21</v>
      </c>
      <c r="F230" s="22">
        <v>0.61599999999999999</v>
      </c>
      <c r="G230" s="46" t="s">
        <v>27</v>
      </c>
      <c r="H230" s="46">
        <f>'[1]Таблица из архикада'!H421*2</f>
        <v>6940</v>
      </c>
      <c r="I230" s="46">
        <f>'[1]Таблица из архикада'!I421</f>
        <v>10</v>
      </c>
      <c r="J230" s="46" t="s">
        <v>2</v>
      </c>
      <c r="K230" s="46"/>
      <c r="L230" s="46"/>
      <c r="M230" s="46"/>
      <c r="N230" s="46"/>
      <c r="O230" s="46"/>
      <c r="P230" s="46"/>
      <c r="Q230" s="46"/>
      <c r="R230" s="46"/>
      <c r="S230" s="46">
        <v>540</v>
      </c>
      <c r="T230" s="46">
        <v>650</v>
      </c>
      <c r="U230" s="48">
        <v>25</v>
      </c>
    </row>
    <row r="231" spans="1:21" ht="15.75" x14ac:dyDescent="0.25">
      <c r="A231" s="45" t="str">
        <f t="shared" si="9"/>
        <v>Пс8.7.8</v>
      </c>
      <c r="B231" s="46">
        <v>2</v>
      </c>
      <c r="C231" s="46" t="s">
        <v>258</v>
      </c>
      <c r="D231" s="46" t="str">
        <f>'[1]Таблица из архикада'!C422</f>
        <v>П-шка в стене верт</v>
      </c>
      <c r="E231" s="46">
        <f>'[1]Таблица из архикада'!E422</f>
        <v>18</v>
      </c>
      <c r="F231" s="22">
        <v>0.61599999999999999</v>
      </c>
      <c r="G231" s="46" t="s">
        <v>0</v>
      </c>
      <c r="H231" s="46">
        <f>'[1]Таблица из архикада'!H422+500</f>
        <v>1800</v>
      </c>
      <c r="I231" s="46">
        <f>'[1]Таблица из архикада'!I422</f>
        <v>10</v>
      </c>
      <c r="J231" s="46" t="s">
        <v>2</v>
      </c>
      <c r="K231" s="46"/>
      <c r="L231" s="46"/>
      <c r="M231" s="46"/>
      <c r="N231" s="46"/>
      <c r="O231" s="46"/>
      <c r="P231" s="46"/>
      <c r="Q231" s="46"/>
      <c r="R231" s="46"/>
      <c r="S231" s="46">
        <v>540</v>
      </c>
      <c r="T231" s="46">
        <v>650</v>
      </c>
      <c r="U231" s="48">
        <v>25</v>
      </c>
    </row>
    <row r="232" spans="1:21" ht="15.75" x14ac:dyDescent="0.25">
      <c r="A232" s="45" t="str">
        <f t="shared" si="9"/>
        <v>Пс8.7.8</v>
      </c>
      <c r="B232" s="46">
        <v>3</v>
      </c>
      <c r="C232" s="46" t="s">
        <v>258</v>
      </c>
      <c r="D232" s="46" t="str">
        <f>'[1]Таблица из архикада'!C423</f>
        <v>П-шка в стене гориз.</v>
      </c>
      <c r="E232" s="46">
        <f>'[1]Таблица из архикада'!E423</f>
        <v>20</v>
      </c>
      <c r="F232" s="22">
        <v>0.61599999999999999</v>
      </c>
      <c r="G232" s="46" t="s">
        <v>0</v>
      </c>
      <c r="H232" s="46">
        <f>'[1]Таблица из архикада'!H423</f>
        <v>1320</v>
      </c>
      <c r="I232" s="46">
        <f>'[1]Таблица из архикада'!I423</f>
        <v>10</v>
      </c>
      <c r="J232" s="46" t="s">
        <v>2</v>
      </c>
      <c r="K232" s="46"/>
      <c r="L232" s="46"/>
      <c r="M232" s="46"/>
      <c r="N232" s="46"/>
      <c r="O232" s="46"/>
      <c r="P232" s="46"/>
      <c r="Q232" s="46"/>
      <c r="R232" s="46"/>
      <c r="S232" s="46">
        <v>540</v>
      </c>
      <c r="T232" s="46">
        <v>650</v>
      </c>
      <c r="U232" s="48">
        <v>25</v>
      </c>
    </row>
    <row r="233" spans="1:21" ht="15.75" x14ac:dyDescent="0.25">
      <c r="A233" s="45" t="str">
        <f t="shared" si="9"/>
        <v>Пс8.7.8</v>
      </c>
      <c r="B233" s="46">
        <v>4</v>
      </c>
      <c r="C233" s="46" t="s">
        <v>258</v>
      </c>
      <c r="D233" s="46" t="str">
        <f>'[1]Таблица из архикада'!C424</f>
        <v>Вертик. В стене</v>
      </c>
      <c r="E233" s="46">
        <f>'[1]Таблица из архикада'!E424</f>
        <v>36</v>
      </c>
      <c r="F233" s="22">
        <v>0.61599999999999999</v>
      </c>
      <c r="G233" s="46" t="s">
        <v>0</v>
      </c>
      <c r="H233" s="46">
        <f>'[1]Таблица из архикада'!H424</f>
        <v>2390</v>
      </c>
      <c r="I233" s="46">
        <f>'[1]Таблица из архикада'!I424</f>
        <v>10</v>
      </c>
      <c r="J233" s="46" t="s">
        <v>2</v>
      </c>
      <c r="K233" s="46"/>
      <c r="L233" s="46"/>
      <c r="M233" s="46"/>
      <c r="N233" s="46"/>
      <c r="O233" s="46"/>
      <c r="P233" s="46"/>
      <c r="Q233" s="46"/>
      <c r="R233" s="46"/>
      <c r="S233" s="46">
        <v>540</v>
      </c>
      <c r="T233" s="46">
        <v>650</v>
      </c>
      <c r="U233" s="48">
        <v>25</v>
      </c>
    </row>
    <row r="234" spans="1:21" ht="15.75" x14ac:dyDescent="0.25">
      <c r="A234" s="45" t="str">
        <f t="shared" si="9"/>
        <v>Пс8.7.8</v>
      </c>
      <c r="B234" s="46">
        <v>5</v>
      </c>
      <c r="C234" s="46" t="s">
        <v>190</v>
      </c>
      <c r="D234" s="46" t="str">
        <f>'[1]Таблица из архикада'!C425</f>
        <v>Шпилька</v>
      </c>
      <c r="E234" s="46">
        <f>'[1]Таблица из архикада'!E425</f>
        <v>92</v>
      </c>
      <c r="F234" s="22">
        <v>0.222</v>
      </c>
      <c r="G234" s="46" t="s">
        <v>0</v>
      </c>
      <c r="H234" s="46">
        <f>'[1]Таблица из архикада'!H425</f>
        <v>470</v>
      </c>
      <c r="I234" s="46">
        <f>'[1]Таблица из архикада'!I425</f>
        <v>6</v>
      </c>
      <c r="J234" s="46" t="s">
        <v>1</v>
      </c>
      <c r="K234" s="46"/>
      <c r="L234" s="46"/>
      <c r="M234" s="46"/>
      <c r="N234" s="46"/>
      <c r="O234" s="46"/>
      <c r="P234" s="46"/>
      <c r="Q234" s="46"/>
      <c r="R234" s="46"/>
      <c r="S234" s="46">
        <v>200</v>
      </c>
      <c r="T234" s="46">
        <v>250</v>
      </c>
      <c r="U234" s="48">
        <v>7.5</v>
      </c>
    </row>
    <row r="235" spans="1:21" ht="15.75" x14ac:dyDescent="0.25">
      <c r="A235" s="45" t="str">
        <f t="shared" si="9"/>
        <v>Пс8.7.8</v>
      </c>
      <c r="B235" s="46">
        <v>6</v>
      </c>
      <c r="C235" s="46" t="s">
        <v>258</v>
      </c>
      <c r="D235" s="46" t="str">
        <f>'[1]Таблица из архикада'!C426</f>
        <v>Поперечная в подошве</v>
      </c>
      <c r="E235" s="46">
        <f>'[1]Таблица из архикада'!E426</f>
        <v>18</v>
      </c>
      <c r="F235" s="22">
        <v>0.61599999999999999</v>
      </c>
      <c r="G235" s="46"/>
      <c r="H235" s="46">
        <f>'[1]Таблица из архикада'!H426</f>
        <v>950</v>
      </c>
      <c r="I235" s="46">
        <f>'[1]Таблица из архикада'!I426</f>
        <v>10</v>
      </c>
      <c r="J235" s="46" t="s">
        <v>2</v>
      </c>
      <c r="K235" s="46"/>
      <c r="L235" s="46"/>
      <c r="M235" s="46"/>
      <c r="N235" s="46"/>
      <c r="O235" s="46"/>
      <c r="P235" s="46"/>
      <c r="Q235" s="46"/>
      <c r="R235" s="46"/>
      <c r="S235" s="46">
        <v>540</v>
      </c>
      <c r="T235" s="46">
        <v>650</v>
      </c>
      <c r="U235" s="48">
        <v>25</v>
      </c>
    </row>
    <row r="236" spans="1:21" ht="15.75" x14ac:dyDescent="0.25">
      <c r="A236" s="45" t="str">
        <f t="shared" si="9"/>
        <v>Пс8.7.8</v>
      </c>
      <c r="B236" s="46">
        <v>7</v>
      </c>
      <c r="C236" s="46" t="s">
        <v>258</v>
      </c>
      <c r="D236" s="46" t="str">
        <f>'[1]Таблица из архикада'!C427</f>
        <v>Продольная в подошве</v>
      </c>
      <c r="E236" s="46">
        <f>'[1]Таблица из архикада'!E427</f>
        <v>10</v>
      </c>
      <c r="F236" s="22">
        <v>0.61599999999999999</v>
      </c>
      <c r="G236" s="46"/>
      <c r="H236" s="46">
        <f>'[1]Таблица из архикада'!H427</f>
        <v>3470</v>
      </c>
      <c r="I236" s="46">
        <f>'[1]Таблица из архикада'!I427</f>
        <v>10</v>
      </c>
      <c r="J236" s="46" t="s">
        <v>2</v>
      </c>
      <c r="K236" s="46"/>
      <c r="L236" s="46"/>
      <c r="M236" s="46"/>
      <c r="N236" s="46"/>
      <c r="O236" s="46"/>
      <c r="P236" s="46"/>
      <c r="Q236" s="46"/>
      <c r="R236" s="46"/>
      <c r="S236" s="46">
        <v>540</v>
      </c>
      <c r="T236" s="46">
        <v>650</v>
      </c>
      <c r="U236" s="48">
        <v>25</v>
      </c>
    </row>
    <row r="237" spans="1:21" ht="15.75" x14ac:dyDescent="0.25">
      <c r="A237" s="45" t="str">
        <f t="shared" si="9"/>
        <v>Пс8.7.8</v>
      </c>
      <c r="B237" s="46">
        <v>9</v>
      </c>
      <c r="C237" s="46" t="s">
        <v>258</v>
      </c>
      <c r="D237" s="46" t="str">
        <f>'[1]Таблица из архикада'!C429</f>
        <v>П-шка в продол.сеч.</v>
      </c>
      <c r="E237" s="46">
        <f>'[1]Таблица из архикада'!E429</f>
        <v>10</v>
      </c>
      <c r="F237" s="22">
        <v>0.61599999999999999</v>
      </c>
      <c r="G237" s="46" t="s">
        <v>0</v>
      </c>
      <c r="H237" s="46">
        <f>'[1]Таблица из архикада'!H429</f>
        <v>1200</v>
      </c>
      <c r="I237" s="46">
        <f>'[1]Таблица из архикада'!I429</f>
        <v>10</v>
      </c>
      <c r="J237" s="46" t="s">
        <v>2</v>
      </c>
      <c r="K237" s="46"/>
      <c r="L237" s="46"/>
      <c r="M237" s="46"/>
      <c r="N237" s="46"/>
      <c r="O237" s="46"/>
      <c r="P237" s="46"/>
      <c r="Q237" s="46"/>
      <c r="R237" s="46"/>
      <c r="S237" s="46">
        <v>540</v>
      </c>
      <c r="T237" s="46">
        <v>650</v>
      </c>
      <c r="U237" s="48">
        <v>25</v>
      </c>
    </row>
    <row r="238" spans="1:21" ht="31.5" x14ac:dyDescent="0.25">
      <c r="A238" s="45" t="str">
        <f t="shared" si="9"/>
        <v>Пс8.7.8</v>
      </c>
      <c r="B238" s="46">
        <v>13</v>
      </c>
      <c r="C238" s="46" t="s">
        <v>258</v>
      </c>
      <c r="D238" s="46" t="str">
        <f>'[1]Таблица из архикада'!C433</f>
        <v>С-образная попер. В подошве</v>
      </c>
      <c r="E238" s="46">
        <f>'[1]Таблица из архикада'!E433</f>
        <v>18</v>
      </c>
      <c r="F238" s="22">
        <v>0.61599999999999999</v>
      </c>
      <c r="G238" s="46" t="s">
        <v>0</v>
      </c>
      <c r="H238" s="46">
        <f>'[1]Таблица из архикада'!H433</f>
        <v>1420</v>
      </c>
      <c r="I238" s="46">
        <f>'[1]Таблица из архикада'!I433</f>
        <v>10</v>
      </c>
      <c r="J238" s="46" t="s">
        <v>2</v>
      </c>
      <c r="K238" s="46"/>
      <c r="L238" s="46"/>
      <c r="M238" s="46"/>
      <c r="N238" s="46"/>
      <c r="O238" s="46"/>
      <c r="P238" s="46"/>
      <c r="Q238" s="46"/>
      <c r="R238" s="46"/>
      <c r="S238" s="46">
        <v>540</v>
      </c>
      <c r="T238" s="46">
        <v>650</v>
      </c>
      <c r="U238" s="48">
        <v>25</v>
      </c>
    </row>
    <row r="239" spans="1:21" ht="15.75" x14ac:dyDescent="0.25">
      <c r="A239" s="45" t="str">
        <f>A238</f>
        <v>Пс8.7.8</v>
      </c>
      <c r="B239" s="46">
        <v>15</v>
      </c>
      <c r="C239" s="46" t="s">
        <v>190</v>
      </c>
      <c r="D239" s="46" t="s">
        <v>2855</v>
      </c>
      <c r="E239" s="46">
        <f>ROUNDUP('[1]Таблица из архикада'!O420/400,0)</f>
        <v>9</v>
      </c>
      <c r="F239" s="22">
        <v>0.222</v>
      </c>
      <c r="G239" s="46"/>
      <c r="H239" s="46">
        <v>1320</v>
      </c>
      <c r="I239" s="46">
        <v>6</v>
      </c>
      <c r="J239" s="46" t="s">
        <v>1</v>
      </c>
      <c r="K239" s="46"/>
      <c r="L239" s="46"/>
      <c r="M239" s="46"/>
      <c r="N239" s="46"/>
      <c r="O239" s="46"/>
      <c r="P239" s="46"/>
      <c r="Q239" s="46"/>
      <c r="R239" s="46"/>
      <c r="S239" s="46">
        <v>200</v>
      </c>
      <c r="T239" s="46">
        <v>250</v>
      </c>
      <c r="U239" s="48">
        <v>7.5</v>
      </c>
    </row>
    <row r="240" spans="1:21" ht="15.75" x14ac:dyDescent="0.25">
      <c r="A240" s="45" t="str">
        <f t="shared" ref="A240:A241" si="10">A239</f>
        <v>Пс8.7.8</v>
      </c>
      <c r="B240" s="46"/>
      <c r="C240" s="28" t="s">
        <v>195</v>
      </c>
      <c r="D240" s="28" t="s">
        <v>2820</v>
      </c>
      <c r="E240" s="28">
        <f>'[1]Таблица из архикада'!F421</f>
        <v>3.9</v>
      </c>
      <c r="F240" s="22" t="s">
        <v>4</v>
      </c>
      <c r="G240" s="46" t="s">
        <v>3</v>
      </c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8"/>
    </row>
    <row r="241" spans="1:21" ht="31.5" x14ac:dyDescent="0.25">
      <c r="A241" s="45" t="str">
        <f t="shared" si="10"/>
        <v>Пс8.7.8</v>
      </c>
      <c r="B241" s="46"/>
      <c r="C241" s="28" t="s">
        <v>195</v>
      </c>
      <c r="D241" s="28" t="s">
        <v>2819</v>
      </c>
      <c r="E241" s="28">
        <f>'[1]Таблица из архикада'!G421</f>
        <v>0.5</v>
      </c>
      <c r="F241" s="22" t="s">
        <v>4</v>
      </c>
      <c r="G241" s="46" t="s">
        <v>3</v>
      </c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8"/>
    </row>
    <row r="242" spans="1:21" ht="15.75" x14ac:dyDescent="0.25">
      <c r="A242" s="45"/>
      <c r="B242" s="46"/>
      <c r="C242" s="46" t="s">
        <v>2821</v>
      </c>
      <c r="D242" s="46" t="s">
        <v>2849</v>
      </c>
      <c r="E242" s="46">
        <f>'[1]Исх.Таблица из архикада'!AI25</f>
        <v>0</v>
      </c>
      <c r="F242" s="46" t="s">
        <v>4</v>
      </c>
      <c r="G242" s="46" t="s">
        <v>3</v>
      </c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8"/>
    </row>
    <row r="243" spans="1:21" ht="15.75" x14ac:dyDescent="0.25">
      <c r="A243" s="45"/>
      <c r="B243" s="46"/>
      <c r="C243" s="46" t="s">
        <v>2823</v>
      </c>
      <c r="D243" s="46" t="s">
        <v>2850</v>
      </c>
      <c r="E243" s="46">
        <f>'[1]Исх.Таблица из архикада'!AG25</f>
        <v>0</v>
      </c>
      <c r="F243" s="46" t="s">
        <v>4</v>
      </c>
      <c r="G243" s="46" t="s">
        <v>3</v>
      </c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8"/>
    </row>
    <row r="244" spans="1:21" ht="15.75" x14ac:dyDescent="0.25">
      <c r="A244" s="45"/>
      <c r="B244" s="46"/>
      <c r="C244" s="46" t="s">
        <v>2825</v>
      </c>
      <c r="D244" s="46" t="s">
        <v>2826</v>
      </c>
      <c r="E244" s="46">
        <f>5.13+2.12+4.83*0.4</f>
        <v>9.1820000000000004</v>
      </c>
      <c r="F244" s="46"/>
      <c r="G244" s="46" t="s">
        <v>2689</v>
      </c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8"/>
    </row>
    <row r="245" spans="1:21" ht="15.75" x14ac:dyDescent="0.25">
      <c r="A245" s="45"/>
      <c r="B245" s="46"/>
      <c r="C245" s="46" t="s">
        <v>2827</v>
      </c>
      <c r="D245" s="46" t="s">
        <v>2828</v>
      </c>
      <c r="E245" s="46">
        <f>'[1]Исх.Таблица из архикада'!AO25</f>
        <v>27.352</v>
      </c>
      <c r="F245" s="46"/>
      <c r="G245" s="46" t="s">
        <v>2689</v>
      </c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8"/>
    </row>
    <row r="246" spans="1:21" ht="15.75" x14ac:dyDescent="0.25">
      <c r="A246" s="45"/>
      <c r="B246" s="46"/>
      <c r="C246" s="46" t="s">
        <v>2829</v>
      </c>
      <c r="D246" s="46" t="s">
        <v>2830</v>
      </c>
      <c r="E246" s="46">
        <f>'[1]Исх.Таблица из архикада'!AK25</f>
        <v>2.1999999999999999E-2</v>
      </c>
      <c r="F246" s="46"/>
      <c r="G246" s="46" t="s">
        <v>3</v>
      </c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8"/>
    </row>
    <row r="247" spans="1:21" ht="15.75" x14ac:dyDescent="0.25">
      <c r="A247" s="45"/>
      <c r="B247" s="46"/>
      <c r="C247" s="46"/>
      <c r="D247" s="46" t="s">
        <v>2831</v>
      </c>
      <c r="E247" s="46">
        <f>'[1]Исх.Таблица из архикада'!AJ25</f>
        <v>4</v>
      </c>
      <c r="F247" s="46"/>
      <c r="G247" s="46" t="s">
        <v>27</v>
      </c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8"/>
    </row>
    <row r="248" spans="1:21" ht="15.75" x14ac:dyDescent="0.25">
      <c r="A248" s="45"/>
      <c r="B248" s="46"/>
      <c r="C248" s="46" t="s">
        <v>258</v>
      </c>
      <c r="D248" s="46" t="s">
        <v>2836</v>
      </c>
      <c r="E248" s="46">
        <f>'[1]Исх.Таблица из архикада'!AL25</f>
        <v>7</v>
      </c>
      <c r="F248" s="46">
        <f>2.47*0.3</f>
        <v>0.74099999999999999</v>
      </c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8"/>
    </row>
    <row r="249" spans="1:21" ht="15.75" x14ac:dyDescent="0.25">
      <c r="A249" s="45"/>
      <c r="B249" s="46"/>
      <c r="C249" s="46" t="s">
        <v>2834</v>
      </c>
      <c r="D249" s="46" t="s">
        <v>2789</v>
      </c>
      <c r="E249" s="46">
        <f>'[1]Исх.Таблица из архикада'!AM25</f>
        <v>7</v>
      </c>
      <c r="F249" s="46">
        <f>1.53*0.32</f>
        <v>0.48960000000000004</v>
      </c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8"/>
    </row>
    <row r="250" spans="1:21" ht="15.75" x14ac:dyDescent="0.25">
      <c r="A250" s="45"/>
      <c r="B250" s="46" t="s">
        <v>2844</v>
      </c>
      <c r="C250" s="46" t="s">
        <v>2832</v>
      </c>
      <c r="D250" s="46" t="s">
        <v>2833</v>
      </c>
      <c r="E250" s="46">
        <f>ROUNDUP(('[1]Исх.Таблица из архикада'!B25)/2000,0)</f>
        <v>2</v>
      </c>
      <c r="F250" s="46">
        <f>6.1*0.2</f>
        <v>1.22</v>
      </c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8"/>
    </row>
    <row r="251" spans="1:21" ht="16.5" thickBot="1" x14ac:dyDescent="0.3">
      <c r="A251" s="40" t="str">
        <f>A239</f>
        <v>Пс8.7.8</v>
      </c>
      <c r="B251" s="41" t="s">
        <v>2752</v>
      </c>
      <c r="C251" s="41" t="s">
        <v>2701</v>
      </c>
      <c r="D251" s="41" t="s">
        <v>2753</v>
      </c>
      <c r="E251" s="41">
        <v>2</v>
      </c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2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51 H2:Q2 K1 R1:S1 S2:U2">
    <cfRule type="containsText" dxfId="163" priority="2" stopIfTrue="1" operator="containsText" text="С ЛИСТА">
      <formula>NOT(ISERROR(SEARCH("С ЛИСТА",A1)))</formula>
    </cfRule>
    <cfRule type="containsText" dxfId="162" priority="3" stopIfTrue="1" operator="containsText" text="ИЗ ФАЙЛА">
      <formula>NOT(ISERROR(SEARCH("ИЗ ФАЙЛА",A1)))</formula>
    </cfRule>
    <cfRule type="containsText" dxfId="161" priority="4" stopIfTrue="1" operator="containsText" text="!!!">
      <formula>NOT(ISERROR(SEARCH("!!!",A1)))</formula>
    </cfRule>
    <cfRule type="containsText" dxfId="160" priority="5" stopIfTrue="1" operator="containsText" text=" Изделия ">
      <formula>NOT(ISERROR(SEARCH(" Изделия ",A1)))</formula>
    </cfRule>
    <cfRule type="containsText" dxfId="159" priority="6" stopIfTrue="1" operator="containsText" text=" Прокат ">
      <formula>NOT(ISERROR(SEARCH(" Прокат ",A1)))</formula>
    </cfRule>
    <cfRule type="containsText" dxfId="158" priority="7" stopIfTrue="1" operator="containsText" text=" Сборочные единицы ">
      <formula>NOT(ISERROR(SEARCH(" Сборочные единицы ",A1)))</formula>
    </cfRule>
    <cfRule type="containsText" dxfId="157" priority="8" stopIfTrue="1" operator="containsText" text=" Материалы ">
      <formula>NOT(ISERROR(SEARCH(" Материалы ",A1)))</formula>
    </cfRule>
    <cfRule type="containsText" dxfId="156" priority="9" stopIfTrue="1" operator="containsText" text=", на ">
      <formula>NOT(ISERROR(SEARCH(", на ",A1)))</formula>
    </cfRule>
    <cfRule type="containsText" dxfId="155" priority="10" stopIfTrue="1" operator="containsText" text="шт.)">
      <formula>NOT(ISERROR(SEARCH("шт.)",A1)))</formula>
    </cfRule>
  </conditionalFormatting>
  <conditionalFormatting sqref="A1:U1048576">
    <cfRule type="expression" dxfId="154" priority="1">
      <formula>ISERROR(A1)</formula>
    </cfRule>
  </conditionalFormatting>
  <pageMargins left="0.25" right="0.25" top="0.75" bottom="0.75" header="0.3" footer="0.3"/>
  <pageSetup paperSize="9" scale="80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88">
        <x14:dataValidation type="list" errorStyle="warning" allowBlank="1" showInputMessage="1" showErrorMessage="1">
          <x14:formula1>
            <xm:f>'!System'!$AO$1:$AO$6</xm:f>
          </x14:formula1>
          <xm:sqref>G3:G251</xm:sqref>
        </x14:dataValidation>
        <x14:dataValidation type="list" allowBlank="1" showInputMessage="1" showErrorMessage="1">
          <x14:formula1>
            <xm:f>'!System'!$U$1:$AC$1</xm:f>
          </x14:formula1>
          <xm:sqref>J3:J251</xm:sqref>
        </x14:dataValidation>
        <x14:dataValidation type="list" allowBlank="1" showInputMessage="1" showErrorMessage="1">
          <x14:formula1>
            <xm:f>'!System'!$A$1:$S$1</xm:f>
          </x14:formula1>
          <xm:sqref>L3:L251</xm:sqref>
        </x14:dataValidation>
        <x14:dataValidation type="list" allowBlank="1" showInputMessage="1" showErrorMessage="1">
          <x14:formula1>
            <xm:f>'!System'!$AD$1:$AN$1</xm:f>
          </x14:formula1>
          <xm:sqref>O3:O251</xm:sqref>
        </x14:dataValidation>
        <x14:dataValidation type="list" allowBlank="1" showInputMessage="1" showErrorMessage="1">
          <x14:formula1>
            <xm:f>'!System'!$AP$1:$AP$5</xm:f>
          </x14:formula1>
          <xm:sqref>P3:P251</xm:sqref>
        </x14:dataValidation>
        <x14:dataValidation type="list" allowBlank="1" showInputMessage="1" showErrorMessage="1">
          <x14:formula1>
            <xm:f>'!System'!$U$2:$U$17</xm:f>
          </x14:formula1>
          <xm:sqref>I7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'!System'!$U$2:$U$17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'!System'!$V$2:$V$16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I14</xm:sqref>
        </x14:dataValidation>
        <x14:dataValidation type="list" allowBlank="1" showInputMessage="1" showErrorMessage="1">
          <x14:formula1>
            <xm:f>'!System'!$U$2:$U$17</xm:f>
          </x14:formula1>
          <xm:sqref>I15</xm:sqref>
        </x14:dataValidation>
        <x14:dataValidation type="list" allowBlank="1" showInputMessage="1" showErrorMessage="1">
          <x14:formula1>
            <xm:f>'!System'!$V$2:$V$16</xm:f>
          </x14:formula1>
          <xm:sqref>I16</xm:sqref>
        </x14:dataValidation>
        <x14:dataValidation type="list" allowBlank="1" showInputMessage="1" showErrorMessage="1">
          <x14:formula1>
            <xm:f>'!System'!$U$2:$U$17</xm:f>
          </x14:formula1>
          <xm:sqref>I38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'!System'!$U$2:$U$17</xm:f>
          </x14:formula1>
          <xm:sqref>I40</xm:sqref>
        </x14:dataValidation>
        <x14:dataValidation type="list" allowBlank="1" showInputMessage="1" showErrorMessage="1">
          <x14:formula1>
            <xm:f>'!System'!$U$2:$U$17</xm:f>
          </x14:formula1>
          <xm:sqref>I41</xm:sqref>
        </x14:dataValidation>
        <x14:dataValidation type="list" allowBlank="1" showInputMessage="1" showErrorMessage="1">
          <x14:formula1>
            <xm:f>'!System'!$V$2:$V$16</xm:f>
          </x14:formula1>
          <xm:sqref>I42</xm:sqref>
        </x14:dataValidation>
        <x14:dataValidation type="list" allowBlank="1" showInputMessage="1" showErrorMessage="1">
          <x14:formula1>
            <xm:f>'!System'!$U$2:$U$17</xm:f>
          </x14:formula1>
          <xm:sqref>I43</xm:sqref>
        </x14:dataValidation>
        <x14:dataValidation type="list" allowBlank="1" showInputMessage="1" showErrorMessage="1">
          <x14:formula1>
            <xm:f>'!System'!$U$2:$U$17</xm:f>
          </x14:formula1>
          <xm:sqref>I44</xm:sqref>
        </x14:dataValidation>
        <x14:dataValidation type="list" allowBlank="1" showInputMessage="1" showErrorMessage="1">
          <x14:formula1>
            <xm:f>'!System'!$U$2:$U$17</xm:f>
          </x14:formula1>
          <xm:sqref>I45</xm:sqref>
        </x14:dataValidation>
        <x14:dataValidation type="list" allowBlank="1" showInputMessage="1" showErrorMessage="1">
          <x14:formula1>
            <xm:f>'!System'!$U$2:$U$17</xm:f>
          </x14:formula1>
          <xm:sqref>I46</xm:sqref>
        </x14:dataValidation>
        <x14:dataValidation type="list" allowBlank="1" showInputMessage="1" showErrorMessage="1">
          <x14:formula1>
            <xm:f>'!System'!$U$2:$U$17</xm:f>
          </x14:formula1>
          <xm:sqref>I47</xm:sqref>
        </x14:dataValidation>
        <x14:dataValidation type="list" allowBlank="1" showInputMessage="1" showErrorMessage="1">
          <x14:formula1>
            <xm:f>'!System'!$U$2:$U$17</xm:f>
          </x14:formula1>
          <xm:sqref>I48</xm:sqref>
        </x14:dataValidation>
        <x14:dataValidation type="list" allowBlank="1" showInputMessage="1" showErrorMessage="1">
          <x14:formula1>
            <xm:f>'!System'!$V$2:$V$16</xm:f>
          </x14:formula1>
          <xm:sqref>I49</xm:sqref>
        </x14:dataValidation>
        <x14:dataValidation type="list" allowBlank="1" showInputMessage="1" showErrorMessage="1">
          <x14:formula1>
            <xm:f>'!System'!$U$2:$U$17</xm:f>
          </x14:formula1>
          <xm:sqref>I71</xm:sqref>
        </x14:dataValidation>
        <x14:dataValidation type="list" allowBlank="1" showInputMessage="1" showErrorMessage="1">
          <x14:formula1>
            <xm:f>'!System'!$U$2:$U$17</xm:f>
          </x14:formula1>
          <xm:sqref>I72</xm:sqref>
        </x14:dataValidation>
        <x14:dataValidation type="list" allowBlank="1" showInputMessage="1" showErrorMessage="1">
          <x14:formula1>
            <xm:f>'!System'!$U$2:$U$17</xm:f>
          </x14:formula1>
          <xm:sqref>I73</xm:sqref>
        </x14:dataValidation>
        <x14:dataValidation type="list" allowBlank="1" showInputMessage="1" showErrorMessage="1">
          <x14:formula1>
            <xm:f>'!System'!$U$2:$U$17</xm:f>
          </x14:formula1>
          <xm:sqref>I74</xm:sqref>
        </x14:dataValidation>
        <x14:dataValidation type="list" allowBlank="1" showInputMessage="1" showErrorMessage="1">
          <x14:formula1>
            <xm:f>'!System'!$V$2:$V$16</xm:f>
          </x14:formula1>
          <xm:sqref>I75</xm:sqref>
        </x14:dataValidation>
        <x14:dataValidation type="list" allowBlank="1" showInputMessage="1" showErrorMessage="1">
          <x14:formula1>
            <xm:f>'!System'!$U$2:$U$17</xm:f>
          </x14:formula1>
          <xm:sqref>I76</xm:sqref>
        </x14:dataValidation>
        <x14:dataValidation type="list" allowBlank="1" showInputMessage="1" showErrorMessage="1">
          <x14:formula1>
            <xm:f>'!System'!$U$2:$U$17</xm:f>
          </x14:formula1>
          <xm:sqref>I77</xm:sqref>
        </x14:dataValidation>
        <x14:dataValidation type="list" allowBlank="1" showInputMessage="1" showErrorMessage="1">
          <x14:formula1>
            <xm:f>'!System'!$U$2:$U$17</xm:f>
          </x14:formula1>
          <xm:sqref>I78</xm:sqref>
        </x14:dataValidation>
        <x14:dataValidation type="list" allowBlank="1" showInputMessage="1" showErrorMessage="1">
          <x14:formula1>
            <xm:f>'!System'!$U$2:$U$17</xm:f>
          </x14:formula1>
          <xm:sqref>I79</xm:sqref>
        </x14:dataValidation>
        <x14:dataValidation type="list" allowBlank="1" showInputMessage="1" showErrorMessage="1">
          <x14:formula1>
            <xm:f>'!System'!$V$2:$V$16</xm:f>
          </x14:formula1>
          <xm:sqref>I80</xm:sqref>
        </x14:dataValidation>
        <x14:dataValidation type="list" allowBlank="1" showInputMessage="1" showErrorMessage="1">
          <x14:formula1>
            <xm:f>'!System'!$U$2:$U$17</xm:f>
          </x14:formula1>
          <xm:sqref>I103</xm:sqref>
        </x14:dataValidation>
        <x14:dataValidation type="list" allowBlank="1" showInputMessage="1" showErrorMessage="1">
          <x14:formula1>
            <xm:f>'!System'!$U$2:$U$17</xm:f>
          </x14:formula1>
          <xm:sqref>I104</xm:sqref>
        </x14:dataValidation>
        <x14:dataValidation type="list" allowBlank="1" showInputMessage="1" showErrorMessage="1">
          <x14:formula1>
            <xm:f>'!System'!$U$2:$U$17</xm:f>
          </x14:formula1>
          <xm:sqref>I105</xm:sqref>
        </x14:dataValidation>
        <x14:dataValidation type="list" allowBlank="1" showInputMessage="1" showErrorMessage="1">
          <x14:formula1>
            <xm:f>'!System'!$U$2:$U$17</xm:f>
          </x14:formula1>
          <xm:sqref>I106</xm:sqref>
        </x14:dataValidation>
        <x14:dataValidation type="list" allowBlank="1" showInputMessage="1" showErrorMessage="1">
          <x14:formula1>
            <xm:f>'!System'!$V$2:$V$16</xm:f>
          </x14:formula1>
          <xm:sqref>I107</xm:sqref>
        </x14:dataValidation>
        <x14:dataValidation type="list" allowBlank="1" showInputMessage="1" showErrorMessage="1">
          <x14:formula1>
            <xm:f>'!System'!$U$2:$U$17</xm:f>
          </x14:formula1>
          <xm:sqref>I108</xm:sqref>
        </x14:dataValidation>
        <x14:dataValidation type="list" allowBlank="1" showInputMessage="1" showErrorMessage="1">
          <x14:formula1>
            <xm:f>'!System'!$U$2:$U$17</xm:f>
          </x14:formula1>
          <xm:sqref>I109</xm:sqref>
        </x14:dataValidation>
        <x14:dataValidation type="list" allowBlank="1" showInputMessage="1" showErrorMessage="1">
          <x14:formula1>
            <xm:f>'!System'!$U$2:$U$17</xm:f>
          </x14:formula1>
          <xm:sqref>I110</xm:sqref>
        </x14:dataValidation>
        <x14:dataValidation type="list" allowBlank="1" showInputMessage="1" showErrorMessage="1">
          <x14:formula1>
            <xm:f>'!System'!$U$2:$U$17</xm:f>
          </x14:formula1>
          <xm:sqref>I111</xm:sqref>
        </x14:dataValidation>
        <x14:dataValidation type="list" allowBlank="1" showInputMessage="1" showErrorMessage="1">
          <x14:formula1>
            <xm:f>'!System'!$U$2:$U$17</xm:f>
          </x14:formula1>
          <xm:sqref>I112</xm:sqref>
        </x14:dataValidation>
        <x14:dataValidation type="list" allowBlank="1" showInputMessage="1" showErrorMessage="1">
          <x14:formula1>
            <xm:f>'!System'!$V$2:$V$16</xm:f>
          </x14:formula1>
          <xm:sqref>I113</xm:sqref>
        </x14:dataValidation>
        <x14:dataValidation type="list" allowBlank="1" showInputMessage="1" showErrorMessage="1">
          <x14:formula1>
            <xm:f>'!System'!$U$2:$U$17</xm:f>
          </x14:formula1>
          <xm:sqref>I136</xm:sqref>
        </x14:dataValidation>
        <x14:dataValidation type="list" allowBlank="1" showInputMessage="1" showErrorMessage="1">
          <x14:formula1>
            <xm:f>'!System'!$U$2:$U$17</xm:f>
          </x14:formula1>
          <xm:sqref>I137</xm:sqref>
        </x14:dataValidation>
        <x14:dataValidation type="list" allowBlank="1" showInputMessage="1" showErrorMessage="1">
          <x14:formula1>
            <xm:f>'!System'!$U$2:$U$17</xm:f>
          </x14:formula1>
          <xm:sqref>I138</xm:sqref>
        </x14:dataValidation>
        <x14:dataValidation type="list" allowBlank="1" showInputMessage="1" showErrorMessage="1">
          <x14:formula1>
            <xm:f>'!System'!$U$2:$U$17</xm:f>
          </x14:formula1>
          <xm:sqref>I139</xm:sqref>
        </x14:dataValidation>
        <x14:dataValidation type="list" allowBlank="1" showInputMessage="1" showErrorMessage="1">
          <x14:formula1>
            <xm:f>'!System'!$V$2:$V$16</xm:f>
          </x14:formula1>
          <xm:sqref>I140</xm:sqref>
        </x14:dataValidation>
        <x14:dataValidation type="list" allowBlank="1" showInputMessage="1" showErrorMessage="1">
          <x14:formula1>
            <xm:f>'!System'!$U$2:$U$17</xm:f>
          </x14:formula1>
          <xm:sqref>I141</xm:sqref>
        </x14:dataValidation>
        <x14:dataValidation type="list" allowBlank="1" showInputMessage="1" showErrorMessage="1">
          <x14:formula1>
            <xm:f>'!System'!$U$2:$U$17</xm:f>
          </x14:formula1>
          <xm:sqref>I142</xm:sqref>
        </x14:dataValidation>
        <x14:dataValidation type="list" allowBlank="1" showInputMessage="1" showErrorMessage="1">
          <x14:formula1>
            <xm:f>'!System'!$U$2:$U$17</xm:f>
          </x14:formula1>
          <xm:sqref>I143</xm:sqref>
        </x14:dataValidation>
        <x14:dataValidation type="list" allowBlank="1" showInputMessage="1" showErrorMessage="1">
          <x14:formula1>
            <xm:f>'!System'!$U$2:$U$17</xm:f>
          </x14:formula1>
          <xm:sqref>I144</xm:sqref>
        </x14:dataValidation>
        <x14:dataValidation type="list" allowBlank="1" showInputMessage="1" showErrorMessage="1">
          <x14:formula1>
            <xm:f>'!System'!$V$2:$V$16</xm:f>
          </x14:formula1>
          <xm:sqref>I145</xm:sqref>
        </x14:dataValidation>
        <x14:dataValidation type="list" allowBlank="1" showInputMessage="1" showErrorMessage="1">
          <x14:formula1>
            <xm:f>'!System'!$U$2:$U$17</xm:f>
          </x14:formula1>
          <xm:sqref>I168</xm:sqref>
        </x14:dataValidation>
        <x14:dataValidation type="list" allowBlank="1" showInputMessage="1" showErrorMessage="1">
          <x14:formula1>
            <xm:f>'!System'!$U$2:$U$17</xm:f>
          </x14:formula1>
          <xm:sqref>I169</xm:sqref>
        </x14:dataValidation>
        <x14:dataValidation type="list" allowBlank="1" showInputMessage="1" showErrorMessage="1">
          <x14:formula1>
            <xm:f>'!System'!$U$2:$U$17</xm:f>
          </x14:formula1>
          <xm:sqref>I170</xm:sqref>
        </x14:dataValidation>
        <x14:dataValidation type="list" allowBlank="1" showInputMessage="1" showErrorMessage="1">
          <x14:formula1>
            <xm:f>'!System'!$U$2:$U$17</xm:f>
          </x14:formula1>
          <xm:sqref>I171</xm:sqref>
        </x14:dataValidation>
        <x14:dataValidation type="list" allowBlank="1" showInputMessage="1" showErrorMessage="1">
          <x14:formula1>
            <xm:f>'!System'!$V$2:$V$16</xm:f>
          </x14:formula1>
          <xm:sqref>I172</xm:sqref>
        </x14:dataValidation>
        <x14:dataValidation type="list" allowBlank="1" showInputMessage="1" showErrorMessage="1">
          <x14:formula1>
            <xm:f>'!System'!$U$2:$U$17</xm:f>
          </x14:formula1>
          <xm:sqref>I173</xm:sqref>
        </x14:dataValidation>
        <x14:dataValidation type="list" allowBlank="1" showInputMessage="1" showErrorMessage="1">
          <x14:formula1>
            <xm:f>'!System'!$U$2:$U$17</xm:f>
          </x14:formula1>
          <xm:sqref>I174</xm:sqref>
        </x14:dataValidation>
        <x14:dataValidation type="list" allowBlank="1" showInputMessage="1" showErrorMessage="1">
          <x14:formula1>
            <xm:f>'!System'!$U$2:$U$17</xm:f>
          </x14:formula1>
          <xm:sqref>I175</xm:sqref>
        </x14:dataValidation>
        <x14:dataValidation type="list" allowBlank="1" showInputMessage="1" showErrorMessage="1">
          <x14:formula1>
            <xm:f>'!System'!$U$2:$U$17</xm:f>
          </x14:formula1>
          <xm:sqref>I176</xm:sqref>
        </x14:dataValidation>
        <x14:dataValidation type="list" allowBlank="1" showInputMessage="1" showErrorMessage="1">
          <x14:formula1>
            <xm:f>'!System'!$V$2:$V$16</xm:f>
          </x14:formula1>
          <xm:sqref>I177</xm:sqref>
        </x14:dataValidation>
        <x14:dataValidation type="list" allowBlank="1" showInputMessage="1" showErrorMessage="1">
          <x14:formula1>
            <xm:f>'!System'!$U$2:$U$17</xm:f>
          </x14:formula1>
          <xm:sqref>I199</xm:sqref>
        </x14:dataValidation>
        <x14:dataValidation type="list" allowBlank="1" showInputMessage="1" showErrorMessage="1">
          <x14:formula1>
            <xm:f>'!System'!$U$2:$U$17</xm:f>
          </x14:formula1>
          <xm:sqref>I200</xm:sqref>
        </x14:dataValidation>
        <x14:dataValidation type="list" allowBlank="1" showInputMessage="1" showErrorMessage="1">
          <x14:formula1>
            <xm:f>'!System'!$U$2:$U$17</xm:f>
          </x14:formula1>
          <xm:sqref>I201</xm:sqref>
        </x14:dataValidation>
        <x14:dataValidation type="list" allowBlank="1" showInputMessage="1" showErrorMessage="1">
          <x14:formula1>
            <xm:f>'!System'!$U$2:$U$17</xm:f>
          </x14:formula1>
          <xm:sqref>I202</xm:sqref>
        </x14:dataValidation>
        <x14:dataValidation type="list" allowBlank="1" showInputMessage="1" showErrorMessage="1">
          <x14:formula1>
            <xm:f>'!System'!$V$2:$V$16</xm:f>
          </x14:formula1>
          <xm:sqref>I203</xm:sqref>
        </x14:dataValidation>
        <x14:dataValidation type="list" allowBlank="1" showInputMessage="1" showErrorMessage="1">
          <x14:formula1>
            <xm:f>'!System'!$U$2:$U$17</xm:f>
          </x14:formula1>
          <xm:sqref>I204</xm:sqref>
        </x14:dataValidation>
        <x14:dataValidation type="list" allowBlank="1" showInputMessage="1" showErrorMessage="1">
          <x14:formula1>
            <xm:f>'!System'!$U$2:$U$17</xm:f>
          </x14:formula1>
          <xm:sqref>I205</xm:sqref>
        </x14:dataValidation>
        <x14:dataValidation type="list" allowBlank="1" showInputMessage="1" showErrorMessage="1">
          <x14:formula1>
            <xm:f>'!System'!$U$2:$U$17</xm:f>
          </x14:formula1>
          <xm:sqref>I206</xm:sqref>
        </x14:dataValidation>
        <x14:dataValidation type="list" allowBlank="1" showInputMessage="1" showErrorMessage="1">
          <x14:formula1>
            <xm:f>'!System'!$U$2:$U$17</xm:f>
          </x14:formula1>
          <xm:sqref>I207</xm:sqref>
        </x14:dataValidation>
        <x14:dataValidation type="list" allowBlank="1" showInputMessage="1" showErrorMessage="1">
          <x14:formula1>
            <xm:f>'!System'!$V$2:$V$16</xm:f>
          </x14:formula1>
          <xm:sqref>I208</xm:sqref>
        </x14:dataValidation>
        <x14:dataValidation type="list" allowBlank="1" showInputMessage="1" showErrorMessage="1">
          <x14:formula1>
            <xm:f>'!System'!$U$2:$U$17</xm:f>
          </x14:formula1>
          <xm:sqref>I230</xm:sqref>
        </x14:dataValidation>
        <x14:dataValidation type="list" allowBlank="1" showInputMessage="1" showErrorMessage="1">
          <x14:formula1>
            <xm:f>'!System'!$U$2:$U$17</xm:f>
          </x14:formula1>
          <xm:sqref>I231</xm:sqref>
        </x14:dataValidation>
        <x14:dataValidation type="list" allowBlank="1" showInputMessage="1" showErrorMessage="1">
          <x14:formula1>
            <xm:f>'!System'!$U$2:$U$17</xm:f>
          </x14:formula1>
          <xm:sqref>I232</xm:sqref>
        </x14:dataValidation>
        <x14:dataValidation type="list" allowBlank="1" showInputMessage="1" showErrorMessage="1">
          <x14:formula1>
            <xm:f>'!System'!$U$2:$U$17</xm:f>
          </x14:formula1>
          <xm:sqref>I233</xm:sqref>
        </x14:dataValidation>
        <x14:dataValidation type="list" allowBlank="1" showInputMessage="1" showErrorMessage="1">
          <x14:formula1>
            <xm:f>'!System'!$V$2:$V$16</xm:f>
          </x14:formula1>
          <xm:sqref>I234</xm:sqref>
        </x14:dataValidation>
        <x14:dataValidation type="list" allowBlank="1" showInputMessage="1" showErrorMessage="1">
          <x14:formula1>
            <xm:f>'!System'!$U$2:$U$17</xm:f>
          </x14:formula1>
          <xm:sqref>I235</xm:sqref>
        </x14:dataValidation>
        <x14:dataValidation type="list" allowBlank="1" showInputMessage="1" showErrorMessage="1">
          <x14:formula1>
            <xm:f>'!System'!$U$2:$U$17</xm:f>
          </x14:formula1>
          <xm:sqref>I236</xm:sqref>
        </x14:dataValidation>
        <x14:dataValidation type="list" allowBlank="1" showInputMessage="1" showErrorMessage="1">
          <x14:formula1>
            <xm:f>'!System'!$U$2:$U$17</xm:f>
          </x14:formula1>
          <xm:sqref>I237</xm:sqref>
        </x14:dataValidation>
        <x14:dataValidation type="list" allowBlank="1" showInputMessage="1" showErrorMessage="1">
          <x14:formula1>
            <xm:f>'!System'!$U$2:$U$17</xm:f>
          </x14:formula1>
          <xm:sqref>I238</xm:sqref>
        </x14:dataValidation>
        <x14:dataValidation type="list" allowBlank="1" showInputMessage="1" showErrorMessage="1">
          <x14:formula1>
            <xm:f>'!System'!$V$2:$V$16</xm:f>
          </x14:formula1>
          <xm:sqref>I239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>
    <tabColor theme="7" tint="0.39997558519241921"/>
    <pageSetUpPr fitToPage="1"/>
  </sheetPr>
  <dimension ref="A1:U49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V16" sqref="V1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1" t="str">
        <f>A6</f>
        <v>Пс8.6.1</v>
      </c>
      <c r="B3" s="22" t="s">
        <v>183</v>
      </c>
      <c r="C3" s="22" t="s">
        <v>184</v>
      </c>
      <c r="D3" s="22" t="s">
        <v>2818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5.75" x14ac:dyDescent="0.25">
      <c r="A4" s="21" t="str">
        <f>A6</f>
        <v>Пс8.6.1</v>
      </c>
      <c r="B4" s="22" t="s">
        <v>183</v>
      </c>
      <c r="C4" s="22" t="s">
        <v>2835</v>
      </c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15.75" x14ac:dyDescent="0.25">
      <c r="A5" s="21" t="s">
        <v>183</v>
      </c>
      <c r="B5" s="22" t="s">
        <v>183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21" ht="31.5" x14ac:dyDescent="0.25">
      <c r="A6" s="25" t="str">
        <f>'[1]Исх.Таблица из архикада'!A14</f>
        <v>Пс8.6.1</v>
      </c>
      <c r="B6" s="26" t="str">
        <f>A6</f>
        <v>Пс8.6.1</v>
      </c>
      <c r="C6" s="26"/>
      <c r="D6" s="26" t="str">
        <f>CONCATENATE("Монолитная подпорная стена ",A6)</f>
        <v>Монолитная подпорная стена Пс8.6.1</v>
      </c>
      <c r="E6" s="26">
        <v>1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</row>
    <row r="7" spans="1:21" ht="15.75" x14ac:dyDescent="0.25">
      <c r="A7" s="45" t="str">
        <f t="shared" ref="A7:A16" si="0">A6</f>
        <v>Пс8.6.1</v>
      </c>
      <c r="B7" s="46">
        <v>1</v>
      </c>
      <c r="C7" s="46" t="s">
        <v>258</v>
      </c>
      <c r="D7" s="46" t="str">
        <f>'[1]Таблица из архикада'!C212</f>
        <v>Гориз. В стене</v>
      </c>
      <c r="E7" s="46">
        <f>'[1]Таблица из архикада'!E212</f>
        <v>1</v>
      </c>
      <c r="F7" s="22">
        <v>0.61599999999999999</v>
      </c>
      <c r="G7" s="46" t="s">
        <v>27</v>
      </c>
      <c r="H7" s="46">
        <f>'[1]Таблица из архикада'!H212*2</f>
        <v>77140</v>
      </c>
      <c r="I7" s="46">
        <v>10</v>
      </c>
      <c r="J7" s="46" t="s">
        <v>2</v>
      </c>
      <c r="K7" s="46"/>
      <c r="L7" s="46"/>
      <c r="M7" s="46"/>
      <c r="N7" s="46"/>
      <c r="O7" s="46"/>
      <c r="P7" s="46"/>
      <c r="Q7" s="46"/>
      <c r="R7" s="46"/>
      <c r="S7" s="46">
        <v>540</v>
      </c>
      <c r="T7" s="46">
        <v>650</v>
      </c>
      <c r="U7" s="48">
        <v>25</v>
      </c>
    </row>
    <row r="8" spans="1:21" ht="15.75" x14ac:dyDescent="0.25">
      <c r="A8" s="45" t="str">
        <f t="shared" si="0"/>
        <v>Пс8.6.1</v>
      </c>
      <c r="B8" s="46">
        <v>3</v>
      </c>
      <c r="C8" s="46" t="s">
        <v>258</v>
      </c>
      <c r="D8" s="46" t="str">
        <f>'[1]Таблица из архикада'!C214</f>
        <v>П-шка в стене гориз.</v>
      </c>
      <c r="E8" s="46">
        <f>'[1]Таблица из архикада'!E214</f>
        <v>12</v>
      </c>
      <c r="F8" s="22">
        <v>0.61599999999999999</v>
      </c>
      <c r="G8" s="46" t="s">
        <v>0</v>
      </c>
      <c r="H8" s="46">
        <f>'[1]Таблица из архикада'!H214</f>
        <v>1070</v>
      </c>
      <c r="I8" s="46">
        <f>'[1]Таблица из архикада'!I214</f>
        <v>10</v>
      </c>
      <c r="J8" s="46" t="s">
        <v>2</v>
      </c>
      <c r="K8" s="46"/>
      <c r="L8" s="46"/>
      <c r="M8" s="46"/>
      <c r="N8" s="46"/>
      <c r="O8" s="46"/>
      <c r="P8" s="46"/>
      <c r="Q8" s="46"/>
      <c r="R8" s="46"/>
      <c r="S8" s="46">
        <v>540</v>
      </c>
      <c r="T8" s="46">
        <v>650</v>
      </c>
      <c r="U8" s="48">
        <v>25</v>
      </c>
    </row>
    <row r="9" spans="1:21" ht="15.75" x14ac:dyDescent="0.25">
      <c r="A9" s="45" t="str">
        <f t="shared" si="0"/>
        <v>Пс8.6.1</v>
      </c>
      <c r="B9" s="46">
        <v>4</v>
      </c>
      <c r="C9" s="46" t="s">
        <v>258</v>
      </c>
      <c r="D9" s="46" t="str">
        <f>'[1]Таблица из архикада'!C215</f>
        <v>Вертик. В стене</v>
      </c>
      <c r="E9" s="46">
        <f>'[1]Таблица из архикада'!E215</f>
        <v>60</v>
      </c>
      <c r="F9" s="22">
        <v>0.61599999999999999</v>
      </c>
      <c r="G9" s="46" t="s">
        <v>0</v>
      </c>
      <c r="H9" s="46">
        <f>'[1]Таблица из архикада'!H215</f>
        <v>1595</v>
      </c>
      <c r="I9" s="46">
        <f>'[1]Таблица из архикада'!I215</f>
        <v>10</v>
      </c>
      <c r="J9" s="46" t="s">
        <v>2</v>
      </c>
      <c r="K9" s="46"/>
      <c r="L9" s="46"/>
      <c r="M9" s="46"/>
      <c r="N9" s="46"/>
      <c r="O9" s="46"/>
      <c r="P9" s="46"/>
      <c r="Q9" s="46"/>
      <c r="R9" s="46"/>
      <c r="S9" s="46">
        <v>540</v>
      </c>
      <c r="T9" s="46">
        <v>650</v>
      </c>
      <c r="U9" s="48">
        <v>25</v>
      </c>
    </row>
    <row r="10" spans="1:21" ht="15.75" x14ac:dyDescent="0.25">
      <c r="A10" s="45" t="str">
        <f t="shared" si="0"/>
        <v>Пс8.6.1</v>
      </c>
      <c r="B10" s="46">
        <v>5</v>
      </c>
      <c r="C10" s="46" t="s">
        <v>190</v>
      </c>
      <c r="D10" s="46" t="str">
        <f>'[1]Таблица из архикада'!C216</f>
        <v>Шпилька</v>
      </c>
      <c r="E10" s="46">
        <f>'[1]Таблица из архикада'!E216</f>
        <v>86</v>
      </c>
      <c r="F10" s="22">
        <v>0.222</v>
      </c>
      <c r="G10" s="46" t="s">
        <v>0</v>
      </c>
      <c r="H10" s="46">
        <f>'[1]Таблица из архикада'!H216</f>
        <v>220</v>
      </c>
      <c r="I10" s="46">
        <f>'[1]Таблица из архикада'!I216</f>
        <v>6</v>
      </c>
      <c r="J10" s="46" t="s">
        <v>1</v>
      </c>
      <c r="K10" s="46"/>
      <c r="L10" s="46"/>
      <c r="M10" s="46"/>
      <c r="N10" s="46"/>
      <c r="O10" s="46"/>
      <c r="P10" s="46"/>
      <c r="Q10" s="46"/>
      <c r="R10" s="46"/>
      <c r="S10" s="46">
        <v>200</v>
      </c>
      <c r="T10" s="46">
        <v>250</v>
      </c>
      <c r="U10" s="48">
        <v>7.5</v>
      </c>
    </row>
    <row r="11" spans="1:21" ht="15.75" x14ac:dyDescent="0.25">
      <c r="A11" s="45" t="str">
        <f t="shared" si="0"/>
        <v>Пс8.6.1</v>
      </c>
      <c r="B11" s="46">
        <v>6</v>
      </c>
      <c r="C11" s="46" t="s">
        <v>258</v>
      </c>
      <c r="D11" s="46" t="str">
        <f>'[1]Таблица из архикада'!C217</f>
        <v>Поперечная в подошве</v>
      </c>
      <c r="E11" s="46">
        <f>'[1]Таблица из архикада'!E217</f>
        <v>30</v>
      </c>
      <c r="F11" s="22">
        <v>0.61599999999999999</v>
      </c>
      <c r="G11" s="46"/>
      <c r="H11" s="46">
        <f>'[1]Таблица из архикада'!H217</f>
        <v>700</v>
      </c>
      <c r="I11" s="46">
        <f>'[1]Таблица из архикада'!I217</f>
        <v>10</v>
      </c>
      <c r="J11" s="46" t="s">
        <v>2</v>
      </c>
      <c r="K11" s="46"/>
      <c r="L11" s="46"/>
      <c r="M11" s="46"/>
      <c r="N11" s="46"/>
      <c r="O11" s="46"/>
      <c r="P11" s="46"/>
      <c r="Q11" s="46"/>
      <c r="R11" s="46"/>
      <c r="S11" s="46">
        <v>540</v>
      </c>
      <c r="T11" s="46">
        <v>650</v>
      </c>
      <c r="U11" s="48">
        <v>25</v>
      </c>
    </row>
    <row r="12" spans="1:21" ht="15.75" x14ac:dyDescent="0.25">
      <c r="A12" s="45" t="str">
        <f t="shared" si="0"/>
        <v>Пс8.6.1</v>
      </c>
      <c r="B12" s="46">
        <v>7</v>
      </c>
      <c r="C12" s="46" t="s">
        <v>258</v>
      </c>
      <c r="D12" s="46" t="str">
        <f>'[1]Таблица из архикада'!C218</f>
        <v>Продольная в подошве</v>
      </c>
      <c r="E12" s="46">
        <f>'[1]Таблица из архикада'!E218</f>
        <v>1</v>
      </c>
      <c r="F12" s="22">
        <v>0.61599999999999999</v>
      </c>
      <c r="G12" s="46" t="s">
        <v>27</v>
      </c>
      <c r="H12" s="46">
        <f>'[1]Таблица из архикада'!H218*2</f>
        <v>54260</v>
      </c>
      <c r="I12" s="46">
        <f>'[1]Таблица из архикада'!I218</f>
        <v>10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>
        <v>540</v>
      </c>
      <c r="T12" s="46">
        <v>650</v>
      </c>
      <c r="U12" s="48">
        <v>25</v>
      </c>
    </row>
    <row r="13" spans="1:21" ht="15.75" x14ac:dyDescent="0.25">
      <c r="A13" s="45" t="str">
        <f t="shared" si="0"/>
        <v>Пс8.6.1</v>
      </c>
      <c r="B13" s="46">
        <v>9</v>
      </c>
      <c r="C13" s="46" t="s">
        <v>258</v>
      </c>
      <c r="D13" s="46" t="str">
        <f>'[1]Таблица из архикада'!C220</f>
        <v>П-шка в продол.сеч.</v>
      </c>
      <c r="E13" s="46">
        <f>'[1]Таблица из архикада'!E220</f>
        <v>8</v>
      </c>
      <c r="F13" s="22">
        <v>0.61599999999999999</v>
      </c>
      <c r="G13" s="46" t="s">
        <v>0</v>
      </c>
      <c r="H13" s="46">
        <f>'[1]Таблица из архикада'!H220</f>
        <v>1100</v>
      </c>
      <c r="I13" s="46">
        <f>'[1]Таблица из архикада'!I220</f>
        <v>10</v>
      </c>
      <c r="J13" s="46" t="s">
        <v>2</v>
      </c>
      <c r="K13" s="46"/>
      <c r="L13" s="46"/>
      <c r="M13" s="46"/>
      <c r="N13" s="46"/>
      <c r="O13" s="46"/>
      <c r="P13" s="46"/>
      <c r="Q13" s="46"/>
      <c r="R13" s="46"/>
      <c r="S13" s="46">
        <v>540</v>
      </c>
      <c r="T13" s="46">
        <v>650</v>
      </c>
      <c r="U13" s="48">
        <v>25</v>
      </c>
    </row>
    <row r="14" spans="1:21" ht="31.5" x14ac:dyDescent="0.25">
      <c r="A14" s="45" t="str">
        <f t="shared" si="0"/>
        <v>Пс8.6.1</v>
      </c>
      <c r="B14" s="46">
        <v>13</v>
      </c>
      <c r="C14" s="46" t="s">
        <v>258</v>
      </c>
      <c r="D14" s="46" t="str">
        <f>'[1]Таблица из архикада'!C224</f>
        <v>С-образная попер. В подошве</v>
      </c>
      <c r="E14" s="46">
        <f>'[1]Таблица из архикада'!E224</f>
        <v>30</v>
      </c>
      <c r="F14" s="22">
        <v>0.61599999999999999</v>
      </c>
      <c r="G14" s="46" t="s">
        <v>0</v>
      </c>
      <c r="H14" s="46">
        <f>'[1]Таблица из архикада'!H224</f>
        <v>970</v>
      </c>
      <c r="I14" s="46">
        <f>'[1]Таблица из архикада'!I224</f>
        <v>10</v>
      </c>
      <c r="J14" s="46" t="s">
        <v>2</v>
      </c>
      <c r="K14" s="46"/>
      <c r="L14" s="46"/>
      <c r="M14" s="46"/>
      <c r="N14" s="46"/>
      <c r="O14" s="46"/>
      <c r="P14" s="46"/>
      <c r="Q14" s="46"/>
      <c r="R14" s="46"/>
      <c r="S14" s="46">
        <v>540</v>
      </c>
      <c r="T14" s="46">
        <v>650</v>
      </c>
      <c r="U14" s="48">
        <v>25</v>
      </c>
    </row>
    <row r="15" spans="1:21" ht="31.5" x14ac:dyDescent="0.25">
      <c r="A15" s="45" t="str">
        <f t="shared" si="0"/>
        <v>Пс8.6.1</v>
      </c>
      <c r="B15" s="46"/>
      <c r="C15" s="28" t="s">
        <v>195</v>
      </c>
      <c r="D15" s="28" t="s">
        <v>2819</v>
      </c>
      <c r="E15" s="28">
        <f>'[1]Таблица из архикада'!G212</f>
        <v>0.6</v>
      </c>
      <c r="F15" s="22" t="s">
        <v>4</v>
      </c>
      <c r="G15" s="46" t="s">
        <v>3</v>
      </c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8"/>
    </row>
    <row r="16" spans="1:21" ht="15.75" x14ac:dyDescent="0.25">
      <c r="A16" s="45" t="str">
        <f t="shared" si="0"/>
        <v>Пс8.6.1</v>
      </c>
      <c r="B16" s="46"/>
      <c r="C16" s="28" t="s">
        <v>195</v>
      </c>
      <c r="D16" s="28" t="s">
        <v>2820</v>
      </c>
      <c r="E16" s="28">
        <f>'[1]Таблица из архикада'!F212</f>
        <v>1.9000000000000001</v>
      </c>
      <c r="F16" s="22" t="s">
        <v>4</v>
      </c>
      <c r="G16" s="46" t="s">
        <v>3</v>
      </c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8"/>
    </row>
    <row r="17" spans="1:21" ht="31.5" x14ac:dyDescent="0.25">
      <c r="A17" s="21" t="s">
        <v>183</v>
      </c>
      <c r="B17" s="22" t="s">
        <v>183</v>
      </c>
      <c r="C17" s="22" t="s">
        <v>2821</v>
      </c>
      <c r="D17" s="22" t="s">
        <v>2822</v>
      </c>
      <c r="E17" s="22">
        <f>'[1]Исх.Таблица из архикада'!AG14</f>
        <v>0</v>
      </c>
      <c r="F17" s="22" t="s">
        <v>4</v>
      </c>
      <c r="G17" s="22" t="s">
        <v>3</v>
      </c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3"/>
    </row>
    <row r="18" spans="1:21" ht="15.75" x14ac:dyDescent="0.25">
      <c r="A18" s="21" t="s">
        <v>183</v>
      </c>
      <c r="B18" s="22" t="s">
        <v>183</v>
      </c>
      <c r="C18" s="22" t="s">
        <v>2823</v>
      </c>
      <c r="D18" s="22" t="s">
        <v>2824</v>
      </c>
      <c r="E18" s="22">
        <f>'[1]Исх.Таблица из архикада'!AI14</f>
        <v>0</v>
      </c>
      <c r="F18" s="22" t="s">
        <v>4</v>
      </c>
      <c r="G18" s="22" t="s">
        <v>3</v>
      </c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3"/>
    </row>
    <row r="19" spans="1:21" ht="15.75" x14ac:dyDescent="0.25">
      <c r="A19" s="45"/>
      <c r="B19" s="46"/>
      <c r="C19" s="46" t="s">
        <v>2825</v>
      </c>
      <c r="D19" s="46" t="s">
        <v>2826</v>
      </c>
      <c r="E19" s="46">
        <f>3.33+2.18+6.78*0.15</f>
        <v>6.5269999999999992</v>
      </c>
      <c r="F19" s="46"/>
      <c r="G19" s="46" t="s">
        <v>2689</v>
      </c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8"/>
    </row>
    <row r="20" spans="1:21" ht="15.75" x14ac:dyDescent="0.25">
      <c r="A20" s="45"/>
      <c r="B20" s="46"/>
      <c r="C20" s="46" t="s">
        <v>2827</v>
      </c>
      <c r="D20" s="46" t="s">
        <v>2828</v>
      </c>
      <c r="E20" s="46">
        <f>('[1]Исх.Таблица из архикада'!AO14)</f>
        <v>22.080000000000002</v>
      </c>
      <c r="F20" s="46"/>
      <c r="G20" s="46" t="s">
        <v>2689</v>
      </c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8"/>
    </row>
    <row r="21" spans="1:21" ht="15.75" x14ac:dyDescent="0.25">
      <c r="A21" s="45"/>
      <c r="B21" s="46"/>
      <c r="C21" s="46" t="s">
        <v>2829</v>
      </c>
      <c r="D21" s="46" t="s">
        <v>2830</v>
      </c>
      <c r="E21" s="46">
        <f>'[1]Исх.Таблица из архикада'!AK14</f>
        <v>6.3E-3</v>
      </c>
      <c r="F21" s="46"/>
      <c r="G21" s="46" t="s">
        <v>3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8"/>
    </row>
    <row r="22" spans="1:21" ht="15.75" x14ac:dyDescent="0.25">
      <c r="A22" s="45"/>
      <c r="B22" s="46"/>
      <c r="C22" s="46"/>
      <c r="D22" s="46" t="s">
        <v>2831</v>
      </c>
      <c r="E22" s="46">
        <f>('[1]Исх.Таблица из архикада'!AJ14)</f>
        <v>2.2000000000000002</v>
      </c>
      <c r="F22" s="46"/>
      <c r="G22" s="46" t="s">
        <v>27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8"/>
    </row>
    <row r="23" spans="1:21" ht="31.5" x14ac:dyDescent="0.25">
      <c r="A23" s="21" t="s">
        <v>183</v>
      </c>
      <c r="B23" s="22" t="s">
        <v>183</v>
      </c>
      <c r="C23" s="22" t="s">
        <v>2832</v>
      </c>
      <c r="D23" s="22" t="s">
        <v>2833</v>
      </c>
      <c r="E23" s="22">
        <f>ROUNDUP(('[1]Исх.Таблица из архикада'!B14)/2000,0)</f>
        <v>3</v>
      </c>
      <c r="F23" s="22">
        <v>1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 t="s">
        <v>202</v>
      </c>
      <c r="T23" s="22" t="s">
        <v>202</v>
      </c>
      <c r="U23" s="23"/>
    </row>
    <row r="24" spans="1:21" ht="15.7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</row>
    <row r="26" spans="1:21" ht="15.7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</row>
    <row r="27" spans="1:21" ht="15.7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</row>
    <row r="28" spans="1:21" ht="15.7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.75" x14ac:dyDescent="0.25">
      <c r="A29" s="21" t="str">
        <f>A32</f>
        <v>Пс8.6.2</v>
      </c>
      <c r="B29" s="22" t="s">
        <v>183</v>
      </c>
      <c r="C29" s="22" t="s">
        <v>184</v>
      </c>
      <c r="D29" s="22" t="s">
        <v>2818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3"/>
    </row>
    <row r="30" spans="1:21" ht="15.75" x14ac:dyDescent="0.25">
      <c r="A30" s="21" t="str">
        <f>A32</f>
        <v>Пс8.6.2</v>
      </c>
      <c r="B30" s="22" t="s">
        <v>183</v>
      </c>
      <c r="C30" s="22" t="s">
        <v>2835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3"/>
    </row>
    <row r="31" spans="1:21" ht="15.75" x14ac:dyDescent="0.25">
      <c r="A31" s="21" t="s">
        <v>183</v>
      </c>
      <c r="B31" s="22" t="s">
        <v>183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3"/>
    </row>
    <row r="32" spans="1:21" ht="31.5" x14ac:dyDescent="0.25">
      <c r="A32" s="25" t="str">
        <f>'[1]Исх.Таблица из архикада'!A15</f>
        <v>Пс8.6.2</v>
      </c>
      <c r="B32" s="26" t="str">
        <f>A32</f>
        <v>Пс8.6.2</v>
      </c>
      <c r="C32" s="26"/>
      <c r="D32" s="26" t="str">
        <f>CONCATENATE("Монолитная подпорная стена ",A32)</f>
        <v>Монолитная подпорная стена Пс8.6.2</v>
      </c>
      <c r="E32" s="26">
        <v>1</v>
      </c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7"/>
    </row>
    <row r="33" spans="1:21" ht="15.75" x14ac:dyDescent="0.25">
      <c r="A33" s="45" t="str">
        <f t="shared" ref="A33:A42" si="1">A32</f>
        <v>Пс8.6.2</v>
      </c>
      <c r="B33" s="46">
        <v>1</v>
      </c>
      <c r="C33" s="46" t="s">
        <v>258</v>
      </c>
      <c r="D33" s="46" t="str">
        <f>'[1]Таблица из архикада'!C231</f>
        <v>Гориз. В стене</v>
      </c>
      <c r="E33" s="46">
        <f>'[1]Таблица из архикада'!E231</f>
        <v>1</v>
      </c>
      <c r="F33" s="22">
        <v>0.61599999999999999</v>
      </c>
      <c r="G33" s="46" t="s">
        <v>27</v>
      </c>
      <c r="H33" s="46">
        <f>'[1]Таблица из архикада'!H231*2</f>
        <v>121800</v>
      </c>
      <c r="I33" s="46">
        <v>10</v>
      </c>
      <c r="J33" s="46" t="s">
        <v>2</v>
      </c>
      <c r="K33" s="46"/>
      <c r="L33" s="46"/>
      <c r="M33" s="46"/>
      <c r="N33" s="46"/>
      <c r="O33" s="46"/>
      <c r="P33" s="46"/>
      <c r="Q33" s="46"/>
      <c r="R33" s="46"/>
      <c r="S33" s="46">
        <v>540</v>
      </c>
      <c r="T33" s="46">
        <v>650</v>
      </c>
      <c r="U33" s="48">
        <v>25</v>
      </c>
    </row>
    <row r="34" spans="1:21" ht="15.75" x14ac:dyDescent="0.25">
      <c r="A34" s="45" t="str">
        <f t="shared" si="1"/>
        <v>Пс8.6.2</v>
      </c>
      <c r="B34" s="46">
        <v>3</v>
      </c>
      <c r="C34" s="46" t="s">
        <v>258</v>
      </c>
      <c r="D34" s="46" t="str">
        <f>'[1]Таблица из архикада'!C233</f>
        <v>П-шка в стене гориз.</v>
      </c>
      <c r="E34" s="46">
        <f>'[1]Таблица из архикада'!E233</f>
        <v>14</v>
      </c>
      <c r="F34" s="22">
        <v>0.61599999999999999</v>
      </c>
      <c r="G34" s="46" t="s">
        <v>0</v>
      </c>
      <c r="H34" s="46">
        <f>'[1]Таблица из архикада'!H233</f>
        <v>1070</v>
      </c>
      <c r="I34" s="46">
        <f>'[1]Таблица из архикада'!I233</f>
        <v>10</v>
      </c>
      <c r="J34" s="46" t="s">
        <v>2</v>
      </c>
      <c r="K34" s="46"/>
      <c r="L34" s="46"/>
      <c r="M34" s="46"/>
      <c r="N34" s="46"/>
      <c r="O34" s="46"/>
      <c r="P34" s="46"/>
      <c r="Q34" s="46"/>
      <c r="R34" s="46"/>
      <c r="S34" s="46">
        <v>540</v>
      </c>
      <c r="T34" s="46">
        <v>650</v>
      </c>
      <c r="U34" s="48">
        <v>25</v>
      </c>
    </row>
    <row r="35" spans="1:21" ht="15.75" x14ac:dyDescent="0.25">
      <c r="A35" s="45" t="str">
        <f t="shared" si="1"/>
        <v>Пс8.6.2</v>
      </c>
      <c r="B35" s="46">
        <v>4</v>
      </c>
      <c r="C35" s="46" t="s">
        <v>258</v>
      </c>
      <c r="D35" s="46" t="str">
        <f>'[1]Таблица из архикада'!C234</f>
        <v>Вертик. В стене</v>
      </c>
      <c r="E35" s="46">
        <f>'[1]Таблица из архикада'!E234</f>
        <v>82</v>
      </c>
      <c r="F35" s="22">
        <v>0.61599999999999999</v>
      </c>
      <c r="G35" s="46" t="s">
        <v>0</v>
      </c>
      <c r="H35" s="46">
        <f>'[1]Таблица из архикада'!H234</f>
        <v>1795</v>
      </c>
      <c r="I35" s="46">
        <f>'[1]Таблица из архикада'!I234</f>
        <v>10</v>
      </c>
      <c r="J35" s="46" t="s">
        <v>2</v>
      </c>
      <c r="K35" s="46"/>
      <c r="L35" s="46"/>
      <c r="M35" s="46"/>
      <c r="N35" s="46"/>
      <c r="O35" s="46"/>
      <c r="P35" s="46"/>
      <c r="Q35" s="46"/>
      <c r="R35" s="46"/>
      <c r="S35" s="46">
        <v>540</v>
      </c>
      <c r="T35" s="46">
        <v>650</v>
      </c>
      <c r="U35" s="48">
        <v>25</v>
      </c>
    </row>
    <row r="36" spans="1:21" ht="15.75" x14ac:dyDescent="0.25">
      <c r="A36" s="45" t="str">
        <f t="shared" si="1"/>
        <v>Пс8.6.2</v>
      </c>
      <c r="B36" s="46">
        <v>5</v>
      </c>
      <c r="C36" s="46" t="s">
        <v>190</v>
      </c>
      <c r="D36" s="46" t="str">
        <f>'[1]Таблица из архикада'!C235</f>
        <v>Шпилька</v>
      </c>
      <c r="E36" s="46">
        <f>'[1]Таблица из архикада'!E235</f>
        <v>137</v>
      </c>
      <c r="F36" s="22">
        <v>0.222</v>
      </c>
      <c r="G36" s="46" t="s">
        <v>0</v>
      </c>
      <c r="H36" s="46">
        <f>'[1]Таблица из архикада'!H235</f>
        <v>220</v>
      </c>
      <c r="I36" s="46">
        <f>'[1]Таблица из архикада'!I235</f>
        <v>6</v>
      </c>
      <c r="J36" s="46" t="s">
        <v>1</v>
      </c>
      <c r="K36" s="46"/>
      <c r="L36" s="46"/>
      <c r="M36" s="46"/>
      <c r="N36" s="46"/>
      <c r="O36" s="46"/>
      <c r="P36" s="46"/>
      <c r="Q36" s="46"/>
      <c r="R36" s="46"/>
      <c r="S36" s="46">
        <v>200</v>
      </c>
      <c r="T36" s="46">
        <v>250</v>
      </c>
      <c r="U36" s="48">
        <v>7.5</v>
      </c>
    </row>
    <row r="37" spans="1:21" ht="15.75" x14ac:dyDescent="0.25">
      <c r="A37" s="45" t="str">
        <f t="shared" si="1"/>
        <v>Пс8.6.2</v>
      </c>
      <c r="B37" s="46">
        <v>6</v>
      </c>
      <c r="C37" s="46" t="s">
        <v>258</v>
      </c>
      <c r="D37" s="46" t="str">
        <f>'[1]Таблица из архикада'!C236</f>
        <v>Поперечная в подошве</v>
      </c>
      <c r="E37" s="46">
        <f>'[1]Таблица из архикада'!E236</f>
        <v>41</v>
      </c>
      <c r="F37" s="22">
        <v>0.61599999999999999</v>
      </c>
      <c r="G37" s="46"/>
      <c r="H37" s="46">
        <f>'[1]Таблица из архикада'!H236</f>
        <v>700</v>
      </c>
      <c r="I37" s="46">
        <f>'[1]Таблица из архикада'!I236</f>
        <v>10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>
        <v>540</v>
      </c>
      <c r="T37" s="46">
        <v>650</v>
      </c>
      <c r="U37" s="48">
        <v>25</v>
      </c>
    </row>
    <row r="38" spans="1:21" ht="15.75" x14ac:dyDescent="0.25">
      <c r="A38" s="45" t="str">
        <f t="shared" si="1"/>
        <v>Пс8.6.2</v>
      </c>
      <c r="B38" s="46">
        <v>7</v>
      </c>
      <c r="C38" s="46" t="s">
        <v>258</v>
      </c>
      <c r="D38" s="46" t="str">
        <f>'[1]Таблица из архикада'!C237</f>
        <v>Продольная в подошве</v>
      </c>
      <c r="E38" s="46">
        <f>'[1]Таблица из архикада'!E237</f>
        <v>1</v>
      </c>
      <c r="F38" s="22">
        <v>0.61599999999999999</v>
      </c>
      <c r="G38" s="46" t="s">
        <v>27</v>
      </c>
      <c r="H38" s="46">
        <f>'[1]Таблица из архикада'!H237*2</f>
        <v>71680</v>
      </c>
      <c r="I38" s="46">
        <f>'[1]Таблица из архикада'!I237</f>
        <v>10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540</v>
      </c>
      <c r="T38" s="46">
        <v>650</v>
      </c>
      <c r="U38" s="48">
        <v>25</v>
      </c>
    </row>
    <row r="39" spans="1:21" ht="15.75" x14ac:dyDescent="0.25">
      <c r="A39" s="45" t="str">
        <f t="shared" si="1"/>
        <v>Пс8.6.2</v>
      </c>
      <c r="B39" s="46">
        <v>9</v>
      </c>
      <c r="C39" s="46" t="s">
        <v>258</v>
      </c>
      <c r="D39" s="46" t="str">
        <f>'[1]Таблица из архикада'!C239</f>
        <v>П-шка в продол.сеч.</v>
      </c>
      <c r="E39" s="46">
        <f>'[1]Таблица из архикада'!E239</f>
        <v>8</v>
      </c>
      <c r="F39" s="22">
        <v>0.61599999999999999</v>
      </c>
      <c r="G39" s="46" t="s">
        <v>0</v>
      </c>
      <c r="H39" s="46">
        <f>'[1]Таблица из архикада'!H239</f>
        <v>1100</v>
      </c>
      <c r="I39" s="46">
        <f>'[1]Таблица из архикада'!I239</f>
        <v>10</v>
      </c>
      <c r="J39" s="46" t="s">
        <v>2</v>
      </c>
      <c r="K39" s="46"/>
      <c r="L39" s="46"/>
      <c r="M39" s="46"/>
      <c r="N39" s="46"/>
      <c r="O39" s="46"/>
      <c r="P39" s="46"/>
      <c r="Q39" s="46"/>
      <c r="R39" s="46"/>
      <c r="S39" s="46">
        <v>540</v>
      </c>
      <c r="T39" s="46">
        <v>650</v>
      </c>
      <c r="U39" s="48">
        <v>25</v>
      </c>
    </row>
    <row r="40" spans="1:21" ht="31.5" x14ac:dyDescent="0.25">
      <c r="A40" s="45" t="str">
        <f t="shared" si="1"/>
        <v>Пс8.6.2</v>
      </c>
      <c r="B40" s="46">
        <v>13</v>
      </c>
      <c r="C40" s="46" t="s">
        <v>258</v>
      </c>
      <c r="D40" s="46" t="str">
        <f>'[1]Таблица из архикада'!C243</f>
        <v>С-образная попер. В подошве</v>
      </c>
      <c r="E40" s="46">
        <f>'[1]Таблица из архикада'!E243</f>
        <v>41</v>
      </c>
      <c r="F40" s="22">
        <v>0.61599999999999999</v>
      </c>
      <c r="G40" s="46" t="s">
        <v>0</v>
      </c>
      <c r="H40" s="46">
        <f>'[1]Таблица из архикада'!H243</f>
        <v>970</v>
      </c>
      <c r="I40" s="46">
        <f>'[1]Таблица из архикада'!I243</f>
        <v>10</v>
      </c>
      <c r="J40" s="46" t="s">
        <v>2</v>
      </c>
      <c r="K40" s="46"/>
      <c r="L40" s="46"/>
      <c r="M40" s="46"/>
      <c r="N40" s="46"/>
      <c r="O40" s="46"/>
      <c r="P40" s="46"/>
      <c r="Q40" s="46"/>
      <c r="R40" s="46"/>
      <c r="S40" s="46">
        <v>540</v>
      </c>
      <c r="T40" s="46">
        <v>650</v>
      </c>
      <c r="U40" s="48">
        <v>25</v>
      </c>
    </row>
    <row r="41" spans="1:21" ht="31.5" x14ac:dyDescent="0.25">
      <c r="A41" s="45" t="str">
        <f t="shared" si="1"/>
        <v>Пс8.6.2</v>
      </c>
      <c r="B41" s="46"/>
      <c r="C41" s="28" t="s">
        <v>195</v>
      </c>
      <c r="D41" s="28" t="s">
        <v>2819</v>
      </c>
      <c r="E41" s="28">
        <f>'[1]Таблица из архикада'!G231</f>
        <v>0.79999999999999993</v>
      </c>
      <c r="F41" s="22" t="s">
        <v>4</v>
      </c>
      <c r="G41" s="46" t="s">
        <v>3</v>
      </c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8"/>
    </row>
    <row r="42" spans="1:21" ht="15.75" x14ac:dyDescent="0.25">
      <c r="A42" s="45" t="str">
        <f t="shared" si="1"/>
        <v>Пс8.6.2</v>
      </c>
      <c r="B42" s="46"/>
      <c r="C42" s="28" t="s">
        <v>195</v>
      </c>
      <c r="D42" s="28" t="s">
        <v>2820</v>
      </c>
      <c r="E42" s="28">
        <f>'[1]Таблица из архикада'!F231</f>
        <v>2.8000000000000003</v>
      </c>
      <c r="F42" s="22" t="s">
        <v>4</v>
      </c>
      <c r="G42" s="46" t="s">
        <v>3</v>
      </c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8"/>
    </row>
    <row r="43" spans="1:21" ht="31.5" x14ac:dyDescent="0.25">
      <c r="A43" s="21" t="s">
        <v>183</v>
      </c>
      <c r="B43" s="22" t="s">
        <v>183</v>
      </c>
      <c r="C43" s="22" t="s">
        <v>2821</v>
      </c>
      <c r="D43" s="22" t="s">
        <v>2822</v>
      </c>
      <c r="E43" s="22">
        <f>'[1]Исх.Таблица из архикада'!AG50</f>
        <v>0</v>
      </c>
      <c r="F43" s="22" t="s">
        <v>4</v>
      </c>
      <c r="G43" s="22" t="s">
        <v>3</v>
      </c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3"/>
    </row>
    <row r="44" spans="1:21" ht="15.75" x14ac:dyDescent="0.25">
      <c r="A44" s="21" t="s">
        <v>183</v>
      </c>
      <c r="B44" s="22" t="s">
        <v>183</v>
      </c>
      <c r="C44" s="22" t="s">
        <v>2823</v>
      </c>
      <c r="D44" s="22" t="s">
        <v>2824</v>
      </c>
      <c r="E44" s="22">
        <f>'[1]Исх.Таблица из архикада'!AI50</f>
        <v>0</v>
      </c>
      <c r="F44" s="22" t="s">
        <v>4</v>
      </c>
      <c r="G44" s="22" t="s">
        <v>3</v>
      </c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3"/>
    </row>
    <row r="45" spans="1:21" ht="15.75" x14ac:dyDescent="0.25">
      <c r="A45" s="45"/>
      <c r="B45" s="46"/>
      <c r="C45" s="46" t="s">
        <v>2825</v>
      </c>
      <c r="D45" s="46" t="s">
        <v>2826</v>
      </c>
      <c r="E45" s="46">
        <f>4.33+2.93+8.83*0.15</f>
        <v>8.5845000000000002</v>
      </c>
      <c r="F45" s="46"/>
      <c r="G45" s="46" t="s">
        <v>2689</v>
      </c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8"/>
    </row>
    <row r="46" spans="1:21" ht="15.75" x14ac:dyDescent="0.25">
      <c r="A46" s="45"/>
      <c r="B46" s="46"/>
      <c r="C46" s="46" t="s">
        <v>2827</v>
      </c>
      <c r="D46" s="46" t="s">
        <v>2828</v>
      </c>
      <c r="E46" s="46">
        <f>('[1]Исх.Таблица из архикада'!AO15)</f>
        <v>30.999000000000002</v>
      </c>
      <c r="F46" s="46"/>
      <c r="G46" s="46" t="s">
        <v>2689</v>
      </c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8"/>
    </row>
    <row r="47" spans="1:21" ht="15.75" x14ac:dyDescent="0.25">
      <c r="A47" s="45"/>
      <c r="B47" s="46"/>
      <c r="C47" s="46" t="s">
        <v>2829</v>
      </c>
      <c r="D47" s="46" t="s">
        <v>2830</v>
      </c>
      <c r="E47" s="46">
        <f>'[1]Исх.Таблица из архикада'!AK15</f>
        <v>6.8999999999999999E-3</v>
      </c>
      <c r="F47" s="46"/>
      <c r="G47" s="46" t="s">
        <v>3</v>
      </c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8"/>
    </row>
    <row r="48" spans="1:21" ht="15.75" x14ac:dyDescent="0.25">
      <c r="A48" s="45"/>
      <c r="B48" s="46"/>
      <c r="C48" s="46"/>
      <c r="D48" s="46" t="s">
        <v>2831</v>
      </c>
      <c r="E48" s="46">
        <f>('[1]Исх.Таблица из архикада'!AJ15)</f>
        <v>2.6</v>
      </c>
      <c r="F48" s="46"/>
      <c r="G48" s="46" t="s">
        <v>27</v>
      </c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8"/>
    </row>
    <row r="49" spans="1:21" ht="32.25" thickBot="1" x14ac:dyDescent="0.3">
      <c r="A49" s="105" t="s">
        <v>183</v>
      </c>
      <c r="B49" s="29" t="s">
        <v>183</v>
      </c>
      <c r="C49" s="29" t="s">
        <v>2832</v>
      </c>
      <c r="D49" s="29" t="s">
        <v>2833</v>
      </c>
      <c r="E49" s="29">
        <f>ROUNDUP(('[1]Исх.Таблица из архикада'!B15)/2000,0)</f>
        <v>5</v>
      </c>
      <c r="F49" s="29">
        <v>1</v>
      </c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 t="s">
        <v>202</v>
      </c>
      <c r="T49" s="29" t="s">
        <v>202</v>
      </c>
      <c r="U49" s="106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9 H2:Q2 K1 R1:S1 S2:U2">
    <cfRule type="containsText" dxfId="153" priority="2" stopIfTrue="1" operator="containsText" text="С ЛИСТА">
      <formula>NOT(ISERROR(SEARCH("С ЛИСТА",A1)))</formula>
    </cfRule>
    <cfRule type="containsText" dxfId="152" priority="3" stopIfTrue="1" operator="containsText" text="ИЗ ФАЙЛА">
      <formula>NOT(ISERROR(SEARCH("ИЗ ФАЙЛА",A1)))</formula>
    </cfRule>
    <cfRule type="containsText" dxfId="151" priority="4" stopIfTrue="1" operator="containsText" text="!!!">
      <formula>NOT(ISERROR(SEARCH("!!!",A1)))</formula>
    </cfRule>
    <cfRule type="containsText" dxfId="150" priority="5" stopIfTrue="1" operator="containsText" text=" Изделия ">
      <formula>NOT(ISERROR(SEARCH(" Изделия ",A1)))</formula>
    </cfRule>
    <cfRule type="containsText" dxfId="149" priority="6" stopIfTrue="1" operator="containsText" text=" Прокат ">
      <formula>NOT(ISERROR(SEARCH(" Прокат ",A1)))</formula>
    </cfRule>
    <cfRule type="containsText" dxfId="148" priority="7" stopIfTrue="1" operator="containsText" text=" Сборочные единицы ">
      <formula>NOT(ISERROR(SEARCH(" Сборочные единицы ",A1)))</formula>
    </cfRule>
    <cfRule type="containsText" dxfId="147" priority="8" stopIfTrue="1" operator="containsText" text=" Материалы ">
      <formula>NOT(ISERROR(SEARCH(" Материалы ",A1)))</formula>
    </cfRule>
    <cfRule type="containsText" dxfId="146" priority="9" stopIfTrue="1" operator="containsText" text=", на ">
      <formula>NOT(ISERROR(SEARCH(", на ",A1)))</formula>
    </cfRule>
    <cfRule type="containsText" dxfId="145" priority="10" stopIfTrue="1" operator="containsText" text="шт.)">
      <formula>NOT(ISERROR(SEARCH("шт.)",A1)))</formula>
    </cfRule>
  </conditionalFormatting>
  <conditionalFormatting sqref="A1:U1048576">
    <cfRule type="expression" dxfId="144" priority="1">
      <formula>ISERROR(A1)</formula>
    </cfRule>
  </conditionalFormatting>
  <pageMargins left="0.25" right="0.25" top="0.75" bottom="0.75" header="0.3" footer="0.3"/>
  <pageSetup paperSize="9" scale="81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I37:I40 I33:I35 I11:I14 I7:I9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I36 I10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P3:P49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O3:O49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L3:L49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J3:J49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G3:G49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48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F23" sqref="F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1" t="s">
        <v>183</v>
      </c>
      <c r="B3" s="22" t="s">
        <v>183</v>
      </c>
      <c r="C3" s="22" t="s">
        <v>184</v>
      </c>
      <c r="D3" s="22" t="s">
        <v>2818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5.75" x14ac:dyDescent="0.25">
      <c r="A4" s="21" t="s">
        <v>183</v>
      </c>
      <c r="B4" s="22" t="s">
        <v>183</v>
      </c>
      <c r="C4" s="22" t="s">
        <v>2835</v>
      </c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15.75" x14ac:dyDescent="0.25">
      <c r="A5" s="21" t="s">
        <v>183</v>
      </c>
      <c r="B5" s="22" t="s">
        <v>183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21" ht="31.5" x14ac:dyDescent="0.25">
      <c r="A6" s="25" t="str">
        <f>'[1]Исх.Таблица из архикада'!A3</f>
        <v>Пс8.5.1</v>
      </c>
      <c r="B6" s="26" t="str">
        <f>A6</f>
        <v>Пс8.5.1</v>
      </c>
      <c r="C6" s="26"/>
      <c r="D6" s="26" t="s">
        <v>2846</v>
      </c>
      <c r="E6" s="26">
        <v>1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</row>
    <row r="7" spans="1:21" ht="31.5" x14ac:dyDescent="0.25">
      <c r="A7" s="45" t="str">
        <f t="shared" ref="A7:A13" si="0">A6</f>
        <v>Пс8.5.1</v>
      </c>
      <c r="B7" s="46">
        <v>1</v>
      </c>
      <c r="C7" s="46" t="s">
        <v>258</v>
      </c>
      <c r="D7" s="46" t="str">
        <f>'[1]Таблица из архикада'!C4</f>
        <v>Гориз. В стене</v>
      </c>
      <c r="E7" s="46">
        <f>'[1]Таблица из архикада'!E4</f>
        <v>14</v>
      </c>
      <c r="F7" s="22">
        <v>0.88800000000000001</v>
      </c>
      <c r="G7" s="46"/>
      <c r="H7" s="46">
        <f>'[1]Таблица из архикада'!H4</f>
        <v>4470</v>
      </c>
      <c r="I7" s="46">
        <f>'[1]Таблица из архикада'!I4</f>
        <v>12</v>
      </c>
      <c r="J7" s="46" t="s">
        <v>2</v>
      </c>
      <c r="K7" s="46"/>
      <c r="L7" s="46"/>
      <c r="M7" s="46"/>
      <c r="N7" s="46"/>
      <c r="O7" s="46"/>
      <c r="P7" s="46"/>
      <c r="Q7" s="46"/>
      <c r="R7" s="46"/>
      <c r="S7" s="46" t="s">
        <v>202</v>
      </c>
      <c r="T7" s="46" t="s">
        <v>202</v>
      </c>
      <c r="U7" s="48">
        <v>30</v>
      </c>
    </row>
    <row r="8" spans="1:21" ht="31.5" x14ac:dyDescent="0.25">
      <c r="A8" s="45" t="str">
        <f t="shared" si="0"/>
        <v>Пс8.5.1</v>
      </c>
      <c r="B8" s="46">
        <v>2</v>
      </c>
      <c r="C8" s="46" t="s">
        <v>258</v>
      </c>
      <c r="D8" s="46" t="str">
        <f>'[1]Таблица из архикада'!C5</f>
        <v>П-шка в стене верт</v>
      </c>
      <c r="E8" s="46">
        <f>'[1]Таблица из архикада'!E5</f>
        <v>23</v>
      </c>
      <c r="F8" s="22">
        <v>0.88800000000000001</v>
      </c>
      <c r="G8" s="46" t="s">
        <v>0</v>
      </c>
      <c r="H8" s="46">
        <f>'[1]Таблица из архикада'!H5</f>
        <v>1290</v>
      </c>
      <c r="I8" s="46">
        <f>'[1]Таблица из архикада'!I5</f>
        <v>12</v>
      </c>
      <c r="J8" s="46" t="s">
        <v>2</v>
      </c>
      <c r="K8" s="46"/>
      <c r="L8" s="46"/>
      <c r="M8" s="46"/>
      <c r="N8" s="46"/>
      <c r="O8" s="46"/>
      <c r="P8" s="46"/>
      <c r="Q8" s="46"/>
      <c r="R8" s="46"/>
      <c r="S8" s="46" t="s">
        <v>202</v>
      </c>
      <c r="T8" s="46" t="s">
        <v>202</v>
      </c>
      <c r="U8" s="48">
        <v>30</v>
      </c>
    </row>
    <row r="9" spans="1:21" ht="31.5" x14ac:dyDescent="0.25">
      <c r="A9" s="45" t="str">
        <f t="shared" si="0"/>
        <v>Пс8.5.1</v>
      </c>
      <c r="B9" s="46">
        <v>3</v>
      </c>
      <c r="C9" s="46" t="s">
        <v>258</v>
      </c>
      <c r="D9" s="46" t="str">
        <f>'[1]Таблица из архикада'!C6</f>
        <v>П-шка в стене гориз.</v>
      </c>
      <c r="E9" s="46">
        <f>'[1]Таблица из архикада'!E6</f>
        <v>12</v>
      </c>
      <c r="F9" s="22">
        <v>0.88800000000000001</v>
      </c>
      <c r="G9" s="46" t="s">
        <v>0</v>
      </c>
      <c r="H9" s="46">
        <f>'[1]Таблица из архикада'!H6</f>
        <v>1310</v>
      </c>
      <c r="I9" s="46">
        <f>'[1]Таблица из архикада'!I6</f>
        <v>12</v>
      </c>
      <c r="J9" s="46" t="s">
        <v>2</v>
      </c>
      <c r="K9" s="46"/>
      <c r="L9" s="46"/>
      <c r="M9" s="46"/>
      <c r="N9" s="46"/>
      <c r="O9" s="46"/>
      <c r="P9" s="46"/>
      <c r="Q9" s="46"/>
      <c r="R9" s="46"/>
      <c r="S9" s="46" t="s">
        <v>202</v>
      </c>
      <c r="T9" s="46" t="s">
        <v>202</v>
      </c>
      <c r="U9" s="48">
        <v>30</v>
      </c>
    </row>
    <row r="10" spans="1:21" ht="31.5" x14ac:dyDescent="0.25">
      <c r="A10" s="45" t="str">
        <f t="shared" si="0"/>
        <v>Пс8.5.1</v>
      </c>
      <c r="B10" s="46">
        <v>4</v>
      </c>
      <c r="C10" s="46" t="s">
        <v>258</v>
      </c>
      <c r="D10" s="46" t="str">
        <f>'[1]Таблица из архикада'!C7</f>
        <v>Вертик. В стене</v>
      </c>
      <c r="E10" s="46">
        <f>'[1]Таблица из архикада'!E7</f>
        <v>46</v>
      </c>
      <c r="F10" s="22">
        <v>0.88800000000000001</v>
      </c>
      <c r="G10" s="46" t="s">
        <v>0</v>
      </c>
      <c r="H10" s="46">
        <f>'[1]Таблица из архикада'!H7</f>
        <v>1625</v>
      </c>
      <c r="I10" s="46">
        <f>'[1]Таблица из архикада'!I7</f>
        <v>12</v>
      </c>
      <c r="J10" s="46" t="s">
        <v>2</v>
      </c>
      <c r="K10" s="46"/>
      <c r="L10" s="46"/>
      <c r="M10" s="46"/>
      <c r="N10" s="46"/>
      <c r="O10" s="46"/>
      <c r="P10" s="46"/>
      <c r="Q10" s="46"/>
      <c r="R10" s="46"/>
      <c r="S10" s="46" t="s">
        <v>202</v>
      </c>
      <c r="T10" s="46" t="s">
        <v>202</v>
      </c>
      <c r="U10" s="48">
        <v>30</v>
      </c>
    </row>
    <row r="11" spans="1:21" ht="31.5" x14ac:dyDescent="0.25">
      <c r="A11" s="45" t="str">
        <f t="shared" si="0"/>
        <v>Пс8.5.1</v>
      </c>
      <c r="B11" s="46">
        <v>5</v>
      </c>
      <c r="C11" s="46" t="s">
        <v>190</v>
      </c>
      <c r="D11" s="46" t="str">
        <f>'[1]Таблица из архикада'!C8</f>
        <v>Шпилька</v>
      </c>
      <c r="E11" s="46">
        <f>'[1]Таблица из архикада'!E8</f>
        <v>37</v>
      </c>
      <c r="F11" s="22">
        <v>0.222</v>
      </c>
      <c r="G11" s="46" t="s">
        <v>0</v>
      </c>
      <c r="H11" s="46">
        <f>'[1]Таблица из архикада'!H8</f>
        <v>270</v>
      </c>
      <c r="I11" s="46">
        <f>'[1]Таблица из архикада'!I8</f>
        <v>6</v>
      </c>
      <c r="J11" s="46" t="s">
        <v>1</v>
      </c>
      <c r="K11" s="46"/>
      <c r="L11" s="46"/>
      <c r="M11" s="46"/>
      <c r="N11" s="46"/>
      <c r="O11" s="46"/>
      <c r="P11" s="46"/>
      <c r="Q11" s="46"/>
      <c r="R11" s="46"/>
      <c r="S11" s="46" t="s">
        <v>202</v>
      </c>
      <c r="T11" s="46" t="s">
        <v>202</v>
      </c>
      <c r="U11" s="48">
        <v>7.5</v>
      </c>
    </row>
    <row r="12" spans="1:21" ht="31.5" x14ac:dyDescent="0.25">
      <c r="A12" s="45" t="str">
        <f t="shared" si="0"/>
        <v>Пс8.5.1</v>
      </c>
      <c r="B12" s="46">
        <v>6</v>
      </c>
      <c r="C12" s="46" t="s">
        <v>258</v>
      </c>
      <c r="D12" s="46" t="str">
        <f>'[1]Таблица из архикада'!C9</f>
        <v>Поперечная в подошве</v>
      </c>
      <c r="E12" s="46">
        <f>'[1]Таблица из архикада'!E9</f>
        <v>23</v>
      </c>
      <c r="F12" s="22">
        <v>0.88800000000000001</v>
      </c>
      <c r="G12" s="46"/>
      <c r="H12" s="46">
        <f>'[1]Таблица из архикада'!H9</f>
        <v>750</v>
      </c>
      <c r="I12" s="46">
        <f>'[1]Таблица из архикада'!I9</f>
        <v>12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 t="s">
        <v>202</v>
      </c>
      <c r="T12" s="46" t="s">
        <v>202</v>
      </c>
      <c r="U12" s="48">
        <v>30</v>
      </c>
    </row>
    <row r="13" spans="1:21" ht="31.5" x14ac:dyDescent="0.25">
      <c r="A13" s="45" t="str">
        <f t="shared" si="0"/>
        <v>Пс8.5.1</v>
      </c>
      <c r="B13" s="46">
        <v>7</v>
      </c>
      <c r="C13" s="46" t="s">
        <v>258</v>
      </c>
      <c r="D13" s="46" t="str">
        <f>'[1]Таблица из архикада'!C10</f>
        <v>Продольная в подошве</v>
      </c>
      <c r="E13" s="46">
        <f>'[1]Таблица из архикада'!E10</f>
        <v>8</v>
      </c>
      <c r="F13" s="22">
        <v>0.88800000000000001</v>
      </c>
      <c r="G13" s="46"/>
      <c r="H13" s="46">
        <f>'[1]Таблица из архикада'!H10</f>
        <v>4470</v>
      </c>
      <c r="I13" s="46">
        <f>'[1]Таблица из архикада'!I10</f>
        <v>12</v>
      </c>
      <c r="J13" s="46" t="s">
        <v>2</v>
      </c>
      <c r="K13" s="46"/>
      <c r="L13" s="46"/>
      <c r="M13" s="46"/>
      <c r="N13" s="46"/>
      <c r="O13" s="46"/>
      <c r="P13" s="46"/>
      <c r="Q13" s="46"/>
      <c r="R13" s="46"/>
      <c r="S13" s="46" t="s">
        <v>202</v>
      </c>
      <c r="T13" s="46" t="s">
        <v>202</v>
      </c>
      <c r="U13" s="48">
        <v>30</v>
      </c>
    </row>
    <row r="14" spans="1:21" ht="31.5" x14ac:dyDescent="0.25">
      <c r="A14" s="45" t="str">
        <f>A13</f>
        <v>Пс8.5.1</v>
      </c>
      <c r="B14" s="46">
        <v>8</v>
      </c>
      <c r="C14" s="46" t="s">
        <v>258</v>
      </c>
      <c r="D14" s="46" t="str">
        <f>'[1]Таблица из архикада'!C12</f>
        <v>П-шка в продол.сеч.</v>
      </c>
      <c r="E14" s="46">
        <f>'[1]Таблица из архикада'!E12</f>
        <v>8</v>
      </c>
      <c r="F14" s="22">
        <v>0.88800000000000001</v>
      </c>
      <c r="G14" s="46" t="s">
        <v>0</v>
      </c>
      <c r="H14" s="46">
        <f>'[1]Таблица из архикада'!H12</f>
        <v>1390</v>
      </c>
      <c r="I14" s="46">
        <f>'[1]Таблица из архикада'!I12</f>
        <v>12</v>
      </c>
      <c r="J14" s="46" t="s">
        <v>2</v>
      </c>
      <c r="K14" s="46"/>
      <c r="L14" s="46"/>
      <c r="M14" s="46"/>
      <c r="N14" s="46"/>
      <c r="O14" s="46"/>
      <c r="P14" s="46"/>
      <c r="Q14" s="46"/>
      <c r="R14" s="46"/>
      <c r="S14" s="46" t="s">
        <v>202</v>
      </c>
      <c r="T14" s="46" t="s">
        <v>202</v>
      </c>
      <c r="U14" s="48">
        <v>30</v>
      </c>
    </row>
    <row r="15" spans="1:21" ht="31.5" x14ac:dyDescent="0.25">
      <c r="A15" s="45" t="str">
        <f>A14</f>
        <v>Пс8.5.1</v>
      </c>
      <c r="B15" s="46">
        <v>9</v>
      </c>
      <c r="C15" s="46" t="s">
        <v>258</v>
      </c>
      <c r="D15" s="46" t="str">
        <f>'[1]Таблица из архикада'!C16</f>
        <v>С-образная попер. В подошве</v>
      </c>
      <c r="E15" s="46">
        <f>'[1]Таблица из архикада'!E16</f>
        <v>23</v>
      </c>
      <c r="F15" s="22">
        <v>0.88800000000000001</v>
      </c>
      <c r="G15" s="46" t="s">
        <v>0</v>
      </c>
      <c r="H15" s="46">
        <f>'[1]Таблица из архикада'!H16</f>
        <v>1210</v>
      </c>
      <c r="I15" s="46">
        <f>'[1]Таблица из архикада'!I16</f>
        <v>12</v>
      </c>
      <c r="J15" s="46" t="s">
        <v>2</v>
      </c>
      <c r="K15" s="46"/>
      <c r="L15" s="46"/>
      <c r="M15" s="46"/>
      <c r="N15" s="46"/>
      <c r="O15" s="46"/>
      <c r="P15" s="46"/>
      <c r="Q15" s="46"/>
      <c r="R15" s="46"/>
      <c r="S15" s="46" t="s">
        <v>202</v>
      </c>
      <c r="T15" s="46" t="s">
        <v>202</v>
      </c>
      <c r="U15" s="48">
        <v>30</v>
      </c>
    </row>
    <row r="16" spans="1:21" ht="31.5" x14ac:dyDescent="0.25">
      <c r="A16" s="45" t="str">
        <f>A15</f>
        <v>Пс8.5.1</v>
      </c>
      <c r="B16" s="46"/>
      <c r="C16" s="28" t="s">
        <v>195</v>
      </c>
      <c r="D16" s="28" t="s">
        <v>2819</v>
      </c>
      <c r="E16" s="28">
        <f>'[1]Таблица из архикада'!F4</f>
        <v>2.2000000000000002</v>
      </c>
      <c r="F16" s="22" t="s">
        <v>4</v>
      </c>
      <c r="G16" s="46" t="s">
        <v>3</v>
      </c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8"/>
    </row>
    <row r="17" spans="1:21" ht="15.75" x14ac:dyDescent="0.25">
      <c r="A17" s="45" t="str">
        <f>A16</f>
        <v>Пс8.5.1</v>
      </c>
      <c r="B17" s="46"/>
      <c r="C17" s="28" t="s">
        <v>195</v>
      </c>
      <c r="D17" s="28" t="s">
        <v>2820</v>
      </c>
      <c r="E17" s="28">
        <f>'[1]Таблица из архикада'!G4</f>
        <v>0.5</v>
      </c>
      <c r="F17" s="22" t="s">
        <v>4</v>
      </c>
      <c r="G17" s="46" t="s">
        <v>3</v>
      </c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8"/>
    </row>
    <row r="18" spans="1:21" ht="31.5" x14ac:dyDescent="0.25">
      <c r="A18" s="21" t="s">
        <v>183</v>
      </c>
      <c r="B18" s="22" t="s">
        <v>183</v>
      </c>
      <c r="C18" s="22" t="s">
        <v>2821</v>
      </c>
      <c r="D18" s="22" t="s">
        <v>2822</v>
      </c>
      <c r="E18" s="22">
        <f>'[1]Исх.Таблица из архикада'!AI3</f>
        <v>0</v>
      </c>
      <c r="F18" s="22" t="s">
        <v>4</v>
      </c>
      <c r="G18" s="22" t="s">
        <v>3</v>
      </c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3"/>
    </row>
    <row r="19" spans="1:21" ht="15.75" x14ac:dyDescent="0.25">
      <c r="A19" s="21" t="s">
        <v>183</v>
      </c>
      <c r="B19" s="22" t="s">
        <v>183</v>
      </c>
      <c r="C19" s="22" t="s">
        <v>2823</v>
      </c>
      <c r="D19" s="22" t="s">
        <v>2824</v>
      </c>
      <c r="E19" s="22">
        <f>'[1]Исх.Таблица из архикада'!AG4</f>
        <v>0</v>
      </c>
      <c r="F19" s="22" t="s">
        <v>4</v>
      </c>
      <c r="G19" s="22" t="s">
        <v>3</v>
      </c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3"/>
    </row>
    <row r="20" spans="1:21" ht="15.75" x14ac:dyDescent="0.25">
      <c r="A20" s="45"/>
      <c r="B20" s="46"/>
      <c r="C20" s="46" t="s">
        <v>2825</v>
      </c>
      <c r="D20" s="46" t="s">
        <v>2826</v>
      </c>
      <c r="E20" s="46">
        <f>2.99+5.67*0.2+3.39</f>
        <v>7.5140000000000011</v>
      </c>
      <c r="F20" s="46"/>
      <c r="G20" s="46" t="s">
        <v>2689</v>
      </c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8"/>
    </row>
    <row r="21" spans="1:21" ht="15.75" x14ac:dyDescent="0.25">
      <c r="A21" s="45"/>
      <c r="B21" s="46"/>
      <c r="C21" s="46" t="s">
        <v>2827</v>
      </c>
      <c r="D21" s="46" t="s">
        <v>2828</v>
      </c>
      <c r="E21" s="46">
        <f>'[1]Исх.Таблица из архикада'!AO3</f>
        <v>14.943999999999999</v>
      </c>
      <c r="F21" s="46"/>
      <c r="G21" s="46" t="s">
        <v>2689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8"/>
    </row>
    <row r="22" spans="1:21" ht="15.75" x14ac:dyDescent="0.25">
      <c r="A22" s="45"/>
      <c r="B22" s="46"/>
      <c r="C22" s="46" t="s">
        <v>2829</v>
      </c>
      <c r="D22" s="46" t="s">
        <v>2830</v>
      </c>
      <c r="E22" s="46">
        <f>'[1]Исх.Таблица из архикада'!AK3</f>
        <v>9.3999999999999986E-3</v>
      </c>
      <c r="F22" s="46"/>
      <c r="G22" s="46" t="s">
        <v>3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8"/>
    </row>
    <row r="23" spans="1:21" ht="15.75" x14ac:dyDescent="0.25">
      <c r="A23" s="45"/>
      <c r="B23" s="46"/>
      <c r="C23" s="46"/>
      <c r="D23" s="46" t="s">
        <v>2831</v>
      </c>
      <c r="E23" s="46">
        <f>('[1]Исх.Таблица из архикада'!AJ3)</f>
        <v>2.2999999999999998</v>
      </c>
      <c r="F23" s="46"/>
      <c r="G23" s="46" t="s">
        <v>27</v>
      </c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8"/>
    </row>
    <row r="24" spans="1:21" ht="15.75" x14ac:dyDescent="0.25">
      <c r="A24" s="45"/>
      <c r="B24" s="46"/>
      <c r="C24" s="46" t="s">
        <v>258</v>
      </c>
      <c r="D24" s="46" t="s">
        <v>2836</v>
      </c>
      <c r="E24" s="46">
        <f>'[1]Исх.Таблица из архикада'!AL3</f>
        <v>4</v>
      </c>
      <c r="F24" s="46">
        <f>2.47*0.3</f>
        <v>0.74099999999999999</v>
      </c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8"/>
    </row>
    <row r="25" spans="1:21" ht="15.75" x14ac:dyDescent="0.25">
      <c r="A25" s="45"/>
      <c r="B25" s="46"/>
      <c r="C25" s="46" t="s">
        <v>2834</v>
      </c>
      <c r="D25" s="46" t="s">
        <v>2789</v>
      </c>
      <c r="E25" s="46">
        <f>'[1]Исх.Таблица из архикада'!AM3</f>
        <v>4</v>
      </c>
      <c r="F25" s="46">
        <f>1.53*0.32</f>
        <v>0.48960000000000004</v>
      </c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8"/>
    </row>
    <row r="26" spans="1:21" ht="31.5" x14ac:dyDescent="0.25">
      <c r="A26" s="21" t="s">
        <v>183</v>
      </c>
      <c r="B26" s="22" t="s">
        <v>183</v>
      </c>
      <c r="C26" s="22" t="s">
        <v>2832</v>
      </c>
      <c r="D26" s="22" t="s">
        <v>2847</v>
      </c>
      <c r="E26" s="22">
        <f>ROUNDUP(('[1]Исх.Таблица из архикада'!B3)/2000,0)</f>
        <v>3</v>
      </c>
      <c r="F26" s="22">
        <f>6.1*0.2</f>
        <v>1.22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 t="s">
        <v>202</v>
      </c>
      <c r="T26" s="22" t="s">
        <v>202</v>
      </c>
      <c r="U26" s="23"/>
    </row>
    <row r="27" spans="1:21" ht="15.7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</row>
    <row r="28" spans="1:21" ht="15.7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.75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 ht="15.75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 ht="15.75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 ht="15.75" x14ac:dyDescent="0.25">
      <c r="A32" s="21" t="s">
        <v>183</v>
      </c>
      <c r="B32" s="22" t="s">
        <v>183</v>
      </c>
      <c r="C32" s="22" t="s">
        <v>184</v>
      </c>
      <c r="D32" s="22" t="s">
        <v>2818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3"/>
    </row>
    <row r="33" spans="1:21" ht="15.75" x14ac:dyDescent="0.25">
      <c r="A33" s="21" t="s">
        <v>183</v>
      </c>
      <c r="B33" s="22" t="s">
        <v>183</v>
      </c>
      <c r="C33" s="22" t="s">
        <v>2835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3"/>
    </row>
    <row r="34" spans="1:21" ht="15.75" x14ac:dyDescent="0.25">
      <c r="A34" s="21" t="s">
        <v>183</v>
      </c>
      <c r="B34" s="22" t="s">
        <v>183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3"/>
    </row>
    <row r="35" spans="1:21" ht="31.5" x14ac:dyDescent="0.25">
      <c r="A35" s="25" t="str">
        <f>'[1]Исх.Таблица из архикада'!A4</f>
        <v>Пс8.5.2</v>
      </c>
      <c r="B35" s="26" t="str">
        <f>A35</f>
        <v>Пс8.5.2</v>
      </c>
      <c r="C35" s="26"/>
      <c r="D35" s="26" t="s">
        <v>2848</v>
      </c>
      <c r="E35" s="26">
        <v>1</v>
      </c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31.5" x14ac:dyDescent="0.25">
      <c r="A36" s="45" t="str">
        <f t="shared" ref="A36:A47" si="1">A35</f>
        <v>Пс8.5.2</v>
      </c>
      <c r="B36" s="46">
        <v>1</v>
      </c>
      <c r="C36" s="46" t="s">
        <v>258</v>
      </c>
      <c r="D36" s="46" t="str">
        <f>'[1]Таблица из архикада'!C23</f>
        <v>Гориз. В стене</v>
      </c>
      <c r="E36" s="46">
        <f>'[1]Таблица из архикада'!E23</f>
        <v>28</v>
      </c>
      <c r="F36" s="22">
        <v>0.88800000000000001</v>
      </c>
      <c r="G36" s="46"/>
      <c r="H36" s="46">
        <f>'[1]Таблица из архикада'!H23*2</f>
        <v>5900</v>
      </c>
      <c r="I36" s="46">
        <f>'[1]Таблица из архикада'!I23</f>
        <v>12</v>
      </c>
      <c r="J36" s="46" t="s">
        <v>2</v>
      </c>
      <c r="K36" s="46"/>
      <c r="L36" s="46"/>
      <c r="M36" s="46"/>
      <c r="N36" s="46"/>
      <c r="O36" s="46"/>
      <c r="P36" s="46"/>
      <c r="Q36" s="46"/>
      <c r="R36" s="46"/>
      <c r="S36" s="46" t="s">
        <v>202</v>
      </c>
      <c r="T36" s="46" t="s">
        <v>202</v>
      </c>
      <c r="U36" s="48">
        <v>30</v>
      </c>
    </row>
    <row r="37" spans="1:21" ht="31.5" x14ac:dyDescent="0.25">
      <c r="A37" s="45" t="str">
        <f t="shared" si="1"/>
        <v>Пс8.5.2</v>
      </c>
      <c r="B37" s="46">
        <v>2</v>
      </c>
      <c r="C37" s="46" t="s">
        <v>258</v>
      </c>
      <c r="D37" s="46" t="str">
        <f>'[1]Таблица из архикада'!C24</f>
        <v>П-шка в стене верт</v>
      </c>
      <c r="E37" s="46">
        <f>'[1]Таблица из архикада'!E24</f>
        <v>30</v>
      </c>
      <c r="F37" s="22">
        <v>1.208</v>
      </c>
      <c r="G37" s="46" t="s">
        <v>0</v>
      </c>
      <c r="H37" s="46">
        <f>'[1]Таблица из архикада'!H24</f>
        <v>1490</v>
      </c>
      <c r="I37" s="46">
        <f>'[1]Таблица из архикада'!I24</f>
        <v>14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 t="s">
        <v>202</v>
      </c>
      <c r="T37" s="46" t="s">
        <v>202</v>
      </c>
      <c r="U37" s="48">
        <v>35</v>
      </c>
    </row>
    <row r="38" spans="1:21" ht="31.5" x14ac:dyDescent="0.25">
      <c r="A38" s="45" t="str">
        <f t="shared" si="1"/>
        <v>Пс8.5.2</v>
      </c>
      <c r="B38" s="46">
        <v>3</v>
      </c>
      <c r="C38" s="46" t="s">
        <v>258</v>
      </c>
      <c r="D38" s="46" t="str">
        <f>'[1]Таблица из архикада'!C25</f>
        <v>П-шка в стене гориз.</v>
      </c>
      <c r="E38" s="46">
        <f>'[1]Таблица из архикада'!E25</f>
        <v>28</v>
      </c>
      <c r="F38" s="22">
        <v>0.88800000000000001</v>
      </c>
      <c r="G38" s="46" t="s">
        <v>0</v>
      </c>
      <c r="H38" s="46">
        <f>'[1]Таблица из архикада'!H25</f>
        <v>1310</v>
      </c>
      <c r="I38" s="46">
        <f>'[1]Таблица из архикада'!I25</f>
        <v>12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 t="s">
        <v>202</v>
      </c>
      <c r="T38" s="46" t="s">
        <v>202</v>
      </c>
      <c r="U38" s="48">
        <v>30</v>
      </c>
    </row>
    <row r="39" spans="1:21" ht="31.5" x14ac:dyDescent="0.25">
      <c r="A39" s="45" t="str">
        <f t="shared" si="1"/>
        <v>Пс8.5.2</v>
      </c>
      <c r="B39" s="46">
        <v>4</v>
      </c>
      <c r="C39" s="46" t="s">
        <v>258</v>
      </c>
      <c r="D39" s="46" t="str">
        <f>'[1]Таблица из архикада'!C26</f>
        <v>Вертик. В стене</v>
      </c>
      <c r="E39" s="46">
        <f>'[1]Таблица из архикада'!E26</f>
        <v>60</v>
      </c>
      <c r="F39" s="22">
        <v>1.208</v>
      </c>
      <c r="G39" s="46" t="s">
        <v>0</v>
      </c>
      <c r="H39" s="46">
        <f>'[1]Таблица из архикада'!H26</f>
        <v>3255</v>
      </c>
      <c r="I39" s="46">
        <f>'[1]Таблица из архикада'!I26</f>
        <v>14</v>
      </c>
      <c r="J39" s="46" t="s">
        <v>2</v>
      </c>
      <c r="K39" s="46"/>
      <c r="L39" s="46"/>
      <c r="M39" s="46"/>
      <c r="N39" s="46"/>
      <c r="O39" s="46"/>
      <c r="P39" s="46"/>
      <c r="Q39" s="46"/>
      <c r="R39" s="46"/>
      <c r="S39" s="46" t="s">
        <v>202</v>
      </c>
      <c r="T39" s="46" t="s">
        <v>202</v>
      </c>
      <c r="U39" s="48">
        <v>35</v>
      </c>
    </row>
    <row r="40" spans="1:21" ht="31.5" x14ac:dyDescent="0.25">
      <c r="A40" s="45" t="str">
        <f>A38</f>
        <v>Пс8.5.2</v>
      </c>
      <c r="B40" s="46">
        <v>5</v>
      </c>
      <c r="C40" s="46" t="s">
        <v>190</v>
      </c>
      <c r="D40" s="46" t="str">
        <f>'[1]Таблица из архикада'!C27</f>
        <v>Шпилька</v>
      </c>
      <c r="E40" s="46">
        <f>'[1]Таблица из архикада'!E27</f>
        <v>106</v>
      </c>
      <c r="F40" s="22">
        <v>0.222</v>
      </c>
      <c r="G40" s="46" t="s">
        <v>0</v>
      </c>
      <c r="H40" s="46">
        <f>'[1]Таблица из архикада'!H27</f>
        <v>270</v>
      </c>
      <c r="I40" s="46">
        <f>'[1]Таблица из архикада'!I27</f>
        <v>6</v>
      </c>
      <c r="J40" s="46" t="s">
        <v>1</v>
      </c>
      <c r="K40" s="46"/>
      <c r="L40" s="46"/>
      <c r="M40" s="46"/>
      <c r="N40" s="46"/>
      <c r="O40" s="46"/>
      <c r="P40" s="46"/>
      <c r="Q40" s="46"/>
      <c r="R40" s="46"/>
      <c r="S40" s="46" t="s">
        <v>202</v>
      </c>
      <c r="T40" s="46" t="s">
        <v>202</v>
      </c>
      <c r="U40" s="48">
        <v>7.5</v>
      </c>
    </row>
    <row r="41" spans="1:21" ht="31.5" x14ac:dyDescent="0.25">
      <c r="A41" s="45" t="str">
        <f t="shared" si="1"/>
        <v>Пс8.5.2</v>
      </c>
      <c r="B41" s="46">
        <v>6</v>
      </c>
      <c r="C41" s="46" t="s">
        <v>258</v>
      </c>
      <c r="D41" s="46" t="str">
        <f>'[1]Таблица из архикада'!C28</f>
        <v>Поперечная в подошве</v>
      </c>
      <c r="E41" s="46">
        <f>'[1]Таблица из архикада'!E28</f>
        <v>23</v>
      </c>
      <c r="F41" s="22">
        <v>1.5780000000000001</v>
      </c>
      <c r="G41" s="46"/>
      <c r="H41" s="46">
        <f>'[1]Таблица из архикада'!H28</f>
        <v>2750</v>
      </c>
      <c r="I41" s="46">
        <f>'[1]Таблица из архикада'!I28</f>
        <v>16</v>
      </c>
      <c r="J41" s="46" t="s">
        <v>2</v>
      </c>
      <c r="K41" s="46"/>
      <c r="L41" s="46"/>
      <c r="M41" s="46"/>
      <c r="N41" s="46"/>
      <c r="O41" s="46"/>
      <c r="P41" s="46"/>
      <c r="Q41" s="46"/>
      <c r="R41" s="46"/>
      <c r="S41" s="46" t="s">
        <v>202</v>
      </c>
      <c r="T41" s="46" t="s">
        <v>202</v>
      </c>
      <c r="U41" s="48">
        <v>40</v>
      </c>
    </row>
    <row r="42" spans="1:21" ht="31.5" x14ac:dyDescent="0.25">
      <c r="A42" s="45" t="str">
        <f t="shared" si="1"/>
        <v>Пс8.5.2</v>
      </c>
      <c r="B42" s="46">
        <v>7</v>
      </c>
      <c r="C42" s="46" t="s">
        <v>258</v>
      </c>
      <c r="D42" s="46" t="str">
        <f>'[1]Таблица из архикада'!C29</f>
        <v>Продольная в подошве</v>
      </c>
      <c r="E42" s="46">
        <f>'[1]Таблица из архикада'!E29</f>
        <v>28</v>
      </c>
      <c r="F42" s="22">
        <v>0.88800000000000001</v>
      </c>
      <c r="G42" s="46"/>
      <c r="H42" s="46">
        <f>'[1]Таблица из архикада'!H29*2</f>
        <v>5900</v>
      </c>
      <c r="I42" s="46">
        <f>'[1]Таблица из архикада'!I29</f>
        <v>12</v>
      </c>
      <c r="J42" s="46" t="s">
        <v>2</v>
      </c>
      <c r="K42" s="46"/>
      <c r="L42" s="46"/>
      <c r="M42" s="46"/>
      <c r="N42" s="46"/>
      <c r="O42" s="46"/>
      <c r="P42" s="46"/>
      <c r="Q42" s="46"/>
      <c r="R42" s="46"/>
      <c r="S42" s="46" t="s">
        <v>202</v>
      </c>
      <c r="T42" s="46" t="s">
        <v>202</v>
      </c>
      <c r="U42" s="48">
        <v>30</v>
      </c>
    </row>
    <row r="43" spans="1:21" ht="31.5" x14ac:dyDescent="0.25">
      <c r="A43" s="45" t="str">
        <f t="shared" si="1"/>
        <v>Пс8.5.2</v>
      </c>
      <c r="B43" s="46">
        <v>8</v>
      </c>
      <c r="C43" s="46" t="s">
        <v>258</v>
      </c>
      <c r="D43" s="46" t="str">
        <f>'[1]Таблица из архикада'!C30</f>
        <v>П-шка в поперечном сеч.</v>
      </c>
      <c r="E43" s="46">
        <f>'[1]Таблица из архикада'!E30</f>
        <v>60</v>
      </c>
      <c r="F43" s="22">
        <v>1.5780000000000001</v>
      </c>
      <c r="G43" s="46" t="s">
        <v>0</v>
      </c>
      <c r="H43" s="46">
        <f>'[1]Таблица из архикада'!H30</f>
        <v>1790</v>
      </c>
      <c r="I43" s="46">
        <f>'[1]Таблица из архикада'!I30</f>
        <v>16</v>
      </c>
      <c r="J43" s="46" t="s">
        <v>2</v>
      </c>
      <c r="K43" s="46"/>
      <c r="L43" s="46"/>
      <c r="M43" s="46"/>
      <c r="N43" s="46"/>
      <c r="O43" s="46"/>
      <c r="P43" s="46"/>
      <c r="Q43" s="46"/>
      <c r="R43" s="46"/>
      <c r="S43" s="46" t="s">
        <v>202</v>
      </c>
      <c r="T43" s="46" t="s">
        <v>202</v>
      </c>
      <c r="U43" s="48">
        <v>40</v>
      </c>
    </row>
    <row r="44" spans="1:21" ht="31.5" x14ac:dyDescent="0.25">
      <c r="A44" s="45" t="str">
        <f t="shared" si="1"/>
        <v>Пс8.5.2</v>
      </c>
      <c r="B44" s="46">
        <v>9</v>
      </c>
      <c r="C44" s="46" t="s">
        <v>258</v>
      </c>
      <c r="D44" s="46" t="str">
        <f>'[1]Таблица из архикада'!C31</f>
        <v>П-шка в продол.сеч.</v>
      </c>
      <c r="E44" s="46">
        <f>'[1]Таблица из архикада'!E31</f>
        <v>28</v>
      </c>
      <c r="F44" s="22">
        <v>0.88800000000000001</v>
      </c>
      <c r="G44" s="46" t="s">
        <v>0</v>
      </c>
      <c r="H44" s="46">
        <f>'[1]Таблица из архикада'!H31</f>
        <v>1390</v>
      </c>
      <c r="I44" s="46">
        <f>'[1]Таблица из архикада'!I31</f>
        <v>12</v>
      </c>
      <c r="J44" s="46" t="s">
        <v>2</v>
      </c>
      <c r="K44" s="46"/>
      <c r="L44" s="46"/>
      <c r="M44" s="46"/>
      <c r="N44" s="46"/>
      <c r="O44" s="46"/>
      <c r="P44" s="46"/>
      <c r="Q44" s="46"/>
      <c r="R44" s="46"/>
      <c r="S44" s="46" t="s">
        <v>202</v>
      </c>
      <c r="T44" s="46" t="s">
        <v>202</v>
      </c>
      <c r="U44" s="48">
        <v>30</v>
      </c>
    </row>
    <row r="45" spans="1:21" ht="31.5" x14ac:dyDescent="0.25">
      <c r="A45" s="45" t="str">
        <f t="shared" si="1"/>
        <v>Пс8.5.2</v>
      </c>
      <c r="B45" s="46" t="s">
        <v>310</v>
      </c>
      <c r="C45" s="46" t="s">
        <v>2701</v>
      </c>
      <c r="D45" s="46" t="s">
        <v>2751</v>
      </c>
      <c r="E45" s="46">
        <f>'[1]Таблица из архикада'!L23</f>
        <v>12</v>
      </c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8"/>
    </row>
    <row r="46" spans="1:21" ht="15.75" x14ac:dyDescent="0.25">
      <c r="A46" s="45" t="str">
        <f t="shared" si="1"/>
        <v>Пс8.5.2</v>
      </c>
      <c r="B46" s="46"/>
      <c r="C46" s="28" t="s">
        <v>195</v>
      </c>
      <c r="D46" s="28" t="s">
        <v>2820</v>
      </c>
      <c r="E46" s="28">
        <f>'[1]Таблица из архикада'!F23</f>
        <v>4.1999999999999993</v>
      </c>
      <c r="F46" s="22" t="s">
        <v>4</v>
      </c>
      <c r="G46" s="46" t="s">
        <v>3</v>
      </c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8"/>
    </row>
    <row r="47" spans="1:21" ht="31.5" x14ac:dyDescent="0.25">
      <c r="A47" s="45" t="str">
        <f t="shared" si="1"/>
        <v>Пс8.5.2</v>
      </c>
      <c r="B47" s="46"/>
      <c r="C47" s="28" t="s">
        <v>195</v>
      </c>
      <c r="D47" s="28" t="s">
        <v>2819</v>
      </c>
      <c r="E47" s="28">
        <f>'[1]Таблица из архикада'!G23</f>
        <v>0.9</v>
      </c>
      <c r="F47" s="22" t="s">
        <v>4</v>
      </c>
      <c r="G47" s="46" t="s">
        <v>3</v>
      </c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8"/>
    </row>
    <row r="48" spans="1:21" ht="15.75" x14ac:dyDescent="0.25">
      <c r="A48" s="45"/>
      <c r="B48" s="46"/>
      <c r="C48" s="46" t="s">
        <v>2821</v>
      </c>
      <c r="D48" s="46" t="s">
        <v>2849</v>
      </c>
      <c r="E48" s="46">
        <f>'[1]Исх.Таблица из архикада'!AI4</f>
        <v>0</v>
      </c>
      <c r="F48" s="46" t="s">
        <v>4</v>
      </c>
      <c r="G48" s="46" t="s">
        <v>3</v>
      </c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8"/>
    </row>
    <row r="49" spans="1:21" ht="15.75" x14ac:dyDescent="0.25">
      <c r="A49" s="45"/>
      <c r="B49" s="46"/>
      <c r="C49" s="46" t="s">
        <v>2823</v>
      </c>
      <c r="D49" s="46" t="s">
        <v>2850</v>
      </c>
      <c r="E49" s="46">
        <f>'[1]Исх.Таблица из архикада'!AG5</f>
        <v>14.000000000000002</v>
      </c>
      <c r="F49" s="46" t="s">
        <v>4</v>
      </c>
      <c r="G49" s="46" t="s">
        <v>3</v>
      </c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8"/>
    </row>
    <row r="50" spans="1:21" ht="15.75" x14ac:dyDescent="0.25">
      <c r="A50" s="45"/>
      <c r="B50" s="46"/>
      <c r="C50" s="46" t="s">
        <v>2825</v>
      </c>
      <c r="D50" s="46" t="s">
        <v>2826</v>
      </c>
      <c r="E50" s="46">
        <f>1.54+3*0.2+4.2</f>
        <v>6.34</v>
      </c>
      <c r="F50" s="46"/>
      <c r="G50" s="46" t="s">
        <v>2689</v>
      </c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8"/>
    </row>
    <row r="51" spans="1:21" ht="15.75" x14ac:dyDescent="0.25">
      <c r="A51" s="45"/>
      <c r="B51" s="46"/>
      <c r="C51" s="46" t="s">
        <v>2827</v>
      </c>
      <c r="D51" s="46" t="s">
        <v>2828</v>
      </c>
      <c r="E51" s="46">
        <f>'[1]Исх.Таблица из архикада'!AO4</f>
        <v>25.68</v>
      </c>
      <c r="F51" s="46"/>
      <c r="G51" s="46" t="s">
        <v>2689</v>
      </c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8"/>
    </row>
    <row r="52" spans="1:21" ht="15.75" x14ac:dyDescent="0.25">
      <c r="A52" s="45"/>
      <c r="B52" s="46"/>
      <c r="C52" s="46" t="s">
        <v>2829</v>
      </c>
      <c r="D52" s="46" t="s">
        <v>2830</v>
      </c>
      <c r="E52" s="46">
        <f>'[1]Исх.Таблица из архикада'!AK4</f>
        <v>2.76E-2</v>
      </c>
      <c r="F52" s="46"/>
      <c r="G52" s="46" t="s">
        <v>3</v>
      </c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8"/>
    </row>
    <row r="53" spans="1:21" ht="15.75" x14ac:dyDescent="0.25">
      <c r="A53" s="45"/>
      <c r="B53" s="46"/>
      <c r="C53" s="46"/>
      <c r="D53" s="46" t="s">
        <v>2831</v>
      </c>
      <c r="E53" s="46">
        <f>('[1]Исх.Таблица из архикада'!AJ4)</f>
        <v>5.4</v>
      </c>
      <c r="F53" s="46"/>
      <c r="G53" s="46" t="s">
        <v>27</v>
      </c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8"/>
    </row>
    <row r="54" spans="1:21" ht="15.75" x14ac:dyDescent="0.25">
      <c r="A54" s="45"/>
      <c r="B54" s="46"/>
      <c r="C54" s="46" t="s">
        <v>258</v>
      </c>
      <c r="D54" s="46" t="s">
        <v>2836</v>
      </c>
      <c r="E54" s="46">
        <f>'[1]Исх.Таблица из архикада'!AL4</f>
        <v>9</v>
      </c>
      <c r="F54" s="46">
        <f>2.47*0.3</f>
        <v>0.74099999999999999</v>
      </c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8"/>
    </row>
    <row r="55" spans="1:21" ht="15.75" x14ac:dyDescent="0.25">
      <c r="A55" s="45"/>
      <c r="B55" s="46"/>
      <c r="C55" s="46" t="s">
        <v>2834</v>
      </c>
      <c r="D55" s="46" t="s">
        <v>2789</v>
      </c>
      <c r="E55" s="46">
        <f>'[1]Исх.Таблица из архикада'!AM4</f>
        <v>9</v>
      </c>
      <c r="F55" s="46">
        <f>1.53*0.32</f>
        <v>0.48960000000000004</v>
      </c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8"/>
    </row>
    <row r="56" spans="1:21" ht="31.5" x14ac:dyDescent="0.25">
      <c r="A56" s="45"/>
      <c r="B56" s="46" t="s">
        <v>2844</v>
      </c>
      <c r="C56" s="46" t="s">
        <v>2832</v>
      </c>
      <c r="D56" s="46" t="s">
        <v>2833</v>
      </c>
      <c r="E56" s="46">
        <f>ROUNDUP(('[1]Исх.Таблица из архикада'!B4)/2000,0)</f>
        <v>2</v>
      </c>
      <c r="F56" s="46">
        <f>6.1*0.2</f>
        <v>1.22</v>
      </c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 t="s">
        <v>202</v>
      </c>
      <c r="T56" s="46" t="s">
        <v>202</v>
      </c>
      <c r="U56" s="48">
        <v>0</v>
      </c>
    </row>
    <row r="57" spans="1:21" ht="31.5" x14ac:dyDescent="0.25">
      <c r="A57" s="45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 t="s">
        <v>202</v>
      </c>
      <c r="T57" s="46" t="s">
        <v>202</v>
      </c>
      <c r="U57" s="48"/>
    </row>
    <row r="58" spans="1:21" ht="15.75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</row>
    <row r="59" spans="1:21" ht="15.75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</row>
    <row r="60" spans="1:21" ht="15.7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</row>
    <row r="61" spans="1:21" ht="15.7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</row>
    <row r="62" spans="1:21" ht="15.7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</row>
    <row r="63" spans="1:21" ht="15.7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</row>
    <row r="64" spans="1:21" ht="15.75" x14ac:dyDescent="0.25">
      <c r="A64" s="21" t="str">
        <f>A67</f>
        <v>Пс8.5.3</v>
      </c>
      <c r="B64" s="22" t="s">
        <v>183</v>
      </c>
      <c r="C64" s="22" t="s">
        <v>184</v>
      </c>
      <c r="D64" s="22" t="s">
        <v>2818</v>
      </c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3"/>
    </row>
    <row r="65" spans="1:21" ht="15.75" x14ac:dyDescent="0.25">
      <c r="A65" s="21" t="str">
        <f>A67</f>
        <v>Пс8.5.3</v>
      </c>
      <c r="B65" s="22" t="s">
        <v>183</v>
      </c>
      <c r="C65" s="22" t="s">
        <v>2835</v>
      </c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3"/>
    </row>
    <row r="66" spans="1:21" ht="15.75" x14ac:dyDescent="0.25">
      <c r="A66" s="21" t="str">
        <f t="shared" ref="A66" si="2">A69</f>
        <v>Пс8.5.3</v>
      </c>
      <c r="B66" s="22" t="s">
        <v>183</v>
      </c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3"/>
    </row>
    <row r="67" spans="1:21" ht="31.5" x14ac:dyDescent="0.25">
      <c r="A67" s="25" t="str">
        <f>'[1]Исх.Таблица из архикада'!A5</f>
        <v>Пс8.5.3</v>
      </c>
      <c r="B67" s="26" t="str">
        <f>A67</f>
        <v>Пс8.5.3</v>
      </c>
      <c r="C67" s="26"/>
      <c r="D67" s="26" t="s">
        <v>2851</v>
      </c>
      <c r="E67" s="26">
        <v>5</v>
      </c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7"/>
    </row>
    <row r="68" spans="1:21" ht="15.75" x14ac:dyDescent="0.25">
      <c r="A68" s="45" t="str">
        <f t="shared" ref="A68:A79" si="3">A67</f>
        <v>Пс8.5.3</v>
      </c>
      <c r="B68" s="46">
        <v>1</v>
      </c>
      <c r="C68" s="46" t="s">
        <v>258</v>
      </c>
      <c r="D68" s="46" t="str">
        <f>'[1]Таблица из архикада'!C42</f>
        <v>Гориз. В стене</v>
      </c>
      <c r="E68" s="46">
        <f>'[1]Таблица из архикада'!E42</f>
        <v>1</v>
      </c>
      <c r="F68" s="22">
        <v>0.88800000000000001</v>
      </c>
      <c r="G68" s="46" t="s">
        <v>27</v>
      </c>
      <c r="H68" s="46">
        <f>'[1]Таблица из архикада'!H42*2</f>
        <v>309200</v>
      </c>
      <c r="I68" s="46">
        <f>'[1]Таблица из архикада'!I42</f>
        <v>12</v>
      </c>
      <c r="J68" s="46" t="s">
        <v>2</v>
      </c>
      <c r="K68" s="46"/>
      <c r="L68" s="46"/>
      <c r="M68" s="46"/>
      <c r="N68" s="46"/>
      <c r="O68" s="46"/>
      <c r="P68" s="46"/>
      <c r="Q68" s="46"/>
      <c r="R68" s="46"/>
      <c r="S68" s="46">
        <v>650</v>
      </c>
      <c r="T68" s="46">
        <v>780</v>
      </c>
      <c r="U68" s="48">
        <v>30</v>
      </c>
    </row>
    <row r="69" spans="1:21" ht="15.75" x14ac:dyDescent="0.25">
      <c r="A69" s="45" t="str">
        <f t="shared" si="3"/>
        <v>Пс8.5.3</v>
      </c>
      <c r="B69" s="46">
        <v>2</v>
      </c>
      <c r="C69" s="46" t="s">
        <v>258</v>
      </c>
      <c r="D69" s="46" t="str">
        <f>'[1]Таблица из архикада'!C43</f>
        <v>П-шка в стене верт</v>
      </c>
      <c r="E69" s="46">
        <f>'[1]Таблица из архикада'!E43</f>
        <v>100</v>
      </c>
      <c r="F69" s="22">
        <v>1.208</v>
      </c>
      <c r="G69" s="46" t="s">
        <v>0</v>
      </c>
      <c r="H69" s="46">
        <f>'[1]Таблица из архикада'!H43</f>
        <v>1490</v>
      </c>
      <c r="I69" s="46">
        <f>'[1]Таблица из архикада'!I43</f>
        <v>14</v>
      </c>
      <c r="J69" s="46" t="s">
        <v>2</v>
      </c>
      <c r="K69" s="46"/>
      <c r="L69" s="46"/>
      <c r="M69" s="46"/>
      <c r="N69" s="46"/>
      <c r="O69" s="46"/>
      <c r="P69" s="46"/>
      <c r="Q69" s="46"/>
      <c r="R69" s="46"/>
      <c r="S69" s="46">
        <v>755</v>
      </c>
      <c r="T69" s="46">
        <v>905</v>
      </c>
      <c r="U69" s="48">
        <v>35</v>
      </c>
    </row>
    <row r="70" spans="1:21" ht="15.75" x14ac:dyDescent="0.25">
      <c r="A70" s="45" t="str">
        <f t="shared" si="3"/>
        <v>Пс8.5.3</v>
      </c>
      <c r="B70" s="46">
        <v>3</v>
      </c>
      <c r="C70" s="46" t="s">
        <v>258</v>
      </c>
      <c r="D70" s="46" t="str">
        <f>'[1]Таблица из архикада'!C44</f>
        <v>П-шка в стене гориз.</v>
      </c>
      <c r="E70" s="46">
        <f>'[1]Таблица из архикада'!E44</f>
        <v>28</v>
      </c>
      <c r="F70" s="22">
        <v>0.88800000000000001</v>
      </c>
      <c r="G70" s="46" t="s">
        <v>0</v>
      </c>
      <c r="H70" s="46">
        <f>'[1]Таблица из архикада'!H44</f>
        <v>1310</v>
      </c>
      <c r="I70" s="46">
        <f>'[1]Таблица из архикада'!I44</f>
        <v>12</v>
      </c>
      <c r="J70" s="46" t="s">
        <v>2</v>
      </c>
      <c r="K70" s="46"/>
      <c r="L70" s="46"/>
      <c r="M70" s="46"/>
      <c r="N70" s="46"/>
      <c r="O70" s="46"/>
      <c r="P70" s="46"/>
      <c r="Q70" s="46"/>
      <c r="R70" s="46"/>
      <c r="S70" s="46">
        <v>650</v>
      </c>
      <c r="T70" s="46">
        <v>780</v>
      </c>
      <c r="U70" s="48">
        <v>30</v>
      </c>
    </row>
    <row r="71" spans="1:21" ht="15.75" x14ac:dyDescent="0.25">
      <c r="A71" s="45" t="str">
        <f t="shared" si="3"/>
        <v>Пс8.5.3</v>
      </c>
      <c r="B71" s="46">
        <v>4</v>
      </c>
      <c r="C71" s="46" t="s">
        <v>190</v>
      </c>
      <c r="D71" s="46" t="str">
        <f>'[1]Таблица из архикада'!C45</f>
        <v>Вертик. В стене</v>
      </c>
      <c r="E71" s="46">
        <f>'[1]Таблица из архикада'!E45</f>
        <v>200</v>
      </c>
      <c r="F71" s="22">
        <v>1.208</v>
      </c>
      <c r="G71" s="46" t="s">
        <v>0</v>
      </c>
      <c r="H71" s="46">
        <f>'[1]Таблица из архикада'!H45</f>
        <v>3255</v>
      </c>
      <c r="I71" s="46">
        <f>'[1]Таблица из архикада'!I45</f>
        <v>14</v>
      </c>
      <c r="J71" s="46" t="s">
        <v>2</v>
      </c>
      <c r="K71" s="46"/>
      <c r="L71" s="46"/>
      <c r="M71" s="46"/>
      <c r="N71" s="46"/>
      <c r="O71" s="46"/>
      <c r="P71" s="46"/>
      <c r="Q71" s="46"/>
      <c r="R71" s="46"/>
      <c r="S71" s="46">
        <v>755</v>
      </c>
      <c r="T71" s="46">
        <v>905</v>
      </c>
      <c r="U71" s="48">
        <v>35</v>
      </c>
    </row>
    <row r="72" spans="1:21" ht="15.75" x14ac:dyDescent="0.25">
      <c r="A72" s="45" t="str">
        <f t="shared" si="3"/>
        <v>Пс8.5.3</v>
      </c>
      <c r="B72" s="46">
        <v>5</v>
      </c>
      <c r="C72" s="46" t="s">
        <v>258</v>
      </c>
      <c r="D72" s="46" t="str">
        <f>'[1]Таблица из архикада'!C46</f>
        <v>Шпилька</v>
      </c>
      <c r="E72" s="46">
        <f>'[1]Таблица из архикада'!E46</f>
        <v>351</v>
      </c>
      <c r="F72" s="22">
        <v>0.222</v>
      </c>
      <c r="G72" s="46" t="s">
        <v>0</v>
      </c>
      <c r="H72" s="46">
        <f>'[1]Таблица из архикада'!H46</f>
        <v>270</v>
      </c>
      <c r="I72" s="46">
        <f>'[1]Таблица из архикада'!I46</f>
        <v>6</v>
      </c>
      <c r="J72" s="46" t="s">
        <v>1</v>
      </c>
      <c r="K72" s="46"/>
      <c r="L72" s="46"/>
      <c r="M72" s="46"/>
      <c r="N72" s="46"/>
      <c r="O72" s="46"/>
      <c r="P72" s="46"/>
      <c r="Q72" s="46"/>
      <c r="R72" s="46"/>
      <c r="S72" s="46">
        <v>200</v>
      </c>
      <c r="T72" s="46">
        <v>250</v>
      </c>
      <c r="U72" s="48">
        <v>7.5</v>
      </c>
    </row>
    <row r="73" spans="1:21" ht="15.75" x14ac:dyDescent="0.25">
      <c r="A73" s="45" t="str">
        <f t="shared" si="3"/>
        <v>Пс8.5.3</v>
      </c>
      <c r="B73" s="46">
        <v>6</v>
      </c>
      <c r="C73" s="46" t="s">
        <v>258</v>
      </c>
      <c r="D73" s="46" t="str">
        <f>'[1]Таблица из архикада'!C47</f>
        <v>Поперечная в подошве</v>
      </c>
      <c r="E73" s="46">
        <f>'[1]Таблица из архикада'!E47</f>
        <v>200</v>
      </c>
      <c r="F73" s="22">
        <v>1.5780000000000001</v>
      </c>
      <c r="G73" s="46"/>
      <c r="H73" s="46">
        <f>'[1]Таблица из архикада'!H47</f>
        <v>2750</v>
      </c>
      <c r="I73" s="46">
        <f>'[1]Таблица из архикада'!I47</f>
        <v>16</v>
      </c>
      <c r="J73" s="46" t="s">
        <v>2</v>
      </c>
      <c r="K73" s="46"/>
      <c r="L73" s="46"/>
      <c r="M73" s="46"/>
      <c r="N73" s="46"/>
      <c r="O73" s="46"/>
      <c r="P73" s="46"/>
      <c r="Q73" s="46"/>
      <c r="R73" s="46"/>
      <c r="S73" s="46">
        <v>865</v>
      </c>
      <c r="T73" s="46">
        <v>1035</v>
      </c>
      <c r="U73" s="48">
        <v>40</v>
      </c>
    </row>
    <row r="74" spans="1:21" ht="15.75" x14ac:dyDescent="0.25">
      <c r="A74" s="45" t="str">
        <f t="shared" si="3"/>
        <v>Пс8.5.3</v>
      </c>
      <c r="B74" s="46">
        <v>7</v>
      </c>
      <c r="C74" s="46" t="s">
        <v>258</v>
      </c>
      <c r="D74" s="46" t="str">
        <f>'[1]Таблица из архикада'!C48</f>
        <v>Продольная в подошве</v>
      </c>
      <c r="E74" s="46">
        <f>'[1]Таблица из архикада'!E48</f>
        <v>1</v>
      </c>
      <c r="F74" s="22">
        <v>0.88800000000000001</v>
      </c>
      <c r="G74" s="46" t="s">
        <v>27</v>
      </c>
      <c r="H74" s="46">
        <f>'[1]Таблица из архикада'!H48*2</f>
        <v>320600</v>
      </c>
      <c r="I74" s="46">
        <f>'[1]Таблица из архикада'!I48</f>
        <v>12</v>
      </c>
      <c r="J74" s="46" t="s">
        <v>2</v>
      </c>
      <c r="K74" s="46"/>
      <c r="L74" s="46"/>
      <c r="M74" s="46"/>
      <c r="N74" s="46"/>
      <c r="O74" s="46"/>
      <c r="P74" s="46"/>
      <c r="Q74" s="46"/>
      <c r="R74" s="46"/>
      <c r="S74" s="46">
        <v>650</v>
      </c>
      <c r="T74" s="46">
        <v>780</v>
      </c>
      <c r="U74" s="48">
        <v>30</v>
      </c>
    </row>
    <row r="75" spans="1:21" ht="15.75" x14ac:dyDescent="0.25">
      <c r="A75" s="45" t="str">
        <f t="shared" si="3"/>
        <v>Пс8.5.3</v>
      </c>
      <c r="B75" s="46">
        <v>8</v>
      </c>
      <c r="C75" s="46" t="s">
        <v>258</v>
      </c>
      <c r="D75" s="46" t="str">
        <f>'[1]Таблица из архикада'!C49</f>
        <v>П-шка в поперечном сеч.</v>
      </c>
      <c r="E75" s="46">
        <f>'[1]Таблица из архикада'!E49</f>
        <v>200</v>
      </c>
      <c r="F75" s="22">
        <v>1.5780000000000001</v>
      </c>
      <c r="G75" s="46" t="s">
        <v>0</v>
      </c>
      <c r="H75" s="46">
        <f>'[1]Таблица из архикада'!H49</f>
        <v>1790</v>
      </c>
      <c r="I75" s="46">
        <f>'[1]Таблица из архикада'!I49</f>
        <v>16</v>
      </c>
      <c r="J75" s="46" t="s">
        <v>2</v>
      </c>
      <c r="K75" s="46"/>
      <c r="L75" s="46"/>
      <c r="M75" s="46"/>
      <c r="N75" s="46"/>
      <c r="O75" s="46"/>
      <c r="P75" s="46"/>
      <c r="Q75" s="46"/>
      <c r="R75" s="46"/>
      <c r="S75" s="46">
        <v>865</v>
      </c>
      <c r="T75" s="46">
        <v>1035</v>
      </c>
      <c r="U75" s="48">
        <v>40</v>
      </c>
    </row>
    <row r="76" spans="1:21" ht="15.75" x14ac:dyDescent="0.25">
      <c r="A76" s="45" t="str">
        <f t="shared" si="3"/>
        <v>Пс8.5.3</v>
      </c>
      <c r="B76" s="46">
        <v>9</v>
      </c>
      <c r="C76" s="46" t="s">
        <v>258</v>
      </c>
      <c r="D76" s="46" t="str">
        <f>'[1]Таблица из архикада'!C50</f>
        <v>П-шка в продол.сеч.</v>
      </c>
      <c r="E76" s="46">
        <f>'[1]Таблица из архикада'!E50</f>
        <v>28</v>
      </c>
      <c r="F76" s="22">
        <v>0.88800000000000001</v>
      </c>
      <c r="G76" s="46" t="s">
        <v>0</v>
      </c>
      <c r="H76" s="46">
        <f>'[1]Таблица из архикада'!H50</f>
        <v>1390</v>
      </c>
      <c r="I76" s="46">
        <f>'[1]Таблица из архикада'!I50</f>
        <v>12</v>
      </c>
      <c r="J76" s="46" t="s">
        <v>2</v>
      </c>
      <c r="K76" s="46"/>
      <c r="L76" s="46"/>
      <c r="M76" s="46"/>
      <c r="N76" s="46"/>
      <c r="O76" s="46"/>
      <c r="P76" s="46"/>
      <c r="Q76" s="46"/>
      <c r="R76" s="46"/>
      <c r="S76" s="46">
        <v>650</v>
      </c>
      <c r="T76" s="46">
        <v>780</v>
      </c>
      <c r="U76" s="48">
        <v>30</v>
      </c>
    </row>
    <row r="77" spans="1:21" ht="31.5" x14ac:dyDescent="0.25">
      <c r="A77" s="45" t="str">
        <f t="shared" si="3"/>
        <v>Пс8.5.3</v>
      </c>
      <c r="B77" s="46" t="s">
        <v>310</v>
      </c>
      <c r="C77" s="46" t="s">
        <v>2701</v>
      </c>
      <c r="D77" s="46" t="s">
        <v>2751</v>
      </c>
      <c r="E77" s="46">
        <f>'[1]Таблица из архикада'!L42</f>
        <v>34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8"/>
    </row>
    <row r="78" spans="1:21" ht="15.75" x14ac:dyDescent="0.25">
      <c r="A78" s="45" t="str">
        <f t="shared" si="3"/>
        <v>Пс8.5.3</v>
      </c>
      <c r="B78" s="46"/>
      <c r="C78" s="28" t="s">
        <v>195</v>
      </c>
      <c r="D78" s="28" t="s">
        <v>2820</v>
      </c>
      <c r="E78" s="28">
        <f>'[1]Таблица из архикада'!F42</f>
        <v>13.8</v>
      </c>
      <c r="F78" s="22" t="s">
        <v>4</v>
      </c>
      <c r="G78" s="46" t="s">
        <v>3</v>
      </c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8"/>
    </row>
    <row r="79" spans="1:21" ht="31.5" x14ac:dyDescent="0.25">
      <c r="A79" s="45" t="str">
        <f t="shared" si="3"/>
        <v>Пс8.5.3</v>
      </c>
      <c r="B79" s="46"/>
      <c r="C79" s="28" t="s">
        <v>195</v>
      </c>
      <c r="D79" s="28" t="s">
        <v>2819</v>
      </c>
      <c r="E79" s="28">
        <f>'[1]Таблица из архикада'!G42</f>
        <v>3</v>
      </c>
      <c r="F79" s="22" t="s">
        <v>4</v>
      </c>
      <c r="G79" s="46" t="s">
        <v>3</v>
      </c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8"/>
    </row>
    <row r="80" spans="1:21" ht="15.75" x14ac:dyDescent="0.25">
      <c r="A80" s="45"/>
      <c r="B80" s="46"/>
      <c r="C80" s="46" t="s">
        <v>2821</v>
      </c>
      <c r="D80" s="46" t="s">
        <v>2845</v>
      </c>
      <c r="E80" s="46">
        <f>'[1]Исх.Таблица из архикада'!AI5</f>
        <v>13.5</v>
      </c>
      <c r="F80" s="46" t="s">
        <v>4</v>
      </c>
      <c r="G80" s="46" t="s">
        <v>3</v>
      </c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8"/>
    </row>
    <row r="81" spans="1:21" ht="15.75" x14ac:dyDescent="0.25">
      <c r="A81" s="45"/>
      <c r="B81" s="46"/>
      <c r="C81" s="46" t="s">
        <v>2823</v>
      </c>
      <c r="D81" s="46" t="s">
        <v>2785</v>
      </c>
      <c r="E81" s="46">
        <f>'[1]Исх.Таблица из архикада'!AG5</f>
        <v>14.000000000000002</v>
      </c>
      <c r="F81" s="46" t="s">
        <v>4</v>
      </c>
      <c r="G81" s="46" t="s">
        <v>3</v>
      </c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8"/>
    </row>
    <row r="82" spans="1:21" ht="15.75" x14ac:dyDescent="0.25">
      <c r="A82" s="45"/>
      <c r="B82" s="46"/>
      <c r="C82" s="46" t="s">
        <v>2825</v>
      </c>
      <c r="D82" s="46" t="s">
        <v>2826</v>
      </c>
      <c r="E82" s="46">
        <f>3.98+14.17*0.2+20.84</f>
        <v>27.654</v>
      </c>
      <c r="F82" s="46"/>
      <c r="G82" s="46" t="s">
        <v>2689</v>
      </c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8"/>
    </row>
    <row r="83" spans="1:21" ht="15.75" x14ac:dyDescent="0.25">
      <c r="A83" s="45"/>
      <c r="B83" s="46"/>
      <c r="C83" s="46" t="s">
        <v>2827</v>
      </c>
      <c r="D83" s="46" t="s">
        <v>2828</v>
      </c>
      <c r="E83" s="46">
        <f>'[1]Исх.Таблица из архикада'!AO5/5</f>
        <v>74.680000000000007</v>
      </c>
      <c r="F83" s="46"/>
      <c r="G83" s="46" t="s">
        <v>2689</v>
      </c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8"/>
    </row>
    <row r="84" spans="1:21" ht="15.75" x14ac:dyDescent="0.25">
      <c r="A84" s="45"/>
      <c r="B84" s="46"/>
      <c r="C84" s="46" t="s">
        <v>2829</v>
      </c>
      <c r="D84" s="46" t="s">
        <v>2830</v>
      </c>
      <c r="E84" s="46">
        <f>'[1]Исх.Таблица из архикада'!AK5</f>
        <v>0.13800000000000001</v>
      </c>
      <c r="F84" s="46"/>
      <c r="G84" s="46" t="s">
        <v>3</v>
      </c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8"/>
    </row>
    <row r="85" spans="1:21" ht="15.75" x14ac:dyDescent="0.25">
      <c r="A85" s="45"/>
      <c r="B85" s="46"/>
      <c r="C85" s="46"/>
      <c r="D85" s="46" t="s">
        <v>2831</v>
      </c>
      <c r="E85" s="46">
        <f>('[1]Исх.Таблица из архикада'!AJ5)/5</f>
        <v>5.4</v>
      </c>
      <c r="F85" s="46"/>
      <c r="G85" s="46" t="s">
        <v>27</v>
      </c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8"/>
    </row>
    <row r="86" spans="1:21" ht="15.75" x14ac:dyDescent="0.25">
      <c r="A86" s="45"/>
      <c r="B86" s="46"/>
      <c r="C86" s="46" t="s">
        <v>258</v>
      </c>
      <c r="D86" s="46" t="s">
        <v>2836</v>
      </c>
      <c r="E86" s="46">
        <f>'[1]Исх.Таблица из архикада'!AL5/5</f>
        <v>9</v>
      </c>
      <c r="F86" s="46">
        <f>2.47*0.3</f>
        <v>0.74099999999999999</v>
      </c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8"/>
    </row>
    <row r="87" spans="1:21" ht="15.75" x14ac:dyDescent="0.25">
      <c r="A87" s="45"/>
      <c r="B87" s="46"/>
      <c r="C87" s="46" t="s">
        <v>2834</v>
      </c>
      <c r="D87" s="46" t="s">
        <v>2789</v>
      </c>
      <c r="E87" s="46">
        <f>'[1]Исх.Таблица из архикада'!AM5/5</f>
        <v>9</v>
      </c>
      <c r="F87" s="46">
        <f>1.53*0.32</f>
        <v>0.48960000000000004</v>
      </c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8"/>
    </row>
    <row r="88" spans="1:21" ht="31.5" x14ac:dyDescent="0.25">
      <c r="A88" s="45"/>
      <c r="B88" s="46" t="s">
        <v>2844</v>
      </c>
      <c r="C88" s="46" t="s">
        <v>2832</v>
      </c>
      <c r="D88" s="46" t="s">
        <v>2833</v>
      </c>
      <c r="E88" s="46">
        <f>ROUNDUP(('[1]Исх.Таблица из архикада'!B5)/2000,0)</f>
        <v>5</v>
      </c>
      <c r="F88" s="46">
        <f>6.1*0.2</f>
        <v>1.22</v>
      </c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 t="s">
        <v>202</v>
      </c>
      <c r="T88" s="46" t="s">
        <v>202</v>
      </c>
      <c r="U88" s="48"/>
    </row>
    <row r="89" spans="1:21" ht="31.5" x14ac:dyDescent="0.25">
      <c r="A89" s="45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 t="s">
        <v>202</v>
      </c>
      <c r="T89" s="46" t="s">
        <v>202</v>
      </c>
      <c r="U89" s="48"/>
    </row>
    <row r="90" spans="1:21" ht="15.7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</row>
    <row r="92" spans="1:21" ht="15.7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</row>
    <row r="93" spans="1:21" ht="15.75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</row>
    <row r="94" spans="1:21" ht="15.75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</row>
    <row r="95" spans="1:21" ht="15.75" x14ac:dyDescent="0.25">
      <c r="A95" s="21" t="s">
        <v>183</v>
      </c>
      <c r="B95" s="22" t="s">
        <v>183</v>
      </c>
      <c r="C95" s="22" t="s">
        <v>184</v>
      </c>
      <c r="D95" s="22" t="s">
        <v>2818</v>
      </c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3"/>
    </row>
    <row r="96" spans="1:21" ht="15.75" x14ac:dyDescent="0.25">
      <c r="A96" s="21" t="s">
        <v>183</v>
      </c>
      <c r="B96" s="22" t="s">
        <v>183</v>
      </c>
      <c r="C96" s="22" t="s">
        <v>2835</v>
      </c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3"/>
    </row>
    <row r="97" spans="1:21" ht="15.75" x14ac:dyDescent="0.25">
      <c r="A97" s="21" t="s">
        <v>183</v>
      </c>
      <c r="B97" s="22" t="s">
        <v>183</v>
      </c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3"/>
    </row>
    <row r="98" spans="1:21" ht="31.5" x14ac:dyDescent="0.25">
      <c r="A98" s="25" t="str">
        <f>'[1]Исх.Таблица из архикада'!A6</f>
        <v>Пс8.5.4</v>
      </c>
      <c r="B98" s="26" t="str">
        <f>A98</f>
        <v>Пс8.5.4</v>
      </c>
      <c r="C98" s="26"/>
      <c r="D98" s="26" t="s">
        <v>2852</v>
      </c>
      <c r="E98" s="26">
        <v>1</v>
      </c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7"/>
    </row>
    <row r="99" spans="1:21" ht="31.5" x14ac:dyDescent="0.25">
      <c r="A99" s="45" t="str">
        <f t="shared" ref="A99:A110" si="4">A98</f>
        <v>Пс8.5.4</v>
      </c>
      <c r="B99" s="46">
        <v>1</v>
      </c>
      <c r="C99" s="46" t="s">
        <v>258</v>
      </c>
      <c r="D99" s="46" t="str">
        <f>'[1]Таблица из архикада'!C61</f>
        <v>Гориз. В стене</v>
      </c>
      <c r="E99" s="46">
        <f>'[1]Таблица из архикада'!E61</f>
        <v>28</v>
      </c>
      <c r="F99" s="22">
        <v>0.88800000000000001</v>
      </c>
      <c r="G99" s="46"/>
      <c r="H99" s="46">
        <f>'[1]Таблица из архикада'!H61</f>
        <v>3150</v>
      </c>
      <c r="I99" s="46">
        <f>'[1]Таблица из архикада'!I61</f>
        <v>12</v>
      </c>
      <c r="J99" s="46" t="s">
        <v>2</v>
      </c>
      <c r="K99" s="46"/>
      <c r="L99" s="46"/>
      <c r="M99" s="46"/>
      <c r="N99" s="46"/>
      <c r="O99" s="46"/>
      <c r="P99" s="46"/>
      <c r="Q99" s="46"/>
      <c r="R99" s="46"/>
      <c r="S99" s="46" t="s">
        <v>202</v>
      </c>
      <c r="T99" s="46" t="s">
        <v>202</v>
      </c>
      <c r="U99" s="48">
        <v>30</v>
      </c>
    </row>
    <row r="100" spans="1:21" ht="31.5" x14ac:dyDescent="0.25">
      <c r="A100" s="45" t="str">
        <f t="shared" si="4"/>
        <v>Пс8.5.4</v>
      </c>
      <c r="B100" s="46">
        <v>2</v>
      </c>
      <c r="C100" s="46" t="s">
        <v>258</v>
      </c>
      <c r="D100" s="46" t="str">
        <f>'[1]Таблица из архикада'!C62</f>
        <v>П-шка в стене верт</v>
      </c>
      <c r="E100" s="46">
        <f>'[1]Таблица из архикада'!E62</f>
        <v>32</v>
      </c>
      <c r="F100" s="22">
        <v>1.208</v>
      </c>
      <c r="G100" s="46" t="s">
        <v>0</v>
      </c>
      <c r="H100" s="46">
        <f>'[1]Таблица из архикада'!H62</f>
        <v>1490</v>
      </c>
      <c r="I100" s="46">
        <f>'[1]Таблица из архикада'!I62</f>
        <v>14</v>
      </c>
      <c r="J100" s="46" t="s">
        <v>2</v>
      </c>
      <c r="K100" s="46"/>
      <c r="L100" s="46"/>
      <c r="M100" s="46"/>
      <c r="N100" s="46"/>
      <c r="O100" s="46"/>
      <c r="P100" s="46"/>
      <c r="Q100" s="46"/>
      <c r="R100" s="46"/>
      <c r="S100" s="46" t="s">
        <v>202</v>
      </c>
      <c r="T100" s="46" t="s">
        <v>202</v>
      </c>
      <c r="U100" s="48">
        <v>35</v>
      </c>
    </row>
    <row r="101" spans="1:21" ht="31.5" x14ac:dyDescent="0.25">
      <c r="A101" s="45" t="str">
        <f t="shared" si="4"/>
        <v>Пс8.5.4</v>
      </c>
      <c r="B101" s="46">
        <v>3</v>
      </c>
      <c r="C101" s="46" t="s">
        <v>258</v>
      </c>
      <c r="D101" s="46" t="str">
        <f>'[1]Таблица из архикада'!C63</f>
        <v>П-шка в стене гориз.</v>
      </c>
      <c r="E101" s="46">
        <f>'[1]Таблица из архикада'!E63</f>
        <v>28</v>
      </c>
      <c r="F101" s="22">
        <v>0.88800000000000001</v>
      </c>
      <c r="G101" s="46" t="s">
        <v>0</v>
      </c>
      <c r="H101" s="46">
        <f>'[1]Таблица из архикада'!H63</f>
        <v>1310</v>
      </c>
      <c r="I101" s="46">
        <f>'[1]Таблица из архикада'!I63</f>
        <v>12</v>
      </c>
      <c r="J101" s="46" t="s">
        <v>2</v>
      </c>
      <c r="K101" s="46"/>
      <c r="L101" s="46"/>
      <c r="M101" s="46"/>
      <c r="N101" s="46"/>
      <c r="O101" s="46"/>
      <c r="P101" s="46"/>
      <c r="Q101" s="46"/>
      <c r="R101" s="46"/>
      <c r="S101" s="46" t="s">
        <v>202</v>
      </c>
      <c r="T101" s="46" t="s">
        <v>202</v>
      </c>
      <c r="U101" s="48">
        <v>30</v>
      </c>
    </row>
    <row r="102" spans="1:21" ht="31.5" x14ac:dyDescent="0.25">
      <c r="A102" s="45" t="str">
        <f t="shared" si="4"/>
        <v>Пс8.5.4</v>
      </c>
      <c r="B102" s="46">
        <v>4</v>
      </c>
      <c r="C102" s="46" t="s">
        <v>190</v>
      </c>
      <c r="D102" s="46" t="str">
        <f>'[1]Таблица из архикада'!C64</f>
        <v>Вертик. В стене</v>
      </c>
      <c r="E102" s="46">
        <f>'[1]Таблица из архикада'!E64</f>
        <v>64</v>
      </c>
      <c r="F102" s="22">
        <v>1.208</v>
      </c>
      <c r="G102" s="46" t="s">
        <v>0</v>
      </c>
      <c r="H102" s="46">
        <f>'[1]Таблица из архикада'!H64</f>
        <v>3255</v>
      </c>
      <c r="I102" s="46">
        <f>'[1]Таблица из архикада'!I64</f>
        <v>14</v>
      </c>
      <c r="J102" s="46" t="s">
        <v>2</v>
      </c>
      <c r="K102" s="46"/>
      <c r="L102" s="46"/>
      <c r="M102" s="46"/>
      <c r="N102" s="46"/>
      <c r="O102" s="46"/>
      <c r="P102" s="46"/>
      <c r="Q102" s="46"/>
      <c r="R102" s="46"/>
      <c r="S102" s="46" t="s">
        <v>202</v>
      </c>
      <c r="T102" s="46" t="s">
        <v>202</v>
      </c>
      <c r="U102" s="48">
        <v>35</v>
      </c>
    </row>
    <row r="103" spans="1:21" ht="31.5" x14ac:dyDescent="0.25">
      <c r="A103" s="45" t="str">
        <f t="shared" si="4"/>
        <v>Пс8.5.4</v>
      </c>
      <c r="B103" s="46">
        <v>5</v>
      </c>
      <c r="C103" s="46" t="s">
        <v>258</v>
      </c>
      <c r="D103" s="46" t="str">
        <f>'[1]Таблица из архикада'!C65</f>
        <v>Шпилька</v>
      </c>
      <c r="E103" s="46">
        <f>'[1]Таблица из архикада'!E65</f>
        <v>113</v>
      </c>
      <c r="F103" s="22">
        <v>0.222</v>
      </c>
      <c r="G103" s="46" t="s">
        <v>0</v>
      </c>
      <c r="H103" s="46">
        <f>'[1]Таблица из архикада'!H65</f>
        <v>270</v>
      </c>
      <c r="I103" s="46">
        <f>'[1]Таблица из архикада'!I65</f>
        <v>6</v>
      </c>
      <c r="J103" s="46" t="s">
        <v>1</v>
      </c>
      <c r="K103" s="46"/>
      <c r="L103" s="46"/>
      <c r="M103" s="46"/>
      <c r="N103" s="46"/>
      <c r="O103" s="46"/>
      <c r="P103" s="46"/>
      <c r="Q103" s="46"/>
      <c r="R103" s="46"/>
      <c r="S103" s="46" t="s">
        <v>202</v>
      </c>
      <c r="T103" s="46" t="s">
        <v>202</v>
      </c>
      <c r="U103" s="48">
        <v>7.5</v>
      </c>
    </row>
    <row r="104" spans="1:21" ht="31.5" x14ac:dyDescent="0.25">
      <c r="A104" s="45" t="str">
        <f t="shared" si="4"/>
        <v>Пс8.5.4</v>
      </c>
      <c r="B104" s="46">
        <v>6</v>
      </c>
      <c r="C104" s="46" t="s">
        <v>258</v>
      </c>
      <c r="D104" s="46" t="str">
        <f>'[1]Таблица из архикада'!C66</f>
        <v>Поперечная в подошве</v>
      </c>
      <c r="E104" s="46">
        <f>'[1]Таблица из архикада'!E66</f>
        <v>64</v>
      </c>
      <c r="F104" s="22">
        <v>1.5780000000000001</v>
      </c>
      <c r="G104" s="46"/>
      <c r="H104" s="46">
        <f>'[1]Таблица из архикада'!H66</f>
        <v>2750</v>
      </c>
      <c r="I104" s="46">
        <f>'[1]Таблица из архикада'!I66</f>
        <v>16</v>
      </c>
      <c r="J104" s="46" t="s">
        <v>2</v>
      </c>
      <c r="K104" s="46"/>
      <c r="L104" s="46"/>
      <c r="M104" s="46"/>
      <c r="N104" s="46"/>
      <c r="O104" s="46"/>
      <c r="P104" s="46"/>
      <c r="Q104" s="46"/>
      <c r="R104" s="46"/>
      <c r="S104" s="46" t="s">
        <v>202</v>
      </c>
      <c r="T104" s="46" t="s">
        <v>202</v>
      </c>
      <c r="U104" s="48">
        <v>40</v>
      </c>
    </row>
    <row r="105" spans="1:21" ht="31.5" x14ac:dyDescent="0.25">
      <c r="A105" s="45" t="str">
        <f t="shared" si="4"/>
        <v>Пс8.5.4</v>
      </c>
      <c r="B105" s="46">
        <v>7</v>
      </c>
      <c r="C105" s="46" t="s">
        <v>258</v>
      </c>
      <c r="D105" s="46" t="str">
        <f>'[1]Таблица из архикада'!C67</f>
        <v>Продольная в подошве</v>
      </c>
      <c r="E105" s="46">
        <f>'[1]Таблица из архикада'!E67</f>
        <v>28</v>
      </c>
      <c r="F105" s="22">
        <v>0.88800000000000001</v>
      </c>
      <c r="G105" s="46"/>
      <c r="H105" s="46">
        <f>'[1]Таблица из архикада'!H67</f>
        <v>3150</v>
      </c>
      <c r="I105" s="46">
        <f>'[1]Таблица из архикада'!I67</f>
        <v>12</v>
      </c>
      <c r="J105" s="46" t="s">
        <v>2</v>
      </c>
      <c r="K105" s="46"/>
      <c r="L105" s="46"/>
      <c r="M105" s="46"/>
      <c r="N105" s="46"/>
      <c r="O105" s="46"/>
      <c r="P105" s="46"/>
      <c r="Q105" s="46"/>
      <c r="R105" s="46"/>
      <c r="S105" s="46" t="s">
        <v>202</v>
      </c>
      <c r="T105" s="46" t="s">
        <v>202</v>
      </c>
      <c r="U105" s="48">
        <v>30</v>
      </c>
    </row>
    <row r="106" spans="1:21" ht="31.5" x14ac:dyDescent="0.25">
      <c r="A106" s="45" t="str">
        <f t="shared" si="4"/>
        <v>Пс8.5.4</v>
      </c>
      <c r="B106" s="46">
        <v>8</v>
      </c>
      <c r="C106" s="46" t="s">
        <v>258</v>
      </c>
      <c r="D106" s="46" t="str">
        <f>'[1]Таблица из архикада'!C68</f>
        <v>П-шка в поперечном сеч.</v>
      </c>
      <c r="E106" s="46">
        <f>'[1]Таблица из архикада'!E68</f>
        <v>64</v>
      </c>
      <c r="F106" s="22">
        <v>1.5780000000000001</v>
      </c>
      <c r="G106" s="46" t="s">
        <v>0</v>
      </c>
      <c r="H106" s="46">
        <f>'[1]Таблица из архикада'!H68</f>
        <v>1790</v>
      </c>
      <c r="I106" s="46">
        <f>'[1]Таблица из архикада'!I68</f>
        <v>16</v>
      </c>
      <c r="J106" s="46" t="s">
        <v>2</v>
      </c>
      <c r="K106" s="46"/>
      <c r="L106" s="46"/>
      <c r="M106" s="46"/>
      <c r="N106" s="46"/>
      <c r="O106" s="46"/>
      <c r="P106" s="46"/>
      <c r="Q106" s="46"/>
      <c r="R106" s="46"/>
      <c r="S106" s="46" t="s">
        <v>202</v>
      </c>
      <c r="T106" s="46" t="s">
        <v>202</v>
      </c>
      <c r="U106" s="48">
        <v>40</v>
      </c>
    </row>
    <row r="107" spans="1:21" ht="31.5" x14ac:dyDescent="0.25">
      <c r="A107" s="45" t="str">
        <f t="shared" si="4"/>
        <v>Пс8.5.4</v>
      </c>
      <c r="B107" s="46">
        <v>9</v>
      </c>
      <c r="C107" s="46" t="s">
        <v>258</v>
      </c>
      <c r="D107" s="46" t="str">
        <f>'[1]Таблица из архикада'!C69</f>
        <v>П-шка в продол.сеч.</v>
      </c>
      <c r="E107" s="46">
        <f>'[1]Таблица из архикада'!E69</f>
        <v>28</v>
      </c>
      <c r="F107" s="22">
        <v>0.88800000000000001</v>
      </c>
      <c r="G107" s="46" t="s">
        <v>0</v>
      </c>
      <c r="H107" s="46">
        <f>'[1]Таблица из архикада'!H69</f>
        <v>1390</v>
      </c>
      <c r="I107" s="46">
        <f>'[1]Таблица из архикада'!I69</f>
        <v>12</v>
      </c>
      <c r="J107" s="46" t="s">
        <v>2</v>
      </c>
      <c r="K107" s="46"/>
      <c r="L107" s="46"/>
      <c r="M107" s="46"/>
      <c r="N107" s="46"/>
      <c r="O107" s="46"/>
      <c r="P107" s="46"/>
      <c r="Q107" s="46"/>
      <c r="R107" s="46"/>
      <c r="S107" s="46" t="s">
        <v>202</v>
      </c>
      <c r="T107" s="46" t="s">
        <v>202</v>
      </c>
      <c r="U107" s="48">
        <v>30</v>
      </c>
    </row>
    <row r="108" spans="1:21" ht="31.5" x14ac:dyDescent="0.25">
      <c r="A108" s="45" t="str">
        <f t="shared" si="4"/>
        <v>Пс8.5.4</v>
      </c>
      <c r="B108" s="46" t="s">
        <v>310</v>
      </c>
      <c r="C108" s="46" t="s">
        <v>2701</v>
      </c>
      <c r="D108" s="46" t="s">
        <v>2751</v>
      </c>
      <c r="E108" s="46">
        <f>'[1]Таблица из архикада'!L61</f>
        <v>12</v>
      </c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8"/>
    </row>
    <row r="109" spans="1:21" ht="15.75" x14ac:dyDescent="0.25">
      <c r="A109" s="45" t="str">
        <f t="shared" si="4"/>
        <v>Пс8.5.4</v>
      </c>
      <c r="B109" s="46"/>
      <c r="C109" s="28" t="s">
        <v>195</v>
      </c>
      <c r="D109" s="28" t="s">
        <v>2820</v>
      </c>
      <c r="E109" s="28">
        <f>'[1]Таблица из архикада'!F61</f>
        <v>4.5</v>
      </c>
      <c r="F109" s="22" t="s">
        <v>4</v>
      </c>
      <c r="G109" s="46" t="s">
        <v>3</v>
      </c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8"/>
    </row>
    <row r="110" spans="1:21" ht="31.5" x14ac:dyDescent="0.25">
      <c r="A110" s="45" t="str">
        <f t="shared" si="4"/>
        <v>Пс8.5.4</v>
      </c>
      <c r="B110" s="46"/>
      <c r="C110" s="28" t="s">
        <v>195</v>
      </c>
      <c r="D110" s="28" t="s">
        <v>2819</v>
      </c>
      <c r="E110" s="28">
        <f>'[1]Таблица из архикада'!G61</f>
        <v>1</v>
      </c>
      <c r="F110" s="22" t="s">
        <v>4</v>
      </c>
      <c r="G110" s="46" t="s">
        <v>3</v>
      </c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8"/>
    </row>
    <row r="111" spans="1:21" ht="15.75" x14ac:dyDescent="0.25">
      <c r="A111" s="45" t="str">
        <f>A110</f>
        <v>Пс8.5.4</v>
      </c>
      <c r="B111" s="46"/>
      <c r="C111" s="46" t="s">
        <v>2821</v>
      </c>
      <c r="D111" s="46" t="s">
        <v>2849</v>
      </c>
      <c r="E111" s="46">
        <f>'[1]Исх.Таблица из архикада'!AI6</f>
        <v>0</v>
      </c>
      <c r="F111" s="46" t="s">
        <v>4</v>
      </c>
      <c r="G111" s="46" t="s">
        <v>3</v>
      </c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8"/>
    </row>
    <row r="112" spans="1:21" ht="15.75" x14ac:dyDescent="0.25">
      <c r="A112" s="45" t="str">
        <f t="shared" ref="A112:A119" si="5">A111</f>
        <v>Пс8.5.4</v>
      </c>
      <c r="B112" s="46"/>
      <c r="C112" s="46" t="s">
        <v>2823</v>
      </c>
      <c r="D112" s="46" t="s">
        <v>2785</v>
      </c>
      <c r="E112" s="46">
        <f>'[1]Исх.Таблица из архикада'!AG6</f>
        <v>0</v>
      </c>
      <c r="F112" s="46" t="s">
        <v>4</v>
      </c>
      <c r="G112" s="46" t="s">
        <v>3</v>
      </c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8"/>
    </row>
    <row r="113" spans="1:21" ht="15.75" x14ac:dyDescent="0.25">
      <c r="A113" s="45" t="str">
        <f t="shared" si="5"/>
        <v>Пс8.5.4</v>
      </c>
      <c r="B113" s="46"/>
      <c r="C113" s="46" t="s">
        <v>2825</v>
      </c>
      <c r="D113" s="46" t="s">
        <v>2826</v>
      </c>
      <c r="E113" s="46">
        <f>1.75+6.1*0.2+4.65</f>
        <v>7.62</v>
      </c>
      <c r="F113" s="46"/>
      <c r="G113" s="46" t="s">
        <v>2689</v>
      </c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8"/>
    </row>
    <row r="114" spans="1:21" ht="15.75" x14ac:dyDescent="0.25">
      <c r="A114" s="45" t="str">
        <f t="shared" si="5"/>
        <v>Пс8.5.4</v>
      </c>
      <c r="B114" s="46"/>
      <c r="C114" s="46" t="s">
        <v>2827</v>
      </c>
      <c r="D114" s="46" t="s">
        <v>2828</v>
      </c>
      <c r="E114" s="46">
        <f>'[1]Исх.Таблица из архикада'!AO6</f>
        <v>26.64</v>
      </c>
      <c r="F114" s="46"/>
      <c r="G114" s="46" t="s">
        <v>2689</v>
      </c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8"/>
    </row>
    <row r="115" spans="1:21" ht="15.75" x14ac:dyDescent="0.25">
      <c r="A115" s="45" t="str">
        <f t="shared" si="5"/>
        <v>Пс8.5.4</v>
      </c>
      <c r="B115" s="46"/>
      <c r="C115" s="46" t="s">
        <v>258</v>
      </c>
      <c r="D115" s="46" t="s">
        <v>2836</v>
      </c>
      <c r="E115" s="46">
        <f>'[1]Исх.Таблица из архикада'!AL6</f>
        <v>9</v>
      </c>
      <c r="F115" s="46">
        <f>2.47*0.3</f>
        <v>0.74099999999999999</v>
      </c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8"/>
    </row>
    <row r="116" spans="1:21" ht="15.75" x14ac:dyDescent="0.25">
      <c r="A116" s="45" t="str">
        <f t="shared" si="5"/>
        <v>Пс8.5.4</v>
      </c>
      <c r="B116" s="46"/>
      <c r="C116" s="46" t="s">
        <v>2834</v>
      </c>
      <c r="D116" s="46" t="s">
        <v>2789</v>
      </c>
      <c r="E116" s="46">
        <f>'[1]Исх.Таблица из архикада'!AM6</f>
        <v>9</v>
      </c>
      <c r="F116" s="46">
        <f>1.53*0.32</f>
        <v>0.48960000000000004</v>
      </c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8"/>
    </row>
    <row r="117" spans="1:21" ht="15.75" x14ac:dyDescent="0.25">
      <c r="A117" s="45" t="str">
        <f t="shared" si="5"/>
        <v>Пс8.5.4</v>
      </c>
      <c r="B117" s="46"/>
      <c r="C117" s="46" t="s">
        <v>2829</v>
      </c>
      <c r="D117" s="46" t="s">
        <v>2830</v>
      </c>
      <c r="E117" s="46">
        <f>'[1]Исх.Таблица из архикада'!AK6</f>
        <v>2.76E-2</v>
      </c>
      <c r="F117" s="46"/>
      <c r="G117" s="46" t="s">
        <v>3</v>
      </c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8"/>
    </row>
    <row r="118" spans="1:21" ht="15.75" x14ac:dyDescent="0.25">
      <c r="A118" s="45" t="str">
        <f t="shared" si="5"/>
        <v>Пс8.5.4</v>
      </c>
      <c r="B118" s="46"/>
      <c r="C118" s="46"/>
      <c r="D118" s="46" t="s">
        <v>2831</v>
      </c>
      <c r="E118" s="46">
        <f>('[1]Исх.Таблица из архикада'!AJ6)</f>
        <v>5.4</v>
      </c>
      <c r="F118" s="46"/>
      <c r="G118" s="46" t="s">
        <v>27</v>
      </c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8"/>
    </row>
    <row r="119" spans="1:21" ht="31.5" x14ac:dyDescent="0.25">
      <c r="A119" s="45" t="str">
        <f t="shared" si="5"/>
        <v>Пс8.5.4</v>
      </c>
      <c r="B119" s="46" t="s">
        <v>2844</v>
      </c>
      <c r="C119" s="46" t="s">
        <v>2832</v>
      </c>
      <c r="D119" s="46" t="s">
        <v>2833</v>
      </c>
      <c r="E119" s="46">
        <f>ROUNDUP(('[1]Исх.Таблица из архикада'!B6)/2000,0)</f>
        <v>2</v>
      </c>
      <c r="F119" s="46">
        <f>6.1*0.2</f>
        <v>1.22</v>
      </c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 t="s">
        <v>202</v>
      </c>
      <c r="T119" s="46" t="s">
        <v>202</v>
      </c>
      <c r="U119" s="48"/>
    </row>
    <row r="120" spans="1:21" ht="31.5" x14ac:dyDescent="0.25">
      <c r="A120" s="45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 t="s">
        <v>202</v>
      </c>
      <c r="T120" s="46" t="s">
        <v>202</v>
      </c>
      <c r="U120" s="48"/>
    </row>
    <row r="121" spans="1:21" ht="15.75" x14ac:dyDescent="0.2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</row>
    <row r="122" spans="1:21" ht="15.75" x14ac:dyDescent="0.2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</row>
    <row r="123" spans="1:21" ht="15.75" x14ac:dyDescent="0.2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</row>
    <row r="124" spans="1:21" ht="15.75" x14ac:dyDescent="0.2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</row>
    <row r="125" spans="1:21" ht="15.75" x14ac:dyDescent="0.25">
      <c r="A125" s="21" t="s">
        <v>183</v>
      </c>
      <c r="B125" s="22" t="s">
        <v>183</v>
      </c>
      <c r="C125" s="22" t="s">
        <v>184</v>
      </c>
      <c r="D125" s="22" t="s">
        <v>2818</v>
      </c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3"/>
    </row>
    <row r="126" spans="1:21" ht="15.75" x14ac:dyDescent="0.25">
      <c r="A126" s="21" t="s">
        <v>183</v>
      </c>
      <c r="B126" s="22" t="s">
        <v>183</v>
      </c>
      <c r="C126" s="22" t="s">
        <v>2835</v>
      </c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3"/>
    </row>
    <row r="127" spans="1:21" ht="15.75" x14ac:dyDescent="0.25">
      <c r="A127" s="21" t="s">
        <v>183</v>
      </c>
      <c r="B127" s="22" t="s">
        <v>183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3"/>
    </row>
    <row r="128" spans="1:21" ht="31.5" x14ac:dyDescent="0.25">
      <c r="A128" s="25" t="str">
        <f>'[1]Исх.Таблица из архикада'!A7</f>
        <v>Пс8.5.5</v>
      </c>
      <c r="B128" s="26" t="str">
        <f>A128</f>
        <v>Пс8.5.5</v>
      </c>
      <c r="C128" s="26"/>
      <c r="D128" s="26" t="s">
        <v>2853</v>
      </c>
      <c r="E128" s="26">
        <v>1</v>
      </c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7"/>
    </row>
    <row r="129" spans="1:21" ht="31.5" x14ac:dyDescent="0.25">
      <c r="A129" s="45" t="str">
        <f t="shared" ref="A129:A139" si="6">A128</f>
        <v>Пс8.5.5</v>
      </c>
      <c r="B129" s="46">
        <v>1</v>
      </c>
      <c r="C129" s="46" t="s">
        <v>258</v>
      </c>
      <c r="D129" s="46" t="str">
        <f>'[1]Таблица из архикада'!C80</f>
        <v>Гориз. В стене</v>
      </c>
      <c r="E129" s="46">
        <f>'[1]Таблица из архикада'!E80</f>
        <v>13</v>
      </c>
      <c r="F129" s="22">
        <v>0.88800000000000001</v>
      </c>
      <c r="G129" s="46"/>
      <c r="H129" s="46">
        <f>'[1]Таблица из архикада'!H80</f>
        <v>5630</v>
      </c>
      <c r="I129" s="46">
        <f>'[1]Таблица из архикада'!I80</f>
        <v>12</v>
      </c>
      <c r="J129" s="46" t="s">
        <v>2</v>
      </c>
      <c r="K129" s="46"/>
      <c r="L129" s="46"/>
      <c r="M129" s="46"/>
      <c r="N129" s="46"/>
      <c r="O129" s="46"/>
      <c r="P129" s="46"/>
      <c r="Q129" s="46"/>
      <c r="R129" s="46"/>
      <c r="S129" s="46" t="s">
        <v>202</v>
      </c>
      <c r="T129" s="46" t="s">
        <v>202</v>
      </c>
      <c r="U129" s="48">
        <v>30</v>
      </c>
    </row>
    <row r="130" spans="1:21" ht="31.5" x14ac:dyDescent="0.25">
      <c r="A130" s="45" t="str">
        <f t="shared" si="6"/>
        <v>Пс8.5.5</v>
      </c>
      <c r="B130" s="46">
        <v>2</v>
      </c>
      <c r="C130" s="46" t="s">
        <v>258</v>
      </c>
      <c r="D130" s="46" t="str">
        <f>'[1]Таблица из архикада'!C81</f>
        <v>П-шка в стене верт</v>
      </c>
      <c r="E130" s="46">
        <f>'[1]Таблица из архикада'!E81</f>
        <v>29</v>
      </c>
      <c r="F130" s="22">
        <v>0.88800000000000001</v>
      </c>
      <c r="G130" s="46" t="s">
        <v>0</v>
      </c>
      <c r="H130" s="46">
        <f>'[1]Таблица из архикада'!H81</f>
        <v>1290</v>
      </c>
      <c r="I130" s="46">
        <f>'[1]Таблица из архикада'!I81</f>
        <v>12</v>
      </c>
      <c r="J130" s="46" t="s">
        <v>2</v>
      </c>
      <c r="K130" s="46"/>
      <c r="L130" s="46"/>
      <c r="M130" s="46"/>
      <c r="N130" s="46"/>
      <c r="O130" s="46"/>
      <c r="P130" s="46"/>
      <c r="Q130" s="46"/>
      <c r="R130" s="46"/>
      <c r="S130" s="46" t="s">
        <v>202</v>
      </c>
      <c r="T130" s="46" t="s">
        <v>202</v>
      </c>
      <c r="U130" s="48">
        <v>30</v>
      </c>
    </row>
    <row r="131" spans="1:21" ht="31.5" x14ac:dyDescent="0.25">
      <c r="A131" s="45" t="str">
        <f t="shared" si="6"/>
        <v>Пс8.5.5</v>
      </c>
      <c r="B131" s="46">
        <v>3</v>
      </c>
      <c r="C131" s="46" t="s">
        <v>258</v>
      </c>
      <c r="D131" s="46" t="str">
        <f>'[1]Таблица из архикада'!C82</f>
        <v>П-шка в стене гориз.</v>
      </c>
      <c r="E131" s="46">
        <f>'[1]Таблица из архикада'!E82</f>
        <v>12</v>
      </c>
      <c r="F131" s="22">
        <v>0.88800000000000001</v>
      </c>
      <c r="G131" s="46" t="s">
        <v>0</v>
      </c>
      <c r="H131" s="46">
        <f>'[1]Таблица из архикада'!H82</f>
        <v>1310</v>
      </c>
      <c r="I131" s="46">
        <f>'[1]Таблица из архикада'!I82</f>
        <v>12</v>
      </c>
      <c r="J131" s="46" t="s">
        <v>2</v>
      </c>
      <c r="K131" s="46"/>
      <c r="L131" s="46"/>
      <c r="M131" s="46"/>
      <c r="N131" s="46"/>
      <c r="O131" s="46"/>
      <c r="P131" s="46"/>
      <c r="Q131" s="46"/>
      <c r="R131" s="46"/>
      <c r="S131" s="46" t="s">
        <v>202</v>
      </c>
      <c r="T131" s="46" t="s">
        <v>202</v>
      </c>
      <c r="U131" s="48">
        <v>30</v>
      </c>
    </row>
    <row r="132" spans="1:21" ht="31.5" x14ac:dyDescent="0.25">
      <c r="A132" s="45" t="str">
        <f t="shared" si="6"/>
        <v>Пс8.5.5</v>
      </c>
      <c r="B132" s="46">
        <v>4</v>
      </c>
      <c r="C132" s="46" t="s">
        <v>190</v>
      </c>
      <c r="D132" s="46" t="str">
        <f>'[1]Таблица из архикада'!C83</f>
        <v>Вертик. В стене</v>
      </c>
      <c r="E132" s="46">
        <f>'[1]Таблица из архикада'!E83</f>
        <v>58</v>
      </c>
      <c r="F132" s="22">
        <v>0.88800000000000001</v>
      </c>
      <c r="G132" s="46" t="s">
        <v>0</v>
      </c>
      <c r="H132" s="46">
        <f>'[1]Таблица из архикада'!H83</f>
        <v>1625</v>
      </c>
      <c r="I132" s="46">
        <f>'[1]Таблица из архикада'!I83</f>
        <v>12</v>
      </c>
      <c r="J132" s="46" t="s">
        <v>2</v>
      </c>
      <c r="K132" s="46"/>
      <c r="L132" s="46"/>
      <c r="M132" s="46"/>
      <c r="N132" s="46"/>
      <c r="O132" s="46"/>
      <c r="P132" s="46"/>
      <c r="Q132" s="46"/>
      <c r="R132" s="46"/>
      <c r="S132" s="46" t="s">
        <v>202</v>
      </c>
      <c r="T132" s="46" t="s">
        <v>202</v>
      </c>
      <c r="U132" s="48">
        <v>30</v>
      </c>
    </row>
    <row r="133" spans="1:21" ht="31.5" x14ac:dyDescent="0.25">
      <c r="A133" s="45" t="str">
        <f t="shared" si="6"/>
        <v>Пс8.5.5</v>
      </c>
      <c r="B133" s="46">
        <v>5</v>
      </c>
      <c r="C133" s="46" t="s">
        <v>258</v>
      </c>
      <c r="D133" s="46" t="str">
        <f>'[1]Таблица из архикада'!C84</f>
        <v>Шпилька</v>
      </c>
      <c r="E133" s="46">
        <f>'[1]Таблица из архикада'!E84</f>
        <v>85</v>
      </c>
      <c r="F133" s="22">
        <v>0.222</v>
      </c>
      <c r="G133" s="46" t="s">
        <v>0</v>
      </c>
      <c r="H133" s="46">
        <f>'[1]Таблица из архикада'!H84</f>
        <v>270</v>
      </c>
      <c r="I133" s="46">
        <f>'[1]Таблица из архикада'!I84</f>
        <v>6</v>
      </c>
      <c r="J133" s="46" t="s">
        <v>1</v>
      </c>
      <c r="K133" s="46"/>
      <c r="L133" s="46"/>
      <c r="M133" s="46"/>
      <c r="N133" s="46"/>
      <c r="O133" s="46"/>
      <c r="P133" s="46"/>
      <c r="Q133" s="46"/>
      <c r="R133" s="46"/>
      <c r="S133" s="46" t="s">
        <v>202</v>
      </c>
      <c r="T133" s="46" t="s">
        <v>202</v>
      </c>
      <c r="U133" s="48">
        <v>7.5</v>
      </c>
    </row>
    <row r="134" spans="1:21" ht="31.5" x14ac:dyDescent="0.25">
      <c r="A134" s="45" t="str">
        <f t="shared" si="6"/>
        <v>Пс8.5.5</v>
      </c>
      <c r="B134" s="46">
        <v>6</v>
      </c>
      <c r="C134" s="46" t="s">
        <v>258</v>
      </c>
      <c r="D134" s="46" t="str">
        <f>'[1]Таблица из архикада'!C85</f>
        <v>Поперечная в подошве</v>
      </c>
      <c r="E134" s="46">
        <f>'[1]Таблица из архикада'!E85</f>
        <v>29</v>
      </c>
      <c r="F134" s="22">
        <v>0.88800000000000001</v>
      </c>
      <c r="G134" s="46"/>
      <c r="H134" s="46">
        <f>'[1]Таблица из архикада'!H85</f>
        <v>750</v>
      </c>
      <c r="I134" s="46">
        <f>'[1]Таблица из архикада'!I85</f>
        <v>12</v>
      </c>
      <c r="J134" s="46" t="s">
        <v>2</v>
      </c>
      <c r="K134" s="46"/>
      <c r="L134" s="46"/>
      <c r="M134" s="46"/>
      <c r="N134" s="46"/>
      <c r="O134" s="46"/>
      <c r="P134" s="46"/>
      <c r="Q134" s="46"/>
      <c r="R134" s="46"/>
      <c r="S134" s="46" t="s">
        <v>202</v>
      </c>
      <c r="T134" s="46" t="s">
        <v>202</v>
      </c>
      <c r="U134" s="48">
        <v>30</v>
      </c>
    </row>
    <row r="135" spans="1:21" ht="31.5" x14ac:dyDescent="0.25">
      <c r="A135" s="45" t="str">
        <f t="shared" si="6"/>
        <v>Пс8.5.5</v>
      </c>
      <c r="B135" s="46">
        <v>7</v>
      </c>
      <c r="C135" s="46" t="s">
        <v>258</v>
      </c>
      <c r="D135" s="46" t="str">
        <f>'[1]Таблица из архикада'!C86</f>
        <v>Продольная в подошве</v>
      </c>
      <c r="E135" s="46">
        <f>'[1]Таблица из архикада'!E86</f>
        <v>8</v>
      </c>
      <c r="F135" s="22">
        <v>0.88800000000000001</v>
      </c>
      <c r="G135" s="46"/>
      <c r="H135" s="46">
        <f>'[1]Таблица из архикада'!H86</f>
        <v>5630</v>
      </c>
      <c r="I135" s="46">
        <f>'[1]Таблица из архикада'!I86</f>
        <v>12</v>
      </c>
      <c r="J135" s="46" t="s">
        <v>2</v>
      </c>
      <c r="K135" s="46"/>
      <c r="L135" s="46"/>
      <c r="M135" s="46"/>
      <c r="N135" s="46"/>
      <c r="O135" s="46"/>
      <c r="P135" s="46"/>
      <c r="Q135" s="46"/>
      <c r="R135" s="46"/>
      <c r="S135" s="46" t="s">
        <v>202</v>
      </c>
      <c r="T135" s="46" t="s">
        <v>202</v>
      </c>
      <c r="U135" s="48">
        <v>30</v>
      </c>
    </row>
    <row r="136" spans="1:21" ht="31.5" x14ac:dyDescent="0.25">
      <c r="A136" s="45" t="str">
        <f t="shared" si="6"/>
        <v>Пс8.5.5</v>
      </c>
      <c r="B136" s="46">
        <v>8</v>
      </c>
      <c r="C136" s="46" t="s">
        <v>258</v>
      </c>
      <c r="D136" s="46" t="str">
        <f>'[1]Таблица из архикада'!C88</f>
        <v>П-шка в продол.сеч.</v>
      </c>
      <c r="E136" s="46">
        <f>'[1]Таблица из архикада'!E88</f>
        <v>8</v>
      </c>
      <c r="F136" s="22">
        <v>0.88800000000000001</v>
      </c>
      <c r="G136" s="46" t="s">
        <v>0</v>
      </c>
      <c r="H136" s="46">
        <f>'[1]Таблица из архикада'!H88</f>
        <v>1390</v>
      </c>
      <c r="I136" s="46">
        <f>'[1]Таблица из архикада'!I88</f>
        <v>12</v>
      </c>
      <c r="J136" s="46" t="s">
        <v>2</v>
      </c>
      <c r="K136" s="46"/>
      <c r="L136" s="46"/>
      <c r="M136" s="46"/>
      <c r="N136" s="46"/>
      <c r="O136" s="46"/>
      <c r="P136" s="46"/>
      <c r="Q136" s="46"/>
      <c r="R136" s="46"/>
      <c r="S136" s="46" t="s">
        <v>202</v>
      </c>
      <c r="T136" s="46" t="s">
        <v>202</v>
      </c>
      <c r="U136" s="48">
        <v>30</v>
      </c>
    </row>
    <row r="137" spans="1:21" ht="31.5" x14ac:dyDescent="0.25">
      <c r="A137" s="45" t="str">
        <f>A136</f>
        <v>Пс8.5.5</v>
      </c>
      <c r="B137" s="46">
        <v>9</v>
      </c>
      <c r="C137" s="46" t="s">
        <v>258</v>
      </c>
      <c r="D137" s="46" t="str">
        <f>'[1]Таблица из архикада'!C92</f>
        <v>С-образная попер. В подошве</v>
      </c>
      <c r="E137" s="46">
        <f>'[1]Таблица из архикада'!E92</f>
        <v>29</v>
      </c>
      <c r="F137" s="22">
        <v>0.88800000000000001</v>
      </c>
      <c r="G137" s="46" t="s">
        <v>0</v>
      </c>
      <c r="H137" s="46">
        <f>'[1]Таблица из архикада'!H92</f>
        <v>1220</v>
      </c>
      <c r="I137" s="46">
        <f>'[1]Таблица из архикада'!I92</f>
        <v>12</v>
      </c>
      <c r="J137" s="46" t="s">
        <v>2</v>
      </c>
      <c r="K137" s="46"/>
      <c r="L137" s="46"/>
      <c r="M137" s="46"/>
      <c r="N137" s="46"/>
      <c r="O137" s="46"/>
      <c r="P137" s="46"/>
      <c r="Q137" s="46"/>
      <c r="R137" s="46"/>
      <c r="S137" s="46" t="s">
        <v>202</v>
      </c>
      <c r="T137" s="46" t="s">
        <v>202</v>
      </c>
      <c r="U137" s="48">
        <v>30</v>
      </c>
    </row>
    <row r="138" spans="1:21" ht="15.75" x14ac:dyDescent="0.25">
      <c r="A138" s="45" t="str">
        <f>A136</f>
        <v>Пс8.5.5</v>
      </c>
      <c r="B138" s="46"/>
      <c r="C138" s="28" t="s">
        <v>195</v>
      </c>
      <c r="D138" s="28" t="s">
        <v>2820</v>
      </c>
      <c r="E138" s="28">
        <f>'[1]Таблица из архикада'!F80</f>
        <v>2.7</v>
      </c>
      <c r="F138" s="22" t="s">
        <v>4</v>
      </c>
      <c r="G138" s="46" t="s">
        <v>3</v>
      </c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8"/>
    </row>
    <row r="139" spans="1:21" ht="31.5" x14ac:dyDescent="0.25">
      <c r="A139" s="45" t="str">
        <f t="shared" si="6"/>
        <v>Пс8.5.5</v>
      </c>
      <c r="B139" s="46"/>
      <c r="C139" s="28" t="s">
        <v>195</v>
      </c>
      <c r="D139" s="28" t="s">
        <v>2819</v>
      </c>
      <c r="E139" s="28">
        <f>'[1]Таблица из архикада'!G80</f>
        <v>0.6</v>
      </c>
      <c r="F139" s="22" t="s">
        <v>4</v>
      </c>
      <c r="G139" s="46" t="s">
        <v>3</v>
      </c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8"/>
    </row>
    <row r="140" spans="1:21" ht="31.5" x14ac:dyDescent="0.25">
      <c r="A140" s="21" t="str">
        <f>A139</f>
        <v>Пс8.5.5</v>
      </c>
      <c r="B140" s="22" t="s">
        <v>183</v>
      </c>
      <c r="C140" s="22" t="s">
        <v>2821</v>
      </c>
      <c r="D140" s="22" t="s">
        <v>2822</v>
      </c>
      <c r="E140" s="22">
        <f>'[1]Исх.Таблица из архикада'!AI7</f>
        <v>0</v>
      </c>
      <c r="F140" s="22" t="s">
        <v>4</v>
      </c>
      <c r="G140" s="22" t="s">
        <v>3</v>
      </c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3"/>
    </row>
    <row r="141" spans="1:21" ht="15.75" x14ac:dyDescent="0.25">
      <c r="A141" s="21" t="str">
        <f t="shared" ref="A141:A148" si="7">A140</f>
        <v>Пс8.5.5</v>
      </c>
      <c r="B141" s="22" t="s">
        <v>183</v>
      </c>
      <c r="C141" s="22" t="s">
        <v>2823</v>
      </c>
      <c r="D141" s="22" t="s">
        <v>2824</v>
      </c>
      <c r="E141" s="22">
        <f>'[1]Исх.Таблица из архикада'!AG7</f>
        <v>0</v>
      </c>
      <c r="F141" s="22" t="s">
        <v>4</v>
      </c>
      <c r="G141" s="22" t="s">
        <v>3</v>
      </c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3"/>
    </row>
    <row r="142" spans="1:21" ht="15.75" x14ac:dyDescent="0.25">
      <c r="A142" s="45" t="str">
        <f t="shared" si="7"/>
        <v>Пс8.5.5</v>
      </c>
      <c r="B142" s="46"/>
      <c r="C142" s="46" t="s">
        <v>2825</v>
      </c>
      <c r="D142" s="46" t="s">
        <v>2826</v>
      </c>
      <c r="E142" s="46">
        <f>4.16+7.38*0.2+4.83</f>
        <v>10.466000000000001</v>
      </c>
      <c r="F142" s="46"/>
      <c r="G142" s="46" t="s">
        <v>2689</v>
      </c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8"/>
    </row>
    <row r="143" spans="1:21" ht="15.75" x14ac:dyDescent="0.25">
      <c r="A143" s="45" t="str">
        <f t="shared" si="7"/>
        <v>Пс8.5.5</v>
      </c>
      <c r="B143" s="46"/>
      <c r="C143" s="46" t="s">
        <v>2827</v>
      </c>
      <c r="D143" s="46" t="s">
        <v>2828</v>
      </c>
      <c r="E143" s="46">
        <f>'[1]Исх.Таблица из архикада'!AO7</f>
        <v>27.516799999999996</v>
      </c>
      <c r="F143" s="46"/>
      <c r="G143" s="46" t="s">
        <v>2689</v>
      </c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8"/>
    </row>
    <row r="144" spans="1:21" ht="15.75" x14ac:dyDescent="0.25">
      <c r="A144" s="21" t="str">
        <f t="shared" si="7"/>
        <v>Пс8.5.5</v>
      </c>
      <c r="B144" s="22" t="s">
        <v>183</v>
      </c>
      <c r="C144" s="22" t="s">
        <v>258</v>
      </c>
      <c r="D144" s="22" t="s">
        <v>2836</v>
      </c>
      <c r="E144" s="22">
        <f>'[1]Исх.Таблица из архикада'!AL7</f>
        <v>4</v>
      </c>
      <c r="F144" s="22">
        <f>2.47*0.3</f>
        <v>0.74099999999999999</v>
      </c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3"/>
    </row>
    <row r="145" spans="1:21" ht="15.75" x14ac:dyDescent="0.25">
      <c r="A145" s="21" t="str">
        <f t="shared" si="7"/>
        <v>Пс8.5.5</v>
      </c>
      <c r="B145" s="22" t="s">
        <v>183</v>
      </c>
      <c r="C145" s="22" t="s">
        <v>2834</v>
      </c>
      <c r="D145" s="22" t="s">
        <v>2789</v>
      </c>
      <c r="E145" s="22">
        <f>'[1]Исх.Таблица из архикада'!AM7</f>
        <v>4</v>
      </c>
      <c r="F145" s="22">
        <f>1.53*0.32</f>
        <v>0.48960000000000004</v>
      </c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3"/>
    </row>
    <row r="146" spans="1:21" ht="15.75" x14ac:dyDescent="0.25">
      <c r="A146" s="21" t="str">
        <f t="shared" si="7"/>
        <v>Пс8.5.5</v>
      </c>
      <c r="B146" s="22" t="s">
        <v>183</v>
      </c>
      <c r="C146" s="22"/>
      <c r="D146" s="22" t="s">
        <v>2831</v>
      </c>
      <c r="E146" s="22">
        <f>('[1]Исх.Таблица из архикада'!AJ7)</f>
        <v>2.2999999999999998</v>
      </c>
      <c r="F146" s="22"/>
      <c r="G146" s="22" t="s">
        <v>27</v>
      </c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3"/>
    </row>
    <row r="147" spans="1:21" ht="31.5" x14ac:dyDescent="0.25">
      <c r="A147" s="21" t="str">
        <f t="shared" si="7"/>
        <v>Пс8.5.5</v>
      </c>
      <c r="B147" s="22" t="s">
        <v>183</v>
      </c>
      <c r="C147" s="22" t="s">
        <v>2832</v>
      </c>
      <c r="D147" s="22" t="s">
        <v>2854</v>
      </c>
      <c r="E147" s="22">
        <f>ROUNDUP(('[1]Исх.Таблица из архикада'!B7)/2000,0)</f>
        <v>3</v>
      </c>
      <c r="F147" s="22">
        <f>6.1*0.2</f>
        <v>1.22</v>
      </c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 t="s">
        <v>202</v>
      </c>
      <c r="T147" s="22" t="s">
        <v>202</v>
      </c>
      <c r="U147" s="23"/>
    </row>
    <row r="148" spans="1:21" ht="32.25" thickBot="1" x14ac:dyDescent="0.3">
      <c r="A148" s="40" t="str">
        <f t="shared" si="7"/>
        <v>Пс8.5.5</v>
      </c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 t="s">
        <v>202</v>
      </c>
      <c r="T148" s="41" t="s">
        <v>202</v>
      </c>
      <c r="U148" s="42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148 H2:Q2 K1 R1:S1 S2:U2">
    <cfRule type="containsText" dxfId="143" priority="2" stopIfTrue="1" operator="containsText" text="С ЛИСТА">
      <formula>NOT(ISERROR(SEARCH("С ЛИСТА",A1)))</formula>
    </cfRule>
    <cfRule type="containsText" dxfId="142" priority="3" stopIfTrue="1" operator="containsText" text="ИЗ ФАЙЛА">
      <formula>NOT(ISERROR(SEARCH("ИЗ ФАЙЛА",A1)))</formula>
    </cfRule>
    <cfRule type="containsText" dxfId="141" priority="4" stopIfTrue="1" operator="containsText" text="!!!">
      <formula>NOT(ISERROR(SEARCH("!!!",A1)))</formula>
    </cfRule>
    <cfRule type="containsText" dxfId="140" priority="5" stopIfTrue="1" operator="containsText" text=" Изделия ">
      <formula>NOT(ISERROR(SEARCH(" Изделия ",A1)))</formula>
    </cfRule>
    <cfRule type="containsText" dxfId="139" priority="6" stopIfTrue="1" operator="containsText" text=" Прокат ">
      <formula>NOT(ISERROR(SEARCH(" Прокат ",A1)))</formula>
    </cfRule>
    <cfRule type="containsText" dxfId="138" priority="7" stopIfTrue="1" operator="containsText" text=" Сборочные единицы ">
      <formula>NOT(ISERROR(SEARCH(" Сборочные единицы ",A1)))</formula>
    </cfRule>
    <cfRule type="containsText" dxfId="137" priority="8" stopIfTrue="1" operator="containsText" text=" Материалы ">
      <formula>NOT(ISERROR(SEARCH(" Материалы ",A1)))</formula>
    </cfRule>
    <cfRule type="containsText" dxfId="136" priority="9" stopIfTrue="1" operator="containsText" text=", на ">
      <formula>NOT(ISERROR(SEARCH(", на ",A1)))</formula>
    </cfRule>
    <cfRule type="containsText" dxfId="135" priority="10" stopIfTrue="1" operator="containsText" text="шт.)">
      <formula>NOT(ISERROR(SEARCH("шт.)",A1)))</formula>
    </cfRule>
  </conditionalFormatting>
  <conditionalFormatting sqref="A1:U1048576">
    <cfRule type="expression" dxfId="134" priority="1">
      <formula>ISERROR(A1)</formula>
    </cfRule>
  </conditionalFormatting>
  <pageMargins left="0.25" right="0.25" top="0.75" bottom="0.75" header="0.3" footer="0.3"/>
  <pageSetup paperSize="9" scale="1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0">
        <x14:dataValidation type="list" errorStyle="warning" allowBlank="1" showInputMessage="1" showErrorMessage="1">
          <x14:formula1>
            <xm:f>'!System'!$AO$1:$AO$6</xm:f>
          </x14:formula1>
          <xm:sqref>G3:G148</xm:sqref>
        </x14:dataValidation>
        <x14:dataValidation type="list" allowBlank="1" showInputMessage="1" showErrorMessage="1">
          <x14:formula1>
            <xm:f>'!System'!$U$1:$AC$1</xm:f>
          </x14:formula1>
          <xm:sqref>J3:J148</xm:sqref>
        </x14:dataValidation>
        <x14:dataValidation type="list" allowBlank="1" showInputMessage="1" showErrorMessage="1">
          <x14:formula1>
            <xm:f>'!System'!$A$1:$S$1</xm:f>
          </x14:formula1>
          <xm:sqref>L3:L148</xm:sqref>
        </x14:dataValidation>
        <x14:dataValidation type="list" allowBlank="1" showInputMessage="1" showErrorMessage="1">
          <x14:formula1>
            <xm:f>'!System'!$AD$1:$AN$1</xm:f>
          </x14:formula1>
          <xm:sqref>O3:O148</xm:sqref>
        </x14:dataValidation>
        <x14:dataValidation type="list" allowBlank="1" showInputMessage="1" showErrorMessage="1">
          <x14:formula1>
            <xm:f>'!System'!$AP$1:$AP$5</xm:f>
          </x14:formula1>
          <xm:sqref>P3:P148</xm:sqref>
        </x14:dataValidation>
        <x14:dataValidation type="list" allowBlank="1" showInputMessage="1" showErrorMessage="1">
          <x14:formula1>
            <xm:f>'!System'!$U$2:$U$17</xm:f>
          </x14:formula1>
          <xm:sqref>I7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'!System'!$U$2:$U$17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'!System'!$V$2:$V$16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I14</xm:sqref>
        </x14:dataValidation>
        <x14:dataValidation type="list" allowBlank="1" showInputMessage="1" showErrorMessage="1">
          <x14:formula1>
            <xm:f>'!System'!$U$2:$U$17</xm:f>
          </x14:formula1>
          <xm:sqref>I15</xm:sqref>
        </x14:dataValidation>
        <x14:dataValidation type="list" allowBlank="1" showInputMessage="1" showErrorMessage="1">
          <x14:formula1>
            <xm:f>'!System'!$U$2:$U$17</xm:f>
          </x14:formula1>
          <xm:sqref>I36</xm:sqref>
        </x14:dataValidation>
        <x14:dataValidation type="list" allowBlank="1" showInputMessage="1" showErrorMessage="1">
          <x14:formula1>
            <xm:f>'!System'!$U$2:$U$17</xm:f>
          </x14:formula1>
          <xm:sqref>I37</xm:sqref>
        </x14:dataValidation>
        <x14:dataValidation type="list" allowBlank="1" showInputMessage="1" showErrorMessage="1">
          <x14:formula1>
            <xm:f>'!System'!$U$2:$U$17</xm:f>
          </x14:formula1>
          <xm:sqref>I38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'!System'!$V$2:$V$16</xm:f>
          </x14:formula1>
          <xm:sqref>I40</xm:sqref>
        </x14:dataValidation>
        <x14:dataValidation type="list" allowBlank="1" showInputMessage="1" showErrorMessage="1">
          <x14:formula1>
            <xm:f>'!System'!$U$2:$U$17</xm:f>
          </x14:formula1>
          <xm:sqref>I41</xm:sqref>
        </x14:dataValidation>
        <x14:dataValidation type="list" allowBlank="1" showInputMessage="1" showErrorMessage="1">
          <x14:formula1>
            <xm:f>'!System'!$U$2:$U$17</xm:f>
          </x14:formula1>
          <xm:sqref>I42</xm:sqref>
        </x14:dataValidation>
        <x14:dataValidation type="list" allowBlank="1" showInputMessage="1" showErrorMessage="1">
          <x14:formula1>
            <xm:f>'!System'!$U$2:$U$17</xm:f>
          </x14:formula1>
          <xm:sqref>I43</xm:sqref>
        </x14:dataValidation>
        <x14:dataValidation type="list" allowBlank="1" showInputMessage="1" showErrorMessage="1">
          <x14:formula1>
            <xm:f>'!System'!$U$2:$U$17</xm:f>
          </x14:formula1>
          <xm:sqref>I44</xm:sqref>
        </x14:dataValidation>
        <x14:dataValidation type="list" allowBlank="1" showInputMessage="1" showErrorMessage="1">
          <x14:formula1>
            <xm:f>'!System'!$U$2:$U$17</xm:f>
          </x14:formula1>
          <xm:sqref>I68</xm:sqref>
        </x14:dataValidation>
        <x14:dataValidation type="list" allowBlank="1" showInputMessage="1" showErrorMessage="1">
          <x14:formula1>
            <xm:f>'!System'!$U$2:$U$17</xm:f>
          </x14:formula1>
          <xm:sqref>I69</xm:sqref>
        </x14:dataValidation>
        <x14:dataValidation type="list" allowBlank="1" showInputMessage="1" showErrorMessage="1">
          <x14:formula1>
            <xm:f>'!System'!$U$2:$U$17</xm:f>
          </x14:formula1>
          <xm:sqref>I70</xm:sqref>
        </x14:dataValidation>
        <x14:dataValidation type="list" allowBlank="1" showInputMessage="1" showErrorMessage="1">
          <x14:formula1>
            <xm:f>'!System'!$U$2:$U$17</xm:f>
          </x14:formula1>
          <xm:sqref>I71</xm:sqref>
        </x14:dataValidation>
        <x14:dataValidation type="list" allowBlank="1" showInputMessage="1" showErrorMessage="1">
          <x14:formula1>
            <xm:f>'!System'!$V$2:$V$16</xm:f>
          </x14:formula1>
          <xm:sqref>I72</xm:sqref>
        </x14:dataValidation>
        <x14:dataValidation type="list" allowBlank="1" showInputMessage="1" showErrorMessage="1">
          <x14:formula1>
            <xm:f>'!System'!$U$2:$U$17</xm:f>
          </x14:formula1>
          <xm:sqref>I73</xm:sqref>
        </x14:dataValidation>
        <x14:dataValidation type="list" allowBlank="1" showInputMessage="1" showErrorMessage="1">
          <x14:formula1>
            <xm:f>'!System'!$U$2:$U$17</xm:f>
          </x14:formula1>
          <xm:sqref>I74</xm:sqref>
        </x14:dataValidation>
        <x14:dataValidation type="list" allowBlank="1" showInputMessage="1" showErrorMessage="1">
          <x14:formula1>
            <xm:f>'!System'!$U$2:$U$17</xm:f>
          </x14:formula1>
          <xm:sqref>I75</xm:sqref>
        </x14:dataValidation>
        <x14:dataValidation type="list" allowBlank="1" showInputMessage="1" showErrorMessage="1">
          <x14:formula1>
            <xm:f>'!System'!$U$2:$U$17</xm:f>
          </x14:formula1>
          <xm:sqref>I76</xm:sqref>
        </x14:dataValidation>
        <x14:dataValidation type="list" allowBlank="1" showInputMessage="1" showErrorMessage="1">
          <x14:formula1>
            <xm:f>'!System'!$U$2:$U$17</xm:f>
          </x14:formula1>
          <xm:sqref>I99</xm:sqref>
        </x14:dataValidation>
        <x14:dataValidation type="list" allowBlank="1" showInputMessage="1" showErrorMessage="1">
          <x14:formula1>
            <xm:f>'!System'!$U$2:$U$17</xm:f>
          </x14:formula1>
          <xm:sqref>I100</xm:sqref>
        </x14:dataValidation>
        <x14:dataValidation type="list" allowBlank="1" showInputMessage="1" showErrorMessage="1">
          <x14:formula1>
            <xm:f>'!System'!$U$2:$U$17</xm:f>
          </x14:formula1>
          <xm:sqref>I101</xm:sqref>
        </x14:dataValidation>
        <x14:dataValidation type="list" allowBlank="1" showInputMessage="1" showErrorMessage="1">
          <x14:formula1>
            <xm:f>'!System'!$U$2:$U$17</xm:f>
          </x14:formula1>
          <xm:sqref>I102</xm:sqref>
        </x14:dataValidation>
        <x14:dataValidation type="list" allowBlank="1" showInputMessage="1" showErrorMessage="1">
          <x14:formula1>
            <xm:f>'!System'!$V$2:$V$16</xm:f>
          </x14:formula1>
          <xm:sqref>I103</xm:sqref>
        </x14:dataValidation>
        <x14:dataValidation type="list" allowBlank="1" showInputMessage="1" showErrorMessage="1">
          <x14:formula1>
            <xm:f>'!System'!$U$2:$U$17</xm:f>
          </x14:formula1>
          <xm:sqref>I104</xm:sqref>
        </x14:dataValidation>
        <x14:dataValidation type="list" allowBlank="1" showInputMessage="1" showErrorMessage="1">
          <x14:formula1>
            <xm:f>'!System'!$U$2:$U$17</xm:f>
          </x14:formula1>
          <xm:sqref>I105</xm:sqref>
        </x14:dataValidation>
        <x14:dataValidation type="list" allowBlank="1" showInputMessage="1" showErrorMessage="1">
          <x14:formula1>
            <xm:f>'!System'!$U$2:$U$17</xm:f>
          </x14:formula1>
          <xm:sqref>I106</xm:sqref>
        </x14:dataValidation>
        <x14:dataValidation type="list" allowBlank="1" showInputMessage="1" showErrorMessage="1">
          <x14:formula1>
            <xm:f>'!System'!$U$2:$U$17</xm:f>
          </x14:formula1>
          <xm:sqref>I107</xm:sqref>
        </x14:dataValidation>
        <x14:dataValidation type="list" allowBlank="1" showInputMessage="1" showErrorMessage="1">
          <x14:formula1>
            <xm:f>'!System'!$U$2:$U$17</xm:f>
          </x14:formula1>
          <xm:sqref>I129</xm:sqref>
        </x14:dataValidation>
        <x14:dataValidation type="list" allowBlank="1" showInputMessage="1" showErrorMessage="1">
          <x14:formula1>
            <xm:f>'!System'!$U$2:$U$17</xm:f>
          </x14:formula1>
          <xm:sqref>I130</xm:sqref>
        </x14:dataValidation>
        <x14:dataValidation type="list" allowBlank="1" showInputMessage="1" showErrorMessage="1">
          <x14:formula1>
            <xm:f>'!System'!$U$2:$U$17</xm:f>
          </x14:formula1>
          <xm:sqref>I131</xm:sqref>
        </x14:dataValidation>
        <x14:dataValidation type="list" allowBlank="1" showInputMessage="1" showErrorMessage="1">
          <x14:formula1>
            <xm:f>'!System'!$U$2:$U$17</xm:f>
          </x14:formula1>
          <xm:sqref>I132</xm:sqref>
        </x14:dataValidation>
        <x14:dataValidation type="list" allowBlank="1" showInputMessage="1" showErrorMessage="1">
          <x14:formula1>
            <xm:f>'!System'!$V$2:$V$16</xm:f>
          </x14:formula1>
          <xm:sqref>I133</xm:sqref>
        </x14:dataValidation>
        <x14:dataValidation type="list" allowBlank="1" showInputMessage="1" showErrorMessage="1">
          <x14:formula1>
            <xm:f>'!System'!$U$2:$U$17</xm:f>
          </x14:formula1>
          <xm:sqref>I134</xm:sqref>
        </x14:dataValidation>
        <x14:dataValidation type="list" allowBlank="1" showInputMessage="1" showErrorMessage="1">
          <x14:formula1>
            <xm:f>'!System'!$U$2:$U$17</xm:f>
          </x14:formula1>
          <xm:sqref>I135</xm:sqref>
        </x14:dataValidation>
        <x14:dataValidation type="list" allowBlank="1" showInputMessage="1" showErrorMessage="1">
          <x14:formula1>
            <xm:f>'!System'!$U$2:$U$17</xm:f>
          </x14:formula1>
          <xm:sqref>I136</xm:sqref>
        </x14:dataValidation>
        <x14:dataValidation type="list" allowBlank="1" showInputMessage="1" showErrorMessage="1">
          <x14:formula1>
            <xm:f>'!System'!$U$2:$U$17</xm:f>
          </x14:formula1>
          <xm:sqref>I137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  <pageSetUpPr fitToPage="1"/>
  </sheetPr>
  <dimension ref="A1:U77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U10" sqref="U1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1" t="str">
        <f>A4</f>
        <v>Пс8.4.1</v>
      </c>
      <c r="B3" s="22" t="s">
        <v>183</v>
      </c>
      <c r="C3" s="22" t="s">
        <v>184</v>
      </c>
      <c r="D3" s="22" t="s">
        <v>2818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31.5" x14ac:dyDescent="0.25">
      <c r="A4" s="25" t="str">
        <f>'[1]Исх.Таблица из архикада'!A8</f>
        <v>Пс8.4.1</v>
      </c>
      <c r="B4" s="26" t="str">
        <f>A4</f>
        <v>Пс8.4.1</v>
      </c>
      <c r="C4" s="26"/>
      <c r="D4" s="26" t="s">
        <v>2839</v>
      </c>
      <c r="E4" s="26">
        <v>1</v>
      </c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7"/>
    </row>
    <row r="5" spans="1:21" ht="15.75" x14ac:dyDescent="0.25">
      <c r="A5" s="45" t="str">
        <f t="shared" ref="A5:A23" si="0">A4</f>
        <v>Пс8.4.1</v>
      </c>
      <c r="B5" s="46">
        <v>1</v>
      </c>
      <c r="C5" s="46" t="s">
        <v>258</v>
      </c>
      <c r="D5" s="46" t="str">
        <f>'[1]Таблица из архикада'!C4</f>
        <v>Гориз. В стене</v>
      </c>
      <c r="E5" s="46">
        <f>'[1]Таблица из архикада'!E98</f>
        <v>1</v>
      </c>
      <c r="F5" s="22">
        <v>0.61599999999999999</v>
      </c>
      <c r="G5" s="46" t="s">
        <v>27</v>
      </c>
      <c r="H5" s="46">
        <f>'[1]Таблица из архикада'!H98*2</f>
        <v>118080</v>
      </c>
      <c r="I5" s="46">
        <f>'[1]Таблица из архикада'!I98</f>
        <v>10</v>
      </c>
      <c r="J5" s="46" t="s">
        <v>2</v>
      </c>
      <c r="K5" s="46"/>
      <c r="L5" s="46"/>
      <c r="M5" s="46"/>
      <c r="N5" s="46"/>
      <c r="O5" s="46"/>
      <c r="P5" s="46"/>
      <c r="Q5" s="46"/>
      <c r="R5" s="46"/>
      <c r="S5" s="46">
        <v>415</v>
      </c>
      <c r="T5" s="46">
        <v>500</v>
      </c>
      <c r="U5" s="48">
        <v>25</v>
      </c>
    </row>
    <row r="6" spans="1:21" ht="15.75" x14ac:dyDescent="0.25">
      <c r="A6" s="45" t="str">
        <f t="shared" si="0"/>
        <v>Пс8.4.1</v>
      </c>
      <c r="B6" s="46">
        <v>3</v>
      </c>
      <c r="C6" s="46" t="s">
        <v>258</v>
      </c>
      <c r="D6" s="46" t="str">
        <f>'[1]Таблица из архикада'!C6</f>
        <v>П-шка в стене гориз.</v>
      </c>
      <c r="E6" s="46">
        <f>'[1]Таблица из архикада'!E100</f>
        <v>12</v>
      </c>
      <c r="F6" s="22">
        <v>0.61599999999999999</v>
      </c>
      <c r="G6" s="46" t="s">
        <v>0</v>
      </c>
      <c r="H6" s="46">
        <f>'[1]Таблица из архикада'!H100</f>
        <v>1070</v>
      </c>
      <c r="I6" s="46">
        <f>'[1]Таблица из архикада'!I100</f>
        <v>10</v>
      </c>
      <c r="J6" s="46" t="s">
        <v>2</v>
      </c>
      <c r="K6" s="46"/>
      <c r="L6" s="46"/>
      <c r="M6" s="46"/>
      <c r="N6" s="46"/>
      <c r="O6" s="46"/>
      <c r="P6" s="46"/>
      <c r="Q6" s="46"/>
      <c r="R6" s="46"/>
      <c r="S6" s="46">
        <v>415</v>
      </c>
      <c r="T6" s="46">
        <v>500</v>
      </c>
      <c r="U6" s="48">
        <v>25</v>
      </c>
    </row>
    <row r="7" spans="1:21" ht="15.75" x14ac:dyDescent="0.25">
      <c r="A7" s="45" t="str">
        <f t="shared" si="0"/>
        <v>Пс8.4.1</v>
      </c>
      <c r="B7" s="46">
        <v>4</v>
      </c>
      <c r="C7" s="46" t="s">
        <v>258</v>
      </c>
      <c r="D7" s="46" t="str">
        <f>'[1]Таблица из архикада'!C7</f>
        <v>Вертик. В стене</v>
      </c>
      <c r="E7" s="46">
        <f>'[1]Таблица из архикада'!E101</f>
        <v>94</v>
      </c>
      <c r="F7" s="22">
        <v>0.61599999999999999</v>
      </c>
      <c r="G7" s="46" t="s">
        <v>0</v>
      </c>
      <c r="H7" s="46">
        <f>'[1]Таблица из архикада'!H101</f>
        <v>1595</v>
      </c>
      <c r="I7" s="46">
        <f>'[1]Таблица из архикада'!I101</f>
        <v>10</v>
      </c>
      <c r="J7" s="46" t="s">
        <v>2</v>
      </c>
      <c r="K7" s="46"/>
      <c r="L7" s="46"/>
      <c r="M7" s="46"/>
      <c r="N7" s="46"/>
      <c r="O7" s="46"/>
      <c r="P7" s="46"/>
      <c r="Q7" s="46"/>
      <c r="R7" s="46"/>
      <c r="S7" s="46">
        <v>415</v>
      </c>
      <c r="T7" s="46">
        <v>500</v>
      </c>
      <c r="U7" s="48">
        <v>25</v>
      </c>
    </row>
    <row r="8" spans="1:21" ht="15.75" x14ac:dyDescent="0.25">
      <c r="A8" s="45" t="str">
        <f t="shared" si="0"/>
        <v>Пс8.4.1</v>
      </c>
      <c r="B8" s="46">
        <v>5</v>
      </c>
      <c r="C8" s="46" t="s">
        <v>190</v>
      </c>
      <c r="D8" s="46" t="str">
        <f>'[1]Таблица из архикада'!C8</f>
        <v>Шпилька</v>
      </c>
      <c r="E8" s="46">
        <f>'[1]Таблица из архикада'!E102</f>
        <v>133</v>
      </c>
      <c r="F8" s="22">
        <v>0.222</v>
      </c>
      <c r="G8" s="46" t="s">
        <v>0</v>
      </c>
      <c r="H8" s="46">
        <f>'[1]Таблица из архикада'!H102</f>
        <v>220</v>
      </c>
      <c r="I8" s="46">
        <f>'[1]Таблица из архикада'!I102</f>
        <v>6</v>
      </c>
      <c r="J8" s="46" t="s">
        <v>1</v>
      </c>
      <c r="K8" s="46"/>
      <c r="L8" s="46"/>
      <c r="M8" s="46"/>
      <c r="N8" s="46"/>
      <c r="O8" s="46"/>
      <c r="P8" s="46"/>
      <c r="Q8" s="46"/>
      <c r="R8" s="46"/>
      <c r="S8" s="46">
        <v>200</v>
      </c>
      <c r="T8" s="46">
        <v>250</v>
      </c>
      <c r="U8" s="48">
        <v>7.5</v>
      </c>
    </row>
    <row r="9" spans="1:21" ht="15.75" x14ac:dyDescent="0.25">
      <c r="A9" s="45" t="str">
        <f t="shared" si="0"/>
        <v>Пс8.4.1</v>
      </c>
      <c r="B9" s="46">
        <v>6</v>
      </c>
      <c r="C9" s="46" t="s">
        <v>258</v>
      </c>
      <c r="D9" s="46" t="str">
        <f>'[1]Таблица из архикада'!C9</f>
        <v>Поперечная в подошве</v>
      </c>
      <c r="E9" s="46">
        <f>'[1]Таблица из архикада'!E103</f>
        <v>47</v>
      </c>
      <c r="F9" s="22">
        <v>0.61599999999999999</v>
      </c>
      <c r="G9" s="46"/>
      <c r="H9" s="46">
        <f>'[1]Таблица из архикада'!H103</f>
        <v>700</v>
      </c>
      <c r="I9" s="46">
        <f>'[1]Таблица из архикада'!I103</f>
        <v>10</v>
      </c>
      <c r="J9" s="46" t="s">
        <v>2</v>
      </c>
      <c r="K9" s="46"/>
      <c r="L9" s="46"/>
      <c r="M9" s="46"/>
      <c r="N9" s="46"/>
      <c r="O9" s="46"/>
      <c r="P9" s="46"/>
      <c r="Q9" s="46"/>
      <c r="R9" s="46"/>
      <c r="S9" s="46">
        <v>415</v>
      </c>
      <c r="T9" s="46">
        <v>500</v>
      </c>
      <c r="U9" s="48">
        <v>25</v>
      </c>
    </row>
    <row r="10" spans="1:21" ht="15.75" x14ac:dyDescent="0.25">
      <c r="A10" s="45" t="str">
        <f t="shared" si="0"/>
        <v>Пс8.4.1</v>
      </c>
      <c r="B10" s="46">
        <v>7</v>
      </c>
      <c r="C10" s="46" t="s">
        <v>258</v>
      </c>
      <c r="D10" s="46" t="str">
        <f>'[1]Таблица из архикада'!C10</f>
        <v>Продольная в подошве</v>
      </c>
      <c r="E10" s="46">
        <f>'[1]Таблица из архикада'!E104</f>
        <v>1</v>
      </c>
      <c r="F10" s="22">
        <v>0.61599999999999999</v>
      </c>
      <c r="G10" s="46" t="s">
        <v>27</v>
      </c>
      <c r="H10" s="46">
        <f>'[1]Таблица из архикада'!H104*2</f>
        <v>81620</v>
      </c>
      <c r="I10" s="46">
        <f>'[1]Таблица из архикада'!I104</f>
        <v>10</v>
      </c>
      <c r="J10" s="46" t="s">
        <v>2</v>
      </c>
      <c r="K10" s="46"/>
      <c r="L10" s="46"/>
      <c r="M10" s="46"/>
      <c r="N10" s="46"/>
      <c r="O10" s="46"/>
      <c r="P10" s="46"/>
      <c r="Q10" s="46"/>
      <c r="R10" s="46"/>
      <c r="S10" s="46">
        <v>415</v>
      </c>
      <c r="T10" s="46">
        <v>500</v>
      </c>
      <c r="U10" s="48">
        <v>25</v>
      </c>
    </row>
    <row r="11" spans="1:21" ht="15.75" x14ac:dyDescent="0.25">
      <c r="A11" s="45" t="str">
        <f t="shared" si="0"/>
        <v>Пс8.4.1</v>
      </c>
      <c r="B11" s="46">
        <v>9</v>
      </c>
      <c r="C11" s="46" t="s">
        <v>258</v>
      </c>
      <c r="D11" s="46" t="str">
        <f>'[1]Таблица из архикада'!C106</f>
        <v>П-шка в продол.сеч.</v>
      </c>
      <c r="E11" s="46">
        <f>'[1]Таблица из архикада'!E106</f>
        <v>8</v>
      </c>
      <c r="F11" s="22">
        <v>0.61599999999999999</v>
      </c>
      <c r="G11" s="46" t="s">
        <v>0</v>
      </c>
      <c r="H11" s="46">
        <f>'[1]Таблица из архикада'!H105</f>
        <v>1120</v>
      </c>
      <c r="I11" s="46">
        <f>'[1]Таблица из архикада'!I105</f>
        <v>10</v>
      </c>
      <c r="J11" s="46" t="s">
        <v>2</v>
      </c>
      <c r="K11" s="46"/>
      <c r="L11" s="46"/>
      <c r="M11" s="46"/>
      <c r="N11" s="46"/>
      <c r="O11" s="46"/>
      <c r="P11" s="46"/>
      <c r="Q11" s="46"/>
      <c r="R11" s="46"/>
      <c r="S11" s="46">
        <v>415</v>
      </c>
      <c r="T11" s="46">
        <v>500</v>
      </c>
      <c r="U11" s="48">
        <v>25</v>
      </c>
    </row>
    <row r="12" spans="1:21" ht="31.5" x14ac:dyDescent="0.25">
      <c r="A12" s="45" t="str">
        <f>A10</f>
        <v>Пс8.4.1</v>
      </c>
      <c r="B12" s="46">
        <v>10</v>
      </c>
      <c r="C12" s="46" t="s">
        <v>258</v>
      </c>
      <c r="D12" s="46" t="str">
        <f>'[1]Таблица из архикада'!C16</f>
        <v>С-образная попер. В подошве</v>
      </c>
      <c r="E12" s="46">
        <f>'[1]Таблица из архикада'!E106</f>
        <v>8</v>
      </c>
      <c r="F12" s="22">
        <v>0.61599999999999999</v>
      </c>
      <c r="G12" s="46" t="s">
        <v>0</v>
      </c>
      <c r="H12" s="46">
        <f>'[1]Таблица из архикада'!H106</f>
        <v>1100</v>
      </c>
      <c r="I12" s="46">
        <f>'[1]Таблица из архикада'!I106</f>
        <v>10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>
        <v>415</v>
      </c>
      <c r="T12" s="46">
        <v>500</v>
      </c>
      <c r="U12" s="48">
        <v>25</v>
      </c>
    </row>
    <row r="13" spans="1:21" ht="31.5" x14ac:dyDescent="0.25">
      <c r="A13" s="45" t="str">
        <f t="shared" si="0"/>
        <v>Пс8.4.1</v>
      </c>
      <c r="B13" s="46"/>
      <c r="C13" s="28" t="s">
        <v>195</v>
      </c>
      <c r="D13" s="28" t="s">
        <v>2819</v>
      </c>
      <c r="E13" s="28">
        <f>'[1]Таблица из архикада'!F98</f>
        <v>3</v>
      </c>
      <c r="F13" s="22" t="s">
        <v>4</v>
      </c>
      <c r="G13" s="46" t="s">
        <v>3</v>
      </c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8"/>
    </row>
    <row r="14" spans="1:21" ht="15.75" x14ac:dyDescent="0.25">
      <c r="A14" s="45" t="str">
        <f t="shared" si="0"/>
        <v>Пс8.4.1</v>
      </c>
      <c r="B14" s="46"/>
      <c r="C14" s="28" t="s">
        <v>195</v>
      </c>
      <c r="D14" s="28" t="s">
        <v>2820</v>
      </c>
      <c r="E14" s="28">
        <f>'[1]Таблица из архикада'!G98</f>
        <v>0.9</v>
      </c>
      <c r="F14" s="22" t="s">
        <v>4</v>
      </c>
      <c r="G14" s="46" t="s">
        <v>3</v>
      </c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8"/>
    </row>
    <row r="15" spans="1:21" ht="31.5" x14ac:dyDescent="0.25">
      <c r="A15" s="21" t="str">
        <f t="shared" si="0"/>
        <v>Пс8.4.1</v>
      </c>
      <c r="B15" s="22" t="s">
        <v>183</v>
      </c>
      <c r="C15" s="22" t="s">
        <v>2821</v>
      </c>
      <c r="D15" s="22" t="s">
        <v>2822</v>
      </c>
      <c r="E15" s="22">
        <f>'[1]Исх.Таблица из архикада'!AI3</f>
        <v>0</v>
      </c>
      <c r="F15" s="22" t="s">
        <v>4</v>
      </c>
      <c r="G15" s="22" t="s">
        <v>3</v>
      </c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3"/>
    </row>
    <row r="16" spans="1:21" ht="15.75" x14ac:dyDescent="0.25">
      <c r="A16" s="21" t="str">
        <f t="shared" si="0"/>
        <v>Пс8.4.1</v>
      </c>
      <c r="B16" s="22" t="s">
        <v>183</v>
      </c>
      <c r="C16" s="22" t="s">
        <v>2823</v>
      </c>
      <c r="D16" s="22" t="s">
        <v>2824</v>
      </c>
      <c r="E16" s="22">
        <f>'[1]Исх.Таблица из архикада'!AG4</f>
        <v>0</v>
      </c>
      <c r="F16" s="22" t="s">
        <v>4</v>
      </c>
      <c r="G16" s="22" t="s">
        <v>3</v>
      </c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3"/>
    </row>
    <row r="17" spans="1:21" ht="15.75" x14ac:dyDescent="0.25">
      <c r="A17" s="45" t="str">
        <f t="shared" si="0"/>
        <v>Пс8.4.1</v>
      </c>
      <c r="B17" s="46"/>
      <c r="C17" s="46" t="s">
        <v>2825</v>
      </c>
      <c r="D17" s="46" t="s">
        <v>2826</v>
      </c>
      <c r="E17" s="46">
        <f>6.08+2.4+10.6*0.15</f>
        <v>10.07</v>
      </c>
      <c r="F17" s="46"/>
      <c r="G17" s="46" t="s">
        <v>2689</v>
      </c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8"/>
    </row>
    <row r="18" spans="1:21" ht="15.75" x14ac:dyDescent="0.25">
      <c r="A18" s="45" t="str">
        <f t="shared" si="0"/>
        <v>Пс8.4.1</v>
      </c>
      <c r="B18" s="46"/>
      <c r="C18" s="46" t="s">
        <v>2827</v>
      </c>
      <c r="D18" s="46" t="s">
        <v>2828</v>
      </c>
      <c r="E18" s="46">
        <f>'[1]Исх.Таблица из архикада'!AO11</f>
        <v>127.4136</v>
      </c>
      <c r="F18" s="46"/>
      <c r="G18" s="46" t="s">
        <v>2689</v>
      </c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8"/>
    </row>
    <row r="19" spans="1:21" ht="15.75" x14ac:dyDescent="0.25">
      <c r="A19" s="45" t="str">
        <f t="shared" si="0"/>
        <v>Пс8.4.1</v>
      </c>
      <c r="B19" s="46"/>
      <c r="C19" s="46" t="s">
        <v>258</v>
      </c>
      <c r="D19" s="46" t="s">
        <v>2836</v>
      </c>
      <c r="E19" s="46">
        <f>'[1]Исх.Таблица из архикада'!AL8</f>
        <v>4</v>
      </c>
      <c r="F19" s="46">
        <f>2.47*0.3</f>
        <v>0.74099999999999999</v>
      </c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8"/>
    </row>
    <row r="20" spans="1:21" ht="15.75" x14ac:dyDescent="0.25">
      <c r="A20" s="45" t="str">
        <f t="shared" si="0"/>
        <v>Пс8.4.1</v>
      </c>
      <c r="B20" s="46"/>
      <c r="C20" s="46" t="s">
        <v>2834</v>
      </c>
      <c r="D20" s="46" t="s">
        <v>2789</v>
      </c>
      <c r="E20" s="46">
        <f>'[1]Исх.Таблица из архикада'!AM8</f>
        <v>4</v>
      </c>
      <c r="F20" s="46">
        <f>1.53*0.32</f>
        <v>0.48960000000000004</v>
      </c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8"/>
    </row>
    <row r="21" spans="1:21" ht="15.75" x14ac:dyDescent="0.25">
      <c r="A21" s="45" t="str">
        <f t="shared" si="0"/>
        <v>Пс8.4.1</v>
      </c>
      <c r="B21" s="46"/>
      <c r="C21" s="46" t="s">
        <v>2829</v>
      </c>
      <c r="D21" s="46" t="s">
        <v>2830</v>
      </c>
      <c r="E21" s="46">
        <f>'[1]Исх.Таблица из архикада'!AK8</f>
        <v>6.3E-3</v>
      </c>
      <c r="F21" s="46"/>
      <c r="G21" s="46" t="s">
        <v>3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8"/>
    </row>
    <row r="22" spans="1:21" ht="15.75" x14ac:dyDescent="0.25">
      <c r="A22" s="45" t="str">
        <f t="shared" si="0"/>
        <v>Пс8.4.1</v>
      </c>
      <c r="B22" s="46"/>
      <c r="C22" s="46"/>
      <c r="D22" s="46" t="s">
        <v>2831</v>
      </c>
      <c r="E22" s="46">
        <f>('[1]Исх.Таблица из архикада'!AJ8)</f>
        <v>2.2000000000000002</v>
      </c>
      <c r="F22" s="46"/>
      <c r="G22" s="46" t="s">
        <v>27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8"/>
    </row>
    <row r="23" spans="1:21" ht="31.5" x14ac:dyDescent="0.25">
      <c r="A23" s="21" t="str">
        <f t="shared" si="0"/>
        <v>Пс8.4.1</v>
      </c>
      <c r="B23" s="22" t="s">
        <v>183</v>
      </c>
      <c r="C23" s="22" t="s">
        <v>2832</v>
      </c>
      <c r="D23" s="22" t="s">
        <v>2840</v>
      </c>
      <c r="E23" s="22">
        <f>ROUNDUP(('[1]Исх.Таблица из архикада'!B8)/2000,0)</f>
        <v>5</v>
      </c>
      <c r="F23" s="22">
        <v>1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 t="s">
        <v>202</v>
      </c>
      <c r="T23" s="22" t="s">
        <v>202</v>
      </c>
      <c r="U23" s="23"/>
    </row>
    <row r="24" spans="1:21" ht="15.7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</row>
    <row r="26" spans="1:21" ht="15.7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</row>
    <row r="27" spans="1:21" ht="15.7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</row>
    <row r="28" spans="1:21" ht="15.7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.75" x14ac:dyDescent="0.25">
      <c r="A29" s="21" t="str">
        <f>A30</f>
        <v>Пс8.4.2</v>
      </c>
      <c r="B29" s="22" t="s">
        <v>183</v>
      </c>
      <c r="C29" s="22" t="s">
        <v>184</v>
      </c>
      <c r="D29" s="22" t="s">
        <v>2818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3"/>
    </row>
    <row r="30" spans="1:21" ht="31.5" x14ac:dyDescent="0.25">
      <c r="A30" s="25" t="str">
        <f>'[1]Исх.Таблица из архикада'!A9</f>
        <v>Пс8.4.2</v>
      </c>
      <c r="B30" s="26" t="str">
        <f>A30</f>
        <v>Пс8.4.2</v>
      </c>
      <c r="C30" s="26"/>
      <c r="D30" s="26" t="s">
        <v>2841</v>
      </c>
      <c r="E30" s="26">
        <v>1</v>
      </c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7"/>
    </row>
    <row r="31" spans="1:21" ht="15.75" x14ac:dyDescent="0.25">
      <c r="A31" s="45" t="str">
        <f t="shared" ref="A31:A49" si="1">A30</f>
        <v>Пс8.4.2</v>
      </c>
      <c r="B31" s="46">
        <v>1</v>
      </c>
      <c r="C31" s="46" t="s">
        <v>258</v>
      </c>
      <c r="D31" s="46" t="str">
        <f>'[1]Таблица из архикада'!C23</f>
        <v>Гориз. В стене</v>
      </c>
      <c r="E31" s="46">
        <f>'[1]Таблица из архикада'!E117</f>
        <v>1</v>
      </c>
      <c r="F31" s="22">
        <v>0.61599999999999999</v>
      </c>
      <c r="G31" s="46" t="s">
        <v>27</v>
      </c>
      <c r="H31" s="46">
        <f>'[1]Таблица из архикада'!H117*2</f>
        <v>136300</v>
      </c>
      <c r="I31" s="46">
        <f>'[1]Таблица из архикада'!I117</f>
        <v>10</v>
      </c>
      <c r="J31" s="46" t="s">
        <v>2</v>
      </c>
      <c r="K31" s="46"/>
      <c r="L31" s="46"/>
      <c r="M31" s="46"/>
      <c r="N31" s="46"/>
      <c r="O31" s="46"/>
      <c r="P31" s="46"/>
      <c r="Q31" s="46"/>
      <c r="R31" s="46"/>
      <c r="S31" s="46">
        <v>415</v>
      </c>
      <c r="T31" s="46">
        <v>500</v>
      </c>
      <c r="U31" s="48">
        <v>25</v>
      </c>
    </row>
    <row r="32" spans="1:21" ht="15.75" x14ac:dyDescent="0.25">
      <c r="A32" s="45" t="str">
        <f t="shared" si="1"/>
        <v>Пс8.4.2</v>
      </c>
      <c r="B32" s="46">
        <v>3</v>
      </c>
      <c r="C32" s="46" t="s">
        <v>258</v>
      </c>
      <c r="D32" s="46" t="str">
        <f>'[1]Таблица из архикада'!C9</f>
        <v>Поперечная в подошве</v>
      </c>
      <c r="E32" s="46">
        <f>'[1]Таблица из архикада'!E119</f>
        <v>16</v>
      </c>
      <c r="F32" s="22">
        <v>0.61599999999999999</v>
      </c>
      <c r="G32" s="46" t="s">
        <v>0</v>
      </c>
      <c r="H32" s="46">
        <f>'[1]Таблица из архикада'!H119</f>
        <v>1070</v>
      </c>
      <c r="I32" s="46">
        <f>'[1]Таблица из архикада'!I119</f>
        <v>10</v>
      </c>
      <c r="J32" s="46" t="s">
        <v>2</v>
      </c>
      <c r="K32" s="46"/>
      <c r="L32" s="46"/>
      <c r="M32" s="46"/>
      <c r="N32" s="46"/>
      <c r="O32" s="46"/>
      <c r="P32" s="46"/>
      <c r="Q32" s="46"/>
      <c r="R32" s="46"/>
      <c r="S32" s="46">
        <v>415</v>
      </c>
      <c r="T32" s="46">
        <v>500</v>
      </c>
      <c r="U32" s="48">
        <v>25</v>
      </c>
    </row>
    <row r="33" spans="1:21" ht="15.75" x14ac:dyDescent="0.25">
      <c r="A33" s="45" t="str">
        <f t="shared" si="1"/>
        <v>Пс8.4.2</v>
      </c>
      <c r="B33" s="46">
        <v>4</v>
      </c>
      <c r="C33" s="46" t="s">
        <v>258</v>
      </c>
      <c r="D33" s="46" t="str">
        <f>'[1]Таблица из архикада'!C120</f>
        <v>Вертик. В стене</v>
      </c>
      <c r="E33" s="46">
        <f>'[1]Таблица из архикада'!E120</f>
        <v>74</v>
      </c>
      <c r="F33" s="22">
        <v>0.61599999999999999</v>
      </c>
      <c r="G33" s="46" t="s">
        <v>0</v>
      </c>
      <c r="H33" s="46">
        <f>'[1]Таблица из архикада'!H120</f>
        <v>2095</v>
      </c>
      <c r="I33" s="46">
        <f>'[1]Таблица из архикада'!I129</f>
        <v>10</v>
      </c>
      <c r="J33" s="46" t="s">
        <v>2</v>
      </c>
      <c r="K33" s="46"/>
      <c r="L33" s="46"/>
      <c r="M33" s="46"/>
      <c r="N33" s="46"/>
      <c r="O33" s="46"/>
      <c r="P33" s="46"/>
      <c r="Q33" s="46"/>
      <c r="R33" s="46"/>
      <c r="S33" s="46">
        <v>415</v>
      </c>
      <c r="T33" s="46">
        <v>500</v>
      </c>
      <c r="U33" s="48">
        <v>25</v>
      </c>
    </row>
    <row r="34" spans="1:21" ht="15.75" x14ac:dyDescent="0.25">
      <c r="A34" s="45" t="str">
        <f t="shared" si="1"/>
        <v>Пс8.4.2</v>
      </c>
      <c r="B34" s="46">
        <v>5</v>
      </c>
      <c r="C34" s="46" t="s">
        <v>190</v>
      </c>
      <c r="D34" s="46" t="str">
        <f>'[1]Таблица из архикада'!C27</f>
        <v>Шпилька</v>
      </c>
      <c r="E34" s="46">
        <f>'[1]Таблица из архикада'!E121</f>
        <v>154</v>
      </c>
      <c r="F34" s="22">
        <v>0.222</v>
      </c>
      <c r="G34" s="46" t="s">
        <v>0</v>
      </c>
      <c r="H34" s="46">
        <f>'[1]Таблица из архикада'!H121</f>
        <v>220</v>
      </c>
      <c r="I34" s="46">
        <f>'[1]Таблица из архикада'!I121</f>
        <v>6</v>
      </c>
      <c r="J34" s="46" t="s">
        <v>1</v>
      </c>
      <c r="K34" s="46"/>
      <c r="L34" s="46"/>
      <c r="M34" s="46"/>
      <c r="N34" s="46"/>
      <c r="O34" s="46"/>
      <c r="P34" s="46"/>
      <c r="Q34" s="46"/>
      <c r="R34" s="46"/>
      <c r="S34" s="46">
        <v>200</v>
      </c>
      <c r="T34" s="46">
        <v>250</v>
      </c>
      <c r="U34" s="48">
        <v>7.5</v>
      </c>
    </row>
    <row r="35" spans="1:21" ht="15.75" x14ac:dyDescent="0.25">
      <c r="A35" s="45" t="str">
        <f t="shared" si="1"/>
        <v>Пс8.4.2</v>
      </c>
      <c r="B35" s="46">
        <v>6</v>
      </c>
      <c r="C35" s="46" t="s">
        <v>258</v>
      </c>
      <c r="D35" s="46" t="str">
        <f>'[1]Таблица из архикада'!C28</f>
        <v>Поперечная в подошве</v>
      </c>
      <c r="E35" s="46">
        <f>'[1]Таблица из архикада'!E122</f>
        <v>37</v>
      </c>
      <c r="F35" s="22">
        <v>0.61599999999999999</v>
      </c>
      <c r="G35" s="46"/>
      <c r="H35" s="46">
        <f>'[1]Таблица из архикада'!H122</f>
        <v>1050</v>
      </c>
      <c r="I35" s="46">
        <f>'[1]Таблица из архикада'!I122</f>
        <v>10</v>
      </c>
      <c r="J35" s="46" t="s">
        <v>2</v>
      </c>
      <c r="K35" s="46"/>
      <c r="L35" s="46"/>
      <c r="M35" s="46"/>
      <c r="N35" s="46"/>
      <c r="O35" s="46"/>
      <c r="P35" s="46"/>
      <c r="Q35" s="46"/>
      <c r="R35" s="46"/>
      <c r="S35" s="46">
        <v>415</v>
      </c>
      <c r="T35" s="46">
        <v>500</v>
      </c>
      <c r="U35" s="48">
        <v>25</v>
      </c>
    </row>
    <row r="36" spans="1:21" ht="15.75" x14ac:dyDescent="0.25">
      <c r="A36" s="45" t="str">
        <f t="shared" si="1"/>
        <v>Пс8.4.2</v>
      </c>
      <c r="B36" s="46">
        <v>7</v>
      </c>
      <c r="C36" s="46" t="s">
        <v>258</v>
      </c>
      <c r="D36" s="46" t="str">
        <f>'[1]Таблица из архикада'!C29</f>
        <v>Продольная в подошве</v>
      </c>
      <c r="E36" s="46">
        <f>'[1]Таблица из архикада'!E123</f>
        <v>1</v>
      </c>
      <c r="F36" s="22">
        <v>0.61599999999999999</v>
      </c>
      <c r="G36" s="46" t="s">
        <v>27</v>
      </c>
      <c r="H36" s="46">
        <f>'[1]Таблица из архикада'!H123*2</f>
        <v>95120</v>
      </c>
      <c r="I36" s="46">
        <f>'[1]Таблица из архикада'!I123</f>
        <v>10</v>
      </c>
      <c r="J36" s="46" t="s">
        <v>2</v>
      </c>
      <c r="K36" s="46"/>
      <c r="L36" s="46"/>
      <c r="M36" s="46"/>
      <c r="N36" s="46"/>
      <c r="O36" s="46"/>
      <c r="P36" s="46"/>
      <c r="Q36" s="46"/>
      <c r="R36" s="46"/>
      <c r="S36" s="46">
        <v>415</v>
      </c>
      <c r="T36" s="46">
        <v>500</v>
      </c>
      <c r="U36" s="48">
        <v>25</v>
      </c>
    </row>
    <row r="37" spans="1:21" ht="15.75" x14ac:dyDescent="0.25">
      <c r="A37" s="45" t="str">
        <f t="shared" si="1"/>
        <v>Пс8.4.2</v>
      </c>
      <c r="B37" s="46">
        <v>9</v>
      </c>
      <c r="C37" s="46" t="s">
        <v>258</v>
      </c>
      <c r="D37" s="46" t="str">
        <f>'[1]Таблица из архикада'!C31</f>
        <v>П-шка в продол.сеч.</v>
      </c>
      <c r="E37" s="46">
        <f>'[1]Таблица из архикада'!E125</f>
        <v>12</v>
      </c>
      <c r="F37" s="22">
        <v>0.61599999999999999</v>
      </c>
      <c r="G37" s="46" t="s">
        <v>0</v>
      </c>
      <c r="H37" s="46">
        <f>'[1]Таблица из архикада'!H125</f>
        <v>1100</v>
      </c>
      <c r="I37" s="46">
        <f>'[1]Таблица из архикада'!I125</f>
        <v>10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>
        <v>415</v>
      </c>
      <c r="T37" s="46">
        <v>500</v>
      </c>
      <c r="U37" s="48">
        <v>25</v>
      </c>
    </row>
    <row r="38" spans="1:21" ht="31.5" x14ac:dyDescent="0.25">
      <c r="A38" s="45" t="str">
        <f>A36</f>
        <v>Пс8.4.2</v>
      </c>
      <c r="B38" s="46">
        <v>10</v>
      </c>
      <c r="C38" s="46" t="s">
        <v>258</v>
      </c>
      <c r="D38" s="46" t="str">
        <f>'[1]Таблица из архикада'!C129</f>
        <v>С-образная попер. В подошве</v>
      </c>
      <c r="E38" s="46">
        <f>'[1]Таблица из архикада'!E129</f>
        <v>37</v>
      </c>
      <c r="F38" s="22">
        <v>0.61599999999999999</v>
      </c>
      <c r="G38" s="46" t="s">
        <v>0</v>
      </c>
      <c r="H38" s="46">
        <f>'[1]Таблица из архикада'!H129</f>
        <v>1320</v>
      </c>
      <c r="I38" s="46">
        <f>'[1]Таблица из архикада'!I129</f>
        <v>10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415</v>
      </c>
      <c r="T38" s="46">
        <v>500</v>
      </c>
      <c r="U38" s="48">
        <v>25</v>
      </c>
    </row>
    <row r="39" spans="1:21" ht="15.75" x14ac:dyDescent="0.25">
      <c r="A39" s="45" t="str">
        <f>A37</f>
        <v>Пс8.4.2</v>
      </c>
      <c r="B39" s="46"/>
      <c r="C39" s="28" t="s">
        <v>195</v>
      </c>
      <c r="D39" s="28" t="s">
        <v>2820</v>
      </c>
      <c r="E39" s="28">
        <f>'[1]Таблица из архикада'!F117</f>
        <v>3.5</v>
      </c>
      <c r="F39" s="22" t="s">
        <v>4</v>
      </c>
      <c r="G39" s="46" t="s">
        <v>3</v>
      </c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8"/>
    </row>
    <row r="40" spans="1:21" ht="31.5" x14ac:dyDescent="0.25">
      <c r="A40" s="45" t="str">
        <f t="shared" si="1"/>
        <v>Пс8.4.2</v>
      </c>
      <c r="B40" s="46"/>
      <c r="C40" s="28" t="s">
        <v>195</v>
      </c>
      <c r="D40" s="28" t="s">
        <v>2819</v>
      </c>
      <c r="E40" s="28">
        <f>'[1]Таблица из архикада'!G117</f>
        <v>1</v>
      </c>
      <c r="F40" s="22" t="s">
        <v>4</v>
      </c>
      <c r="G40" s="46" t="s">
        <v>3</v>
      </c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8"/>
    </row>
    <row r="41" spans="1:21" ht="31.5" x14ac:dyDescent="0.25">
      <c r="A41" s="21" t="str">
        <f t="shared" si="1"/>
        <v>Пс8.4.2</v>
      </c>
      <c r="B41" s="22" t="s">
        <v>183</v>
      </c>
      <c r="C41" s="22" t="s">
        <v>2821</v>
      </c>
      <c r="D41" s="22" t="s">
        <v>2822</v>
      </c>
      <c r="E41" s="22">
        <f>'[1]Исх.Таблица из архикада'!AI4</f>
        <v>0</v>
      </c>
      <c r="F41" s="22" t="s">
        <v>4</v>
      </c>
      <c r="G41" s="22" t="s">
        <v>3</v>
      </c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3"/>
    </row>
    <row r="42" spans="1:21" ht="15.75" x14ac:dyDescent="0.25">
      <c r="A42" s="21" t="str">
        <f t="shared" si="1"/>
        <v>Пс8.4.2</v>
      </c>
      <c r="B42" s="22" t="s">
        <v>183</v>
      </c>
      <c r="C42" s="22" t="s">
        <v>2823</v>
      </c>
      <c r="D42" s="22" t="s">
        <v>2824</v>
      </c>
      <c r="E42" s="22">
        <f>'[1]Исх.Таблица из архикада'!AG5</f>
        <v>14.000000000000002</v>
      </c>
      <c r="F42" s="22" t="s">
        <v>4</v>
      </c>
      <c r="G42" s="22" t="s">
        <v>3</v>
      </c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3"/>
    </row>
    <row r="43" spans="1:21" ht="15.75" x14ac:dyDescent="0.25">
      <c r="A43" s="45" t="str">
        <f t="shared" si="1"/>
        <v>Пс8.4.2</v>
      </c>
      <c r="B43" s="46"/>
      <c r="C43" s="46" t="s">
        <v>2825</v>
      </c>
      <c r="D43" s="46" t="s">
        <v>2826</v>
      </c>
      <c r="E43" s="46">
        <f>6.94+3+9.2*0.15</f>
        <v>11.32</v>
      </c>
      <c r="F43" s="46"/>
      <c r="G43" s="46" t="s">
        <v>2689</v>
      </c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8"/>
    </row>
    <row r="44" spans="1:21" ht="15.75" x14ac:dyDescent="0.25">
      <c r="A44" s="45" t="str">
        <f t="shared" si="1"/>
        <v>Пс8.4.2</v>
      </c>
      <c r="B44" s="46"/>
      <c r="C44" s="46" t="s">
        <v>2827</v>
      </c>
      <c r="D44" s="46" t="s">
        <v>2828</v>
      </c>
      <c r="E44" s="46">
        <f>'[1]Исх.Таблица из архикада'!AO12</f>
        <v>115.92</v>
      </c>
      <c r="F44" s="46"/>
      <c r="G44" s="46" t="s">
        <v>2689</v>
      </c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8"/>
    </row>
    <row r="45" spans="1:21" ht="15.75" x14ac:dyDescent="0.25">
      <c r="A45" s="45" t="str">
        <f t="shared" si="1"/>
        <v>Пс8.4.2</v>
      </c>
      <c r="B45" s="46"/>
      <c r="C45" s="46" t="s">
        <v>258</v>
      </c>
      <c r="D45" s="46" t="s">
        <v>2836</v>
      </c>
      <c r="E45" s="46">
        <f>'[1]Исх.Таблица из архикада'!AL9</f>
        <v>6</v>
      </c>
      <c r="F45" s="46">
        <f>2.47*0.3</f>
        <v>0.74099999999999999</v>
      </c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8"/>
    </row>
    <row r="46" spans="1:21" ht="15.75" x14ac:dyDescent="0.25">
      <c r="A46" s="45" t="str">
        <f t="shared" si="1"/>
        <v>Пс8.4.2</v>
      </c>
      <c r="B46" s="46"/>
      <c r="C46" s="46" t="s">
        <v>2834</v>
      </c>
      <c r="D46" s="46" t="s">
        <v>2789</v>
      </c>
      <c r="E46" s="46">
        <f>'[1]Исх.Таблица из архикада'!AM9</f>
        <v>6</v>
      </c>
      <c r="F46" s="46">
        <f>1.53*0.32</f>
        <v>0.48960000000000004</v>
      </c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8"/>
    </row>
    <row r="47" spans="1:21" ht="15.75" x14ac:dyDescent="0.25">
      <c r="A47" s="45" t="str">
        <f t="shared" si="1"/>
        <v>Пс8.4.2</v>
      </c>
      <c r="B47" s="46"/>
      <c r="C47" s="46" t="s">
        <v>2829</v>
      </c>
      <c r="D47" s="46" t="s">
        <v>2830</v>
      </c>
      <c r="E47" s="46">
        <f>'[1]Исх.Таблица из архикада'!AK9</f>
        <v>9.1999999999999998E-3</v>
      </c>
      <c r="F47" s="46"/>
      <c r="G47" s="46" t="s">
        <v>3</v>
      </c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8"/>
    </row>
    <row r="48" spans="1:21" ht="15.75" x14ac:dyDescent="0.25">
      <c r="A48" s="45" t="str">
        <f t="shared" si="1"/>
        <v>Пс8.4.2</v>
      </c>
      <c r="B48" s="46"/>
      <c r="C48" s="46"/>
      <c r="D48" s="46" t="s">
        <v>2831</v>
      </c>
      <c r="E48" s="46">
        <f>('[1]Исх.Таблица из архикада'!AJ9)</f>
        <v>3.2</v>
      </c>
      <c r="F48" s="46"/>
      <c r="G48" s="46" t="s">
        <v>27</v>
      </c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8"/>
    </row>
    <row r="49" spans="1:21" ht="31.5" x14ac:dyDescent="0.25">
      <c r="A49" s="21" t="str">
        <f t="shared" si="1"/>
        <v>Пс8.4.2</v>
      </c>
      <c r="B49" s="22" t="s">
        <v>183</v>
      </c>
      <c r="C49" s="22" t="s">
        <v>2832</v>
      </c>
      <c r="D49" s="22" t="s">
        <v>2842</v>
      </c>
      <c r="E49" s="22">
        <f>ROUNDUP(('[1]Исх.Таблица из архикада'!B9)/2000,0)</f>
        <v>4</v>
      </c>
      <c r="F49" s="22">
        <v>1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 t="s">
        <v>202</v>
      </c>
      <c r="T49" s="22" t="s">
        <v>202</v>
      </c>
      <c r="U49" s="23">
        <v>0</v>
      </c>
    </row>
    <row r="50" spans="1:21" ht="15.75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</row>
    <row r="51" spans="1:21" ht="15.75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</row>
    <row r="52" spans="1:21" ht="15.75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</row>
    <row r="53" spans="1:21" ht="15.75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</row>
    <row r="54" spans="1:21" ht="15.75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</row>
    <row r="55" spans="1:21" ht="15.75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</row>
    <row r="56" spans="1:21" ht="15.75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</row>
    <row r="57" spans="1:21" ht="15.75" x14ac:dyDescent="0.25">
      <c r="A57" s="21" t="str">
        <f>A58</f>
        <v>Пс8.4.3</v>
      </c>
      <c r="B57" s="22" t="s">
        <v>183</v>
      </c>
      <c r="C57" s="22" t="s">
        <v>184</v>
      </c>
      <c r="D57" s="22" t="s">
        <v>2818</v>
      </c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3"/>
    </row>
    <row r="58" spans="1:21" ht="31.5" x14ac:dyDescent="0.25">
      <c r="A58" s="25" t="str">
        <f>'[1]Исх.Таблица из архикада'!A10</f>
        <v>Пс8.4.3</v>
      </c>
      <c r="B58" s="26" t="str">
        <f>A58</f>
        <v>Пс8.4.3</v>
      </c>
      <c r="C58" s="26"/>
      <c r="D58" s="26" t="s">
        <v>2843</v>
      </c>
      <c r="E58" s="26">
        <v>1</v>
      </c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7"/>
    </row>
    <row r="59" spans="1:21" ht="15.75" x14ac:dyDescent="0.25">
      <c r="A59" s="45" t="str">
        <f t="shared" ref="A59:A77" si="2">A58</f>
        <v>Пс8.4.3</v>
      </c>
      <c r="B59" s="46">
        <v>1</v>
      </c>
      <c r="C59" s="46" t="s">
        <v>258</v>
      </c>
      <c r="D59" s="46" t="str">
        <f>'[1]Таблица из архикада'!C136</f>
        <v>Гориз. В стене</v>
      </c>
      <c r="E59" s="46">
        <f>'[1]Таблица из архикада'!E136</f>
        <v>1</v>
      </c>
      <c r="F59" s="22">
        <v>0.61599999999999999</v>
      </c>
      <c r="G59" s="46" t="s">
        <v>27</v>
      </c>
      <c r="H59" s="46">
        <f>'[1]Таблица из архикада'!H136*2</f>
        <v>197620</v>
      </c>
      <c r="I59" s="46">
        <f>'[1]Таблица из архикада'!I117</f>
        <v>10</v>
      </c>
      <c r="J59" s="46" t="s">
        <v>2</v>
      </c>
      <c r="K59" s="46"/>
      <c r="L59" s="46"/>
      <c r="M59" s="46"/>
      <c r="N59" s="46"/>
      <c r="O59" s="46"/>
      <c r="P59" s="46"/>
      <c r="Q59" s="46"/>
      <c r="R59" s="46"/>
      <c r="S59" s="46">
        <v>415</v>
      </c>
      <c r="T59" s="46">
        <v>500</v>
      </c>
      <c r="U59" s="48">
        <v>25</v>
      </c>
    </row>
    <row r="60" spans="1:21" ht="15.75" x14ac:dyDescent="0.25">
      <c r="A60" s="45" t="str">
        <f t="shared" si="2"/>
        <v>Пс8.4.3</v>
      </c>
      <c r="B60" s="46">
        <v>3</v>
      </c>
      <c r="C60" s="46" t="s">
        <v>258</v>
      </c>
      <c r="D60" s="46" t="str">
        <f>'[1]Таблица из архикада'!C138</f>
        <v>П-шка в стене гориз.</v>
      </c>
      <c r="E60" s="46">
        <f>'[1]Таблица из архикада'!E138</f>
        <v>16</v>
      </c>
      <c r="F60" s="22">
        <v>0.61599999999999999</v>
      </c>
      <c r="G60" s="46" t="s">
        <v>0</v>
      </c>
      <c r="H60" s="46">
        <f>'[1]Таблица из архикада'!H138</f>
        <v>1070</v>
      </c>
      <c r="I60" s="46">
        <f>'[1]Таблица из архикада'!I119</f>
        <v>10</v>
      </c>
      <c r="J60" s="46" t="s">
        <v>2</v>
      </c>
      <c r="K60" s="46"/>
      <c r="L60" s="46"/>
      <c r="M60" s="46"/>
      <c r="N60" s="46"/>
      <c r="O60" s="46"/>
      <c r="P60" s="46"/>
      <c r="Q60" s="46"/>
      <c r="R60" s="46"/>
      <c r="S60" s="46">
        <v>415</v>
      </c>
      <c r="T60" s="46">
        <v>500</v>
      </c>
      <c r="U60" s="48">
        <v>25</v>
      </c>
    </row>
    <row r="61" spans="1:21" ht="15.75" x14ac:dyDescent="0.25">
      <c r="A61" s="45" t="str">
        <f t="shared" si="2"/>
        <v>Пс8.4.3</v>
      </c>
      <c r="B61" s="46">
        <v>4</v>
      </c>
      <c r="C61" s="46" t="s">
        <v>258</v>
      </c>
      <c r="D61" s="46" t="str">
        <f>'[1]Таблица из архикада'!C139</f>
        <v>Вертик. В стене</v>
      </c>
      <c r="E61" s="46">
        <f>'[1]Таблица из архикада'!E139</f>
        <v>110</v>
      </c>
      <c r="F61" s="22">
        <v>0.61599999999999999</v>
      </c>
      <c r="G61" s="46" t="s">
        <v>0</v>
      </c>
      <c r="H61" s="46">
        <f>'[1]Таблица из архикада'!H139</f>
        <v>2095</v>
      </c>
      <c r="I61" s="46">
        <f>'[1]Таблица из архикада'!I120</f>
        <v>10</v>
      </c>
      <c r="J61" s="46" t="s">
        <v>2</v>
      </c>
      <c r="K61" s="46"/>
      <c r="L61" s="46"/>
      <c r="M61" s="46"/>
      <c r="N61" s="46"/>
      <c r="O61" s="46"/>
      <c r="P61" s="46"/>
      <c r="Q61" s="46"/>
      <c r="R61" s="46"/>
      <c r="S61" s="46">
        <v>415</v>
      </c>
      <c r="T61" s="46">
        <v>500</v>
      </c>
      <c r="U61" s="48">
        <v>25</v>
      </c>
    </row>
    <row r="62" spans="1:21" ht="15.75" x14ac:dyDescent="0.25">
      <c r="A62" s="45" t="str">
        <f t="shared" si="2"/>
        <v>Пс8.4.3</v>
      </c>
      <c r="B62" s="46">
        <v>5</v>
      </c>
      <c r="C62" s="46" t="s">
        <v>190</v>
      </c>
      <c r="D62" s="46" t="str">
        <f>'[1]Таблица из архикада'!C140</f>
        <v>Шпилька</v>
      </c>
      <c r="E62" s="46">
        <f>'[1]Таблица из архикада'!E140</f>
        <v>226</v>
      </c>
      <c r="F62" s="22">
        <v>0.222</v>
      </c>
      <c r="G62" s="46" t="s">
        <v>0</v>
      </c>
      <c r="H62" s="46">
        <f>'[1]Таблица из архикада'!H140</f>
        <v>220</v>
      </c>
      <c r="I62" s="46">
        <f>'[1]Таблица из архикада'!I121</f>
        <v>6</v>
      </c>
      <c r="J62" s="46" t="s">
        <v>1</v>
      </c>
      <c r="K62" s="46"/>
      <c r="L62" s="46"/>
      <c r="M62" s="46"/>
      <c r="N62" s="46"/>
      <c r="O62" s="46"/>
      <c r="P62" s="46"/>
      <c r="Q62" s="46"/>
      <c r="R62" s="46"/>
      <c r="S62" s="46">
        <v>200</v>
      </c>
      <c r="T62" s="46">
        <v>250</v>
      </c>
      <c r="U62" s="48">
        <v>7.5</v>
      </c>
    </row>
    <row r="63" spans="1:21" ht="15.75" x14ac:dyDescent="0.25">
      <c r="A63" s="45" t="str">
        <f t="shared" si="2"/>
        <v>Пс8.4.3</v>
      </c>
      <c r="B63" s="46">
        <v>6</v>
      </c>
      <c r="C63" s="46" t="s">
        <v>258</v>
      </c>
      <c r="D63" s="46" t="str">
        <f>'[1]Таблица из архикада'!C141</f>
        <v>Поперечная в подошве</v>
      </c>
      <c r="E63" s="46">
        <f>'[1]Таблица из архикада'!E141</f>
        <v>55</v>
      </c>
      <c r="F63" s="22">
        <v>0.61599999999999999</v>
      </c>
      <c r="G63" s="46"/>
      <c r="H63" s="46">
        <f>'[1]Таблица из архикада'!H141</f>
        <v>1050</v>
      </c>
      <c r="I63" s="46">
        <f>'[1]Таблица из архикада'!I122</f>
        <v>10</v>
      </c>
      <c r="J63" s="46" t="s">
        <v>2</v>
      </c>
      <c r="K63" s="46"/>
      <c r="L63" s="46"/>
      <c r="M63" s="46"/>
      <c r="N63" s="46"/>
      <c r="O63" s="46"/>
      <c r="P63" s="46"/>
      <c r="Q63" s="46"/>
      <c r="R63" s="46"/>
      <c r="S63" s="46">
        <v>415</v>
      </c>
      <c r="T63" s="46">
        <v>500</v>
      </c>
      <c r="U63" s="48">
        <v>25</v>
      </c>
    </row>
    <row r="64" spans="1:21" ht="15.75" x14ac:dyDescent="0.25">
      <c r="A64" s="45" t="str">
        <f t="shared" si="2"/>
        <v>Пс8.4.3</v>
      </c>
      <c r="B64" s="46">
        <v>7</v>
      </c>
      <c r="C64" s="46" t="s">
        <v>258</v>
      </c>
      <c r="D64" s="46" t="str">
        <f>'[1]Таблица из архикада'!C142</f>
        <v>Продольная в подошве</v>
      </c>
      <c r="E64" s="46">
        <f>'[1]Таблица из архикада'!E142</f>
        <v>1</v>
      </c>
      <c r="F64" s="22">
        <v>0.61599999999999999</v>
      </c>
      <c r="G64" s="46" t="s">
        <v>27</v>
      </c>
      <c r="H64" s="46">
        <f>'[1]Таблица из архикада'!H142*2</f>
        <v>137040</v>
      </c>
      <c r="I64" s="46">
        <f>'[1]Таблица из архикада'!I123</f>
        <v>10</v>
      </c>
      <c r="J64" s="46" t="s">
        <v>2</v>
      </c>
      <c r="K64" s="46"/>
      <c r="L64" s="46"/>
      <c r="M64" s="46"/>
      <c r="N64" s="46"/>
      <c r="O64" s="46"/>
      <c r="P64" s="46"/>
      <c r="Q64" s="46"/>
      <c r="R64" s="46"/>
      <c r="S64" s="46">
        <v>415</v>
      </c>
      <c r="T64" s="46">
        <v>500</v>
      </c>
      <c r="U64" s="48">
        <v>25</v>
      </c>
    </row>
    <row r="65" spans="1:21" ht="15.75" x14ac:dyDescent="0.25">
      <c r="A65" s="45" t="str">
        <f t="shared" si="2"/>
        <v>Пс8.4.3</v>
      </c>
      <c r="B65" s="46">
        <v>9</v>
      </c>
      <c r="C65" s="46" t="s">
        <v>258</v>
      </c>
      <c r="D65" s="46" t="str">
        <f>'[1]Таблица из архикада'!C144</f>
        <v>П-шка в продол.сеч.</v>
      </c>
      <c r="E65" s="46">
        <f>'[1]Таблица из архикада'!E144</f>
        <v>12</v>
      </c>
      <c r="F65" s="22">
        <v>0.61599999999999999</v>
      </c>
      <c r="G65" s="46" t="s">
        <v>0</v>
      </c>
      <c r="H65" s="46">
        <f>'[1]Таблица из архикада'!H144</f>
        <v>1100</v>
      </c>
      <c r="I65" s="46">
        <f>'[1]Таблица из архикада'!I125</f>
        <v>10</v>
      </c>
      <c r="J65" s="46" t="s">
        <v>2</v>
      </c>
      <c r="K65" s="46"/>
      <c r="L65" s="46"/>
      <c r="M65" s="46"/>
      <c r="N65" s="46"/>
      <c r="O65" s="46"/>
      <c r="P65" s="46"/>
      <c r="Q65" s="46"/>
      <c r="R65" s="46"/>
      <c r="S65" s="46">
        <v>415</v>
      </c>
      <c r="T65" s="46">
        <v>500</v>
      </c>
      <c r="U65" s="48">
        <v>25</v>
      </c>
    </row>
    <row r="66" spans="1:21" ht="31.5" x14ac:dyDescent="0.25">
      <c r="A66" s="45" t="str">
        <f>A64</f>
        <v>Пс8.4.3</v>
      </c>
      <c r="B66" s="46">
        <v>10</v>
      </c>
      <c r="C66" s="46" t="s">
        <v>258</v>
      </c>
      <c r="D66" s="46" t="str">
        <f>'[1]Таблица из архикада'!C148</f>
        <v>С-образная попер. В подошве</v>
      </c>
      <c r="E66" s="46">
        <f>'[1]Таблица из архикада'!E148</f>
        <v>55</v>
      </c>
      <c r="F66" s="22">
        <v>0.61599999999999999</v>
      </c>
      <c r="G66" s="46" t="s">
        <v>0</v>
      </c>
      <c r="H66" s="46">
        <f>'[1]Таблица из архикада'!H148</f>
        <v>1320</v>
      </c>
      <c r="I66" s="46">
        <f>'[1]Таблица из архикада'!I148</f>
        <v>10</v>
      </c>
      <c r="J66" s="46" t="s">
        <v>2</v>
      </c>
      <c r="K66" s="46"/>
      <c r="L66" s="46"/>
      <c r="M66" s="46"/>
      <c r="N66" s="46"/>
      <c r="O66" s="46"/>
      <c r="P66" s="46"/>
      <c r="Q66" s="46"/>
      <c r="R66" s="46"/>
      <c r="S66" s="46">
        <v>415</v>
      </c>
      <c r="T66" s="46">
        <v>500</v>
      </c>
      <c r="U66" s="48">
        <v>25</v>
      </c>
    </row>
    <row r="67" spans="1:21" ht="15.75" x14ac:dyDescent="0.25">
      <c r="A67" s="45" t="str">
        <f>A65</f>
        <v>Пс8.4.3</v>
      </c>
      <c r="B67" s="46"/>
      <c r="C67" s="28" t="s">
        <v>195</v>
      </c>
      <c r="D67" s="28" t="s">
        <v>2820</v>
      </c>
      <c r="E67" s="28">
        <f>'[1]Таблица из архикада'!F136</f>
        <v>5</v>
      </c>
      <c r="F67" s="22" t="s">
        <v>4</v>
      </c>
      <c r="G67" s="46" t="s">
        <v>3</v>
      </c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8"/>
    </row>
    <row r="68" spans="1:21" ht="31.5" x14ac:dyDescent="0.25">
      <c r="A68" s="45" t="str">
        <f t="shared" si="2"/>
        <v>Пс8.4.3</v>
      </c>
      <c r="B68" s="46"/>
      <c r="C68" s="28" t="s">
        <v>195</v>
      </c>
      <c r="D68" s="28" t="s">
        <v>2819</v>
      </c>
      <c r="E68" s="28">
        <f>'[1]Таблица из архикада'!G136</f>
        <v>1.5</v>
      </c>
      <c r="F68" s="22" t="s">
        <v>4</v>
      </c>
      <c r="G68" s="46" t="s">
        <v>3</v>
      </c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8"/>
    </row>
    <row r="69" spans="1:21" ht="31.5" x14ac:dyDescent="0.25">
      <c r="A69" s="21" t="str">
        <f t="shared" si="2"/>
        <v>Пс8.4.3</v>
      </c>
      <c r="B69" s="22" t="s">
        <v>183</v>
      </c>
      <c r="C69" s="22" t="s">
        <v>2821</v>
      </c>
      <c r="D69" s="22" t="s">
        <v>2822</v>
      </c>
      <c r="E69" s="22">
        <f>'[1]Исх.Таблица из архикада'!AG10</f>
        <v>0</v>
      </c>
      <c r="F69" s="22" t="s">
        <v>4</v>
      </c>
      <c r="G69" s="22" t="s">
        <v>3</v>
      </c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3"/>
    </row>
    <row r="70" spans="1:21" ht="15.75" x14ac:dyDescent="0.25">
      <c r="A70" s="21" t="str">
        <f t="shared" si="2"/>
        <v>Пс8.4.3</v>
      </c>
      <c r="B70" s="22" t="str">
        <f>B69</f>
        <v>!!!</v>
      </c>
      <c r="C70" s="22" t="s">
        <v>2823</v>
      </c>
      <c r="D70" s="22" t="s">
        <v>2824</v>
      </c>
      <c r="E70" s="22">
        <f>'[1]Исх.Таблица из архикада'!AI10</f>
        <v>0</v>
      </c>
      <c r="F70" s="22" t="s">
        <v>4</v>
      </c>
      <c r="G70" s="22" t="s">
        <v>3</v>
      </c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3"/>
    </row>
    <row r="71" spans="1:21" ht="15.75" x14ac:dyDescent="0.25">
      <c r="A71" s="45" t="str">
        <f t="shared" si="2"/>
        <v>Пс8.4.3</v>
      </c>
      <c r="B71" s="46"/>
      <c r="C71" s="46" t="s">
        <v>2825</v>
      </c>
      <c r="D71" s="46" t="s">
        <v>2826</v>
      </c>
      <c r="E71" s="46">
        <f>4.05+8.7+8.6+0.15</f>
        <v>21.5</v>
      </c>
      <c r="F71" s="46"/>
      <c r="G71" s="46" t="s">
        <v>2689</v>
      </c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8"/>
    </row>
    <row r="72" spans="1:21" ht="15.75" x14ac:dyDescent="0.25">
      <c r="A72" s="45" t="str">
        <f t="shared" si="2"/>
        <v>Пс8.4.3</v>
      </c>
      <c r="B72" s="46"/>
      <c r="C72" s="46" t="s">
        <v>2827</v>
      </c>
      <c r="D72" s="46" t="s">
        <v>2828</v>
      </c>
      <c r="E72" s="46">
        <f>'[1]Исх.Таблица из архикада'!AO13</f>
        <v>114.004</v>
      </c>
      <c r="F72" s="46"/>
      <c r="G72" s="46" t="s">
        <v>2689</v>
      </c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8"/>
    </row>
    <row r="73" spans="1:21" ht="15.75" x14ac:dyDescent="0.25">
      <c r="A73" s="21" t="str">
        <f t="shared" si="2"/>
        <v>Пс8.4.3</v>
      </c>
      <c r="B73" s="22" t="s">
        <v>183</v>
      </c>
      <c r="C73" s="22" t="s">
        <v>258</v>
      </c>
      <c r="D73" s="22" t="s">
        <v>2836</v>
      </c>
      <c r="E73" s="22">
        <f>'[1]Исх.Таблица из архикада'!AL10</f>
        <v>6</v>
      </c>
      <c r="F73" s="22">
        <f>2.47*0.3</f>
        <v>0.74099999999999999</v>
      </c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3"/>
    </row>
    <row r="74" spans="1:21" ht="15.75" x14ac:dyDescent="0.25">
      <c r="A74" s="21" t="str">
        <f t="shared" si="2"/>
        <v>Пс8.4.3</v>
      </c>
      <c r="B74" s="22" t="s">
        <v>183</v>
      </c>
      <c r="C74" s="22" t="s">
        <v>2834</v>
      </c>
      <c r="D74" s="22" t="s">
        <v>2789</v>
      </c>
      <c r="E74" s="22">
        <f>'[1]Исх.Таблица из архикада'!AM10</f>
        <v>6</v>
      </c>
      <c r="F74" s="22">
        <f>1.53*0.32</f>
        <v>0.48960000000000004</v>
      </c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3"/>
    </row>
    <row r="75" spans="1:21" ht="15.75" x14ac:dyDescent="0.25">
      <c r="A75" s="21" t="str">
        <f t="shared" si="2"/>
        <v>Пс8.4.3</v>
      </c>
      <c r="B75" s="22" t="s">
        <v>183</v>
      </c>
      <c r="C75" s="22" t="s">
        <v>2829</v>
      </c>
      <c r="D75" s="22" t="s">
        <v>2830</v>
      </c>
      <c r="E75" s="22">
        <f>'[1]Исх.Таблица из архикада'!AK10</f>
        <v>9.1999999999999998E-3</v>
      </c>
      <c r="F75" s="22"/>
      <c r="G75" s="22" t="s">
        <v>3</v>
      </c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3"/>
    </row>
    <row r="76" spans="1:21" ht="15.75" x14ac:dyDescent="0.25">
      <c r="A76" s="21" t="str">
        <f t="shared" si="2"/>
        <v>Пс8.4.3</v>
      </c>
      <c r="B76" s="22" t="s">
        <v>183</v>
      </c>
      <c r="C76" s="22"/>
      <c r="D76" s="22" t="s">
        <v>2831</v>
      </c>
      <c r="E76" s="22">
        <f>('[1]Исх.Таблица из архикада'!AJ10)</f>
        <v>3.2</v>
      </c>
      <c r="F76" s="22"/>
      <c r="G76" s="22" t="s">
        <v>27</v>
      </c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3"/>
    </row>
    <row r="77" spans="1:21" ht="32.25" thickBot="1" x14ac:dyDescent="0.3">
      <c r="A77" s="105" t="str">
        <f t="shared" si="2"/>
        <v>Пс8.4.3</v>
      </c>
      <c r="B77" s="29" t="s">
        <v>183</v>
      </c>
      <c r="C77" s="29" t="s">
        <v>2832</v>
      </c>
      <c r="D77" s="29" t="s">
        <v>2842</v>
      </c>
      <c r="E77" s="29">
        <f>ROUNDUP(('[1]Исх.Таблица из архикада'!B10)/2000,0)</f>
        <v>6</v>
      </c>
      <c r="F77" s="29">
        <v>1</v>
      </c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 t="s">
        <v>202</v>
      </c>
      <c r="T77" s="29" t="s">
        <v>202</v>
      </c>
      <c r="U77" s="106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77 H2:Q2 K1 R1:S1 S2:U2">
    <cfRule type="containsText" dxfId="133" priority="2" stopIfTrue="1" operator="containsText" text="С ЛИСТА">
      <formula>NOT(ISERROR(SEARCH("С ЛИСТА",A1)))</formula>
    </cfRule>
    <cfRule type="containsText" dxfId="132" priority="3" stopIfTrue="1" operator="containsText" text="ИЗ ФАЙЛА">
      <formula>NOT(ISERROR(SEARCH("ИЗ ФАЙЛА",A1)))</formula>
    </cfRule>
    <cfRule type="containsText" dxfId="131" priority="4" stopIfTrue="1" operator="containsText" text="!!!">
      <formula>NOT(ISERROR(SEARCH("!!!",A1)))</formula>
    </cfRule>
    <cfRule type="containsText" dxfId="130" priority="5" stopIfTrue="1" operator="containsText" text=" Изделия ">
      <formula>NOT(ISERROR(SEARCH(" Изделия ",A1)))</formula>
    </cfRule>
    <cfRule type="containsText" dxfId="129" priority="6" stopIfTrue="1" operator="containsText" text=" Прокат ">
      <formula>NOT(ISERROR(SEARCH(" Прокат ",A1)))</formula>
    </cfRule>
    <cfRule type="containsText" dxfId="128" priority="7" stopIfTrue="1" operator="containsText" text=" Сборочные единицы ">
      <formula>NOT(ISERROR(SEARCH(" Сборочные единицы ",A1)))</formula>
    </cfRule>
    <cfRule type="containsText" dxfId="127" priority="8" stopIfTrue="1" operator="containsText" text=" Материалы ">
      <formula>NOT(ISERROR(SEARCH(" Материалы ",A1)))</formula>
    </cfRule>
    <cfRule type="containsText" dxfId="126" priority="9" stopIfTrue="1" operator="containsText" text=", на ">
      <formula>NOT(ISERROR(SEARCH(", на ",A1)))</formula>
    </cfRule>
    <cfRule type="containsText" dxfId="125" priority="10" stopIfTrue="1" operator="containsText" text="шт.)">
      <formula>NOT(ISERROR(SEARCH("шт.)",A1)))</formula>
    </cfRule>
  </conditionalFormatting>
  <conditionalFormatting sqref="A1:U1048576">
    <cfRule type="expression" dxfId="124" priority="1">
      <formula>ISERROR(A1)</formula>
    </cfRule>
  </conditionalFormatting>
  <pageMargins left="0.25" right="0.25" top="0.75" bottom="0.75" header="0.3" footer="0.3"/>
  <pageSetup paperSize="9" scale="33" orientation="landscape" r:id="rId1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errorStyle="warning" allowBlank="1" showInputMessage="1" showErrorMessage="1">
          <x14:formula1>
            <xm:f>'!System'!$AO$1:$AO$6</xm:f>
          </x14:formula1>
          <xm:sqref>G3:G77</xm:sqref>
        </x14:dataValidation>
        <x14:dataValidation type="list" allowBlank="1" showInputMessage="1" showErrorMessage="1">
          <x14:formula1>
            <xm:f>'!System'!$U$1:$AC$1</xm:f>
          </x14:formula1>
          <xm:sqref>J3:J77</xm:sqref>
        </x14:dataValidation>
        <x14:dataValidation type="list" allowBlank="1" showInputMessage="1" showErrorMessage="1">
          <x14:formula1>
            <xm:f>'!System'!$A$1:$S$1</xm:f>
          </x14:formula1>
          <xm:sqref>L3:L77</xm:sqref>
        </x14:dataValidation>
        <x14:dataValidation type="list" allowBlank="1" showInputMessage="1" showErrorMessage="1">
          <x14:formula1>
            <xm:f>'!System'!$AD$1:$AN$1</xm:f>
          </x14:formula1>
          <xm:sqref>O3:O77</xm:sqref>
        </x14:dataValidation>
        <x14:dataValidation type="list" allowBlank="1" showInputMessage="1" showErrorMessage="1">
          <x14:formula1>
            <xm:f>'!System'!$AP$1:$AP$5</xm:f>
          </x14:formula1>
          <xm:sqref>P3:P77</xm:sqref>
        </x14:dataValidation>
        <x14:dataValidation type="list" allowBlank="1" showInputMessage="1" showErrorMessage="1">
          <x14:formula1>
            <xm:f>'!System'!$U$2:$U$17</xm:f>
          </x14:formula1>
          <xm:sqref>I5</xm:sqref>
        </x14:dataValidation>
        <x14:dataValidation type="list" allowBlank="1" showInputMessage="1" showErrorMessage="1">
          <x14:formula1>
            <xm:f>'!System'!$U$2:$U$17</xm:f>
          </x14:formula1>
          <xm:sqref>I6</xm:sqref>
        </x14:dataValidation>
        <x14:dataValidation type="list" allowBlank="1" showInputMessage="1" showErrorMessage="1">
          <x14:formula1>
            <xm:f>'!System'!$U$2:$U$17</xm:f>
          </x14:formula1>
          <xm:sqref>I7</xm:sqref>
        </x14:dataValidation>
        <x14:dataValidation type="list" allowBlank="1" showInputMessage="1" showErrorMessage="1">
          <x14:formula1>
            <xm:f>'!System'!$V$2:$V$16</xm:f>
          </x14:formula1>
          <xm:sqref>I8</xm:sqref>
        </x14:dataValidation>
        <x14:dataValidation type="list" allowBlank="1" showInputMessage="1" showErrorMessage="1">
          <x14:formula1>
            <xm:f>'!System'!$U$2:$U$17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  <x14:dataValidation type="list" allowBlank="1" showInputMessage="1" showErrorMessage="1">
          <x14:formula1>
            <xm:f>'!System'!$U$2:$U$17</xm:f>
          </x14:formula1>
          <xm:sqref>I32</xm:sqref>
        </x14:dataValidation>
        <x14:dataValidation type="list" allowBlank="1" showInputMessage="1" showErrorMessage="1">
          <x14:formula1>
            <xm:f>'!System'!$U$2:$U$17</xm:f>
          </x14:formula1>
          <xm:sqref>I33</xm:sqref>
        </x14:dataValidation>
        <x14:dataValidation type="list" allowBlank="1" showInputMessage="1" showErrorMessage="1">
          <x14:formula1>
            <xm:f>'!System'!$V$2:$V$16</xm:f>
          </x14:formula1>
          <xm:sqref>I34</xm:sqref>
        </x14:dataValidation>
        <x14:dataValidation type="list" allowBlank="1" showInputMessage="1" showErrorMessage="1">
          <x14:formula1>
            <xm:f>'!System'!$U$2:$U$17</xm:f>
          </x14:formula1>
          <xm:sqref>I35</xm:sqref>
        </x14:dataValidation>
        <x14:dataValidation type="list" allowBlank="1" showInputMessage="1" showErrorMessage="1">
          <x14:formula1>
            <xm:f>'!System'!$U$2:$U$17</xm:f>
          </x14:formula1>
          <xm:sqref>I36</xm:sqref>
        </x14:dataValidation>
        <x14:dataValidation type="list" allowBlank="1" showInputMessage="1" showErrorMessage="1">
          <x14:formula1>
            <xm:f>'!System'!$U$2:$U$17</xm:f>
          </x14:formula1>
          <xm:sqref>I37</xm:sqref>
        </x14:dataValidation>
        <x14:dataValidation type="list" allowBlank="1" showInputMessage="1" showErrorMessage="1">
          <x14:formula1>
            <xm:f>'!System'!$U$2:$U$17</xm:f>
          </x14:formula1>
          <xm:sqref>I38</xm:sqref>
        </x14:dataValidation>
        <x14:dataValidation type="list" allowBlank="1" showInputMessage="1" showErrorMessage="1">
          <x14:formula1>
            <xm:f>'!System'!$U$2:$U$17</xm:f>
          </x14:formula1>
          <xm:sqref>I59</xm:sqref>
        </x14:dataValidation>
        <x14:dataValidation type="list" allowBlank="1" showInputMessage="1" showErrorMessage="1">
          <x14:formula1>
            <xm:f>'!System'!$U$2:$U$17</xm:f>
          </x14:formula1>
          <xm:sqref>I60</xm:sqref>
        </x14:dataValidation>
        <x14:dataValidation type="list" allowBlank="1" showInputMessage="1" showErrorMessage="1">
          <x14:formula1>
            <xm:f>'!System'!$U$2:$U$17</xm:f>
          </x14:formula1>
          <xm:sqref>I61</xm:sqref>
        </x14:dataValidation>
        <x14:dataValidation type="list" allowBlank="1" showInputMessage="1" showErrorMessage="1">
          <x14:formula1>
            <xm:f>'!System'!$V$2:$V$16</xm:f>
          </x14:formula1>
          <xm:sqref>I62</xm:sqref>
        </x14:dataValidation>
        <x14:dataValidation type="list" allowBlank="1" showInputMessage="1" showErrorMessage="1">
          <x14:formula1>
            <xm:f>'!System'!$U$2:$U$17</xm:f>
          </x14:formula1>
          <xm:sqref>I63</xm:sqref>
        </x14:dataValidation>
        <x14:dataValidation type="list" allowBlank="1" showInputMessage="1" showErrorMessage="1">
          <x14:formula1>
            <xm:f>'!System'!$U$2:$U$17</xm:f>
          </x14:formula1>
          <xm:sqref>I64</xm:sqref>
        </x14:dataValidation>
        <x14:dataValidation type="list" allowBlank="1" showInputMessage="1" showErrorMessage="1">
          <x14:formula1>
            <xm:f>'!System'!$U$2:$U$17</xm:f>
          </x14:formula1>
          <xm:sqref>I65</xm:sqref>
        </x14:dataValidation>
        <x14:dataValidation type="list" allowBlank="1" showInputMessage="1" showErrorMessage="1">
          <x14:formula1>
            <xm:f>'!System'!$U$2:$U$17</xm:f>
          </x14:formula1>
          <xm:sqref>I66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theme="7" tint="0.39997558519241921"/>
    <pageSetUpPr fitToPage="1"/>
  </sheetPr>
  <dimension ref="A1:U36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45"/>
      <c r="B3" s="46"/>
      <c r="C3" s="46"/>
      <c r="D3" s="46" t="s">
        <v>2831</v>
      </c>
      <c r="E3" s="46">
        <f>('[1]Исх.Таблица из архикада'!AJ12)</f>
        <v>3.2</v>
      </c>
      <c r="F3" s="46"/>
      <c r="G3" s="46" t="s">
        <v>27</v>
      </c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8"/>
    </row>
    <row r="4" spans="1:21" ht="15.75" x14ac:dyDescent="0.25">
      <c r="A4" s="21" t="s">
        <v>183</v>
      </c>
      <c r="B4" s="22" t="s">
        <v>183</v>
      </c>
      <c r="C4" s="22" t="s">
        <v>2832</v>
      </c>
      <c r="D4" s="22" t="s">
        <v>2833</v>
      </c>
      <c r="E4" s="22">
        <f>ROUNDUP(('[1]Исх.Таблица из архикада'!B12)/2000,0)</f>
        <v>6</v>
      </c>
      <c r="F4" s="22">
        <v>1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15.7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5.75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</row>
    <row r="7" spans="1:21" ht="15.7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</row>
    <row r="8" spans="1:21" ht="15.7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</row>
    <row r="9" spans="1:21" ht="15.7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 ht="15.75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 ht="15.75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</row>
    <row r="12" spans="1:21" ht="15.75" x14ac:dyDescent="0.25">
      <c r="A12" s="21" t="s">
        <v>183</v>
      </c>
      <c r="B12" s="22" t="s">
        <v>183</v>
      </c>
      <c r="C12" s="22" t="s">
        <v>184</v>
      </c>
      <c r="D12" s="22" t="s">
        <v>2818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3"/>
    </row>
    <row r="13" spans="1:21" ht="15.75" x14ac:dyDescent="0.25">
      <c r="A13" s="21" t="s">
        <v>183</v>
      </c>
      <c r="B13" s="22" t="s">
        <v>183</v>
      </c>
      <c r="C13" s="22" t="s">
        <v>2835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3"/>
    </row>
    <row r="14" spans="1:21" ht="15.75" x14ac:dyDescent="0.25">
      <c r="A14" s="21" t="s">
        <v>183</v>
      </c>
      <c r="B14" s="22" t="s">
        <v>183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3"/>
    </row>
    <row r="15" spans="1:21" ht="31.5" x14ac:dyDescent="0.25">
      <c r="A15" s="25" t="str">
        <f>'[1]Исх.Таблица из архикада'!A13</f>
        <v>Пс8.3.3</v>
      </c>
      <c r="B15" s="26" t="str">
        <f>A15</f>
        <v>Пс8.3.3</v>
      </c>
      <c r="C15" s="26"/>
      <c r="D15" s="26" t="s">
        <v>2837</v>
      </c>
      <c r="E15" s="26">
        <v>1</v>
      </c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7"/>
    </row>
    <row r="16" spans="1:21" ht="31.5" x14ac:dyDescent="0.25">
      <c r="A16" s="45" t="str">
        <f t="shared" ref="A16:A26" si="0">A15</f>
        <v>Пс8.3.3</v>
      </c>
      <c r="B16" s="46">
        <v>1</v>
      </c>
      <c r="C16" s="46" t="s">
        <v>258</v>
      </c>
      <c r="D16" s="46" t="str">
        <f>'[1]Таблица из архикада'!C193</f>
        <v>Гориз. В стене</v>
      </c>
      <c r="E16" s="46">
        <f>'[1]Таблица из архикада'!E193</f>
        <v>1</v>
      </c>
      <c r="F16" s="22">
        <v>0.61599999999999999</v>
      </c>
      <c r="G16" s="46" t="s">
        <v>27</v>
      </c>
      <c r="H16" s="46">
        <f>'[1]Таблица из архикада'!H193*2</f>
        <v>214500</v>
      </c>
      <c r="I16" s="46">
        <f>'[1]Таблица из архикада'!I193</f>
        <v>10</v>
      </c>
      <c r="J16" s="46" t="s">
        <v>2</v>
      </c>
      <c r="K16" s="46"/>
      <c r="L16" s="46"/>
      <c r="M16" s="46"/>
      <c r="N16" s="46"/>
      <c r="O16" s="46"/>
      <c r="P16" s="46"/>
      <c r="Q16" s="46"/>
      <c r="R16" s="46"/>
      <c r="S16" s="46" t="s">
        <v>202</v>
      </c>
      <c r="T16" s="46" t="s">
        <v>202</v>
      </c>
      <c r="U16" s="48">
        <v>25</v>
      </c>
    </row>
    <row r="17" spans="1:21" ht="31.5" x14ac:dyDescent="0.25">
      <c r="A17" s="45" t="str">
        <f t="shared" si="0"/>
        <v>Пс8.3.3</v>
      </c>
      <c r="B17" s="46">
        <v>2</v>
      </c>
      <c r="C17" s="46" t="s">
        <v>258</v>
      </c>
      <c r="D17" s="46" t="str">
        <f>'[1]Таблица из архикада'!C194</f>
        <v>П-шка в стене верт</v>
      </c>
      <c r="E17" s="46">
        <f>'[1]Таблица из архикада'!E194</f>
        <v>59</v>
      </c>
      <c r="F17" s="22">
        <v>0.88800000000000001</v>
      </c>
      <c r="G17" s="46" t="s">
        <v>0</v>
      </c>
      <c r="H17" s="46">
        <f>'[1]Таблица из архикада'!H194</f>
        <v>1290</v>
      </c>
      <c r="I17" s="46">
        <f>'[1]Таблица из архикада'!I194</f>
        <v>12</v>
      </c>
      <c r="J17" s="46" t="s">
        <v>2</v>
      </c>
      <c r="K17" s="46"/>
      <c r="L17" s="46"/>
      <c r="M17" s="46"/>
      <c r="N17" s="46"/>
      <c r="O17" s="46"/>
      <c r="P17" s="46"/>
      <c r="Q17" s="46"/>
      <c r="R17" s="46"/>
      <c r="S17" s="46" t="s">
        <v>202</v>
      </c>
      <c r="T17" s="46" t="s">
        <v>202</v>
      </c>
      <c r="U17" s="48">
        <v>30</v>
      </c>
    </row>
    <row r="18" spans="1:21" ht="31.5" x14ac:dyDescent="0.25">
      <c r="A18" s="45" t="str">
        <f t="shared" si="0"/>
        <v>Пс8.3.3</v>
      </c>
      <c r="B18" s="46">
        <v>3</v>
      </c>
      <c r="C18" s="46" t="s">
        <v>258</v>
      </c>
      <c r="D18" s="46" t="str">
        <f>'[1]Таблица из архикада'!C195</f>
        <v>П-шка в стене гориз.</v>
      </c>
      <c r="E18" s="46">
        <f>'[1]Таблица из архикада'!E195</f>
        <v>16</v>
      </c>
      <c r="F18" s="22">
        <v>0.61599999999999999</v>
      </c>
      <c r="G18" s="46" t="s">
        <v>0</v>
      </c>
      <c r="H18" s="46">
        <f>'[1]Таблица из архикада'!H195</f>
        <v>1120</v>
      </c>
      <c r="I18" s="46">
        <f>'[1]Таблица из архикада'!I195</f>
        <v>10</v>
      </c>
      <c r="J18" s="46" t="s">
        <v>2</v>
      </c>
      <c r="K18" s="46"/>
      <c r="L18" s="46"/>
      <c r="M18" s="46"/>
      <c r="N18" s="46"/>
      <c r="O18" s="46"/>
      <c r="P18" s="46"/>
      <c r="Q18" s="46"/>
      <c r="R18" s="46"/>
      <c r="S18" s="46" t="s">
        <v>202</v>
      </c>
      <c r="T18" s="46" t="s">
        <v>202</v>
      </c>
      <c r="U18" s="48">
        <v>25</v>
      </c>
    </row>
    <row r="19" spans="1:21" ht="31.5" x14ac:dyDescent="0.25">
      <c r="A19" s="45" t="str">
        <f t="shared" si="0"/>
        <v>Пс8.3.3</v>
      </c>
      <c r="B19" s="46">
        <v>4</v>
      </c>
      <c r="C19" s="46" t="s">
        <v>258</v>
      </c>
      <c r="D19" s="46" t="str">
        <f>'[1]Таблица из архикада'!C196</f>
        <v>Вертик. В стене</v>
      </c>
      <c r="E19" s="46">
        <f>'[1]Таблица из архикада'!E196</f>
        <v>118</v>
      </c>
      <c r="F19" s="22">
        <v>0.88800000000000001</v>
      </c>
      <c r="G19" s="46" t="s">
        <v>0</v>
      </c>
      <c r="H19" s="46">
        <f>'[1]Таблица из архикада'!H196</f>
        <v>2075</v>
      </c>
      <c r="I19" s="46">
        <f>'[1]Таблица из архикада'!I196</f>
        <v>12</v>
      </c>
      <c r="J19" s="46" t="s">
        <v>2</v>
      </c>
      <c r="K19" s="46"/>
      <c r="L19" s="46"/>
      <c r="M19" s="46"/>
      <c r="N19" s="46"/>
      <c r="O19" s="46"/>
      <c r="P19" s="46"/>
      <c r="Q19" s="46"/>
      <c r="R19" s="46"/>
      <c r="S19" s="46" t="s">
        <v>202</v>
      </c>
      <c r="T19" s="46" t="s">
        <v>202</v>
      </c>
      <c r="U19" s="48">
        <v>30</v>
      </c>
    </row>
    <row r="20" spans="1:21" ht="31.5" x14ac:dyDescent="0.25">
      <c r="A20" s="45" t="str">
        <f t="shared" si="0"/>
        <v>Пс8.3.3</v>
      </c>
      <c r="B20" s="46">
        <v>5</v>
      </c>
      <c r="C20" s="46" t="s">
        <v>190</v>
      </c>
      <c r="D20" s="46" t="str">
        <f>'[1]Таблица из архикада'!C197</f>
        <v>Шпилька</v>
      </c>
      <c r="E20" s="46">
        <f>'[1]Таблица из архикада'!E197</f>
        <v>246</v>
      </c>
      <c r="F20" s="22">
        <v>0.222</v>
      </c>
      <c r="G20" s="46" t="s">
        <v>0</v>
      </c>
      <c r="H20" s="46">
        <f>'[1]Таблица из архикада'!H197</f>
        <v>270</v>
      </c>
      <c r="I20" s="46">
        <f>'[1]Таблица из архикада'!I197</f>
        <v>6</v>
      </c>
      <c r="J20" s="46" t="s">
        <v>1</v>
      </c>
      <c r="K20" s="46"/>
      <c r="L20" s="46"/>
      <c r="M20" s="46"/>
      <c r="N20" s="46"/>
      <c r="O20" s="46"/>
      <c r="P20" s="46"/>
      <c r="Q20" s="46"/>
      <c r="R20" s="46"/>
      <c r="S20" s="46" t="s">
        <v>202</v>
      </c>
      <c r="T20" s="46" t="s">
        <v>202</v>
      </c>
      <c r="U20" s="48">
        <v>7.5</v>
      </c>
    </row>
    <row r="21" spans="1:21" ht="31.5" x14ac:dyDescent="0.25">
      <c r="A21" s="45" t="str">
        <f t="shared" si="0"/>
        <v>Пс8.3.3</v>
      </c>
      <c r="B21" s="46">
        <v>6</v>
      </c>
      <c r="C21" s="46" t="s">
        <v>258</v>
      </c>
      <c r="D21" s="46" t="str">
        <f>'[1]Таблица из архикада'!C198</f>
        <v>Поперечная в подошве</v>
      </c>
      <c r="E21" s="46">
        <f>'[1]Таблица из архикада'!E198</f>
        <v>59</v>
      </c>
      <c r="F21" s="22">
        <v>0.61599999999999999</v>
      </c>
      <c r="G21" s="46"/>
      <c r="H21" s="46">
        <f>'[1]Таблица из архикада'!H198</f>
        <v>1550</v>
      </c>
      <c r="I21" s="46">
        <f>'[1]Таблица из архикада'!I198</f>
        <v>10</v>
      </c>
      <c r="J21" s="46" t="s">
        <v>2</v>
      </c>
      <c r="K21" s="46"/>
      <c r="L21" s="46"/>
      <c r="M21" s="46"/>
      <c r="N21" s="46"/>
      <c r="O21" s="46"/>
      <c r="P21" s="46"/>
      <c r="Q21" s="46"/>
      <c r="R21" s="46"/>
      <c r="S21" s="46" t="s">
        <v>202</v>
      </c>
      <c r="T21" s="46" t="s">
        <v>202</v>
      </c>
      <c r="U21" s="48">
        <v>25</v>
      </c>
    </row>
    <row r="22" spans="1:21" ht="31.5" x14ac:dyDescent="0.25">
      <c r="A22" s="45" t="str">
        <f t="shared" si="0"/>
        <v>Пс8.3.3</v>
      </c>
      <c r="B22" s="46">
        <v>7</v>
      </c>
      <c r="C22" s="46" t="s">
        <v>258</v>
      </c>
      <c r="D22" s="46" t="str">
        <f>'[1]Таблица из архикада'!C199</f>
        <v>Продольная в подошве</v>
      </c>
      <c r="E22" s="46">
        <f>'[1]Таблица из архикада'!E199</f>
        <v>1</v>
      </c>
      <c r="F22" s="22">
        <v>0.61599999999999999</v>
      </c>
      <c r="G22" s="46" t="s">
        <v>27</v>
      </c>
      <c r="H22" s="46">
        <f>'[1]Таблица из архикада'!H199</f>
        <v>107250</v>
      </c>
      <c r="I22" s="46">
        <f>'[1]Таблица из архикада'!I199</f>
        <v>10</v>
      </c>
      <c r="J22" s="46" t="s">
        <v>2</v>
      </c>
      <c r="K22" s="46"/>
      <c r="L22" s="46"/>
      <c r="M22" s="46"/>
      <c r="N22" s="46"/>
      <c r="O22" s="46"/>
      <c r="P22" s="46"/>
      <c r="Q22" s="46"/>
      <c r="R22" s="46"/>
      <c r="S22" s="46" t="s">
        <v>202</v>
      </c>
      <c r="T22" s="46" t="s">
        <v>202</v>
      </c>
      <c r="U22" s="48">
        <v>25</v>
      </c>
    </row>
    <row r="23" spans="1:21" ht="31.5" x14ac:dyDescent="0.25">
      <c r="A23" s="45" t="str">
        <f t="shared" si="0"/>
        <v>Пс8.3.3</v>
      </c>
      <c r="B23" s="46">
        <v>9</v>
      </c>
      <c r="C23" s="46" t="s">
        <v>258</v>
      </c>
      <c r="D23" s="46" t="str">
        <f>'[1]Таблица из архикада'!C201</f>
        <v>П-шка в продол.сеч.</v>
      </c>
      <c r="E23" s="46">
        <f>'[1]Таблица из архикада'!E201</f>
        <v>16</v>
      </c>
      <c r="F23" s="22">
        <v>0.61599999999999999</v>
      </c>
      <c r="G23" s="46" t="s">
        <v>0</v>
      </c>
      <c r="H23" s="46">
        <f>'[1]Таблица из архикада'!H201</f>
        <v>1200</v>
      </c>
      <c r="I23" s="46">
        <f>'[1]Таблица из архикада'!I201</f>
        <v>10</v>
      </c>
      <c r="J23" s="46" t="s">
        <v>2</v>
      </c>
      <c r="K23" s="46"/>
      <c r="L23" s="46"/>
      <c r="M23" s="46"/>
      <c r="N23" s="46"/>
      <c r="O23" s="46"/>
      <c r="P23" s="46"/>
      <c r="Q23" s="46"/>
      <c r="R23" s="46"/>
      <c r="S23" s="46" t="s">
        <v>202</v>
      </c>
      <c r="T23" s="46" t="s">
        <v>202</v>
      </c>
      <c r="U23" s="48">
        <v>25</v>
      </c>
    </row>
    <row r="24" spans="1:21" ht="31.5" x14ac:dyDescent="0.25">
      <c r="A24" s="45" t="str">
        <f t="shared" si="0"/>
        <v>Пс8.3.3</v>
      </c>
      <c r="B24" s="46">
        <v>10</v>
      </c>
      <c r="C24" s="46" t="s">
        <v>258</v>
      </c>
      <c r="D24" s="46" t="str">
        <f>'[1]Таблица из архикада'!C205</f>
        <v>С-образная попер. В подошве</v>
      </c>
      <c r="E24" s="46">
        <f>'[1]Таблица из архикада'!E205</f>
        <v>59</v>
      </c>
      <c r="F24" s="22">
        <v>0.61599999999999999</v>
      </c>
      <c r="G24" s="46" t="s">
        <v>0</v>
      </c>
      <c r="H24" s="46">
        <f>'[1]Таблица из архикада'!H205</f>
        <v>2020</v>
      </c>
      <c r="I24" s="46">
        <f>'[1]Таблица из архикада'!I205</f>
        <v>10</v>
      </c>
      <c r="J24" s="46" t="s">
        <v>2</v>
      </c>
      <c r="K24" s="46"/>
      <c r="L24" s="46"/>
      <c r="M24" s="46"/>
      <c r="N24" s="46"/>
      <c r="O24" s="46"/>
      <c r="P24" s="46"/>
      <c r="Q24" s="46"/>
      <c r="R24" s="46"/>
      <c r="S24" s="46" t="s">
        <v>202</v>
      </c>
      <c r="T24" s="46" t="s">
        <v>202</v>
      </c>
      <c r="U24" s="48">
        <v>25</v>
      </c>
    </row>
    <row r="25" spans="1:21" ht="15.75" x14ac:dyDescent="0.25">
      <c r="A25" s="45" t="str">
        <f t="shared" si="0"/>
        <v>Пс8.3.3</v>
      </c>
      <c r="B25" s="46"/>
      <c r="C25" s="28" t="s">
        <v>195</v>
      </c>
      <c r="D25" s="28" t="s">
        <v>2820</v>
      </c>
      <c r="E25" s="28">
        <f>'[1]Таблица из архикада'!F193</f>
        <v>9.5</v>
      </c>
      <c r="F25" s="22" t="s">
        <v>4</v>
      </c>
      <c r="G25" s="46" t="s">
        <v>3</v>
      </c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8"/>
    </row>
    <row r="26" spans="1:21" ht="31.5" x14ac:dyDescent="0.25">
      <c r="A26" s="45" t="str">
        <f t="shared" si="0"/>
        <v>Пс8.3.3</v>
      </c>
      <c r="B26" s="46"/>
      <c r="C26" s="28" t="s">
        <v>195</v>
      </c>
      <c r="D26" s="28" t="s">
        <v>2819</v>
      </c>
      <c r="E26" s="28">
        <f>'[1]Таблица из архикада'!G193</f>
        <v>2.2000000000000002</v>
      </c>
      <c r="F26" s="22" t="s">
        <v>4</v>
      </c>
      <c r="G26" s="46" t="s">
        <v>3</v>
      </c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8"/>
    </row>
    <row r="27" spans="1:21" ht="31.5" x14ac:dyDescent="0.25">
      <c r="A27" s="21" t="s">
        <v>183</v>
      </c>
      <c r="B27" s="22" t="s">
        <v>183</v>
      </c>
      <c r="C27" s="22" t="s">
        <v>2821</v>
      </c>
      <c r="D27" s="22" t="s">
        <v>2822</v>
      </c>
      <c r="E27" s="22">
        <f>'[1]Исх.Таблица из архикада'!AG13</f>
        <v>0</v>
      </c>
      <c r="F27" s="22" t="s">
        <v>4</v>
      </c>
      <c r="G27" s="22" t="s">
        <v>3</v>
      </c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3"/>
    </row>
    <row r="28" spans="1:21" ht="15.75" x14ac:dyDescent="0.25">
      <c r="A28" s="21" t="s">
        <v>183</v>
      </c>
      <c r="B28" s="22" t="s">
        <v>183</v>
      </c>
      <c r="C28" s="22" t="s">
        <v>2823</v>
      </c>
      <c r="D28" s="22" t="s">
        <v>2824</v>
      </c>
      <c r="E28" s="22">
        <f>'[1]Исх.Таблица из архикада'!AI13</f>
        <v>0</v>
      </c>
      <c r="F28" s="22" t="s">
        <v>4</v>
      </c>
      <c r="G28" s="22" t="s">
        <v>3</v>
      </c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3"/>
    </row>
    <row r="29" spans="1:21" ht="15.75" x14ac:dyDescent="0.25">
      <c r="A29" s="45"/>
      <c r="B29" s="46"/>
      <c r="C29" s="46" t="s">
        <v>2825</v>
      </c>
      <c r="D29" s="46" t="s">
        <v>2826</v>
      </c>
      <c r="E29" s="46">
        <f>11.2+3.7+13.7*0.2</f>
        <v>17.64</v>
      </c>
      <c r="F29" s="46"/>
      <c r="G29" s="46" t="s">
        <v>2689</v>
      </c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8"/>
    </row>
    <row r="30" spans="1:21" ht="15.75" x14ac:dyDescent="0.25">
      <c r="A30" s="21" t="s">
        <v>183</v>
      </c>
      <c r="B30" s="22" t="s">
        <v>183</v>
      </c>
      <c r="C30" s="22" t="s">
        <v>258</v>
      </c>
      <c r="D30" s="22" t="s">
        <v>2836</v>
      </c>
      <c r="E30" s="22">
        <f>'[1]Исх.Таблица из архикада'!AL13</f>
        <v>6</v>
      </c>
      <c r="F30" s="22">
        <f>2.47*0.3</f>
        <v>0.74099999999999999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3"/>
    </row>
    <row r="31" spans="1:21" ht="15.75" x14ac:dyDescent="0.25">
      <c r="A31" s="21" t="s">
        <v>183</v>
      </c>
      <c r="B31" s="22" t="s">
        <v>183</v>
      </c>
      <c r="C31" s="22" t="s">
        <v>2834</v>
      </c>
      <c r="D31" s="22" t="s">
        <v>2789</v>
      </c>
      <c r="E31" s="22">
        <f>'[1]Исх.Таблица из архикада'!AM13</f>
        <v>6</v>
      </c>
      <c r="F31" s="22">
        <f>1.53*0.32</f>
        <v>0.48960000000000004</v>
      </c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3"/>
    </row>
    <row r="32" spans="1:21" ht="15.75" x14ac:dyDescent="0.25">
      <c r="A32" s="45"/>
      <c r="B32" s="46"/>
      <c r="C32" s="46" t="s">
        <v>2827</v>
      </c>
      <c r="D32" s="46" t="s">
        <v>2828</v>
      </c>
      <c r="E32" s="46">
        <f>('[1]Исх.Таблица из архикада'!AO13)</f>
        <v>114.004</v>
      </c>
      <c r="F32" s="46"/>
      <c r="G32" s="46" t="s">
        <v>2689</v>
      </c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8"/>
    </row>
    <row r="33" spans="1:21" ht="15.75" x14ac:dyDescent="0.25">
      <c r="A33" s="21" t="s">
        <v>183</v>
      </c>
      <c r="B33" s="22" t="s">
        <v>183</v>
      </c>
      <c r="C33" s="22" t="s">
        <v>2829</v>
      </c>
      <c r="D33" s="22" t="s">
        <v>2830</v>
      </c>
      <c r="E33" s="22">
        <f>'[1]Исх.Таблица из архикада'!AK13</f>
        <v>1.6E-2</v>
      </c>
      <c r="F33" s="22"/>
      <c r="G33" s="22" t="s">
        <v>3</v>
      </c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3"/>
    </row>
    <row r="34" spans="1:21" ht="15.75" x14ac:dyDescent="0.25">
      <c r="A34" s="21" t="s">
        <v>183</v>
      </c>
      <c r="B34" s="22" t="s">
        <v>183</v>
      </c>
      <c r="C34" s="22"/>
      <c r="D34" s="22" t="s">
        <v>2831</v>
      </c>
      <c r="E34" s="22">
        <f>('[1]Исх.Таблица из архикада'!AJ13)</f>
        <v>3.2</v>
      </c>
      <c r="F34" s="22"/>
      <c r="G34" s="22" t="s">
        <v>27</v>
      </c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3"/>
    </row>
    <row r="35" spans="1:21" ht="15.75" x14ac:dyDescent="0.25">
      <c r="A35" s="21" t="s">
        <v>183</v>
      </c>
      <c r="B35" s="22" t="s">
        <v>183</v>
      </c>
      <c r="C35" s="22" t="s">
        <v>2832</v>
      </c>
      <c r="D35" s="22" t="s">
        <v>2838</v>
      </c>
      <c r="E35" s="22">
        <f>ROUNDUP(('[1]Исх.Таблица из архикада'!B13)/2000,0)</f>
        <v>6</v>
      </c>
      <c r="F35" s="22">
        <v>1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3"/>
    </row>
    <row r="36" spans="1:21" ht="16.5" thickBot="1" x14ac:dyDescent="0.3">
      <c r="A36" s="130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36 H2:Q2 K1 R1:S1 S2:U2">
    <cfRule type="containsText" dxfId="123" priority="2" stopIfTrue="1" operator="containsText" text="С ЛИСТА">
      <formula>NOT(ISERROR(SEARCH("С ЛИСТА",A1)))</formula>
    </cfRule>
    <cfRule type="containsText" dxfId="122" priority="3" stopIfTrue="1" operator="containsText" text="ИЗ ФАЙЛА">
      <formula>NOT(ISERROR(SEARCH("ИЗ ФАЙЛА",A1)))</formula>
    </cfRule>
    <cfRule type="containsText" dxfId="121" priority="4" stopIfTrue="1" operator="containsText" text="!!!">
      <formula>NOT(ISERROR(SEARCH("!!!",A1)))</formula>
    </cfRule>
    <cfRule type="containsText" dxfId="120" priority="5" stopIfTrue="1" operator="containsText" text=" Изделия ">
      <formula>NOT(ISERROR(SEARCH(" Изделия ",A1)))</formula>
    </cfRule>
    <cfRule type="containsText" dxfId="119" priority="6" stopIfTrue="1" operator="containsText" text=" Прокат ">
      <formula>NOT(ISERROR(SEARCH(" Прокат ",A1)))</formula>
    </cfRule>
    <cfRule type="containsText" dxfId="118" priority="7" stopIfTrue="1" operator="containsText" text=" Сборочные единицы ">
      <formula>NOT(ISERROR(SEARCH(" Сборочные единицы ",A1)))</formula>
    </cfRule>
    <cfRule type="containsText" dxfId="117" priority="8" stopIfTrue="1" operator="containsText" text=" Материалы ">
      <formula>NOT(ISERROR(SEARCH(" Материалы ",A1)))</formula>
    </cfRule>
    <cfRule type="containsText" dxfId="116" priority="9" stopIfTrue="1" operator="containsText" text=", на ">
      <formula>NOT(ISERROR(SEARCH(", на ",A1)))</formula>
    </cfRule>
    <cfRule type="containsText" dxfId="115" priority="10" stopIfTrue="1" operator="containsText" text="шт.)">
      <formula>NOT(ISERROR(SEARCH("шт.)",A1)))</formula>
    </cfRule>
  </conditionalFormatting>
  <conditionalFormatting sqref="A1:U1048576">
    <cfRule type="expression" dxfId="114" priority="1">
      <formula>ISERROR(A1)</formula>
    </cfRule>
  </conditionalFormatting>
  <pageMargins left="0.25" right="0.25" top="0.75" bottom="0.75" header="0.3" footer="0.3"/>
  <pageSetup paperSize="9" scale="62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'!System'!$AO$1:$AO$6</xm:f>
          </x14:formula1>
          <xm:sqref>G3:G35</xm:sqref>
        </x14:dataValidation>
        <x14:dataValidation type="list" allowBlank="1" showInputMessage="1" showErrorMessage="1">
          <x14:formula1>
            <xm:f>'!System'!$U$1:$AC$1</xm:f>
          </x14:formula1>
          <xm:sqref>J3:J35</xm:sqref>
        </x14:dataValidation>
        <x14:dataValidation type="list" allowBlank="1" showInputMessage="1" showErrorMessage="1">
          <x14:formula1>
            <xm:f>'!System'!$A$1:$S$1</xm:f>
          </x14:formula1>
          <xm:sqref>L3:L35</xm:sqref>
        </x14:dataValidation>
        <x14:dataValidation type="list" allowBlank="1" showInputMessage="1" showErrorMessage="1">
          <x14:formula1>
            <xm:f>'!System'!$AD$1:$AN$1</xm:f>
          </x14:formula1>
          <xm:sqref>O3:O35</xm:sqref>
        </x14:dataValidation>
        <x14:dataValidation type="list" allowBlank="1" showInputMessage="1" showErrorMessage="1">
          <x14:formula1>
            <xm:f>'!System'!$AP$1:$AP$5</xm:f>
          </x14:formula1>
          <xm:sqref>P3:P35</xm:sqref>
        </x14:dataValidation>
        <x14:dataValidation type="list" allowBlank="1" showInputMessage="1" showErrorMessage="1">
          <x14:formula1>
            <xm:f>'!System'!$U$2:$U$17</xm:f>
          </x14:formula1>
          <xm:sqref>I16</xm:sqref>
        </x14:dataValidation>
        <x14:dataValidation type="list" allowBlank="1" showInputMessage="1" showErrorMessage="1">
          <x14:formula1>
            <xm:f>'!System'!$U$2:$U$17</xm:f>
          </x14:formula1>
          <xm:sqref>I17</xm:sqref>
        </x14:dataValidation>
        <x14:dataValidation type="list" allowBlank="1" showInputMessage="1" showErrorMessage="1">
          <x14:formula1>
            <xm:f>'!System'!$U$2:$U$17</xm:f>
          </x14:formula1>
          <xm:sqref>I18</xm:sqref>
        </x14:dataValidation>
        <x14:dataValidation type="list" allowBlank="1" showInputMessage="1" showErrorMessage="1">
          <x14:formula1>
            <xm:f>'!System'!$U$2:$U$17</xm:f>
          </x14:formula1>
          <xm:sqref>I19</xm:sqref>
        </x14:dataValidation>
        <x14:dataValidation type="list" allowBlank="1" showInputMessage="1" showErrorMessage="1">
          <x14:formula1>
            <xm:f>'!System'!$V$2:$V$16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'!System'!$U$2:$U$17</xm:f>
          </x14:formula1>
          <xm:sqref>I22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7" tint="0.39997558519241921"/>
    <pageSetUpPr fitToPage="1"/>
  </sheetPr>
  <dimension ref="A1:U47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1" t="str">
        <f>A5</f>
        <v>Пс8.2.1</v>
      </c>
      <c r="B3" s="22" t="s">
        <v>183</v>
      </c>
      <c r="C3" s="22" t="s">
        <v>184</v>
      </c>
      <c r="D3" s="22" t="s">
        <v>2818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5.75" x14ac:dyDescent="0.25">
      <c r="A4" s="21" t="s">
        <v>183</v>
      </c>
      <c r="B4" s="22" t="s">
        <v>183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31.5" x14ac:dyDescent="0.25">
      <c r="A5" s="25" t="str">
        <f>'[1]Исх.Таблица из архикада'!A16</f>
        <v>Пс8.2.1</v>
      </c>
      <c r="B5" s="26" t="str">
        <f>A5</f>
        <v>Пс8.2.1</v>
      </c>
      <c r="C5" s="26"/>
      <c r="D5" s="26" t="str">
        <f>CONCATENATE("Монолитная подпорная стена ",A5)</f>
        <v>Монолитная подпорная стена Пс8.2.1</v>
      </c>
      <c r="E5" s="26">
        <v>1</v>
      </c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7"/>
    </row>
    <row r="6" spans="1:21" ht="15.75" x14ac:dyDescent="0.25">
      <c r="A6" s="45" t="str">
        <f t="shared" ref="A6:A15" si="0">A5</f>
        <v>Пс8.2.1</v>
      </c>
      <c r="B6" s="46">
        <v>1</v>
      </c>
      <c r="C6" s="46" t="s">
        <v>258</v>
      </c>
      <c r="D6" s="46" t="str">
        <f>'[1]Таблица из архикада'!C250</f>
        <v>Гориз. В стене</v>
      </c>
      <c r="E6" s="46">
        <f>'[1]Таблица из архикада'!E250</f>
        <v>11</v>
      </c>
      <c r="F6" s="22">
        <v>0.61599999999999999</v>
      </c>
      <c r="G6" s="46" t="s">
        <v>27</v>
      </c>
      <c r="H6" s="46">
        <f>'[1]Таблица из архикада'!H250*2</f>
        <v>7940</v>
      </c>
      <c r="I6" s="46">
        <v>10</v>
      </c>
      <c r="J6" s="46" t="s">
        <v>2</v>
      </c>
      <c r="K6" s="46"/>
      <c r="L6" s="46"/>
      <c r="M6" s="46"/>
      <c r="N6" s="46"/>
      <c r="O6" s="46"/>
      <c r="P6" s="46"/>
      <c r="Q6" s="46"/>
      <c r="R6" s="46"/>
      <c r="S6" s="46">
        <v>415</v>
      </c>
      <c r="T6" s="46">
        <v>500</v>
      </c>
      <c r="U6" s="48">
        <v>25</v>
      </c>
    </row>
    <row r="7" spans="1:21" ht="15.75" x14ac:dyDescent="0.25">
      <c r="A7" s="45" t="str">
        <f t="shared" si="0"/>
        <v>Пс8.2.1</v>
      </c>
      <c r="B7" s="46">
        <v>3</v>
      </c>
      <c r="C7" s="46" t="s">
        <v>258</v>
      </c>
      <c r="D7" s="46" t="str">
        <f>'[1]Таблица из архикада'!C252</f>
        <v>П-шка в стене гориз.</v>
      </c>
      <c r="E7" s="46">
        <f>'[1]Таблица из архикада'!E252</f>
        <v>10</v>
      </c>
      <c r="F7" s="22">
        <v>0.61599999999999999</v>
      </c>
      <c r="G7" s="46" t="s">
        <v>0</v>
      </c>
      <c r="H7" s="46">
        <f>'[1]Таблица из архикада'!H252</f>
        <v>1070</v>
      </c>
      <c r="I7" s="46">
        <f>'[1]Таблица из архикада'!I252</f>
        <v>10</v>
      </c>
      <c r="J7" s="46" t="s">
        <v>2</v>
      </c>
      <c r="K7" s="46"/>
      <c r="L7" s="46"/>
      <c r="M7" s="46"/>
      <c r="N7" s="46"/>
      <c r="O7" s="46"/>
      <c r="P7" s="46"/>
      <c r="Q7" s="46"/>
      <c r="R7" s="46"/>
      <c r="S7" s="46">
        <v>415</v>
      </c>
      <c r="T7" s="46">
        <v>500</v>
      </c>
      <c r="U7" s="48">
        <v>25</v>
      </c>
    </row>
    <row r="8" spans="1:21" ht="15.75" x14ac:dyDescent="0.25">
      <c r="A8" s="45" t="str">
        <f t="shared" si="0"/>
        <v>Пс8.2.1</v>
      </c>
      <c r="B8" s="46">
        <v>4</v>
      </c>
      <c r="C8" s="46" t="s">
        <v>258</v>
      </c>
      <c r="D8" s="46" t="str">
        <f>'[1]Таблица из архикада'!C253</f>
        <v>Вертик. В стене</v>
      </c>
      <c r="E8" s="46">
        <f>'[1]Таблица из архикада'!E253</f>
        <v>42</v>
      </c>
      <c r="F8" s="22">
        <v>0.61599999999999999</v>
      </c>
      <c r="G8" s="46" t="s">
        <v>0</v>
      </c>
      <c r="H8" s="46">
        <f>'[1]Таблица из архикада'!H253</f>
        <v>1445</v>
      </c>
      <c r="I8" s="46">
        <f>'[1]Таблица из архикада'!I253</f>
        <v>10</v>
      </c>
      <c r="J8" s="46" t="s">
        <v>2</v>
      </c>
      <c r="K8" s="46"/>
      <c r="L8" s="46"/>
      <c r="M8" s="46"/>
      <c r="N8" s="46"/>
      <c r="O8" s="46"/>
      <c r="P8" s="46"/>
      <c r="Q8" s="46"/>
      <c r="R8" s="46"/>
      <c r="S8" s="46">
        <v>415</v>
      </c>
      <c r="T8" s="46">
        <v>500</v>
      </c>
      <c r="U8" s="48">
        <v>25</v>
      </c>
    </row>
    <row r="9" spans="1:21" ht="15.75" x14ac:dyDescent="0.25">
      <c r="A9" s="45" t="str">
        <f t="shared" si="0"/>
        <v>Пс8.2.1</v>
      </c>
      <c r="B9" s="46">
        <v>5</v>
      </c>
      <c r="C9" s="46" t="s">
        <v>190</v>
      </c>
      <c r="D9" s="46" t="str">
        <f>'[1]Таблица из архикада'!C254</f>
        <v>Шпилька</v>
      </c>
      <c r="E9" s="46">
        <f>'[1]Таблица из архикада'!E254</f>
        <v>50</v>
      </c>
      <c r="F9" s="22">
        <v>0.222</v>
      </c>
      <c r="G9" s="46" t="s">
        <v>0</v>
      </c>
      <c r="H9" s="46">
        <f>'[1]Таблица из архикада'!H254</f>
        <v>220</v>
      </c>
      <c r="I9" s="46">
        <f>'[1]Таблица из архикада'!I254</f>
        <v>6</v>
      </c>
      <c r="J9" s="46" t="s">
        <v>1</v>
      </c>
      <c r="K9" s="46"/>
      <c r="L9" s="46"/>
      <c r="M9" s="46"/>
      <c r="N9" s="46"/>
      <c r="O9" s="46"/>
      <c r="P9" s="46"/>
      <c r="Q9" s="46"/>
      <c r="R9" s="46"/>
      <c r="S9" s="46">
        <v>200</v>
      </c>
      <c r="T9" s="46">
        <v>250</v>
      </c>
      <c r="U9" s="48">
        <v>7.5</v>
      </c>
    </row>
    <row r="10" spans="1:21" ht="15.75" x14ac:dyDescent="0.25">
      <c r="A10" s="45" t="str">
        <f t="shared" si="0"/>
        <v>Пс8.2.1</v>
      </c>
      <c r="B10" s="46">
        <v>6</v>
      </c>
      <c r="C10" s="46" t="s">
        <v>258</v>
      </c>
      <c r="D10" s="46" t="str">
        <f>'[1]Таблица из архикада'!C255</f>
        <v>Поперечная в подошве</v>
      </c>
      <c r="E10" s="46">
        <f>'[1]Таблица из архикада'!E255</f>
        <v>21</v>
      </c>
      <c r="F10" s="22">
        <v>0.61599999999999999</v>
      </c>
      <c r="G10" s="46"/>
      <c r="H10" s="46">
        <f>'[1]Таблица из архикада'!H255</f>
        <v>700</v>
      </c>
      <c r="I10" s="46">
        <f>'[1]Таблица из архикада'!I255</f>
        <v>10</v>
      </c>
      <c r="J10" s="46" t="s">
        <v>2</v>
      </c>
      <c r="K10" s="46"/>
      <c r="L10" s="46"/>
      <c r="M10" s="46"/>
      <c r="N10" s="46"/>
      <c r="O10" s="46"/>
      <c r="P10" s="46"/>
      <c r="Q10" s="46"/>
      <c r="R10" s="46"/>
      <c r="S10" s="46">
        <v>415</v>
      </c>
      <c r="T10" s="46">
        <v>500</v>
      </c>
      <c r="U10" s="48">
        <v>25</v>
      </c>
    </row>
    <row r="11" spans="1:21" ht="15.75" x14ac:dyDescent="0.25">
      <c r="A11" s="45" t="str">
        <f t="shared" si="0"/>
        <v>Пс8.2.1</v>
      </c>
      <c r="B11" s="46">
        <v>7</v>
      </c>
      <c r="C11" s="46" t="s">
        <v>258</v>
      </c>
      <c r="D11" s="46" t="str">
        <f>'[1]Таблица из архикада'!C256</f>
        <v>Продольная в подошве</v>
      </c>
      <c r="E11" s="46">
        <f>'[1]Таблица из архикада'!E256</f>
        <v>9</v>
      </c>
      <c r="F11" s="22">
        <v>0.61599999999999999</v>
      </c>
      <c r="G11" s="46" t="s">
        <v>27</v>
      </c>
      <c r="H11" s="46">
        <f>'[1]Таблица из архикада'!H256*2</f>
        <v>7940</v>
      </c>
      <c r="I11" s="46">
        <f>'[1]Таблица из архикада'!I256</f>
        <v>10</v>
      </c>
      <c r="J11" s="46" t="s">
        <v>2</v>
      </c>
      <c r="K11" s="46"/>
      <c r="L11" s="46"/>
      <c r="M11" s="46"/>
      <c r="N11" s="46"/>
      <c r="O11" s="46"/>
      <c r="P11" s="46"/>
      <c r="Q11" s="46"/>
      <c r="R11" s="46"/>
      <c r="S11" s="46">
        <v>415</v>
      </c>
      <c r="T11" s="46">
        <v>500</v>
      </c>
      <c r="U11" s="48">
        <v>25</v>
      </c>
    </row>
    <row r="12" spans="1:21" ht="15.75" x14ac:dyDescent="0.25">
      <c r="A12" s="45" t="str">
        <f t="shared" si="0"/>
        <v>Пс8.2.1</v>
      </c>
      <c r="B12" s="46">
        <v>9</v>
      </c>
      <c r="C12" s="46" t="s">
        <v>258</v>
      </c>
      <c r="D12" s="46" t="str">
        <f>'[1]Таблица из архикада'!C258</f>
        <v>П-шка в продол.сеч.</v>
      </c>
      <c r="E12" s="46">
        <f>'[1]Таблица из архикада'!E258</f>
        <v>8</v>
      </c>
      <c r="F12" s="22">
        <v>0.61599999999999999</v>
      </c>
      <c r="G12" s="46" t="s">
        <v>0</v>
      </c>
      <c r="H12" s="46">
        <f>'[1]Таблица из архикада'!H258</f>
        <v>1100</v>
      </c>
      <c r="I12" s="46">
        <f>'[1]Таблица из архикада'!I258</f>
        <v>10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>
        <v>415</v>
      </c>
      <c r="T12" s="46">
        <v>500</v>
      </c>
      <c r="U12" s="48">
        <v>25</v>
      </c>
    </row>
    <row r="13" spans="1:21" ht="31.5" x14ac:dyDescent="0.25">
      <c r="A13" s="45" t="str">
        <f t="shared" si="0"/>
        <v>Пс8.2.1</v>
      </c>
      <c r="B13" s="46">
        <v>13</v>
      </c>
      <c r="C13" s="46" t="s">
        <v>258</v>
      </c>
      <c r="D13" s="46" t="str">
        <f>'[1]Таблица из архикада'!C262</f>
        <v>С-образная попер. В подошве</v>
      </c>
      <c r="E13" s="46">
        <f>'[1]Таблица из архикада'!E262</f>
        <v>21</v>
      </c>
      <c r="F13" s="22">
        <v>0.61599999999999999</v>
      </c>
      <c r="G13" s="46" t="s">
        <v>0</v>
      </c>
      <c r="H13" s="46">
        <f>'[1]Таблица из архикада'!H262</f>
        <v>970</v>
      </c>
      <c r="I13" s="46">
        <f>'[1]Таблица из архикада'!I262</f>
        <v>10</v>
      </c>
      <c r="J13" s="46" t="s">
        <v>2</v>
      </c>
      <c r="K13" s="46"/>
      <c r="L13" s="46"/>
      <c r="M13" s="46"/>
      <c r="N13" s="46"/>
      <c r="O13" s="46"/>
      <c r="P13" s="46"/>
      <c r="Q13" s="46"/>
      <c r="R13" s="46"/>
      <c r="S13" s="46">
        <v>415</v>
      </c>
      <c r="T13" s="46">
        <v>500</v>
      </c>
      <c r="U13" s="48">
        <v>25</v>
      </c>
    </row>
    <row r="14" spans="1:21" ht="31.5" x14ac:dyDescent="0.25">
      <c r="A14" s="45" t="str">
        <f t="shared" si="0"/>
        <v>Пс8.2.1</v>
      </c>
      <c r="B14" s="46"/>
      <c r="C14" s="28" t="s">
        <v>195</v>
      </c>
      <c r="D14" s="28" t="s">
        <v>2819</v>
      </c>
      <c r="E14" s="28">
        <f>'[1]Таблица из архикада'!G250</f>
        <v>0.4</v>
      </c>
      <c r="F14" s="22" t="s">
        <v>4</v>
      </c>
      <c r="G14" s="46" t="s">
        <v>3</v>
      </c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8"/>
    </row>
    <row r="15" spans="1:21" ht="15.75" x14ac:dyDescent="0.25">
      <c r="A15" s="45" t="str">
        <f t="shared" si="0"/>
        <v>Пс8.2.1</v>
      </c>
      <c r="B15" s="46"/>
      <c r="C15" s="28" t="s">
        <v>195</v>
      </c>
      <c r="D15" s="28" t="s">
        <v>2820</v>
      </c>
      <c r="E15" s="28">
        <f>'[1]Таблица из архикада'!F250</f>
        <v>1.2000000000000002</v>
      </c>
      <c r="F15" s="22" t="s">
        <v>4</v>
      </c>
      <c r="G15" s="46" t="s">
        <v>3</v>
      </c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8"/>
    </row>
    <row r="16" spans="1:21" ht="31.5" x14ac:dyDescent="0.25">
      <c r="A16" s="21" t="s">
        <v>183</v>
      </c>
      <c r="B16" s="22" t="s">
        <v>183</v>
      </c>
      <c r="C16" s="22" t="s">
        <v>2821</v>
      </c>
      <c r="D16" s="22" t="s">
        <v>2822</v>
      </c>
      <c r="E16" s="22">
        <f>'[1]Исх.Таблица из архикада'!AG16</f>
        <v>0</v>
      </c>
      <c r="F16" s="22" t="s">
        <v>4</v>
      </c>
      <c r="G16" s="22" t="s">
        <v>3</v>
      </c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3"/>
    </row>
    <row r="17" spans="1:21" ht="15.75" x14ac:dyDescent="0.25">
      <c r="A17" s="21" t="s">
        <v>183</v>
      </c>
      <c r="B17" s="22" t="s">
        <v>183</v>
      </c>
      <c r="C17" s="22" t="s">
        <v>2823</v>
      </c>
      <c r="D17" s="22" t="s">
        <v>2824</v>
      </c>
      <c r="E17" s="22">
        <f>'[1]Исх.Таблица из архикада'!AI16</f>
        <v>0</v>
      </c>
      <c r="F17" s="22" t="s">
        <v>4</v>
      </c>
      <c r="G17" s="22" t="s">
        <v>3</v>
      </c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3"/>
    </row>
    <row r="18" spans="1:21" ht="15.75" x14ac:dyDescent="0.25">
      <c r="A18" s="45"/>
      <c r="B18" s="46"/>
      <c r="C18" s="46" t="s">
        <v>2825</v>
      </c>
      <c r="D18" s="46" t="s">
        <v>2826</v>
      </c>
      <c r="E18" s="46">
        <f>1.91+1.12+4.74*0.15</f>
        <v>3.7410000000000001</v>
      </c>
      <c r="F18" s="46"/>
      <c r="G18" s="46" t="s">
        <v>2689</v>
      </c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8"/>
    </row>
    <row r="19" spans="1:21" ht="15.75" x14ac:dyDescent="0.25">
      <c r="A19" s="45"/>
      <c r="B19" s="46"/>
      <c r="C19" s="46" t="s">
        <v>2827</v>
      </c>
      <c r="D19" s="46" t="s">
        <v>2828</v>
      </c>
      <c r="E19" s="46">
        <f>('[1]Исх.Таблица из архикада'!AO16)</f>
        <v>24.781800000000004</v>
      </c>
      <c r="F19" s="46"/>
      <c r="G19" s="46" t="s">
        <v>2689</v>
      </c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8"/>
    </row>
    <row r="20" spans="1:21" ht="15.75" x14ac:dyDescent="0.25">
      <c r="A20" s="45"/>
      <c r="B20" s="46"/>
      <c r="C20" s="46" t="s">
        <v>2829</v>
      </c>
      <c r="D20" s="46" t="s">
        <v>2830</v>
      </c>
      <c r="E20" s="46">
        <f>'[1]Исх.Таблица из архикада'!AK16</f>
        <v>5.8499999999999993E-3</v>
      </c>
      <c r="F20" s="46"/>
      <c r="G20" s="46" t="s">
        <v>3</v>
      </c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8"/>
    </row>
    <row r="21" spans="1:21" ht="15.75" x14ac:dyDescent="0.25">
      <c r="A21" s="45"/>
      <c r="B21" s="46"/>
      <c r="C21" s="46"/>
      <c r="D21" s="46" t="s">
        <v>2831</v>
      </c>
      <c r="E21" s="46">
        <f>('[1]Исх.Таблица из архикада'!AJ16)</f>
        <v>1.9</v>
      </c>
      <c r="F21" s="46"/>
      <c r="G21" s="46" t="s">
        <v>27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8"/>
    </row>
    <row r="22" spans="1:21" ht="31.5" x14ac:dyDescent="0.25">
      <c r="A22" s="21" t="s">
        <v>183</v>
      </c>
      <c r="B22" s="22" t="s">
        <v>183</v>
      </c>
      <c r="C22" s="22" t="s">
        <v>2832</v>
      </c>
      <c r="D22" s="22" t="s">
        <v>2833</v>
      </c>
      <c r="E22" s="22">
        <f>ROUNDUP(('[1]Исх.Таблица из архикада'!B16)/2000,0)</f>
        <v>3</v>
      </c>
      <c r="F22" s="22">
        <v>1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 t="s">
        <v>202</v>
      </c>
      <c r="T22" s="22" t="s">
        <v>202</v>
      </c>
      <c r="U22" s="23"/>
    </row>
    <row r="23" spans="1:21" ht="15.75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</row>
    <row r="24" spans="1:21" ht="15.7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</row>
    <row r="26" spans="1:21" ht="15.7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</row>
    <row r="27" spans="1:21" ht="15.7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</row>
    <row r="28" spans="1:21" ht="15.75" x14ac:dyDescent="0.25">
      <c r="A28" s="21" t="str">
        <f>A30</f>
        <v>Пс8.2.2</v>
      </c>
      <c r="B28" s="22" t="s">
        <v>183</v>
      </c>
      <c r="C28" s="22" t="s">
        <v>184</v>
      </c>
      <c r="D28" s="22" t="s">
        <v>2818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3"/>
    </row>
    <row r="29" spans="1:21" ht="15.75" x14ac:dyDescent="0.25">
      <c r="A29" s="21" t="s">
        <v>183</v>
      </c>
      <c r="B29" s="22" t="s">
        <v>183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3"/>
    </row>
    <row r="30" spans="1:21" ht="31.5" x14ac:dyDescent="0.25">
      <c r="A30" s="25" t="str">
        <f>'[1]Исх.Таблица из архикада'!A17</f>
        <v>Пс8.2.2</v>
      </c>
      <c r="B30" s="26" t="str">
        <f>A30</f>
        <v>Пс8.2.2</v>
      </c>
      <c r="C30" s="26"/>
      <c r="D30" s="26" t="str">
        <f>CONCATENATE("Монолитная подпорная стена ",A30)</f>
        <v>Монолитная подпорная стена Пс8.2.2</v>
      </c>
      <c r="E30" s="26">
        <v>1</v>
      </c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7"/>
    </row>
    <row r="31" spans="1:21" ht="15.75" x14ac:dyDescent="0.25">
      <c r="A31" s="45" t="str">
        <f t="shared" ref="A31:A40" si="1">A30</f>
        <v>Пс8.2.2</v>
      </c>
      <c r="B31" s="46">
        <v>1</v>
      </c>
      <c r="C31" s="46" t="s">
        <v>258</v>
      </c>
      <c r="D31" s="46" t="str">
        <f>'[1]Таблица из архикада'!C269</f>
        <v>Гориз. В стене</v>
      </c>
      <c r="E31" s="46">
        <f>'[1]Таблица из архикада'!E269</f>
        <v>1</v>
      </c>
      <c r="F31" s="22">
        <v>0.61599999999999999</v>
      </c>
      <c r="G31" s="46" t="s">
        <v>27</v>
      </c>
      <c r="H31" s="46">
        <f>'[1]Таблица из архикада'!H269*2</f>
        <v>88520</v>
      </c>
      <c r="I31" s="46">
        <v>10</v>
      </c>
      <c r="J31" s="46" t="s">
        <v>2</v>
      </c>
      <c r="K31" s="46"/>
      <c r="L31" s="46"/>
      <c r="M31" s="46"/>
      <c r="N31" s="46"/>
      <c r="O31" s="46"/>
      <c r="P31" s="46"/>
      <c r="Q31" s="46"/>
      <c r="R31" s="46"/>
      <c r="S31" s="46">
        <v>415</v>
      </c>
      <c r="T31" s="46">
        <v>500</v>
      </c>
      <c r="U31" s="48">
        <v>25</v>
      </c>
    </row>
    <row r="32" spans="1:21" ht="15.75" x14ac:dyDescent="0.25">
      <c r="A32" s="45" t="str">
        <f t="shared" si="1"/>
        <v>Пс8.2.2</v>
      </c>
      <c r="B32" s="46">
        <v>3</v>
      </c>
      <c r="C32" s="46" t="s">
        <v>258</v>
      </c>
      <c r="D32" s="46" t="str">
        <f>'[1]Таблица из архикада'!C271</f>
        <v>П-шка в стене гориз.</v>
      </c>
      <c r="E32" s="46">
        <f>'[1]Таблица из архикада'!E271</f>
        <v>10</v>
      </c>
      <c r="F32" s="22">
        <v>0.61599999999999999</v>
      </c>
      <c r="G32" s="46" t="s">
        <v>0</v>
      </c>
      <c r="H32" s="46">
        <f>'[1]Таблица из архикада'!H271</f>
        <v>1070</v>
      </c>
      <c r="I32" s="46">
        <f>'[1]Таблица из архикада'!I271</f>
        <v>10</v>
      </c>
      <c r="J32" s="46" t="s">
        <v>2</v>
      </c>
      <c r="K32" s="46"/>
      <c r="L32" s="46"/>
      <c r="M32" s="46"/>
      <c r="N32" s="46"/>
      <c r="O32" s="46"/>
      <c r="P32" s="46"/>
      <c r="Q32" s="46"/>
      <c r="R32" s="46"/>
      <c r="S32" s="46">
        <v>415</v>
      </c>
      <c r="T32" s="46">
        <v>500</v>
      </c>
      <c r="U32" s="48">
        <v>25</v>
      </c>
    </row>
    <row r="33" spans="1:21" ht="15.75" x14ac:dyDescent="0.25">
      <c r="A33" s="45" t="str">
        <f t="shared" si="1"/>
        <v>Пс8.2.2</v>
      </c>
      <c r="B33" s="46">
        <v>4</v>
      </c>
      <c r="C33" s="46" t="s">
        <v>258</v>
      </c>
      <c r="D33" s="46" t="str">
        <f>'[1]Таблица из архикада'!C272</f>
        <v>Вертик. В стене</v>
      </c>
      <c r="E33" s="46">
        <f>'[1]Таблица из архикада'!E272</f>
        <v>80</v>
      </c>
      <c r="F33" s="22">
        <v>0.61599999999999999</v>
      </c>
      <c r="G33" s="46" t="s">
        <v>0</v>
      </c>
      <c r="H33" s="46">
        <f>'[1]Таблица из архикада'!H272</f>
        <v>1445</v>
      </c>
      <c r="I33" s="46">
        <f>'[1]Таблица из архикада'!I272</f>
        <v>10</v>
      </c>
      <c r="J33" s="46" t="s">
        <v>2</v>
      </c>
      <c r="K33" s="46"/>
      <c r="L33" s="46"/>
      <c r="M33" s="46"/>
      <c r="N33" s="46"/>
      <c r="O33" s="46"/>
      <c r="P33" s="46"/>
      <c r="Q33" s="46"/>
      <c r="R33" s="46"/>
      <c r="S33" s="46">
        <v>415</v>
      </c>
      <c r="T33" s="46">
        <v>500</v>
      </c>
      <c r="U33" s="48">
        <v>25</v>
      </c>
    </row>
    <row r="34" spans="1:21" ht="15.75" x14ac:dyDescent="0.25">
      <c r="A34" s="45" t="str">
        <f t="shared" si="1"/>
        <v>Пс8.2.2</v>
      </c>
      <c r="B34" s="46">
        <v>5</v>
      </c>
      <c r="C34" s="46" t="s">
        <v>190</v>
      </c>
      <c r="D34" s="46" t="str">
        <f>'[1]Таблица из архикада'!C273</f>
        <v>Шпилька</v>
      </c>
      <c r="E34" s="46">
        <f>'[1]Таблица из архикада'!E273</f>
        <v>99</v>
      </c>
      <c r="F34" s="22">
        <v>0.222</v>
      </c>
      <c r="G34" s="46" t="s">
        <v>0</v>
      </c>
      <c r="H34" s="46">
        <f>'[1]Таблица из архикада'!H273</f>
        <v>220</v>
      </c>
      <c r="I34" s="46">
        <f>'[1]Таблица из архикада'!I273</f>
        <v>6</v>
      </c>
      <c r="J34" s="46" t="s">
        <v>1</v>
      </c>
      <c r="K34" s="46"/>
      <c r="L34" s="46"/>
      <c r="M34" s="46"/>
      <c r="N34" s="46"/>
      <c r="O34" s="46"/>
      <c r="P34" s="46"/>
      <c r="Q34" s="46"/>
      <c r="R34" s="46"/>
      <c r="S34" s="46">
        <v>200</v>
      </c>
      <c r="T34" s="46">
        <v>250</v>
      </c>
      <c r="U34" s="48">
        <v>7.5</v>
      </c>
    </row>
    <row r="35" spans="1:21" ht="15.75" x14ac:dyDescent="0.25">
      <c r="A35" s="45" t="str">
        <f t="shared" si="1"/>
        <v>Пс8.2.2</v>
      </c>
      <c r="B35" s="46">
        <v>6</v>
      </c>
      <c r="C35" s="46" t="s">
        <v>258</v>
      </c>
      <c r="D35" s="46" t="str">
        <f>'[1]Таблица из архикада'!C274</f>
        <v>Поперечная в подошве</v>
      </c>
      <c r="E35" s="46">
        <f>'[1]Таблица из архикада'!E274</f>
        <v>40</v>
      </c>
      <c r="F35" s="22">
        <v>0.61599999999999999</v>
      </c>
      <c r="G35" s="46"/>
      <c r="H35" s="46">
        <f>'[1]Таблица из архикада'!H274</f>
        <v>700</v>
      </c>
      <c r="I35" s="46">
        <f>'[1]Таблица из архикада'!I274</f>
        <v>10</v>
      </c>
      <c r="J35" s="46" t="s">
        <v>2</v>
      </c>
      <c r="K35" s="46"/>
      <c r="L35" s="46"/>
      <c r="M35" s="46"/>
      <c r="N35" s="46"/>
      <c r="O35" s="46"/>
      <c r="P35" s="46"/>
      <c r="Q35" s="46"/>
      <c r="R35" s="46"/>
      <c r="S35" s="46">
        <v>415</v>
      </c>
      <c r="T35" s="46">
        <v>500</v>
      </c>
      <c r="U35" s="48">
        <v>25</v>
      </c>
    </row>
    <row r="36" spans="1:21" ht="15.75" x14ac:dyDescent="0.25">
      <c r="A36" s="45" t="str">
        <f t="shared" si="1"/>
        <v>Пс8.2.2</v>
      </c>
      <c r="B36" s="46">
        <v>7</v>
      </c>
      <c r="C36" s="46" t="s">
        <v>258</v>
      </c>
      <c r="D36" s="46" t="str">
        <f>'[1]Таблица из архикада'!C275</f>
        <v>Продольная в подошве</v>
      </c>
      <c r="E36" s="46">
        <f>'[1]Таблица из архикада'!E275</f>
        <v>1</v>
      </c>
      <c r="F36" s="22">
        <v>0.61599999999999999</v>
      </c>
      <c r="G36" s="46" t="s">
        <v>27</v>
      </c>
      <c r="H36" s="46">
        <f>'[1]Таблица из архикада'!H275*2</f>
        <v>70900</v>
      </c>
      <c r="I36" s="46">
        <f>'[1]Таблица из архикада'!I275</f>
        <v>10</v>
      </c>
      <c r="J36" s="46" t="s">
        <v>2</v>
      </c>
      <c r="K36" s="46"/>
      <c r="L36" s="46"/>
      <c r="M36" s="46"/>
      <c r="N36" s="46"/>
      <c r="O36" s="46"/>
      <c r="P36" s="46"/>
      <c r="Q36" s="46"/>
      <c r="R36" s="46"/>
      <c r="S36" s="46">
        <v>415</v>
      </c>
      <c r="T36" s="46">
        <v>500</v>
      </c>
      <c r="U36" s="48">
        <v>25</v>
      </c>
    </row>
    <row r="37" spans="1:21" ht="15.75" x14ac:dyDescent="0.25">
      <c r="A37" s="45" t="str">
        <f t="shared" si="1"/>
        <v>Пс8.2.2</v>
      </c>
      <c r="B37" s="46">
        <v>9</v>
      </c>
      <c r="C37" s="46" t="s">
        <v>258</v>
      </c>
      <c r="D37" s="46" t="str">
        <f>'[1]Таблица из архикада'!C277</f>
        <v>П-шка в продол.сеч.</v>
      </c>
      <c r="E37" s="46">
        <f>'[1]Таблица из архикада'!E277</f>
        <v>8</v>
      </c>
      <c r="F37" s="22">
        <v>0.61599999999999999</v>
      </c>
      <c r="G37" s="46" t="s">
        <v>0</v>
      </c>
      <c r="H37" s="46">
        <f>'[1]Таблица из архикада'!H277</f>
        <v>1100</v>
      </c>
      <c r="I37" s="46">
        <f>'[1]Таблица из архикада'!I277</f>
        <v>10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>
        <v>415</v>
      </c>
      <c r="T37" s="46">
        <v>500</v>
      </c>
      <c r="U37" s="48">
        <v>25</v>
      </c>
    </row>
    <row r="38" spans="1:21" ht="31.5" x14ac:dyDescent="0.25">
      <c r="A38" s="45" t="str">
        <f t="shared" si="1"/>
        <v>Пс8.2.2</v>
      </c>
      <c r="B38" s="46">
        <v>13</v>
      </c>
      <c r="C38" s="46" t="s">
        <v>258</v>
      </c>
      <c r="D38" s="46" t="str">
        <f>'[1]Таблица из архикада'!C281</f>
        <v>С-образная попер. В подошве</v>
      </c>
      <c r="E38" s="46">
        <f>'[1]Таблица из архикада'!E281</f>
        <v>40</v>
      </c>
      <c r="F38" s="22">
        <v>0.61599999999999999</v>
      </c>
      <c r="G38" s="46" t="s">
        <v>0</v>
      </c>
      <c r="H38" s="46">
        <f>'[1]Таблица из архикада'!H281</f>
        <v>970</v>
      </c>
      <c r="I38" s="46">
        <f>'[1]Таблица из архикада'!I281</f>
        <v>10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415</v>
      </c>
      <c r="T38" s="46">
        <v>500</v>
      </c>
      <c r="U38" s="48">
        <v>25</v>
      </c>
    </row>
    <row r="39" spans="1:21" ht="31.5" x14ac:dyDescent="0.25">
      <c r="A39" s="45" t="str">
        <f t="shared" si="1"/>
        <v>Пс8.2.2</v>
      </c>
      <c r="B39" s="46"/>
      <c r="C39" s="28" t="s">
        <v>195</v>
      </c>
      <c r="D39" s="28" t="s">
        <v>2819</v>
      </c>
      <c r="E39" s="28">
        <f>'[1]Таблица из архикада'!G269</f>
        <v>0.79999999999999993</v>
      </c>
      <c r="F39" s="22" t="s">
        <v>4</v>
      </c>
      <c r="G39" s="46" t="s">
        <v>3</v>
      </c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8"/>
    </row>
    <row r="40" spans="1:21" ht="15.75" x14ac:dyDescent="0.25">
      <c r="A40" s="45" t="str">
        <f t="shared" si="1"/>
        <v>Пс8.2.2</v>
      </c>
      <c r="B40" s="46"/>
      <c r="C40" s="28" t="s">
        <v>195</v>
      </c>
      <c r="D40" s="28" t="s">
        <v>2820</v>
      </c>
      <c r="E40" s="28">
        <f>'[1]Таблица из архикада'!F269</f>
        <v>2.4</v>
      </c>
      <c r="F40" s="22" t="s">
        <v>4</v>
      </c>
      <c r="G40" s="46" t="s">
        <v>3</v>
      </c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8"/>
    </row>
    <row r="41" spans="1:21" ht="31.5" x14ac:dyDescent="0.25">
      <c r="A41" s="21" t="s">
        <v>183</v>
      </c>
      <c r="B41" s="22" t="s">
        <v>183</v>
      </c>
      <c r="C41" s="22" t="s">
        <v>2821</v>
      </c>
      <c r="D41" s="22" t="s">
        <v>2822</v>
      </c>
      <c r="E41" s="22">
        <f>'[1]Исх.Таблица из архикада'!AG17</f>
        <v>0</v>
      </c>
      <c r="F41" s="22" t="s">
        <v>4</v>
      </c>
      <c r="G41" s="22" t="s">
        <v>3</v>
      </c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3"/>
    </row>
    <row r="42" spans="1:21" ht="15.75" x14ac:dyDescent="0.25">
      <c r="A42" s="21" t="s">
        <v>183</v>
      </c>
      <c r="B42" s="22" t="s">
        <v>183</v>
      </c>
      <c r="C42" s="22" t="s">
        <v>2823</v>
      </c>
      <c r="D42" s="22" t="s">
        <v>2824</v>
      </c>
      <c r="E42" s="22">
        <f>'[1]Исх.Таблица из архикада'!AI17</f>
        <v>0</v>
      </c>
      <c r="F42" s="22" t="s">
        <v>4</v>
      </c>
      <c r="G42" s="22" t="s">
        <v>3</v>
      </c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3"/>
    </row>
    <row r="43" spans="1:21" ht="15.75" x14ac:dyDescent="0.25">
      <c r="A43" s="45"/>
      <c r="B43" s="46"/>
      <c r="C43" s="46" t="s">
        <v>2825</v>
      </c>
      <c r="D43" s="46" t="s">
        <v>2826</v>
      </c>
      <c r="E43" s="46">
        <f>4.7+1.72+8.59*0.15</f>
        <v>7.7084999999999999</v>
      </c>
      <c r="F43" s="46"/>
      <c r="G43" s="46" t="s">
        <v>2689</v>
      </c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8"/>
    </row>
    <row r="44" spans="1:21" ht="15.75" x14ac:dyDescent="0.25">
      <c r="A44" s="45"/>
      <c r="B44" s="46"/>
      <c r="C44" s="46" t="s">
        <v>2827</v>
      </c>
      <c r="D44" s="46" t="s">
        <v>2828</v>
      </c>
      <c r="E44" s="46">
        <f>('[1]Исх.Таблица из архикада'!AO17)</f>
        <v>49.02</v>
      </c>
      <c r="F44" s="46"/>
      <c r="G44" s="46" t="s">
        <v>2689</v>
      </c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8"/>
    </row>
    <row r="45" spans="1:21" ht="15.75" x14ac:dyDescent="0.25">
      <c r="A45" s="45"/>
      <c r="B45" s="46"/>
      <c r="C45" s="46" t="s">
        <v>2829</v>
      </c>
      <c r="D45" s="46" t="s">
        <v>2830</v>
      </c>
      <c r="E45" s="46">
        <f>'[1]Исх.Таблица из архикада'!AK17</f>
        <v>5.8499999999999993E-3</v>
      </c>
      <c r="F45" s="46"/>
      <c r="G45" s="46" t="s">
        <v>3</v>
      </c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8"/>
    </row>
    <row r="46" spans="1:21" ht="15.75" x14ac:dyDescent="0.25">
      <c r="A46" s="45"/>
      <c r="B46" s="46"/>
      <c r="C46" s="46"/>
      <c r="D46" s="46" t="s">
        <v>2831</v>
      </c>
      <c r="E46" s="46">
        <f>('[1]Исх.Таблица из архикада'!AJ17)</f>
        <v>1.9</v>
      </c>
      <c r="F46" s="46"/>
      <c r="G46" s="46" t="s">
        <v>27</v>
      </c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8"/>
    </row>
    <row r="47" spans="1:21" ht="32.25" thickBot="1" x14ac:dyDescent="0.3">
      <c r="A47" s="105" t="s">
        <v>183</v>
      </c>
      <c r="B47" s="29" t="s">
        <v>183</v>
      </c>
      <c r="C47" s="29" t="s">
        <v>2832</v>
      </c>
      <c r="D47" s="29" t="s">
        <v>2833</v>
      </c>
      <c r="E47" s="29">
        <f>ROUNDUP(('[1]Исх.Таблица из архикада'!B17)/2000,0)</f>
        <v>4</v>
      </c>
      <c r="F47" s="29">
        <v>1</v>
      </c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 t="s">
        <v>202</v>
      </c>
      <c r="T47" s="29" t="s">
        <v>202</v>
      </c>
      <c r="U47" s="106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7 H2:Q2 K1 R1:S1 S2:U2">
    <cfRule type="containsText" dxfId="113" priority="2" stopIfTrue="1" operator="containsText" text="С ЛИСТА">
      <formula>NOT(ISERROR(SEARCH("С ЛИСТА",A1)))</formula>
    </cfRule>
    <cfRule type="containsText" dxfId="112" priority="3" stopIfTrue="1" operator="containsText" text="ИЗ ФАЙЛА">
      <formula>NOT(ISERROR(SEARCH("ИЗ ФАЙЛА",A1)))</formula>
    </cfRule>
    <cfRule type="containsText" dxfId="111" priority="4" stopIfTrue="1" operator="containsText" text="!!!">
      <formula>NOT(ISERROR(SEARCH("!!!",A1)))</formula>
    </cfRule>
    <cfRule type="containsText" dxfId="110" priority="5" stopIfTrue="1" operator="containsText" text=" Изделия ">
      <formula>NOT(ISERROR(SEARCH(" Изделия ",A1)))</formula>
    </cfRule>
    <cfRule type="containsText" dxfId="109" priority="6" stopIfTrue="1" operator="containsText" text=" Прокат ">
      <formula>NOT(ISERROR(SEARCH(" Прокат ",A1)))</formula>
    </cfRule>
    <cfRule type="containsText" dxfId="108" priority="7" stopIfTrue="1" operator="containsText" text=" Сборочные единицы ">
      <formula>NOT(ISERROR(SEARCH(" Сборочные единицы ",A1)))</formula>
    </cfRule>
    <cfRule type="containsText" dxfId="107" priority="8" stopIfTrue="1" operator="containsText" text=" Материалы ">
      <formula>NOT(ISERROR(SEARCH(" Материалы ",A1)))</formula>
    </cfRule>
    <cfRule type="containsText" dxfId="106" priority="9" stopIfTrue="1" operator="containsText" text=", на ">
      <formula>NOT(ISERROR(SEARCH(", на ",A1)))</formula>
    </cfRule>
    <cfRule type="containsText" dxfId="105" priority="10" stopIfTrue="1" operator="containsText" text="шт.)">
      <formula>NOT(ISERROR(SEARCH("шт.)",A1)))</formula>
    </cfRule>
  </conditionalFormatting>
  <conditionalFormatting sqref="A1:U1048576">
    <cfRule type="expression" dxfId="104" priority="1">
      <formula>ISERROR(A1)</formula>
    </cfRule>
  </conditionalFormatting>
  <pageMargins left="0.25" right="0.25" top="0.75" bottom="0.75" header="0.3" footer="0.3"/>
  <pageSetup paperSize="9" scale="81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I35:I38 I31:I33 I10:I13 I6:I8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I34 I9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P3:P47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O3:O47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L3:L47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J3:J47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G3:G47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AR40"/>
  <sheetViews>
    <sheetView zoomScale="85" zoomScaleNormal="85" workbookViewId="0">
      <selection activeCell="F23" sqref="F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44" ht="63" x14ac:dyDescent="0.25">
      <c r="A2" s="134"/>
      <c r="B2" s="136"/>
      <c r="C2" s="136"/>
      <c r="D2" s="136"/>
      <c r="E2" s="136"/>
      <c r="F2" s="136"/>
      <c r="G2" s="136"/>
      <c r="H2" s="43" t="s">
        <v>170</v>
      </c>
      <c r="I2" s="43" t="s">
        <v>171</v>
      </c>
      <c r="J2" s="43" t="s">
        <v>172</v>
      </c>
      <c r="K2" s="43" t="s">
        <v>173</v>
      </c>
      <c r="L2" s="43" t="s">
        <v>174</v>
      </c>
      <c r="M2" s="43" t="s">
        <v>175</v>
      </c>
      <c r="N2" s="43" t="s">
        <v>176</v>
      </c>
      <c r="O2" s="43" t="s">
        <v>177</v>
      </c>
      <c r="P2" s="43" t="s">
        <v>178</v>
      </c>
      <c r="Q2" s="43" t="s">
        <v>179</v>
      </c>
      <c r="R2" s="136"/>
      <c r="S2" s="43" t="s">
        <v>180</v>
      </c>
      <c r="T2" s="43" t="s">
        <v>181</v>
      </c>
      <c r="U2" s="39" t="s">
        <v>182</v>
      </c>
    </row>
    <row r="3" spans="1:44" ht="15.75" x14ac:dyDescent="0.25">
      <c r="A3" s="21" t="str">
        <f>A10</f>
        <v>Пм1.1</v>
      </c>
      <c r="B3" s="22" t="s">
        <v>183</v>
      </c>
      <c r="C3" s="22" t="s">
        <v>184</v>
      </c>
      <c r="D3" s="22" t="s">
        <v>185</v>
      </c>
      <c r="E3" s="22">
        <v>30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44" ht="15.75" x14ac:dyDescent="0.25">
      <c r="A4" s="21" t="str">
        <f t="shared" ref="A4:A6" si="0">A11</f>
        <v>Пм1.1</v>
      </c>
      <c r="B4" s="22" t="s">
        <v>183</v>
      </c>
      <c r="C4" s="22" t="str">
        <f>A3</f>
        <v>Пм1.1</v>
      </c>
      <c r="D4" s="22" t="s">
        <v>2716</v>
      </c>
      <c r="E4" s="22">
        <v>30</v>
      </c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44" ht="15.75" x14ac:dyDescent="0.25">
      <c r="A5" s="21" t="str">
        <f t="shared" si="0"/>
        <v>Пм1.1</v>
      </c>
      <c r="B5" s="22" t="s">
        <v>183</v>
      </c>
      <c r="C5" s="22" t="str">
        <f>C4</f>
        <v>Пм1.1</v>
      </c>
      <c r="D5" s="22" t="s">
        <v>2717</v>
      </c>
      <c r="E5" s="22">
        <v>30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44" ht="15.75" x14ac:dyDescent="0.25">
      <c r="A6" s="21" t="str">
        <f t="shared" si="0"/>
        <v>Пм1.1</v>
      </c>
      <c r="B6" s="22" t="s">
        <v>183</v>
      </c>
      <c r="C6" s="22" t="str">
        <f>C5</f>
        <v>Пм1.1</v>
      </c>
      <c r="D6" s="22" t="s">
        <v>2718</v>
      </c>
      <c r="E6" s="22">
        <v>250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44" ht="16.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</row>
    <row r="8" spans="1:44" ht="16.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</row>
    <row r="9" spans="1:44" ht="16.5" x14ac:dyDescent="0.25">
      <c r="A9" s="21" t="s">
        <v>183</v>
      </c>
      <c r="B9" s="22" t="s">
        <v>183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/>
    </row>
    <row r="10" spans="1:44" ht="15.75" x14ac:dyDescent="0.25">
      <c r="A10" s="25" t="str">
        <f>B10</f>
        <v>Пм1.1</v>
      </c>
      <c r="B10" s="26" t="s">
        <v>146</v>
      </c>
      <c r="C10" s="26"/>
      <c r="D10" s="26" t="s">
        <v>2719</v>
      </c>
      <c r="E10" s="26">
        <v>1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7"/>
    </row>
    <row r="11" spans="1:44" ht="15.75" x14ac:dyDescent="0.25">
      <c r="A11" s="38" t="str">
        <f>A10</f>
        <v>Пм1.1</v>
      </c>
      <c r="B11" s="43">
        <v>1</v>
      </c>
      <c r="C11" s="43" t="s">
        <v>188</v>
      </c>
      <c r="D11" s="43" t="s">
        <v>2720</v>
      </c>
      <c r="E11" s="43">
        <v>2</v>
      </c>
      <c r="F11" s="22">
        <v>0.88800000000000001</v>
      </c>
      <c r="G11" s="43" t="s">
        <v>27</v>
      </c>
      <c r="H11" s="43">
        <f>Арм_ПоПлощади(E5*1000*1000,200,T11)</f>
        <v>162830</v>
      </c>
      <c r="I11" s="43">
        <v>12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435</v>
      </c>
      <c r="T11" s="43">
        <v>525</v>
      </c>
      <c r="U11" s="39">
        <v>30</v>
      </c>
      <c r="AP11">
        <v>650</v>
      </c>
      <c r="AQ11">
        <v>780</v>
      </c>
      <c r="AR11">
        <v>30</v>
      </c>
    </row>
    <row r="12" spans="1:44" ht="15.75" x14ac:dyDescent="0.25">
      <c r="A12" s="38" t="str">
        <f t="shared" ref="A12:A23" si="1">A11</f>
        <v>Пм1.1</v>
      </c>
      <c r="B12" s="43">
        <v>2</v>
      </c>
      <c r="C12" s="43" t="s">
        <v>188</v>
      </c>
      <c r="D12" s="43" t="s">
        <v>2721</v>
      </c>
      <c r="E12" s="43">
        <f>ROUNDUP(E4/200,0)+120</f>
        <v>121</v>
      </c>
      <c r="F12" s="22">
        <v>0.88800000000000001</v>
      </c>
      <c r="G12" s="43" t="s">
        <v>0</v>
      </c>
      <c r="H12" s="43">
        <f>Арм_Элемент_П(T13,E6,I12,J12)</f>
        <v>1620</v>
      </c>
      <c r="I12" s="43">
        <v>12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435</v>
      </c>
      <c r="T12" s="43">
        <v>525</v>
      </c>
      <c r="U12" s="39">
        <v>30</v>
      </c>
      <c r="AP12">
        <v>970</v>
      </c>
      <c r="AQ12">
        <v>1165</v>
      </c>
      <c r="AR12">
        <v>45</v>
      </c>
    </row>
    <row r="13" spans="1:44" ht="15.75" x14ac:dyDescent="0.25">
      <c r="A13" s="38" t="str">
        <f t="shared" si="1"/>
        <v>Пм1.1</v>
      </c>
      <c r="B13" s="43">
        <v>3</v>
      </c>
      <c r="C13" s="43" t="s">
        <v>188</v>
      </c>
      <c r="D13" s="43" t="s">
        <v>2722</v>
      </c>
      <c r="E13" s="43">
        <v>2</v>
      </c>
      <c r="F13" s="22">
        <v>1.5780000000000001</v>
      </c>
      <c r="G13" s="43" t="s">
        <v>27</v>
      </c>
      <c r="H13" s="43">
        <f>Арм_ПоПлощади(E5*1000*1000,200,T13)</f>
        <v>165280</v>
      </c>
      <c r="I13" s="43">
        <v>16</v>
      </c>
      <c r="J13" s="43" t="s">
        <v>2</v>
      </c>
      <c r="K13" s="43"/>
      <c r="L13" s="43"/>
      <c r="M13" s="43"/>
      <c r="N13" s="43"/>
      <c r="O13" s="43"/>
      <c r="P13" s="43"/>
      <c r="Q13" s="43"/>
      <c r="R13" s="43"/>
      <c r="S13" s="43">
        <v>580</v>
      </c>
      <c r="T13" s="43">
        <v>700</v>
      </c>
      <c r="U13" s="39">
        <v>40</v>
      </c>
      <c r="AP13">
        <v>650</v>
      </c>
      <c r="AQ13">
        <v>780</v>
      </c>
      <c r="AR13">
        <v>30</v>
      </c>
    </row>
    <row r="14" spans="1:44" ht="15.75" x14ac:dyDescent="0.25">
      <c r="A14" s="38" t="str">
        <f t="shared" si="1"/>
        <v>Пм1.1</v>
      </c>
      <c r="B14" s="43">
        <v>4</v>
      </c>
      <c r="C14" s="43" t="s">
        <v>188</v>
      </c>
      <c r="D14" s="43" t="s">
        <v>2723</v>
      </c>
      <c r="E14" s="43">
        <v>15</v>
      </c>
      <c r="F14" s="22">
        <v>0.88800000000000001</v>
      </c>
      <c r="G14" s="43" t="s">
        <v>0</v>
      </c>
      <c r="H14" s="43">
        <f>Арм_Элемент_П(T14,E6,I14,J14)</f>
        <v>1270</v>
      </c>
      <c r="I14" s="43">
        <v>12</v>
      </c>
      <c r="J14" s="43" t="s">
        <v>2</v>
      </c>
      <c r="K14" s="43"/>
      <c r="L14" s="43"/>
      <c r="M14" s="43"/>
      <c r="N14" s="43"/>
      <c r="O14" s="43"/>
      <c r="P14" s="43"/>
      <c r="Q14" s="43"/>
      <c r="R14" s="43"/>
      <c r="S14" s="43">
        <v>435</v>
      </c>
      <c r="T14" s="43">
        <v>525</v>
      </c>
      <c r="U14" s="39">
        <v>30</v>
      </c>
      <c r="AP14">
        <v>970</v>
      </c>
      <c r="AQ14">
        <v>1165</v>
      </c>
      <c r="AR14">
        <v>45</v>
      </c>
    </row>
    <row r="15" spans="1:44" ht="15.75" x14ac:dyDescent="0.25">
      <c r="A15" s="38" t="str">
        <f t="shared" si="1"/>
        <v>Пм1.1</v>
      </c>
      <c r="B15" s="43">
        <v>5</v>
      </c>
      <c r="C15" s="43" t="s">
        <v>188</v>
      </c>
      <c r="D15" s="43" t="s">
        <v>2724</v>
      </c>
      <c r="E15" s="43">
        <v>5</v>
      </c>
      <c r="F15" s="22">
        <v>0.88800000000000001</v>
      </c>
      <c r="G15" s="43"/>
      <c r="H15" s="43">
        <v>3500</v>
      </c>
      <c r="I15" s="43">
        <v>12</v>
      </c>
      <c r="J15" s="43" t="s">
        <v>2</v>
      </c>
      <c r="K15" s="43"/>
      <c r="L15" s="43"/>
      <c r="M15" s="43"/>
      <c r="N15" s="43"/>
      <c r="O15" s="43"/>
      <c r="P15" s="43"/>
      <c r="Q15" s="43"/>
      <c r="R15" s="43"/>
      <c r="S15" s="43">
        <v>435</v>
      </c>
      <c r="T15" s="43">
        <v>525</v>
      </c>
      <c r="U15" s="39">
        <v>30</v>
      </c>
      <c r="AP15">
        <v>200</v>
      </c>
      <c r="AQ15">
        <v>250</v>
      </c>
      <c r="AR15">
        <v>7.5</v>
      </c>
    </row>
    <row r="16" spans="1:44" ht="15.75" x14ac:dyDescent="0.25">
      <c r="A16" s="38" t="str">
        <f t="shared" si="1"/>
        <v>Пм1.1</v>
      </c>
      <c r="B16" s="43">
        <v>6</v>
      </c>
      <c r="C16" s="43" t="s">
        <v>188</v>
      </c>
      <c r="D16" s="43" t="s">
        <v>2724</v>
      </c>
      <c r="E16" s="43">
        <v>544</v>
      </c>
      <c r="F16" s="22">
        <v>1.5780000000000001</v>
      </c>
      <c r="G16" s="43"/>
      <c r="H16" s="43">
        <v>2500</v>
      </c>
      <c r="I16" s="43">
        <v>16</v>
      </c>
      <c r="J16" s="43" t="s">
        <v>2</v>
      </c>
      <c r="K16" s="43"/>
      <c r="L16" s="43"/>
      <c r="M16" s="43"/>
      <c r="N16" s="43"/>
      <c r="O16" s="43"/>
      <c r="P16" s="43"/>
      <c r="Q16" s="43"/>
      <c r="R16" s="43"/>
      <c r="S16" s="43">
        <v>580</v>
      </c>
      <c r="T16" s="43">
        <v>700</v>
      </c>
      <c r="U16" s="39">
        <v>40</v>
      </c>
      <c r="AP16">
        <v>970</v>
      </c>
      <c r="AQ16">
        <v>1165</v>
      </c>
      <c r="AR16">
        <v>45</v>
      </c>
    </row>
    <row r="17" spans="1:44" ht="15.75" x14ac:dyDescent="0.25">
      <c r="A17" s="38" t="str">
        <f t="shared" si="1"/>
        <v>Пм1.1</v>
      </c>
      <c r="B17" s="43">
        <v>7</v>
      </c>
      <c r="C17" s="43" t="s">
        <v>188</v>
      </c>
      <c r="D17" s="43" t="s">
        <v>2724</v>
      </c>
      <c r="E17" s="43">
        <v>130</v>
      </c>
      <c r="F17" s="22">
        <v>1.5780000000000001</v>
      </c>
      <c r="G17" s="43"/>
      <c r="H17" s="43">
        <v>3000</v>
      </c>
      <c r="I17" s="43">
        <v>16</v>
      </c>
      <c r="J17" s="43" t="s">
        <v>2</v>
      </c>
      <c r="K17" s="43"/>
      <c r="L17" s="43"/>
      <c r="M17" s="43"/>
      <c r="N17" s="43"/>
      <c r="O17" s="43"/>
      <c r="P17" s="43"/>
      <c r="Q17" s="43"/>
      <c r="R17" s="43"/>
      <c r="S17" s="43">
        <v>580</v>
      </c>
      <c r="T17" s="43">
        <v>700</v>
      </c>
      <c r="U17" s="39">
        <v>40</v>
      </c>
      <c r="AP17">
        <v>865</v>
      </c>
      <c r="AQ17">
        <v>1035</v>
      </c>
      <c r="AR17">
        <v>40</v>
      </c>
    </row>
    <row r="18" spans="1:44" ht="15.75" x14ac:dyDescent="0.25">
      <c r="A18" s="38" t="str">
        <f t="shared" si="1"/>
        <v>Пм1.1</v>
      </c>
      <c r="B18" s="43">
        <v>8</v>
      </c>
      <c r="C18" s="43" t="s">
        <v>188</v>
      </c>
      <c r="D18" s="43" t="s">
        <v>2724</v>
      </c>
      <c r="E18" s="43">
        <v>80</v>
      </c>
      <c r="F18" s="22">
        <v>1.5780000000000001</v>
      </c>
      <c r="G18" s="43"/>
      <c r="H18" s="43">
        <v>3500</v>
      </c>
      <c r="I18" s="43">
        <v>16</v>
      </c>
      <c r="J18" s="43" t="s">
        <v>2</v>
      </c>
      <c r="K18" s="43"/>
      <c r="L18" s="43"/>
      <c r="M18" s="43"/>
      <c r="N18" s="43"/>
      <c r="O18" s="43"/>
      <c r="P18" s="43"/>
      <c r="Q18" s="43"/>
      <c r="R18" s="43"/>
      <c r="S18" s="43">
        <v>580</v>
      </c>
      <c r="T18" s="43">
        <v>700</v>
      </c>
      <c r="U18" s="39">
        <v>40</v>
      </c>
      <c r="AP18">
        <v>970</v>
      </c>
      <c r="AQ18">
        <v>1165</v>
      </c>
      <c r="AR18">
        <v>45</v>
      </c>
    </row>
    <row r="19" spans="1:44" ht="15.75" x14ac:dyDescent="0.25">
      <c r="A19" s="38" t="str">
        <f t="shared" si="1"/>
        <v>Пм1.1</v>
      </c>
      <c r="B19" s="43">
        <v>9</v>
      </c>
      <c r="C19" s="43" t="s">
        <v>188</v>
      </c>
      <c r="D19" s="43" t="s">
        <v>2724</v>
      </c>
      <c r="E19" s="43">
        <v>72</v>
      </c>
      <c r="F19" s="22">
        <v>1.998</v>
      </c>
      <c r="G19" s="43"/>
      <c r="H19" s="43">
        <v>4000</v>
      </c>
      <c r="I19" s="43">
        <v>18</v>
      </c>
      <c r="J19" s="43" t="s">
        <v>2</v>
      </c>
      <c r="K19" s="43"/>
      <c r="L19" s="43"/>
      <c r="M19" s="43"/>
      <c r="N19" s="43"/>
      <c r="O19" s="43"/>
      <c r="P19" s="43"/>
      <c r="Q19" s="43"/>
      <c r="R19" s="43"/>
      <c r="S19" s="43">
        <v>655</v>
      </c>
      <c r="T19" s="43">
        <v>785</v>
      </c>
      <c r="U19" s="39">
        <v>45</v>
      </c>
      <c r="AP19">
        <v>865</v>
      </c>
      <c r="AQ19">
        <v>1035</v>
      </c>
      <c r="AR19">
        <v>40</v>
      </c>
    </row>
    <row r="20" spans="1:44" ht="15.75" x14ac:dyDescent="0.25">
      <c r="A20" s="38" t="str">
        <f t="shared" si="1"/>
        <v>Пм1.1</v>
      </c>
      <c r="B20" s="43">
        <v>10</v>
      </c>
      <c r="C20" s="43" t="s">
        <v>188</v>
      </c>
      <c r="D20" s="43" t="s">
        <v>2724</v>
      </c>
      <c r="E20" s="43">
        <v>23</v>
      </c>
      <c r="F20" s="22">
        <v>1.998</v>
      </c>
      <c r="G20" s="43"/>
      <c r="H20" s="43">
        <v>3500</v>
      </c>
      <c r="I20" s="43">
        <v>18</v>
      </c>
      <c r="J20" s="43" t="s">
        <v>2</v>
      </c>
      <c r="K20" s="43"/>
      <c r="L20" s="43"/>
      <c r="M20" s="43"/>
      <c r="N20" s="43"/>
      <c r="O20" s="43"/>
      <c r="P20" s="43"/>
      <c r="Q20" s="43"/>
      <c r="R20" s="43"/>
      <c r="S20" s="43">
        <v>655</v>
      </c>
      <c r="T20" s="43">
        <v>785</v>
      </c>
      <c r="U20" s="39">
        <v>45</v>
      </c>
      <c r="AP20">
        <v>970</v>
      </c>
      <c r="AQ20">
        <v>1165</v>
      </c>
      <c r="AR20">
        <v>45</v>
      </c>
    </row>
    <row r="21" spans="1:44" ht="15.75" x14ac:dyDescent="0.25">
      <c r="A21" s="38" t="str">
        <f t="shared" si="1"/>
        <v>Пм1.1</v>
      </c>
      <c r="B21" s="43">
        <v>11</v>
      </c>
      <c r="C21" s="43" t="s">
        <v>188</v>
      </c>
      <c r="D21" s="43" t="s">
        <v>2725</v>
      </c>
      <c r="E21" s="43">
        <v>90</v>
      </c>
      <c r="F21" s="22">
        <v>1.5780000000000001</v>
      </c>
      <c r="G21" s="43" t="s">
        <v>0</v>
      </c>
      <c r="H21" s="43">
        <v>2085</v>
      </c>
      <c r="I21" s="43">
        <v>16</v>
      </c>
      <c r="J21" s="43" t="s">
        <v>2</v>
      </c>
      <c r="K21" s="43"/>
      <c r="L21" s="43"/>
      <c r="M21" s="43"/>
      <c r="N21" s="43"/>
      <c r="O21" s="43"/>
      <c r="P21" s="43"/>
      <c r="Q21" s="43"/>
      <c r="R21" s="43"/>
      <c r="S21" s="43">
        <v>580</v>
      </c>
      <c r="T21" s="43">
        <v>700</v>
      </c>
      <c r="U21" s="39">
        <v>40</v>
      </c>
      <c r="AP21">
        <v>970</v>
      </c>
      <c r="AQ21">
        <v>1165</v>
      </c>
      <c r="AR21">
        <v>45</v>
      </c>
    </row>
    <row r="22" spans="1:44" ht="15.75" x14ac:dyDescent="0.25">
      <c r="A22" s="38" t="str">
        <f t="shared" si="1"/>
        <v>Пм1.1</v>
      </c>
      <c r="B22" s="43">
        <v>12</v>
      </c>
      <c r="C22" s="43" t="s">
        <v>188</v>
      </c>
      <c r="D22" s="43" t="s">
        <v>2724</v>
      </c>
      <c r="E22" s="43">
        <v>59</v>
      </c>
      <c r="F22" s="22">
        <v>1.998</v>
      </c>
      <c r="G22" s="43"/>
      <c r="H22" s="43">
        <v>3000</v>
      </c>
      <c r="I22" s="43">
        <v>18</v>
      </c>
      <c r="J22" s="43" t="s">
        <v>2</v>
      </c>
      <c r="K22" s="43"/>
      <c r="L22" s="43"/>
      <c r="M22" s="43"/>
      <c r="N22" s="43"/>
      <c r="O22" s="43"/>
      <c r="P22" s="43"/>
      <c r="Q22" s="43"/>
      <c r="R22" s="43"/>
      <c r="S22" s="43">
        <v>655</v>
      </c>
      <c r="T22" s="43">
        <v>785</v>
      </c>
      <c r="U22" s="39">
        <v>45</v>
      </c>
    </row>
    <row r="23" spans="1:44" ht="15.75" x14ac:dyDescent="0.25">
      <c r="A23" s="38" t="str">
        <f t="shared" si="1"/>
        <v>Пм1.1</v>
      </c>
      <c r="B23" s="43">
        <v>13</v>
      </c>
      <c r="C23" s="43" t="s">
        <v>188</v>
      </c>
      <c r="D23" s="43" t="s">
        <v>2724</v>
      </c>
      <c r="E23" s="43">
        <v>39</v>
      </c>
      <c r="F23" s="22">
        <v>2.4660000000000002</v>
      </c>
      <c r="G23" s="43"/>
      <c r="H23" s="43">
        <v>3000</v>
      </c>
      <c r="I23" s="43">
        <v>20</v>
      </c>
      <c r="J23" s="43" t="s">
        <v>2</v>
      </c>
      <c r="K23" s="43"/>
      <c r="L23" s="43"/>
      <c r="M23" s="43"/>
      <c r="N23" s="43"/>
      <c r="O23" s="43"/>
      <c r="P23" s="43"/>
      <c r="Q23" s="43"/>
      <c r="R23" s="43"/>
      <c r="S23" s="43">
        <v>725</v>
      </c>
      <c r="T23" s="43">
        <v>870</v>
      </c>
      <c r="U23" s="39">
        <v>80</v>
      </c>
    </row>
    <row r="24" spans="1:44" ht="15.75" x14ac:dyDescent="0.25">
      <c r="A24" s="38" t="str">
        <f>A21</f>
        <v>Пм1.1</v>
      </c>
      <c r="B24" s="43">
        <v>14</v>
      </c>
      <c r="C24" s="43" t="s">
        <v>188</v>
      </c>
      <c r="D24" s="43" t="s">
        <v>2726</v>
      </c>
      <c r="E24" s="43">
        <v>297</v>
      </c>
      <c r="F24" s="22">
        <v>0.88800000000000001</v>
      </c>
      <c r="G24" s="43" t="s">
        <v>0</v>
      </c>
      <c r="H24" s="43">
        <v>2430</v>
      </c>
      <c r="I24" s="43">
        <v>12</v>
      </c>
      <c r="J24" s="43" t="s">
        <v>2</v>
      </c>
      <c r="K24" s="43"/>
      <c r="L24" s="43"/>
      <c r="M24" s="43"/>
      <c r="N24" s="43"/>
      <c r="O24" s="43"/>
      <c r="P24" s="43"/>
      <c r="Q24" s="43"/>
      <c r="R24" s="43"/>
      <c r="S24" s="43">
        <v>435</v>
      </c>
      <c r="T24" s="43">
        <v>525</v>
      </c>
      <c r="U24" s="39">
        <v>30</v>
      </c>
    </row>
    <row r="25" spans="1:44" ht="15.75" x14ac:dyDescent="0.25">
      <c r="A25" s="38" t="str">
        <f>A22</f>
        <v>Пм1.1</v>
      </c>
      <c r="B25" s="43">
        <v>15</v>
      </c>
      <c r="C25" s="43" t="s">
        <v>188</v>
      </c>
      <c r="D25" s="43" t="s">
        <v>2727</v>
      </c>
      <c r="E25" s="43"/>
      <c r="F25" s="22">
        <v>0.88800000000000001</v>
      </c>
      <c r="G25" s="43" t="s">
        <v>27</v>
      </c>
      <c r="H25" s="43">
        <v>296000</v>
      </c>
      <c r="I25" s="43">
        <v>12</v>
      </c>
      <c r="J25" s="43" t="s">
        <v>2</v>
      </c>
      <c r="K25" s="43"/>
      <c r="L25" s="43"/>
      <c r="M25" s="43"/>
      <c r="N25" s="43"/>
      <c r="O25" s="43"/>
      <c r="P25" s="43"/>
      <c r="Q25" s="43"/>
      <c r="R25" s="43"/>
      <c r="S25" s="43">
        <v>435</v>
      </c>
      <c r="T25" s="43">
        <v>525</v>
      </c>
      <c r="U25" s="39">
        <v>30</v>
      </c>
    </row>
    <row r="26" spans="1:44" ht="15.75" x14ac:dyDescent="0.25">
      <c r="A26" s="38" t="str">
        <f>A20</f>
        <v>Пм1.1</v>
      </c>
      <c r="B26" s="43">
        <v>16</v>
      </c>
      <c r="C26" s="43" t="s">
        <v>188</v>
      </c>
      <c r="D26" s="43" t="s">
        <v>2728</v>
      </c>
      <c r="E26" s="43"/>
      <c r="F26" s="22">
        <v>1.998</v>
      </c>
      <c r="G26" s="43" t="s">
        <v>27</v>
      </c>
      <c r="H26" s="43">
        <v>177600</v>
      </c>
      <c r="I26" s="43">
        <v>18</v>
      </c>
      <c r="J26" s="43" t="s">
        <v>2</v>
      </c>
      <c r="K26" s="43"/>
      <c r="L26" s="43"/>
      <c r="M26" s="43"/>
      <c r="N26" s="43"/>
      <c r="O26" s="43"/>
      <c r="P26" s="43"/>
      <c r="Q26" s="43"/>
      <c r="R26" s="43"/>
      <c r="S26" s="43">
        <v>655</v>
      </c>
      <c r="T26" s="43">
        <v>785</v>
      </c>
      <c r="U26" s="39">
        <v>45</v>
      </c>
    </row>
    <row r="27" spans="1:44" ht="15.75" x14ac:dyDescent="0.25">
      <c r="A27" s="38" t="str">
        <f t="shared" ref="A27:A28" si="2">A19</f>
        <v>Пм1.1</v>
      </c>
      <c r="B27" s="43">
        <v>17</v>
      </c>
      <c r="C27" s="43" t="s">
        <v>188</v>
      </c>
      <c r="D27" s="43" t="s">
        <v>2729</v>
      </c>
      <c r="E27" s="43">
        <v>290</v>
      </c>
      <c r="F27" s="22">
        <v>0.39500000000000002</v>
      </c>
      <c r="G27" s="43" t="s">
        <v>0</v>
      </c>
      <c r="H27" s="43">
        <v>1740</v>
      </c>
      <c r="I27" s="43">
        <v>8</v>
      </c>
      <c r="J27" s="43" t="s">
        <v>1</v>
      </c>
      <c r="K27" s="43"/>
      <c r="L27" s="43"/>
      <c r="M27" s="43"/>
      <c r="N27" s="43"/>
      <c r="O27" s="43"/>
      <c r="P27" s="43"/>
      <c r="Q27" s="43"/>
      <c r="R27" s="43"/>
      <c r="S27" s="43">
        <v>200</v>
      </c>
      <c r="T27" s="43">
        <v>250</v>
      </c>
      <c r="U27" s="39">
        <v>10</v>
      </c>
    </row>
    <row r="28" spans="1:44" ht="15.75" x14ac:dyDescent="0.25">
      <c r="A28" s="38" t="str">
        <f t="shared" si="2"/>
        <v>Пм1.1</v>
      </c>
      <c r="B28" s="43">
        <v>18</v>
      </c>
      <c r="C28" s="43" t="s">
        <v>188</v>
      </c>
      <c r="D28" s="43" t="s">
        <v>2730</v>
      </c>
      <c r="E28" s="43">
        <v>32</v>
      </c>
      <c r="F28" s="22">
        <v>0.88800000000000001</v>
      </c>
      <c r="G28" s="43"/>
      <c r="H28" s="43">
        <v>2200</v>
      </c>
      <c r="I28" s="43">
        <v>12</v>
      </c>
      <c r="J28" s="43" t="s">
        <v>2</v>
      </c>
      <c r="K28" s="43"/>
      <c r="L28" s="43"/>
      <c r="M28" s="43"/>
      <c r="N28" s="43"/>
      <c r="O28" s="43"/>
      <c r="P28" s="43"/>
      <c r="Q28" s="43"/>
      <c r="R28" s="43"/>
      <c r="S28" s="43">
        <v>435</v>
      </c>
      <c r="T28" s="43">
        <v>525</v>
      </c>
      <c r="U28" s="39">
        <v>30</v>
      </c>
    </row>
    <row r="29" spans="1:44" ht="15.75" x14ac:dyDescent="0.25">
      <c r="A29" s="38" t="str">
        <f>A21</f>
        <v>Пм1.1</v>
      </c>
      <c r="B29" s="43">
        <v>20</v>
      </c>
      <c r="C29" s="43" t="s">
        <v>188</v>
      </c>
      <c r="D29" s="43" t="s">
        <v>2725</v>
      </c>
      <c r="E29" s="43">
        <v>7</v>
      </c>
      <c r="F29" s="22">
        <v>1.5780000000000001</v>
      </c>
      <c r="G29" s="43" t="s">
        <v>0</v>
      </c>
      <c r="H29" s="43">
        <v>3085</v>
      </c>
      <c r="I29" s="43">
        <v>16</v>
      </c>
      <c r="J29" s="43" t="s">
        <v>2</v>
      </c>
      <c r="K29" s="43"/>
      <c r="L29" s="43"/>
      <c r="M29" s="43"/>
      <c r="N29" s="43"/>
      <c r="O29" s="43"/>
      <c r="P29" s="43"/>
      <c r="Q29" s="43"/>
      <c r="R29" s="43"/>
      <c r="S29" s="43">
        <v>580</v>
      </c>
      <c r="T29" s="43">
        <v>700</v>
      </c>
      <c r="U29" s="39">
        <v>40</v>
      </c>
    </row>
    <row r="30" spans="1:44" ht="15.75" x14ac:dyDescent="0.25">
      <c r="A30" s="38" t="str">
        <f>A21</f>
        <v>Пм1.1</v>
      </c>
      <c r="B30" s="43">
        <v>21</v>
      </c>
      <c r="C30" s="43" t="s">
        <v>188</v>
      </c>
      <c r="D30" s="43" t="s">
        <v>2731</v>
      </c>
      <c r="E30" s="43">
        <v>20</v>
      </c>
      <c r="F30" s="22">
        <v>0.39500000000000002</v>
      </c>
      <c r="G30" s="43" t="s">
        <v>0</v>
      </c>
      <c r="H30" s="43">
        <v>690</v>
      </c>
      <c r="I30" s="43">
        <v>8</v>
      </c>
      <c r="J30" s="43" t="s">
        <v>1</v>
      </c>
      <c r="K30" s="43"/>
      <c r="L30" s="43"/>
      <c r="M30" s="43"/>
      <c r="N30" s="43"/>
      <c r="O30" s="43"/>
      <c r="P30" s="43"/>
      <c r="Q30" s="43"/>
      <c r="R30" s="43"/>
      <c r="S30" s="43">
        <v>200</v>
      </c>
      <c r="T30" s="43">
        <v>250</v>
      </c>
      <c r="U30" s="39">
        <v>10</v>
      </c>
    </row>
    <row r="31" spans="1:44" ht="15.75" x14ac:dyDescent="0.25">
      <c r="A31" s="38" t="str">
        <f t="shared" ref="A31" si="3">A22</f>
        <v>Пм1.1</v>
      </c>
      <c r="B31" s="43">
        <v>22</v>
      </c>
      <c r="C31" s="43" t="s">
        <v>188</v>
      </c>
      <c r="D31" s="43" t="s">
        <v>2732</v>
      </c>
      <c r="E31" s="43">
        <v>10</v>
      </c>
      <c r="F31" s="22">
        <v>0.61699999999999999</v>
      </c>
      <c r="G31" s="43" t="s">
        <v>0</v>
      </c>
      <c r="H31" s="43">
        <v>950</v>
      </c>
      <c r="I31" s="43">
        <v>10</v>
      </c>
      <c r="J31" s="43" t="s">
        <v>1</v>
      </c>
      <c r="K31" s="43"/>
      <c r="L31" s="43"/>
      <c r="M31" s="43"/>
      <c r="N31" s="43"/>
      <c r="O31" s="43"/>
      <c r="P31" s="43"/>
      <c r="Q31" s="43"/>
      <c r="R31" s="43"/>
      <c r="S31" s="43">
        <v>200</v>
      </c>
      <c r="T31" s="43">
        <v>250</v>
      </c>
      <c r="U31" s="39">
        <v>12.5</v>
      </c>
    </row>
    <row r="32" spans="1:44" ht="15.75" x14ac:dyDescent="0.25">
      <c r="A32" s="38" t="str">
        <f>A19</f>
        <v>Пм1.1</v>
      </c>
      <c r="B32" s="43">
        <v>23</v>
      </c>
      <c r="C32" s="43" t="s">
        <v>188</v>
      </c>
      <c r="D32" s="43" t="s">
        <v>2733</v>
      </c>
      <c r="E32" s="43">
        <v>9</v>
      </c>
      <c r="F32" s="22">
        <v>0.88800000000000001</v>
      </c>
      <c r="G32" s="43"/>
      <c r="H32" s="43">
        <v>1310</v>
      </c>
      <c r="I32" s="43">
        <v>12</v>
      </c>
      <c r="J32" s="43" t="s">
        <v>2</v>
      </c>
      <c r="K32" s="43"/>
      <c r="L32" s="43"/>
      <c r="M32" s="43"/>
      <c r="N32" s="43"/>
      <c r="O32" s="43"/>
      <c r="P32" s="43"/>
      <c r="Q32" s="43"/>
      <c r="R32" s="43"/>
      <c r="S32" s="43">
        <v>435</v>
      </c>
      <c r="T32" s="43">
        <v>525</v>
      </c>
      <c r="U32" s="39">
        <v>30</v>
      </c>
    </row>
    <row r="33" spans="1:21" ht="15.75" x14ac:dyDescent="0.25">
      <c r="A33" s="38" t="str">
        <f t="shared" ref="A33:A39" si="4">A20</f>
        <v>Пм1.1</v>
      </c>
      <c r="B33" s="37" t="str">
        <f>[2]Изделия_спец.И!B5</f>
        <v>Кр1</v>
      </c>
      <c r="C33" s="37" t="str">
        <f>[2]Изделия_спец.И!C5</f>
        <v>данный лист</v>
      </c>
      <c r="D33" s="37" t="str">
        <f>[2]Изделия_спец.И!D5</f>
        <v>Каркас Кр1</v>
      </c>
      <c r="E33" s="37">
        <f>ROUNDUP((SQRT(E5)+E5/(1000/1000)),0)</f>
        <v>36</v>
      </c>
      <c r="F33" s="22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39"/>
    </row>
    <row r="34" spans="1:21" ht="15.75" x14ac:dyDescent="0.25">
      <c r="A34" s="38" t="str">
        <f t="shared" si="4"/>
        <v>Пм1.1</v>
      </c>
      <c r="B34" s="37" t="str">
        <f>[2]Изделия_спец.И!B10</f>
        <v>Кп1</v>
      </c>
      <c r="C34" s="37" t="str">
        <f>[2]Изделия_спец.И!C10</f>
        <v>данный лист</v>
      </c>
      <c r="D34" s="37" t="str">
        <f>[2]Изделия_спец.И!D10</f>
        <v>Каркас Кп1</v>
      </c>
      <c r="E34" s="37">
        <v>275</v>
      </c>
      <c r="F34" s="22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39"/>
    </row>
    <row r="35" spans="1:21" ht="15.75" x14ac:dyDescent="0.25">
      <c r="A35" s="38" t="str">
        <f t="shared" si="4"/>
        <v>Пм1.1</v>
      </c>
      <c r="B35" s="37" t="str">
        <f>[2]Изделия_спец.И!B15</f>
        <v>Кп2</v>
      </c>
      <c r="C35" s="37" t="str">
        <f>[2]Изделия_спец.И!C15</f>
        <v>данный лист</v>
      </c>
      <c r="D35" s="37" t="str">
        <f>[2]Изделия_спец.И!D15</f>
        <v>Каркас Кп2</v>
      </c>
      <c r="E35" s="37">
        <v>936</v>
      </c>
      <c r="F35" s="22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39"/>
    </row>
    <row r="36" spans="1:21" ht="15.75" x14ac:dyDescent="0.25">
      <c r="A36" s="38" t="str">
        <f t="shared" si="4"/>
        <v>Пм1.1</v>
      </c>
      <c r="B36" s="37" t="str">
        <f>[2]Изделия_спец.И!B20</f>
        <v>Кп3</v>
      </c>
      <c r="C36" s="37" t="str">
        <f>[2]Изделия_спец.И!C20</f>
        <v>данный лист</v>
      </c>
      <c r="D36" s="37" t="str">
        <f>[2]Изделия_спец.И!D20</f>
        <v>Каркас Кп3</v>
      </c>
      <c r="E36" s="37">
        <v>150</v>
      </c>
      <c r="F36" s="22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39"/>
    </row>
    <row r="37" spans="1:21" ht="15.75" x14ac:dyDescent="0.25">
      <c r="A37" s="38" t="str">
        <f t="shared" si="4"/>
        <v>Пм1.1</v>
      </c>
      <c r="B37" s="37" t="str">
        <f>[2]Изделия_спец.И!B25</f>
        <v>Кп4</v>
      </c>
      <c r="C37" s="37" t="str">
        <f>[2]Изделия_спец.И!C25</f>
        <v>данный лист</v>
      </c>
      <c r="D37" s="37" t="str">
        <f>[2]Изделия_спец.И!D25</f>
        <v>Каркас Кп4</v>
      </c>
      <c r="E37" s="37">
        <v>36</v>
      </c>
      <c r="F37" s="22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39"/>
    </row>
    <row r="38" spans="1:21" ht="15.75" x14ac:dyDescent="0.25">
      <c r="A38" s="38" t="str">
        <f t="shared" si="4"/>
        <v>Пм1.1</v>
      </c>
      <c r="B38" s="37" t="str">
        <f>[2]Изделия_спец.И!B30</f>
        <v>Кп5</v>
      </c>
      <c r="C38" s="37" t="str">
        <f>[2]Изделия_спец.И!C30</f>
        <v>данный лист</v>
      </c>
      <c r="D38" s="37" t="str">
        <f>[2]Изделия_спец.И!D30</f>
        <v>Каркас Кп5</v>
      </c>
      <c r="E38" s="37">
        <v>78</v>
      </c>
      <c r="F38" s="22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39"/>
    </row>
    <row r="39" spans="1:21" ht="15.75" x14ac:dyDescent="0.25">
      <c r="A39" s="38" t="str">
        <f t="shared" si="4"/>
        <v>Пм1.1</v>
      </c>
      <c r="B39" s="43"/>
      <c r="C39" s="28" t="s">
        <v>195</v>
      </c>
      <c r="D39" s="28" t="s">
        <v>2715</v>
      </c>
      <c r="E39" s="28">
        <f>E3/1.05</f>
        <v>28.571428571428569</v>
      </c>
      <c r="F39" s="22" t="s">
        <v>4</v>
      </c>
      <c r="G39" s="43" t="s">
        <v>3</v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39"/>
    </row>
    <row r="40" spans="1:21" ht="16.5" thickBot="1" x14ac:dyDescent="0.3">
      <c r="A40" s="40"/>
      <c r="B40" s="41"/>
      <c r="C40" s="47"/>
      <c r="D40" s="47"/>
      <c r="E40" s="47"/>
      <c r="F40" s="29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0 H2:Q2 K1 R1:S1 S2:U2">
    <cfRule type="containsText" dxfId="103" priority="2" stopIfTrue="1" operator="containsText" text="С ЛИСТА">
      <formula>NOT(ISERROR(SEARCH("С ЛИСТА",A1)))</formula>
    </cfRule>
    <cfRule type="containsText" dxfId="102" priority="3" stopIfTrue="1" operator="containsText" text="ИЗ ФАЙЛА">
      <formula>NOT(ISERROR(SEARCH("ИЗ ФАЙЛА",A1)))</formula>
    </cfRule>
    <cfRule type="containsText" dxfId="101" priority="4" stopIfTrue="1" operator="containsText" text="!!!">
      <formula>NOT(ISERROR(SEARCH("!!!",A1)))</formula>
    </cfRule>
    <cfRule type="containsText" dxfId="100" priority="5" stopIfTrue="1" operator="containsText" text=" Изделия ">
      <formula>NOT(ISERROR(SEARCH(" Изделия ",A1)))</formula>
    </cfRule>
    <cfRule type="containsText" dxfId="99" priority="6" stopIfTrue="1" operator="containsText" text=" Прокат ">
      <formula>NOT(ISERROR(SEARCH(" Прокат ",A1)))</formula>
    </cfRule>
    <cfRule type="containsText" dxfId="98" priority="7" stopIfTrue="1" operator="containsText" text=" Сборочные единицы ">
      <formula>NOT(ISERROR(SEARCH(" Сборочные единицы ",A1)))</formula>
    </cfRule>
    <cfRule type="containsText" dxfId="97" priority="8" stopIfTrue="1" operator="containsText" text=" Материалы ">
      <formula>NOT(ISERROR(SEARCH(" Материалы ",A1)))</formula>
    </cfRule>
    <cfRule type="containsText" dxfId="96" priority="9" stopIfTrue="1" operator="containsText" text=", на ">
      <formula>NOT(ISERROR(SEARCH(", на ",A1)))</formula>
    </cfRule>
    <cfRule type="containsText" dxfId="95" priority="10" stopIfTrue="1" operator="containsText" text="шт.)">
      <formula>NOT(ISERROR(SEARCH("шт.)",A1)))</formula>
    </cfRule>
  </conditionalFormatting>
  <conditionalFormatting sqref="A1:U1048576">
    <cfRule type="expression" dxfId="94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errorStyle="warning" allowBlank="1" showInputMessage="1" showErrorMessage="1">
          <x14:formula1>
            <xm:f>'!System'!$AO$1:$AO$6</xm:f>
          </x14:formula1>
          <xm:sqref>G3:G40</xm:sqref>
        </x14:dataValidation>
        <x14:dataValidation type="list" allowBlank="1" showInputMessage="1" showErrorMessage="1">
          <x14:formula1>
            <xm:f>'!System'!$U$1:$AC$1</xm:f>
          </x14:formula1>
          <xm:sqref>J3:J40</xm:sqref>
        </x14:dataValidation>
        <x14:dataValidation type="list" allowBlank="1" showInputMessage="1" showErrorMessage="1">
          <x14:formula1>
            <xm:f>'!System'!$A$1:$S$1</xm:f>
          </x14:formula1>
          <xm:sqref>L3:L40</xm:sqref>
        </x14:dataValidation>
        <x14:dataValidation type="list" allowBlank="1" showInputMessage="1" showErrorMessage="1">
          <x14:formula1>
            <xm:f>'!System'!$AD$1:$AN$1</xm:f>
          </x14:formula1>
          <xm:sqref>O3:O40</xm:sqref>
        </x14:dataValidation>
        <x14:dataValidation type="list" allowBlank="1" showInputMessage="1" showErrorMessage="1">
          <x14:formula1>
            <xm:f>'!System'!$AP$1:$AP$5</xm:f>
          </x14:formula1>
          <xm:sqref>P3:P40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I14</xm:sqref>
        </x14:dataValidation>
        <x14:dataValidation type="list" allowBlank="1" showInputMessage="1" showErrorMessage="1">
          <x14:formula1>
            <xm:f>'!System'!$U$2:$U$17</xm:f>
          </x14:formula1>
          <xm:sqref>I15</xm:sqref>
        </x14:dataValidation>
        <x14:dataValidation type="list" allowBlank="1" showInputMessage="1" showErrorMessage="1">
          <x14:formula1>
            <xm:f>'!System'!$U$2:$U$17</xm:f>
          </x14:formula1>
          <xm:sqref>I16</xm:sqref>
        </x14:dataValidation>
        <x14:dataValidation type="list" allowBlank="1" showInputMessage="1" showErrorMessage="1">
          <x14:formula1>
            <xm:f>'!System'!$U$2:$U$17</xm:f>
          </x14:formula1>
          <xm:sqref>I17</xm:sqref>
        </x14:dataValidation>
        <x14:dataValidation type="list" allowBlank="1" showInputMessage="1" showErrorMessage="1">
          <x14:formula1>
            <xm:f>'!System'!$U$2:$U$17</xm:f>
          </x14:formula1>
          <xm:sqref>I18</xm:sqref>
        </x14:dataValidation>
        <x14:dataValidation type="list" allowBlank="1" showInputMessage="1" showErrorMessage="1">
          <x14:formula1>
            <xm:f>'!System'!$U$2:$U$17</xm:f>
          </x14:formula1>
          <xm:sqref>I19</xm:sqref>
        </x14:dataValidation>
        <x14:dataValidation type="list" allowBlank="1" showInputMessage="1" showErrorMessage="1">
          <x14:formula1>
            <xm:f>'!System'!$U$2:$U$17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'!System'!$U$2:$U$17</xm:f>
          </x14:formula1>
          <xm:sqref>I22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'!System'!$V$2:$V$16</xm:f>
          </x14:formula1>
          <xm:sqref>I27</xm:sqref>
        </x14:dataValidation>
        <x14:dataValidation type="list" allowBlank="1" showInputMessage="1" showErrorMessage="1">
          <x14:formula1>
            <xm:f>'!System'!$U$2:$U$17</xm:f>
          </x14:formula1>
          <xm:sqref>I28</xm:sqref>
        </x14:dataValidation>
        <x14:dataValidation type="list" allowBlank="1" showInputMessage="1" showErrorMessage="1">
          <x14:formula1>
            <xm:f>'!System'!$U$2:$U$17</xm:f>
          </x14:formula1>
          <xm:sqref>I29</xm:sqref>
        </x14:dataValidation>
        <x14:dataValidation type="list" allowBlank="1" showInputMessage="1" showErrorMessage="1">
          <x14:formula1>
            <xm:f>'!System'!$V$2:$V$16</xm:f>
          </x14:formula1>
          <xm:sqref>I30</xm:sqref>
        </x14:dataValidation>
        <x14:dataValidation type="list" allowBlank="1" showInputMessage="1" showErrorMessage="1">
          <x14:formula1>
            <xm:f>'!System'!$V$2:$V$16</xm:f>
          </x14:formula1>
          <xm:sqref>I31</xm:sqref>
        </x14:dataValidation>
        <x14:dataValidation type="list" allowBlank="1" showInputMessage="1" showErrorMessage="1">
          <x14:formula1>
            <xm:f>'!System'!$U$2:$U$17</xm:f>
          </x14:formula1>
          <xm:sqref>I32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AR461"/>
  <sheetViews>
    <sheetView zoomScale="85" zoomScaleNormal="85" workbookViewId="0">
      <selection activeCell="U18" sqref="U1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3" t="s">
        <v>170</v>
      </c>
      <c r="I2" s="43" t="s">
        <v>171</v>
      </c>
      <c r="J2" s="43" t="s">
        <v>172</v>
      </c>
      <c r="K2" s="43" t="s">
        <v>173</v>
      </c>
      <c r="L2" s="43" t="s">
        <v>174</v>
      </c>
      <c r="M2" s="43" t="s">
        <v>175</v>
      </c>
      <c r="N2" s="43" t="s">
        <v>176</v>
      </c>
      <c r="O2" s="43" t="s">
        <v>177</v>
      </c>
      <c r="P2" s="43" t="s">
        <v>178</v>
      </c>
      <c r="Q2" s="43" t="s">
        <v>179</v>
      </c>
      <c r="R2" s="136"/>
      <c r="S2" s="43" t="s">
        <v>180</v>
      </c>
      <c r="T2" s="43" t="s">
        <v>181</v>
      </c>
      <c r="U2" s="39" t="s">
        <v>182</v>
      </c>
    </row>
    <row r="3" spans="1:21" ht="15.75" x14ac:dyDescent="0.25">
      <c r="A3" s="21" t="str">
        <f>B7</f>
        <v>Км1.1</v>
      </c>
      <c r="B3" s="22" t="s">
        <v>183</v>
      </c>
      <c r="C3" s="22" t="s">
        <v>184</v>
      </c>
      <c r="D3" s="22" t="s">
        <v>185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6.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1" ht="16.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6.5" x14ac:dyDescent="0.25">
      <c r="A6" s="21" t="s">
        <v>183</v>
      </c>
      <c r="B6" s="22" t="s">
        <v>183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21" ht="15.75" x14ac:dyDescent="0.25">
      <c r="A7" s="25" t="str">
        <f>B7</f>
        <v>Км1.1</v>
      </c>
      <c r="B7" s="26" t="s">
        <v>208</v>
      </c>
      <c r="C7" s="26"/>
      <c r="D7" s="26" t="s">
        <v>209</v>
      </c>
      <c r="E7" s="26">
        <f>1+1+1</f>
        <v>3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7"/>
    </row>
    <row r="8" spans="1:21" ht="15.75" x14ac:dyDescent="0.25">
      <c r="A8" s="38" t="str">
        <f>A7</f>
        <v>Км1.1</v>
      </c>
      <c r="B8" s="43">
        <v>7</v>
      </c>
      <c r="C8" s="43" t="s">
        <v>188</v>
      </c>
      <c r="D8" s="43" t="s">
        <v>189</v>
      </c>
      <c r="E8" s="43">
        <v>4</v>
      </c>
      <c r="F8" s="22">
        <v>2.984</v>
      </c>
      <c r="G8" s="43"/>
      <c r="H8" s="43">
        <v>5070</v>
      </c>
      <c r="I8" s="43">
        <v>22</v>
      </c>
      <c r="J8" s="43" t="s">
        <v>2</v>
      </c>
      <c r="K8" s="43"/>
      <c r="L8" s="43"/>
      <c r="M8" s="43"/>
      <c r="N8" s="43"/>
      <c r="O8" s="43"/>
      <c r="P8" s="43"/>
      <c r="Q8" s="43"/>
      <c r="R8" s="43"/>
      <c r="S8" s="43">
        <v>800</v>
      </c>
      <c r="T8" s="43">
        <v>960</v>
      </c>
      <c r="U8" s="39">
        <v>88</v>
      </c>
    </row>
    <row r="9" spans="1:21" ht="15.75" x14ac:dyDescent="0.25">
      <c r="A9" s="38" t="str">
        <f t="shared" ref="A9:A15" si="0">A8</f>
        <v>Км1.1</v>
      </c>
      <c r="B9" s="43">
        <v>2</v>
      </c>
      <c r="C9" s="43" t="s">
        <v>190</v>
      </c>
      <c r="D9" s="43" t="s">
        <v>191</v>
      </c>
      <c r="E9" s="43">
        <f>38+34+29+29+29+29+28+32+16</f>
        <v>264</v>
      </c>
      <c r="F9" s="22">
        <v>0.39500000000000002</v>
      </c>
      <c r="G9" s="43" t="s">
        <v>0</v>
      </c>
      <c r="H9" s="43">
        <f>420*4+150</f>
        <v>1830</v>
      </c>
      <c r="I9" s="43">
        <v>8</v>
      </c>
      <c r="J9" s="43" t="s">
        <v>1</v>
      </c>
      <c r="K9" s="43"/>
      <c r="L9" s="43"/>
      <c r="M9" s="43"/>
      <c r="N9" s="43"/>
      <c r="O9" s="43"/>
      <c r="P9" s="43"/>
      <c r="Q9" s="43"/>
      <c r="R9" s="43"/>
      <c r="S9" s="43">
        <v>200</v>
      </c>
      <c r="T9" s="43">
        <v>250</v>
      </c>
      <c r="U9" s="39">
        <v>10</v>
      </c>
    </row>
    <row r="10" spans="1:21" ht="15.75" x14ac:dyDescent="0.25">
      <c r="A10" s="38" t="str">
        <f t="shared" si="0"/>
        <v>Км1.1</v>
      </c>
      <c r="B10" s="43">
        <v>16</v>
      </c>
      <c r="C10" s="43" t="s">
        <v>188</v>
      </c>
      <c r="D10" s="43" t="s">
        <v>192</v>
      </c>
      <c r="E10" s="43">
        <v>4</v>
      </c>
      <c r="F10" s="22">
        <v>2.4660000000000002</v>
      </c>
      <c r="G10" s="43"/>
      <c r="H10" s="43">
        <v>4500</v>
      </c>
      <c r="I10" s="43">
        <v>20</v>
      </c>
      <c r="J10" s="43" t="s">
        <v>2</v>
      </c>
      <c r="K10" s="43"/>
      <c r="L10" s="43"/>
      <c r="M10" s="43"/>
      <c r="N10" s="43"/>
      <c r="O10" s="43"/>
      <c r="P10" s="43"/>
      <c r="Q10" s="43"/>
      <c r="R10" s="43"/>
      <c r="S10" s="43">
        <v>725</v>
      </c>
      <c r="T10" s="43">
        <v>870</v>
      </c>
      <c r="U10" s="39">
        <v>80</v>
      </c>
    </row>
    <row r="11" spans="1:21" ht="15.75" x14ac:dyDescent="0.25">
      <c r="A11" s="38" t="str">
        <f t="shared" si="0"/>
        <v>Км1.1</v>
      </c>
      <c r="B11" s="43">
        <v>18</v>
      </c>
      <c r="C11" s="43" t="s">
        <v>188</v>
      </c>
      <c r="D11" s="43" t="s">
        <v>193</v>
      </c>
      <c r="E11" s="43">
        <f>4*5</f>
        <v>20</v>
      </c>
      <c r="F11" s="22">
        <v>2.4660000000000002</v>
      </c>
      <c r="G11" s="43"/>
      <c r="H11" s="43">
        <v>4050</v>
      </c>
      <c r="I11" s="43">
        <v>20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725</v>
      </c>
      <c r="T11" s="43">
        <v>870</v>
      </c>
      <c r="U11" s="39">
        <v>80</v>
      </c>
    </row>
    <row r="12" spans="1:21" ht="15.75" x14ac:dyDescent="0.25">
      <c r="A12" s="38" t="str">
        <f t="shared" si="0"/>
        <v>Км1.1</v>
      </c>
      <c r="B12" s="43">
        <v>19</v>
      </c>
      <c r="C12" s="43" t="s">
        <v>188</v>
      </c>
      <c r="D12" s="43" t="s">
        <v>269</v>
      </c>
      <c r="E12" s="43">
        <v>4</v>
      </c>
      <c r="F12" s="22">
        <v>2.4660000000000002</v>
      </c>
      <c r="G12" s="43"/>
      <c r="H12" s="43">
        <v>3820</v>
      </c>
      <c r="I12" s="43">
        <v>20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725</v>
      </c>
      <c r="T12" s="43">
        <v>870</v>
      </c>
      <c r="U12" s="39">
        <v>80</v>
      </c>
    </row>
    <row r="13" spans="1:21" ht="15.75" x14ac:dyDescent="0.25">
      <c r="A13" s="38" t="str">
        <f t="shared" si="0"/>
        <v>Км1.1</v>
      </c>
      <c r="B13" s="43">
        <v>23</v>
      </c>
      <c r="C13" s="43" t="s">
        <v>188</v>
      </c>
      <c r="D13" s="43" t="s">
        <v>270</v>
      </c>
      <c r="E13" s="43">
        <v>4</v>
      </c>
      <c r="F13" s="22">
        <v>2.4660000000000002</v>
      </c>
      <c r="G13" s="43"/>
      <c r="H13" s="43">
        <v>1430</v>
      </c>
      <c r="I13" s="43">
        <v>20</v>
      </c>
      <c r="J13" s="43" t="s">
        <v>2</v>
      </c>
      <c r="K13" s="43"/>
      <c r="L13" s="43"/>
      <c r="M13" s="43"/>
      <c r="N13" s="43"/>
      <c r="O13" s="43"/>
      <c r="P13" s="43"/>
      <c r="Q13" s="43"/>
      <c r="R13" s="43"/>
      <c r="S13" s="43">
        <v>725</v>
      </c>
      <c r="T13" s="43">
        <v>870</v>
      </c>
      <c r="U13" s="39">
        <v>80</v>
      </c>
    </row>
    <row r="14" spans="1:21" ht="15.75" x14ac:dyDescent="0.25">
      <c r="A14" s="38" t="str">
        <f t="shared" si="0"/>
        <v>Км1.1</v>
      </c>
      <c r="B14" s="43"/>
      <c r="C14" s="28" t="s">
        <v>195</v>
      </c>
      <c r="D14" s="28" t="s">
        <v>196</v>
      </c>
      <c r="E14" s="28">
        <f>4.82*0.5*0.5</f>
        <v>1.2050000000000001</v>
      </c>
      <c r="F14" s="22" t="s">
        <v>4</v>
      </c>
      <c r="G14" s="43" t="s">
        <v>3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39"/>
    </row>
    <row r="15" spans="1:21" ht="15.75" x14ac:dyDescent="0.25">
      <c r="A15" s="38" t="str">
        <f t="shared" si="0"/>
        <v>Км1.1</v>
      </c>
      <c r="B15" s="43"/>
      <c r="C15" s="28" t="s">
        <v>195</v>
      </c>
      <c r="D15" s="28" t="s">
        <v>309</v>
      </c>
      <c r="E15" s="28">
        <f>29*0.5*0.5</f>
        <v>7.25</v>
      </c>
      <c r="F15" s="22" t="s">
        <v>4</v>
      </c>
      <c r="G15" s="43" t="s">
        <v>3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39"/>
    </row>
    <row r="16" spans="1:21" ht="16.5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</row>
    <row r="17" spans="1:21" ht="16.5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 ht="16.5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5.75" x14ac:dyDescent="0.25">
      <c r="A19" s="25" t="str">
        <f>B19</f>
        <v>Км14</v>
      </c>
      <c r="B19" s="26" t="s">
        <v>210</v>
      </c>
      <c r="C19" s="26"/>
      <c r="D19" s="26" t="s">
        <v>211</v>
      </c>
      <c r="E19" s="26">
        <f>1+1</f>
        <v>2</v>
      </c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7"/>
    </row>
    <row r="20" spans="1:21" ht="31.5" x14ac:dyDescent="0.25">
      <c r="A20" s="38" t="str">
        <f>A19</f>
        <v>Км14</v>
      </c>
      <c r="B20" s="43">
        <v>98</v>
      </c>
      <c r="C20" s="43" t="s">
        <v>271</v>
      </c>
      <c r="D20" s="43" t="s">
        <v>189</v>
      </c>
      <c r="E20" s="43">
        <f>4</f>
        <v>4</v>
      </c>
      <c r="F20" s="22">
        <v>2.984</v>
      </c>
      <c r="G20" s="43" t="s">
        <v>0</v>
      </c>
      <c r="H20" s="43">
        <v>5080</v>
      </c>
      <c r="I20" s="43">
        <v>22</v>
      </c>
      <c r="J20" s="43" t="s">
        <v>2</v>
      </c>
      <c r="K20" s="43"/>
      <c r="L20" s="43"/>
      <c r="M20" s="43"/>
      <c r="N20" s="43"/>
      <c r="O20" s="43"/>
      <c r="P20" s="43"/>
      <c r="Q20" s="43"/>
      <c r="R20" s="43"/>
      <c r="S20" s="43" t="s">
        <v>202</v>
      </c>
      <c r="T20" s="43" t="s">
        <v>202</v>
      </c>
      <c r="U20" s="39">
        <v>88</v>
      </c>
    </row>
    <row r="21" spans="1:21" ht="31.5" x14ac:dyDescent="0.25">
      <c r="A21" s="38" t="str">
        <f t="shared" ref="A21:A35" si="1">A20</f>
        <v>Км14</v>
      </c>
      <c r="B21" s="43">
        <v>100</v>
      </c>
      <c r="C21" s="43" t="s">
        <v>271</v>
      </c>
      <c r="D21" s="43" t="s">
        <v>189</v>
      </c>
      <c r="E21" s="43">
        <f>4</f>
        <v>4</v>
      </c>
      <c r="F21" s="22">
        <v>1.5780000000000001</v>
      </c>
      <c r="G21" s="43" t="s">
        <v>0</v>
      </c>
      <c r="H21" s="43">
        <v>5870</v>
      </c>
      <c r="I21" s="43">
        <v>16</v>
      </c>
      <c r="J21" s="43" t="s">
        <v>2</v>
      </c>
      <c r="K21" s="43"/>
      <c r="L21" s="43"/>
      <c r="M21" s="43"/>
      <c r="N21" s="43"/>
      <c r="O21" s="43"/>
      <c r="P21" s="43"/>
      <c r="Q21" s="43"/>
      <c r="R21" s="43"/>
      <c r="S21" s="43" t="s">
        <v>202</v>
      </c>
      <c r="T21" s="43" t="s">
        <v>202</v>
      </c>
      <c r="U21" s="39">
        <v>40</v>
      </c>
    </row>
    <row r="22" spans="1:21" ht="31.5" x14ac:dyDescent="0.25">
      <c r="A22" s="38" t="str">
        <f t="shared" si="1"/>
        <v>Км14</v>
      </c>
      <c r="B22" s="43">
        <v>94</v>
      </c>
      <c r="C22" s="43" t="s">
        <v>271</v>
      </c>
      <c r="D22" s="43" t="s">
        <v>272</v>
      </c>
      <c r="E22" s="43">
        <f>4</f>
        <v>4</v>
      </c>
      <c r="F22" s="22">
        <v>2.4660000000000002</v>
      </c>
      <c r="G22" s="43"/>
      <c r="H22" s="43">
        <v>4500</v>
      </c>
      <c r="I22" s="43">
        <v>20</v>
      </c>
      <c r="J22" s="43" t="s">
        <v>2</v>
      </c>
      <c r="K22" s="43"/>
      <c r="L22" s="43"/>
      <c r="M22" s="43"/>
      <c r="N22" s="43"/>
      <c r="O22" s="43"/>
      <c r="P22" s="43"/>
      <c r="Q22" s="43"/>
      <c r="R22" s="43"/>
      <c r="S22" s="43" t="s">
        <v>202</v>
      </c>
      <c r="T22" s="43" t="s">
        <v>202</v>
      </c>
      <c r="U22" s="39">
        <v>80</v>
      </c>
    </row>
    <row r="23" spans="1:21" ht="31.5" x14ac:dyDescent="0.25">
      <c r="A23" s="38" t="str">
        <f t="shared" si="1"/>
        <v>Км14</v>
      </c>
      <c r="B23" s="43">
        <v>101</v>
      </c>
      <c r="C23" s="43" t="s">
        <v>271</v>
      </c>
      <c r="D23" s="43" t="s">
        <v>273</v>
      </c>
      <c r="E23" s="43">
        <f>4</f>
        <v>4</v>
      </c>
      <c r="F23" s="22">
        <v>1.5780000000000001</v>
      </c>
      <c r="G23" s="43" t="s">
        <v>0</v>
      </c>
      <c r="H23" s="43">
        <v>5370</v>
      </c>
      <c r="I23" s="43">
        <v>16</v>
      </c>
      <c r="J23" s="43" t="s">
        <v>2</v>
      </c>
      <c r="K23" s="43"/>
      <c r="L23" s="43"/>
      <c r="M23" s="43"/>
      <c r="N23" s="43"/>
      <c r="O23" s="43"/>
      <c r="P23" s="43"/>
      <c r="Q23" s="43"/>
      <c r="R23" s="43"/>
      <c r="S23" s="43" t="s">
        <v>202</v>
      </c>
      <c r="T23" s="43" t="s">
        <v>202</v>
      </c>
      <c r="U23" s="39">
        <v>40</v>
      </c>
    </row>
    <row r="24" spans="1:21" ht="31.5" x14ac:dyDescent="0.25">
      <c r="A24" s="38" t="str">
        <f t="shared" si="1"/>
        <v>Км14</v>
      </c>
      <c r="B24" s="43">
        <v>95</v>
      </c>
      <c r="C24" s="43" t="s">
        <v>271</v>
      </c>
      <c r="D24" s="43" t="s">
        <v>274</v>
      </c>
      <c r="E24" s="43">
        <f>4*4</f>
        <v>16</v>
      </c>
      <c r="F24" s="22">
        <v>2.4660000000000002</v>
      </c>
      <c r="G24" s="43"/>
      <c r="H24" s="43">
        <v>4050</v>
      </c>
      <c r="I24" s="43">
        <v>20</v>
      </c>
      <c r="J24" s="43" t="s">
        <v>2</v>
      </c>
      <c r="K24" s="43"/>
      <c r="L24" s="43"/>
      <c r="M24" s="43"/>
      <c r="N24" s="43"/>
      <c r="O24" s="43"/>
      <c r="P24" s="43"/>
      <c r="Q24" s="43"/>
      <c r="R24" s="43"/>
      <c r="S24" s="43" t="s">
        <v>202</v>
      </c>
      <c r="T24" s="43" t="s">
        <v>202</v>
      </c>
      <c r="U24" s="39">
        <v>80</v>
      </c>
    </row>
    <row r="25" spans="1:21" ht="31.5" x14ac:dyDescent="0.25">
      <c r="A25" s="38" t="str">
        <f t="shared" si="1"/>
        <v>Км14</v>
      </c>
      <c r="B25" s="43">
        <v>96</v>
      </c>
      <c r="C25" s="43" t="s">
        <v>188</v>
      </c>
      <c r="D25" s="43" t="s">
        <v>269</v>
      </c>
      <c r="E25" s="43">
        <v>4</v>
      </c>
      <c r="F25" s="22">
        <v>2.4660000000000002</v>
      </c>
      <c r="G25" s="43"/>
      <c r="H25" s="43">
        <v>3820</v>
      </c>
      <c r="I25" s="43">
        <v>20</v>
      </c>
      <c r="J25" s="43" t="s">
        <v>2</v>
      </c>
      <c r="K25" s="43"/>
      <c r="L25" s="43"/>
      <c r="M25" s="43"/>
      <c r="N25" s="43"/>
      <c r="O25" s="43"/>
      <c r="P25" s="43"/>
      <c r="Q25" s="43"/>
      <c r="R25" s="43"/>
      <c r="S25" s="43" t="s">
        <v>202</v>
      </c>
      <c r="T25" s="43" t="s">
        <v>202</v>
      </c>
      <c r="U25" s="39">
        <v>80</v>
      </c>
    </row>
    <row r="26" spans="1:21" ht="31.5" x14ac:dyDescent="0.25">
      <c r="A26" s="38" t="str">
        <f t="shared" si="1"/>
        <v>Км14</v>
      </c>
      <c r="B26" s="43">
        <v>105</v>
      </c>
      <c r="C26" s="43" t="s">
        <v>190</v>
      </c>
      <c r="D26" s="43" t="s">
        <v>275</v>
      </c>
      <c r="E26" s="43">
        <f>37</f>
        <v>37</v>
      </c>
      <c r="F26" s="22">
        <v>0.39500000000000002</v>
      </c>
      <c r="G26" s="43" t="s">
        <v>0</v>
      </c>
      <c r="H26" s="43">
        <f>620*4+150</f>
        <v>2630</v>
      </c>
      <c r="I26" s="43">
        <v>8</v>
      </c>
      <c r="J26" s="43" t="s">
        <v>1</v>
      </c>
      <c r="K26" s="43"/>
      <c r="L26" s="43"/>
      <c r="M26" s="43"/>
      <c r="N26" s="43"/>
      <c r="O26" s="43"/>
      <c r="P26" s="43"/>
      <c r="Q26" s="43"/>
      <c r="R26" s="43"/>
      <c r="S26" s="43" t="s">
        <v>202</v>
      </c>
      <c r="T26" s="43" t="s">
        <v>202</v>
      </c>
      <c r="U26" s="39">
        <v>10</v>
      </c>
    </row>
    <row r="27" spans="1:21" ht="31.5" x14ac:dyDescent="0.25">
      <c r="A27" s="38" t="str">
        <f t="shared" si="1"/>
        <v>Км14</v>
      </c>
      <c r="B27" s="43">
        <v>107</v>
      </c>
      <c r="C27" s="43" t="s">
        <v>190</v>
      </c>
      <c r="D27" s="43" t="s">
        <v>276</v>
      </c>
      <c r="E27" s="43">
        <f>37</f>
        <v>37</v>
      </c>
      <c r="F27" s="22">
        <v>0.39500000000000002</v>
      </c>
      <c r="G27" s="43" t="s">
        <v>0</v>
      </c>
      <c r="H27" s="43">
        <f>450*4+150</f>
        <v>1950</v>
      </c>
      <c r="I27" s="43">
        <v>8</v>
      </c>
      <c r="J27" s="43" t="s">
        <v>1</v>
      </c>
      <c r="K27" s="43"/>
      <c r="L27" s="43"/>
      <c r="M27" s="43"/>
      <c r="N27" s="43"/>
      <c r="O27" s="43"/>
      <c r="P27" s="43"/>
      <c r="Q27" s="43"/>
      <c r="R27" s="43"/>
      <c r="S27" s="43" t="s">
        <v>202</v>
      </c>
      <c r="T27" s="43" t="s">
        <v>202</v>
      </c>
      <c r="U27" s="39">
        <v>10</v>
      </c>
    </row>
    <row r="28" spans="1:21" ht="31.5" x14ac:dyDescent="0.25">
      <c r="A28" s="38" t="str">
        <f t="shared" si="1"/>
        <v>Км14</v>
      </c>
      <c r="B28" s="43">
        <v>106</v>
      </c>
      <c r="C28" s="43" t="s">
        <v>190</v>
      </c>
      <c r="D28" s="43" t="s">
        <v>277</v>
      </c>
      <c r="E28" s="43">
        <f>32+29+29</f>
        <v>90</v>
      </c>
      <c r="F28" s="22">
        <v>0.39500000000000002</v>
      </c>
      <c r="G28" s="43" t="s">
        <v>0</v>
      </c>
      <c r="H28" s="43">
        <f>520*4+150</f>
        <v>2230</v>
      </c>
      <c r="I28" s="43">
        <v>8</v>
      </c>
      <c r="J28" s="43" t="s">
        <v>1</v>
      </c>
      <c r="K28" s="43"/>
      <c r="L28" s="43"/>
      <c r="M28" s="43"/>
      <c r="N28" s="43"/>
      <c r="O28" s="43"/>
      <c r="P28" s="43"/>
      <c r="Q28" s="43"/>
      <c r="R28" s="43"/>
      <c r="S28" s="43" t="s">
        <v>202</v>
      </c>
      <c r="T28" s="43" t="s">
        <v>202</v>
      </c>
      <c r="U28" s="39">
        <v>10</v>
      </c>
    </row>
    <row r="29" spans="1:21" ht="31.5" x14ac:dyDescent="0.25">
      <c r="A29" s="38" t="str">
        <f t="shared" si="1"/>
        <v>Км14</v>
      </c>
      <c r="B29" s="43">
        <v>109</v>
      </c>
      <c r="C29" s="43" t="s">
        <v>190</v>
      </c>
      <c r="D29" s="43" t="s">
        <v>278</v>
      </c>
      <c r="E29" s="43">
        <f>32+29+29</f>
        <v>90</v>
      </c>
      <c r="F29" s="22">
        <v>0.39500000000000002</v>
      </c>
      <c r="G29" s="43" t="s">
        <v>0</v>
      </c>
      <c r="H29" s="43">
        <f>370*4+150</f>
        <v>1630</v>
      </c>
      <c r="I29" s="43">
        <v>8</v>
      </c>
      <c r="J29" s="43" t="s">
        <v>1</v>
      </c>
      <c r="K29" s="43"/>
      <c r="L29" s="43"/>
      <c r="M29" s="43"/>
      <c r="N29" s="43"/>
      <c r="O29" s="43"/>
      <c r="P29" s="43"/>
      <c r="Q29" s="43"/>
      <c r="R29" s="43"/>
      <c r="S29" s="43" t="s">
        <v>202</v>
      </c>
      <c r="T29" s="43" t="s">
        <v>202</v>
      </c>
      <c r="U29" s="39">
        <v>10</v>
      </c>
    </row>
    <row r="30" spans="1:21" ht="31.5" x14ac:dyDescent="0.25">
      <c r="A30" s="38" t="str">
        <f t="shared" si="1"/>
        <v>Км14</v>
      </c>
      <c r="B30" s="43">
        <v>102</v>
      </c>
      <c r="C30" s="43" t="s">
        <v>271</v>
      </c>
      <c r="D30" s="43" t="s">
        <v>204</v>
      </c>
      <c r="E30" s="43">
        <f>4</f>
        <v>4</v>
      </c>
      <c r="F30" s="22">
        <v>1.5780000000000001</v>
      </c>
      <c r="G30" s="43" t="s">
        <v>0</v>
      </c>
      <c r="H30" s="43">
        <v>4870</v>
      </c>
      <c r="I30" s="43">
        <v>16</v>
      </c>
      <c r="J30" s="43" t="s">
        <v>2</v>
      </c>
      <c r="K30" s="43"/>
      <c r="L30" s="43"/>
      <c r="M30" s="43"/>
      <c r="N30" s="43"/>
      <c r="O30" s="43"/>
      <c r="P30" s="43"/>
      <c r="Q30" s="43"/>
      <c r="R30" s="43"/>
      <c r="S30" s="43" t="s">
        <v>202</v>
      </c>
      <c r="T30" s="43" t="s">
        <v>202</v>
      </c>
      <c r="U30" s="39">
        <v>40</v>
      </c>
    </row>
    <row r="31" spans="1:21" ht="31.5" x14ac:dyDescent="0.25">
      <c r="A31" s="38" t="str">
        <f t="shared" si="1"/>
        <v>Км14</v>
      </c>
      <c r="B31" s="43">
        <v>99</v>
      </c>
      <c r="C31" s="43" t="s">
        <v>279</v>
      </c>
      <c r="D31" s="43" t="s">
        <v>280</v>
      </c>
      <c r="E31" s="43">
        <f>4</f>
        <v>4</v>
      </c>
      <c r="F31" s="22">
        <v>2.4660000000000002</v>
      </c>
      <c r="G31" s="43" t="s">
        <v>0</v>
      </c>
      <c r="H31" s="43">
        <v>4060</v>
      </c>
      <c r="I31" s="43">
        <v>20</v>
      </c>
      <c r="J31" s="43" t="s">
        <v>2</v>
      </c>
      <c r="K31" s="43"/>
      <c r="L31" s="43"/>
      <c r="M31" s="43"/>
      <c r="N31" s="43"/>
      <c r="O31" s="43"/>
      <c r="P31" s="43"/>
      <c r="Q31" s="43"/>
      <c r="R31" s="43"/>
      <c r="S31" s="43" t="s">
        <v>202</v>
      </c>
      <c r="T31" s="43" t="s">
        <v>202</v>
      </c>
      <c r="U31" s="39">
        <v>80</v>
      </c>
    </row>
    <row r="32" spans="1:21" ht="31.5" x14ac:dyDescent="0.25">
      <c r="A32" s="38" t="str">
        <f t="shared" si="1"/>
        <v>Км14</v>
      </c>
      <c r="B32" s="43">
        <v>103</v>
      </c>
      <c r="C32" s="43" t="s">
        <v>281</v>
      </c>
      <c r="D32" s="43" t="s">
        <v>280</v>
      </c>
      <c r="E32" s="43">
        <f>4</f>
        <v>4</v>
      </c>
      <c r="F32" s="22">
        <v>1.5780000000000001</v>
      </c>
      <c r="G32" s="43" t="s">
        <v>0</v>
      </c>
      <c r="H32" s="43">
        <v>4400</v>
      </c>
      <c r="I32" s="43">
        <v>16</v>
      </c>
      <c r="J32" s="43" t="s">
        <v>2</v>
      </c>
      <c r="K32" s="43"/>
      <c r="L32" s="43"/>
      <c r="M32" s="43"/>
      <c r="N32" s="43"/>
      <c r="O32" s="43"/>
      <c r="P32" s="43"/>
      <c r="Q32" s="43"/>
      <c r="R32" s="43"/>
      <c r="S32" s="43" t="s">
        <v>202</v>
      </c>
      <c r="T32" s="43" t="s">
        <v>202</v>
      </c>
      <c r="U32" s="39">
        <v>40</v>
      </c>
    </row>
    <row r="33" spans="1:44" ht="31.5" x14ac:dyDescent="0.25">
      <c r="A33" s="38" t="str">
        <f t="shared" si="1"/>
        <v>Км14</v>
      </c>
      <c r="B33" s="43">
        <v>108</v>
      </c>
      <c r="C33" s="43" t="s">
        <v>190</v>
      </c>
      <c r="D33" s="43" t="s">
        <v>282</v>
      </c>
      <c r="E33" s="43">
        <f>29+29+28+32+16</f>
        <v>134</v>
      </c>
      <c r="F33" s="22">
        <v>0.39500000000000002</v>
      </c>
      <c r="G33" s="43" t="s">
        <v>0</v>
      </c>
      <c r="H33" s="43">
        <f>420*4+150</f>
        <v>1830</v>
      </c>
      <c r="I33" s="43">
        <v>8</v>
      </c>
      <c r="J33" s="43" t="s">
        <v>1</v>
      </c>
      <c r="K33" s="43"/>
      <c r="L33" s="43"/>
      <c r="M33" s="43"/>
      <c r="N33" s="43"/>
      <c r="O33" s="43"/>
      <c r="P33" s="43"/>
      <c r="Q33" s="43"/>
      <c r="R33" s="43"/>
      <c r="S33" s="43" t="s">
        <v>202</v>
      </c>
      <c r="T33" s="43" t="s">
        <v>202</v>
      </c>
      <c r="U33" s="39">
        <v>10</v>
      </c>
    </row>
    <row r="34" spans="1:44" ht="31.5" x14ac:dyDescent="0.25">
      <c r="A34" s="38" t="str">
        <f t="shared" si="1"/>
        <v>Км14</v>
      </c>
      <c r="B34" s="43">
        <v>97</v>
      </c>
      <c r="C34" s="43" t="s">
        <v>188</v>
      </c>
      <c r="D34" s="43" t="s">
        <v>270</v>
      </c>
      <c r="E34" s="43">
        <v>4</v>
      </c>
      <c r="F34" s="22">
        <v>2.4660000000000002</v>
      </c>
      <c r="G34" s="43"/>
      <c r="H34" s="43">
        <v>1430</v>
      </c>
      <c r="I34" s="43">
        <v>20</v>
      </c>
      <c r="J34" s="43" t="s">
        <v>2</v>
      </c>
      <c r="K34" s="43"/>
      <c r="L34" s="43"/>
      <c r="M34" s="43"/>
      <c r="N34" s="43"/>
      <c r="O34" s="43"/>
      <c r="P34" s="43"/>
      <c r="Q34" s="43"/>
      <c r="R34" s="43"/>
      <c r="S34" s="43" t="s">
        <v>202</v>
      </c>
      <c r="T34" s="43" t="s">
        <v>202</v>
      </c>
      <c r="U34" s="39">
        <v>80</v>
      </c>
    </row>
    <row r="35" spans="1:44" ht="31.5" x14ac:dyDescent="0.25">
      <c r="A35" s="38" t="str">
        <f t="shared" si="1"/>
        <v>Км14</v>
      </c>
      <c r="B35" s="43">
        <v>104</v>
      </c>
      <c r="C35" s="43" t="s">
        <v>188</v>
      </c>
      <c r="D35" s="43" t="s">
        <v>270</v>
      </c>
      <c r="E35" s="43">
        <v>4</v>
      </c>
      <c r="F35" s="22">
        <v>1.5780000000000001</v>
      </c>
      <c r="G35" s="43" t="s">
        <v>0</v>
      </c>
      <c r="H35" s="43">
        <v>2630</v>
      </c>
      <c r="I35" s="43">
        <v>16</v>
      </c>
      <c r="J35" s="43" t="s">
        <v>2</v>
      </c>
      <c r="K35" s="43"/>
      <c r="L35" s="43"/>
      <c r="M35" s="43"/>
      <c r="N35" s="43"/>
      <c r="O35" s="43"/>
      <c r="P35" s="43"/>
      <c r="Q35" s="43"/>
      <c r="R35" s="43"/>
      <c r="S35" s="43" t="s">
        <v>202</v>
      </c>
      <c r="T35" s="43" t="s">
        <v>202</v>
      </c>
      <c r="U35" s="39">
        <v>40</v>
      </c>
    </row>
    <row r="36" spans="1:44" ht="15.75" x14ac:dyDescent="0.25">
      <c r="A36" s="38"/>
      <c r="B36" s="30"/>
      <c r="C36" s="30" t="s">
        <v>198</v>
      </c>
      <c r="D36" s="30" t="s">
        <v>199</v>
      </c>
      <c r="E36" s="30">
        <v>4</v>
      </c>
      <c r="F36" s="22">
        <v>94.2</v>
      </c>
      <c r="G36" s="43"/>
      <c r="H36" s="43"/>
      <c r="I36" s="43"/>
      <c r="J36" s="43"/>
      <c r="K36" s="22">
        <v>14400</v>
      </c>
      <c r="L36" s="43" t="s">
        <v>23</v>
      </c>
      <c r="M36" s="43" t="s">
        <v>22</v>
      </c>
      <c r="N36" s="43"/>
      <c r="O36" s="43" t="s">
        <v>24</v>
      </c>
      <c r="P36" s="43"/>
      <c r="Q36" s="43"/>
      <c r="R36" s="43"/>
      <c r="S36" s="43"/>
      <c r="T36" s="43"/>
      <c r="U36" s="39"/>
    </row>
    <row r="37" spans="1:44" ht="15.75" x14ac:dyDescent="0.25">
      <c r="A37" s="21" t="s">
        <v>183</v>
      </c>
      <c r="B37" s="22" t="s">
        <v>183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3"/>
      <c r="AP37">
        <v>970</v>
      </c>
      <c r="AQ37">
        <v>1165</v>
      </c>
      <c r="AR37">
        <v>45</v>
      </c>
    </row>
    <row r="38" spans="1:44" ht="15.75" x14ac:dyDescent="0.25">
      <c r="A38" s="25" t="str">
        <f>B38</f>
        <v>Км3.1</v>
      </c>
      <c r="B38" s="26" t="s">
        <v>212</v>
      </c>
      <c r="C38" s="26"/>
      <c r="D38" s="26" t="s">
        <v>213</v>
      </c>
      <c r="E38" s="26">
        <f>1+1</f>
        <v>2</v>
      </c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  <c r="AP38">
        <v>650</v>
      </c>
      <c r="AQ38">
        <v>780</v>
      </c>
      <c r="AR38">
        <v>30</v>
      </c>
    </row>
    <row r="39" spans="1:44" ht="31.5" x14ac:dyDescent="0.25">
      <c r="A39" s="38" t="str">
        <f>A38</f>
        <v>Км3.1</v>
      </c>
      <c r="B39" s="43">
        <v>140</v>
      </c>
      <c r="C39" s="43" t="s">
        <v>188</v>
      </c>
      <c r="D39" s="43" t="s">
        <v>189</v>
      </c>
      <c r="E39" s="43">
        <v>4</v>
      </c>
      <c r="F39" s="22">
        <v>2.4660000000000002</v>
      </c>
      <c r="G39" s="43" t="s">
        <v>0</v>
      </c>
      <c r="H39" s="43">
        <v>5080</v>
      </c>
      <c r="I39" s="43">
        <v>20</v>
      </c>
      <c r="J39" s="43" t="s">
        <v>2</v>
      </c>
      <c r="K39" s="43"/>
      <c r="L39" s="43"/>
      <c r="M39" s="43"/>
      <c r="N39" s="43"/>
      <c r="O39" s="43"/>
      <c r="P39" s="43"/>
      <c r="Q39" s="43"/>
      <c r="R39" s="43"/>
      <c r="S39" s="43" t="s">
        <v>202</v>
      </c>
      <c r="T39" s="43" t="s">
        <v>202</v>
      </c>
      <c r="U39" s="39">
        <v>80</v>
      </c>
    </row>
    <row r="40" spans="1:44" ht="31.5" x14ac:dyDescent="0.25">
      <c r="A40" s="38" t="str">
        <f t="shared" ref="A40:A50" si="2">A39</f>
        <v>Км3.1</v>
      </c>
      <c r="B40" s="43">
        <v>141</v>
      </c>
      <c r="C40" s="43" t="s">
        <v>188</v>
      </c>
      <c r="D40" s="43" t="s">
        <v>189</v>
      </c>
      <c r="E40" s="43">
        <v>4</v>
      </c>
      <c r="F40" s="22">
        <v>1.5780000000000001</v>
      </c>
      <c r="G40" s="43" t="s">
        <v>0</v>
      </c>
      <c r="H40" s="43">
        <v>5870</v>
      </c>
      <c r="I40" s="43">
        <v>16</v>
      </c>
      <c r="J40" s="43" t="s">
        <v>2</v>
      </c>
      <c r="K40" s="43"/>
      <c r="L40" s="43"/>
      <c r="M40" s="43"/>
      <c r="N40" s="43"/>
      <c r="O40" s="43"/>
      <c r="P40" s="43"/>
      <c r="Q40" s="43"/>
      <c r="R40" s="43"/>
      <c r="S40" s="43" t="s">
        <v>202</v>
      </c>
      <c r="T40" s="43" t="s">
        <v>202</v>
      </c>
      <c r="U40" s="39">
        <v>40</v>
      </c>
    </row>
    <row r="41" spans="1:44" ht="31.5" x14ac:dyDescent="0.25">
      <c r="A41" s="38" t="str">
        <f t="shared" si="2"/>
        <v>Км3.1</v>
      </c>
      <c r="B41" s="43">
        <v>136</v>
      </c>
      <c r="C41" s="43" t="s">
        <v>188</v>
      </c>
      <c r="D41" s="43" t="s">
        <v>283</v>
      </c>
      <c r="E41" s="43">
        <f>4+4</f>
        <v>8</v>
      </c>
      <c r="F41" s="22">
        <v>2.4660000000000002</v>
      </c>
      <c r="G41" s="43"/>
      <c r="H41" s="43">
        <v>4270</v>
      </c>
      <c r="I41" s="43">
        <v>20</v>
      </c>
      <c r="J41" s="43" t="s">
        <v>2</v>
      </c>
      <c r="K41" s="43"/>
      <c r="L41" s="43"/>
      <c r="M41" s="43"/>
      <c r="N41" s="43"/>
      <c r="O41" s="43"/>
      <c r="P41" s="43"/>
      <c r="Q41" s="43"/>
      <c r="R41" s="43"/>
      <c r="S41" s="43" t="s">
        <v>202</v>
      </c>
      <c r="T41" s="43" t="s">
        <v>202</v>
      </c>
      <c r="U41" s="39">
        <v>80</v>
      </c>
    </row>
    <row r="42" spans="1:44" ht="31.5" x14ac:dyDescent="0.25">
      <c r="A42" s="38" t="str">
        <f t="shared" si="2"/>
        <v>Км3.1</v>
      </c>
      <c r="B42" s="43">
        <v>142</v>
      </c>
      <c r="C42" s="43" t="s">
        <v>190</v>
      </c>
      <c r="D42" s="43" t="s">
        <v>277</v>
      </c>
      <c r="E42" s="43">
        <f>38</f>
        <v>38</v>
      </c>
      <c r="F42" s="22">
        <v>0.39500000000000002</v>
      </c>
      <c r="G42" s="43" t="s">
        <v>0</v>
      </c>
      <c r="H42" s="43">
        <f>520*4+150</f>
        <v>2230</v>
      </c>
      <c r="I42" s="43">
        <v>8</v>
      </c>
      <c r="J42" s="43" t="s">
        <v>1</v>
      </c>
      <c r="K42" s="43"/>
      <c r="L42" s="43"/>
      <c r="M42" s="43"/>
      <c r="N42" s="43"/>
      <c r="O42" s="43"/>
      <c r="P42" s="43"/>
      <c r="Q42" s="43"/>
      <c r="R42" s="43"/>
      <c r="S42" s="43" t="s">
        <v>202</v>
      </c>
      <c r="T42" s="43" t="s">
        <v>202</v>
      </c>
      <c r="U42" s="39">
        <v>10</v>
      </c>
    </row>
    <row r="43" spans="1:44" ht="31.5" x14ac:dyDescent="0.25">
      <c r="A43" s="38" t="str">
        <f t="shared" si="2"/>
        <v>Км3.1</v>
      </c>
      <c r="B43" s="43">
        <v>144</v>
      </c>
      <c r="C43" s="43" t="s">
        <v>190</v>
      </c>
      <c r="D43" s="43" t="s">
        <v>278</v>
      </c>
      <c r="E43" s="43">
        <f>38</f>
        <v>38</v>
      </c>
      <c r="F43" s="22">
        <v>0.39500000000000002</v>
      </c>
      <c r="G43" s="43" t="s">
        <v>0</v>
      </c>
      <c r="H43" s="43">
        <f>370*4+150</f>
        <v>1630</v>
      </c>
      <c r="I43" s="43">
        <v>8</v>
      </c>
      <c r="J43" s="43" t="s">
        <v>1</v>
      </c>
      <c r="K43" s="43"/>
      <c r="L43" s="43"/>
      <c r="M43" s="43"/>
      <c r="N43" s="43"/>
      <c r="O43" s="43"/>
      <c r="P43" s="43"/>
      <c r="Q43" s="43"/>
      <c r="R43" s="43"/>
      <c r="S43" s="43" t="s">
        <v>202</v>
      </c>
      <c r="T43" s="43" t="s">
        <v>202</v>
      </c>
      <c r="U43" s="39">
        <v>10</v>
      </c>
    </row>
    <row r="44" spans="1:44" ht="31.5" x14ac:dyDescent="0.25">
      <c r="A44" s="38" t="str">
        <f t="shared" si="2"/>
        <v>Км3.1</v>
      </c>
      <c r="B44" s="43">
        <v>137</v>
      </c>
      <c r="C44" s="43" t="s">
        <v>188</v>
      </c>
      <c r="D44" s="43" t="s">
        <v>284</v>
      </c>
      <c r="E44" s="43">
        <f>4*4</f>
        <v>16</v>
      </c>
      <c r="F44" s="22">
        <v>2.4660000000000002</v>
      </c>
      <c r="G44" s="43"/>
      <c r="H44" s="43">
        <v>4050</v>
      </c>
      <c r="I44" s="43">
        <v>20</v>
      </c>
      <c r="J44" s="43" t="s">
        <v>2</v>
      </c>
      <c r="K44" s="43"/>
      <c r="L44" s="43"/>
      <c r="M44" s="43"/>
      <c r="N44" s="43"/>
      <c r="O44" s="43"/>
      <c r="P44" s="43"/>
      <c r="Q44" s="43"/>
      <c r="R44" s="43"/>
      <c r="S44" s="43" t="s">
        <v>202</v>
      </c>
      <c r="T44" s="43" t="s">
        <v>202</v>
      </c>
      <c r="U44" s="39">
        <v>80</v>
      </c>
    </row>
    <row r="45" spans="1:44" ht="31.5" x14ac:dyDescent="0.25">
      <c r="A45" s="38" t="str">
        <f t="shared" si="2"/>
        <v>Км3.1</v>
      </c>
      <c r="B45" s="43">
        <v>138</v>
      </c>
      <c r="C45" s="43" t="s">
        <v>188</v>
      </c>
      <c r="D45" s="43" t="s">
        <v>194</v>
      </c>
      <c r="E45" s="43">
        <v>4</v>
      </c>
      <c r="F45" s="22">
        <v>2.4660000000000002</v>
      </c>
      <c r="G45" s="43"/>
      <c r="H45" s="43">
        <v>3820</v>
      </c>
      <c r="I45" s="43">
        <v>20</v>
      </c>
      <c r="J45" s="43" t="s">
        <v>2</v>
      </c>
      <c r="K45" s="43"/>
      <c r="L45" s="43"/>
      <c r="M45" s="43"/>
      <c r="N45" s="43"/>
      <c r="O45" s="43"/>
      <c r="P45" s="43"/>
      <c r="Q45" s="43"/>
      <c r="R45" s="43"/>
      <c r="S45" s="43" t="s">
        <v>202</v>
      </c>
      <c r="T45" s="43" t="s">
        <v>202</v>
      </c>
      <c r="U45" s="39">
        <v>80</v>
      </c>
    </row>
    <row r="46" spans="1:44" ht="31.5" x14ac:dyDescent="0.25">
      <c r="A46" s="38" t="str">
        <f t="shared" si="2"/>
        <v>Км3.1</v>
      </c>
      <c r="B46" s="43">
        <v>139</v>
      </c>
      <c r="C46" s="43" t="s">
        <v>188</v>
      </c>
      <c r="D46" s="43" t="s">
        <v>270</v>
      </c>
      <c r="E46" s="43">
        <v>4</v>
      </c>
      <c r="F46" s="22">
        <v>2.4660000000000002</v>
      </c>
      <c r="G46" s="43"/>
      <c r="H46" s="43">
        <v>1430</v>
      </c>
      <c r="I46" s="43">
        <v>20</v>
      </c>
      <c r="J46" s="43" t="s">
        <v>2</v>
      </c>
      <c r="K46" s="43"/>
      <c r="L46" s="43"/>
      <c r="M46" s="43"/>
      <c r="N46" s="43"/>
      <c r="O46" s="43"/>
      <c r="P46" s="43"/>
      <c r="Q46" s="43"/>
      <c r="R46" s="43"/>
      <c r="S46" s="43" t="s">
        <v>202</v>
      </c>
      <c r="T46" s="43" t="s">
        <v>202</v>
      </c>
      <c r="U46" s="39">
        <v>80</v>
      </c>
    </row>
    <row r="47" spans="1:44" ht="31.5" x14ac:dyDescent="0.25">
      <c r="A47" s="38" t="str">
        <f t="shared" si="2"/>
        <v>Км3.1</v>
      </c>
      <c r="B47" s="43">
        <v>143</v>
      </c>
      <c r="C47" s="43" t="s">
        <v>190</v>
      </c>
      <c r="D47" s="43" t="s">
        <v>191</v>
      </c>
      <c r="E47" s="43">
        <f>30+33+29+29+29+29+33+16</f>
        <v>228</v>
      </c>
      <c r="F47" s="22">
        <v>0.39500000000000002</v>
      </c>
      <c r="G47" s="43" t="s">
        <v>0</v>
      </c>
      <c r="H47" s="43">
        <f>420*4+150</f>
        <v>1830</v>
      </c>
      <c r="I47" s="43">
        <v>8</v>
      </c>
      <c r="J47" s="43" t="s">
        <v>1</v>
      </c>
      <c r="K47" s="43"/>
      <c r="L47" s="43"/>
      <c r="M47" s="43"/>
      <c r="N47" s="43"/>
      <c r="O47" s="43"/>
      <c r="P47" s="43"/>
      <c r="Q47" s="43"/>
      <c r="R47" s="43"/>
      <c r="S47" s="43" t="s">
        <v>202</v>
      </c>
      <c r="T47" s="43" t="s">
        <v>202</v>
      </c>
      <c r="U47" s="39">
        <v>10</v>
      </c>
    </row>
    <row r="48" spans="1:44" ht="15.75" x14ac:dyDescent="0.25">
      <c r="A48" s="38" t="str">
        <f t="shared" si="2"/>
        <v>Км3.1</v>
      </c>
      <c r="B48" s="43"/>
      <c r="C48" s="28" t="s">
        <v>195</v>
      </c>
      <c r="D48" s="28" t="s">
        <v>196</v>
      </c>
      <c r="E48" s="28">
        <f>(1.5*1.5*0.25)+(0.6*0.6*29.25)</f>
        <v>11.092499999999999</v>
      </c>
      <c r="F48" s="22" t="s">
        <v>4</v>
      </c>
      <c r="G48" s="43" t="s">
        <v>3</v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39"/>
    </row>
    <row r="49" spans="1:21" ht="15.75" x14ac:dyDescent="0.25">
      <c r="A49" s="38" t="str">
        <f t="shared" si="2"/>
        <v>Км3.1</v>
      </c>
      <c r="B49" s="43"/>
      <c r="C49" s="28" t="s">
        <v>195</v>
      </c>
      <c r="D49" s="28" t="s">
        <v>197</v>
      </c>
      <c r="E49" s="28">
        <f>0.5*0.5*29.25</f>
        <v>7.3125</v>
      </c>
      <c r="F49" s="22" t="s">
        <v>4</v>
      </c>
      <c r="G49" s="43" t="s">
        <v>3</v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39"/>
    </row>
    <row r="50" spans="1:21" ht="15.75" x14ac:dyDescent="0.25">
      <c r="A50" s="38" t="str">
        <f t="shared" si="2"/>
        <v>Км3.1</v>
      </c>
      <c r="B50" s="30"/>
      <c r="C50" s="30" t="s">
        <v>198</v>
      </c>
      <c r="D50" s="30" t="s">
        <v>199</v>
      </c>
      <c r="E50" s="30">
        <v>4</v>
      </c>
      <c r="F50" s="22">
        <v>94.2</v>
      </c>
      <c r="G50" s="43"/>
      <c r="H50" s="43"/>
      <c r="I50" s="43"/>
      <c r="J50" s="43"/>
      <c r="K50" s="22">
        <v>14400</v>
      </c>
      <c r="L50" s="43" t="s">
        <v>23</v>
      </c>
      <c r="M50" s="43" t="s">
        <v>22</v>
      </c>
      <c r="N50" s="43"/>
      <c r="O50" s="43" t="s">
        <v>24</v>
      </c>
      <c r="P50" s="43"/>
      <c r="Q50" s="43"/>
      <c r="R50" s="43"/>
      <c r="S50" s="43"/>
      <c r="T50" s="43"/>
      <c r="U50" s="39"/>
    </row>
    <row r="51" spans="1:21" ht="15.75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</row>
    <row r="52" spans="1:21" ht="15.75" x14ac:dyDescent="0.25">
      <c r="A52" s="21" t="s">
        <v>183</v>
      </c>
      <c r="B52" s="22" t="s">
        <v>183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3"/>
    </row>
    <row r="53" spans="1:21" ht="15.75" x14ac:dyDescent="0.25">
      <c r="A53" s="25" t="str">
        <f>B53</f>
        <v>Км5</v>
      </c>
      <c r="B53" s="26" t="s">
        <v>214</v>
      </c>
      <c r="C53" s="26"/>
      <c r="D53" s="26" t="s">
        <v>215</v>
      </c>
      <c r="E53" s="26">
        <f>3+3+1</f>
        <v>7</v>
      </c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7"/>
    </row>
    <row r="54" spans="1:21" ht="31.5" x14ac:dyDescent="0.25">
      <c r="A54" s="38" t="str">
        <f>A53</f>
        <v>Км5</v>
      </c>
      <c r="B54" s="43">
        <v>177</v>
      </c>
      <c r="C54" s="43" t="s">
        <v>188</v>
      </c>
      <c r="D54" s="43" t="s">
        <v>189</v>
      </c>
      <c r="E54" s="43">
        <v>4</v>
      </c>
      <c r="F54" s="22">
        <v>2.984</v>
      </c>
      <c r="G54" s="43"/>
      <c r="H54" s="43">
        <v>5070</v>
      </c>
      <c r="I54" s="43">
        <v>22</v>
      </c>
      <c r="J54" s="43" t="s">
        <v>2</v>
      </c>
      <c r="K54" s="43"/>
      <c r="L54" s="43"/>
      <c r="M54" s="43"/>
      <c r="N54" s="43"/>
      <c r="O54" s="43"/>
      <c r="P54" s="43"/>
      <c r="Q54" s="43"/>
      <c r="R54" s="43"/>
      <c r="S54" s="43" t="s">
        <v>202</v>
      </c>
      <c r="T54" s="43" t="s">
        <v>202</v>
      </c>
      <c r="U54" s="39">
        <v>88</v>
      </c>
    </row>
    <row r="55" spans="1:21" ht="31.5" x14ac:dyDescent="0.25">
      <c r="A55" s="38" t="str">
        <f t="shared" ref="A55:A59" si="3">A54</f>
        <v>Км5</v>
      </c>
      <c r="B55" s="43">
        <v>179</v>
      </c>
      <c r="C55" s="43" t="s">
        <v>190</v>
      </c>
      <c r="D55" s="43" t="s">
        <v>282</v>
      </c>
      <c r="E55" s="43">
        <f>38+30</f>
        <v>68</v>
      </c>
      <c r="F55" s="22">
        <v>0.39500000000000002</v>
      </c>
      <c r="G55" s="43" t="s">
        <v>0</v>
      </c>
      <c r="H55" s="43">
        <f>420*4+150</f>
        <v>1830</v>
      </c>
      <c r="I55" s="43">
        <v>8</v>
      </c>
      <c r="J55" s="43" t="s">
        <v>1</v>
      </c>
      <c r="K55" s="43"/>
      <c r="L55" s="43"/>
      <c r="M55" s="43"/>
      <c r="N55" s="43"/>
      <c r="O55" s="43"/>
      <c r="P55" s="43"/>
      <c r="Q55" s="43"/>
      <c r="R55" s="43"/>
      <c r="S55" s="43" t="s">
        <v>202</v>
      </c>
      <c r="T55" s="43" t="s">
        <v>202</v>
      </c>
      <c r="U55" s="39">
        <v>10</v>
      </c>
    </row>
    <row r="56" spans="1:21" ht="31.5" x14ac:dyDescent="0.25">
      <c r="A56" s="38" t="str">
        <f t="shared" si="3"/>
        <v>Км5</v>
      </c>
      <c r="B56" s="43">
        <v>178</v>
      </c>
      <c r="C56" s="43" t="s">
        <v>188</v>
      </c>
      <c r="D56" s="43" t="s">
        <v>285</v>
      </c>
      <c r="E56" s="43">
        <v>4</v>
      </c>
      <c r="F56" s="22">
        <v>2.984</v>
      </c>
      <c r="G56" s="43"/>
      <c r="H56" s="43">
        <v>2770</v>
      </c>
      <c r="I56" s="43">
        <v>22</v>
      </c>
      <c r="J56" s="43" t="s">
        <v>2</v>
      </c>
      <c r="K56" s="43"/>
      <c r="L56" s="43"/>
      <c r="M56" s="43"/>
      <c r="N56" s="43"/>
      <c r="O56" s="43"/>
      <c r="P56" s="43"/>
      <c r="Q56" s="43"/>
      <c r="R56" s="43"/>
      <c r="S56" s="43" t="s">
        <v>202</v>
      </c>
      <c r="T56" s="43" t="s">
        <v>202</v>
      </c>
      <c r="U56" s="39">
        <v>88</v>
      </c>
    </row>
    <row r="57" spans="1:21" ht="15.75" x14ac:dyDescent="0.25">
      <c r="A57" s="38" t="str">
        <f t="shared" si="3"/>
        <v>Км5</v>
      </c>
      <c r="B57" s="43"/>
      <c r="C57" s="28" t="s">
        <v>195</v>
      </c>
      <c r="D57" s="28" t="s">
        <v>196</v>
      </c>
      <c r="E57" s="28">
        <f>(1.5*1.5*0.25)+(0.5*0.5*4.57)</f>
        <v>1.7050000000000001</v>
      </c>
      <c r="F57" s="22" t="s">
        <v>4</v>
      </c>
      <c r="G57" s="43" t="s">
        <v>3</v>
      </c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39"/>
    </row>
    <row r="58" spans="1:21" ht="15.75" x14ac:dyDescent="0.25">
      <c r="A58" s="38" t="str">
        <f t="shared" si="3"/>
        <v>Км5</v>
      </c>
      <c r="B58" s="43"/>
      <c r="C58" s="28" t="s">
        <v>195</v>
      </c>
      <c r="D58" s="28" t="s">
        <v>309</v>
      </c>
      <c r="E58" s="28">
        <f>3.77*0.5*0.5</f>
        <v>0.9425</v>
      </c>
      <c r="F58" s="22" t="s">
        <v>4</v>
      </c>
      <c r="G58" s="43" t="s">
        <v>3</v>
      </c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39"/>
    </row>
    <row r="59" spans="1:21" ht="15.75" x14ac:dyDescent="0.25">
      <c r="A59" s="38" t="str">
        <f t="shared" si="3"/>
        <v>Км5</v>
      </c>
      <c r="B59" s="30"/>
      <c r="C59" s="30" t="s">
        <v>198</v>
      </c>
      <c r="D59" s="30" t="s">
        <v>199</v>
      </c>
      <c r="E59" s="30">
        <v>4</v>
      </c>
      <c r="F59" s="22">
        <v>94.2</v>
      </c>
      <c r="G59" s="43"/>
      <c r="H59" s="43"/>
      <c r="I59" s="43"/>
      <c r="J59" s="43"/>
      <c r="K59" s="22">
        <v>14400</v>
      </c>
      <c r="L59" s="43" t="s">
        <v>23</v>
      </c>
      <c r="M59" s="43" t="s">
        <v>22</v>
      </c>
      <c r="N59" s="43"/>
      <c r="O59" s="43" t="s">
        <v>24</v>
      </c>
      <c r="P59" s="43"/>
      <c r="Q59" s="43"/>
      <c r="R59" s="43"/>
      <c r="S59" s="43"/>
      <c r="T59" s="43"/>
      <c r="U59" s="39"/>
    </row>
    <row r="60" spans="1:21" ht="15.7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</row>
    <row r="61" spans="1:21" ht="15.7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</row>
    <row r="62" spans="1:21" ht="15.75" x14ac:dyDescent="0.25">
      <c r="A62" s="21" t="s">
        <v>183</v>
      </c>
      <c r="B62" s="22" t="s">
        <v>183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3"/>
    </row>
    <row r="63" spans="1:21" ht="15.75" x14ac:dyDescent="0.25">
      <c r="A63" s="25" t="str">
        <f>B63</f>
        <v>Км4</v>
      </c>
      <c r="B63" s="26" t="s">
        <v>216</v>
      </c>
      <c r="C63" s="26"/>
      <c r="D63" s="26" t="s">
        <v>217</v>
      </c>
      <c r="E63" s="26">
        <f>1+1+1</f>
        <v>3</v>
      </c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1:21" ht="31.5" x14ac:dyDescent="0.25">
      <c r="A64" s="38" t="str">
        <f>A63</f>
        <v>Км4</v>
      </c>
      <c r="B64" s="43">
        <v>172</v>
      </c>
      <c r="C64" s="43" t="s">
        <v>188</v>
      </c>
      <c r="D64" s="43" t="s">
        <v>189</v>
      </c>
      <c r="E64" s="43">
        <v>4</v>
      </c>
      <c r="F64" s="22">
        <v>2.4660000000000002</v>
      </c>
      <c r="G64" s="43" t="s">
        <v>0</v>
      </c>
      <c r="H64" s="43">
        <v>5080</v>
      </c>
      <c r="I64" s="43">
        <v>20</v>
      </c>
      <c r="J64" s="43" t="s">
        <v>2</v>
      </c>
      <c r="K64" s="43"/>
      <c r="L64" s="43"/>
      <c r="M64" s="43"/>
      <c r="N64" s="43"/>
      <c r="O64" s="43"/>
      <c r="P64" s="43"/>
      <c r="Q64" s="43"/>
      <c r="R64" s="43"/>
      <c r="S64" s="43" t="s">
        <v>202</v>
      </c>
      <c r="T64" s="43" t="s">
        <v>202</v>
      </c>
      <c r="U64" s="39">
        <v>80</v>
      </c>
    </row>
    <row r="65" spans="1:21" ht="31.5" x14ac:dyDescent="0.25">
      <c r="A65" s="38" t="str">
        <f t="shared" ref="A65:A72" si="4">A64</f>
        <v>Км4</v>
      </c>
      <c r="B65" s="43">
        <v>173</v>
      </c>
      <c r="C65" s="43" t="s">
        <v>188</v>
      </c>
      <c r="D65" s="43" t="s">
        <v>189</v>
      </c>
      <c r="E65" s="43">
        <v>4</v>
      </c>
      <c r="F65" s="22">
        <v>1.5780000000000001</v>
      </c>
      <c r="G65" s="43" t="s">
        <v>0</v>
      </c>
      <c r="H65" s="43">
        <v>5020</v>
      </c>
      <c r="I65" s="43">
        <v>16</v>
      </c>
      <c r="J65" s="43" t="s">
        <v>2</v>
      </c>
      <c r="K65" s="43"/>
      <c r="L65" s="43"/>
      <c r="M65" s="43"/>
      <c r="N65" s="43"/>
      <c r="O65" s="43"/>
      <c r="P65" s="43"/>
      <c r="Q65" s="43"/>
      <c r="R65" s="43"/>
      <c r="S65" s="43" t="s">
        <v>202</v>
      </c>
      <c r="T65" s="43" t="s">
        <v>202</v>
      </c>
      <c r="U65" s="39">
        <v>40</v>
      </c>
    </row>
    <row r="66" spans="1:21" ht="31.5" x14ac:dyDescent="0.25">
      <c r="A66" s="38" t="str">
        <f t="shared" si="4"/>
        <v>Км4</v>
      </c>
      <c r="B66" s="43">
        <v>174</v>
      </c>
      <c r="C66" s="43" t="s">
        <v>190</v>
      </c>
      <c r="D66" s="43" t="s">
        <v>286</v>
      </c>
      <c r="E66" s="43">
        <f>38</f>
        <v>38</v>
      </c>
      <c r="F66" s="22">
        <v>0.39500000000000002</v>
      </c>
      <c r="G66" s="43" t="s">
        <v>0</v>
      </c>
      <c r="H66" s="43">
        <f>520*4+150</f>
        <v>2230</v>
      </c>
      <c r="I66" s="43">
        <v>8</v>
      </c>
      <c r="J66" s="43" t="s">
        <v>1</v>
      </c>
      <c r="K66" s="43"/>
      <c r="L66" s="43"/>
      <c r="M66" s="43"/>
      <c r="N66" s="43"/>
      <c r="O66" s="43"/>
      <c r="P66" s="43"/>
      <c r="Q66" s="43"/>
      <c r="R66" s="43"/>
      <c r="S66" s="43" t="s">
        <v>202</v>
      </c>
      <c r="T66" s="43" t="s">
        <v>202</v>
      </c>
      <c r="U66" s="39">
        <v>10</v>
      </c>
    </row>
    <row r="67" spans="1:21" ht="31.5" x14ac:dyDescent="0.25">
      <c r="A67" s="38" t="str">
        <f t="shared" si="4"/>
        <v>Км4</v>
      </c>
      <c r="B67" s="43">
        <v>176</v>
      </c>
      <c r="C67" s="43" t="s">
        <v>190</v>
      </c>
      <c r="D67" s="43" t="s">
        <v>286</v>
      </c>
      <c r="E67" s="43">
        <f>38</f>
        <v>38</v>
      </c>
      <c r="F67" s="22">
        <v>0.39500000000000002</v>
      </c>
      <c r="G67" s="43" t="s">
        <v>0</v>
      </c>
      <c r="H67" s="43">
        <f>370*4+150</f>
        <v>1630</v>
      </c>
      <c r="I67" s="43">
        <v>8</v>
      </c>
      <c r="J67" s="43" t="s">
        <v>1</v>
      </c>
      <c r="K67" s="43"/>
      <c r="L67" s="43"/>
      <c r="M67" s="43"/>
      <c r="N67" s="43"/>
      <c r="O67" s="43"/>
      <c r="P67" s="43"/>
      <c r="Q67" s="43"/>
      <c r="R67" s="43"/>
      <c r="S67" s="43" t="s">
        <v>202</v>
      </c>
      <c r="T67" s="43" t="s">
        <v>202</v>
      </c>
      <c r="U67" s="39">
        <v>10</v>
      </c>
    </row>
    <row r="68" spans="1:21" ht="31.5" x14ac:dyDescent="0.25">
      <c r="A68" s="38" t="str">
        <f t="shared" si="4"/>
        <v>Км4</v>
      </c>
      <c r="B68" s="43">
        <v>170</v>
      </c>
      <c r="C68" s="43" t="s">
        <v>188</v>
      </c>
      <c r="D68" s="43" t="s">
        <v>287</v>
      </c>
      <c r="E68" s="43">
        <f>4*6</f>
        <v>24</v>
      </c>
      <c r="F68" s="22">
        <v>2.4660000000000002</v>
      </c>
      <c r="G68" s="43"/>
      <c r="H68" s="43">
        <v>4050</v>
      </c>
      <c r="I68" s="43">
        <v>20</v>
      </c>
      <c r="J68" s="43" t="s">
        <v>2</v>
      </c>
      <c r="K68" s="43"/>
      <c r="L68" s="43"/>
      <c r="M68" s="43"/>
      <c r="N68" s="43"/>
      <c r="O68" s="43"/>
      <c r="P68" s="43"/>
      <c r="Q68" s="43"/>
      <c r="R68" s="43"/>
      <c r="S68" s="43" t="s">
        <v>202</v>
      </c>
      <c r="T68" s="43" t="s">
        <v>202</v>
      </c>
      <c r="U68" s="39">
        <v>80</v>
      </c>
    </row>
    <row r="69" spans="1:21" ht="31.5" x14ac:dyDescent="0.25">
      <c r="A69" s="38" t="str">
        <f t="shared" si="4"/>
        <v>Км4</v>
      </c>
      <c r="B69" s="43">
        <v>171</v>
      </c>
      <c r="C69" s="43" t="s">
        <v>188</v>
      </c>
      <c r="D69" s="43" t="s">
        <v>270</v>
      </c>
      <c r="E69" s="43">
        <v>4</v>
      </c>
      <c r="F69" s="22">
        <v>2.4660000000000002</v>
      </c>
      <c r="G69" s="43"/>
      <c r="H69" s="43">
        <v>2720</v>
      </c>
      <c r="I69" s="43">
        <v>20</v>
      </c>
      <c r="J69" s="43" t="s">
        <v>2</v>
      </c>
      <c r="K69" s="43"/>
      <c r="L69" s="43"/>
      <c r="M69" s="43"/>
      <c r="N69" s="43"/>
      <c r="O69" s="43"/>
      <c r="P69" s="43"/>
      <c r="Q69" s="43"/>
      <c r="R69" s="43"/>
      <c r="S69" s="43" t="s">
        <v>202</v>
      </c>
      <c r="T69" s="43" t="s">
        <v>202</v>
      </c>
      <c r="U69" s="39">
        <v>80</v>
      </c>
    </row>
    <row r="70" spans="1:21" ht="31.5" x14ac:dyDescent="0.25">
      <c r="A70" s="38" t="str">
        <f t="shared" si="4"/>
        <v>Км4</v>
      </c>
      <c r="B70" s="43">
        <v>175</v>
      </c>
      <c r="C70" s="43" t="s">
        <v>190</v>
      </c>
      <c r="D70" s="43" t="s">
        <v>286</v>
      </c>
      <c r="E70" s="43">
        <f>32+30+29+29+29+29+29</f>
        <v>207</v>
      </c>
      <c r="F70" s="22">
        <v>0.39500000000000002</v>
      </c>
      <c r="G70" s="43" t="s">
        <v>0</v>
      </c>
      <c r="H70" s="43">
        <f>420*4+150</f>
        <v>1830</v>
      </c>
      <c r="I70" s="43">
        <v>8</v>
      </c>
      <c r="J70" s="43" t="s">
        <v>1</v>
      </c>
      <c r="K70" s="43"/>
      <c r="L70" s="43"/>
      <c r="M70" s="43"/>
      <c r="N70" s="43"/>
      <c r="O70" s="43"/>
      <c r="P70" s="43"/>
      <c r="Q70" s="43"/>
      <c r="R70" s="43"/>
      <c r="S70" s="43" t="s">
        <v>202</v>
      </c>
      <c r="T70" s="43" t="s">
        <v>202</v>
      </c>
      <c r="U70" s="39">
        <v>10</v>
      </c>
    </row>
    <row r="71" spans="1:21" ht="15.75" x14ac:dyDescent="0.25">
      <c r="A71" s="38" t="str">
        <f t="shared" si="4"/>
        <v>Км4</v>
      </c>
      <c r="B71" s="43"/>
      <c r="C71" s="28" t="s">
        <v>195</v>
      </c>
      <c r="D71" s="28" t="s">
        <v>309</v>
      </c>
      <c r="E71" s="28">
        <f>(1.5*1.5*0.25)+(0.6*0.6*4.57)</f>
        <v>2.2077</v>
      </c>
      <c r="F71" s="22" t="s">
        <v>4</v>
      </c>
      <c r="G71" s="43" t="s">
        <v>3</v>
      </c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39"/>
    </row>
    <row r="72" spans="1:21" ht="15.75" x14ac:dyDescent="0.25">
      <c r="A72" s="38" t="str">
        <f t="shared" si="4"/>
        <v>Км4</v>
      </c>
      <c r="B72" s="30"/>
      <c r="C72" s="30" t="s">
        <v>198</v>
      </c>
      <c r="D72" s="30" t="s">
        <v>199</v>
      </c>
      <c r="E72" s="30">
        <v>4</v>
      </c>
      <c r="F72" s="22">
        <v>94.2</v>
      </c>
      <c r="G72" s="43"/>
      <c r="H72" s="43"/>
      <c r="I72" s="43"/>
      <c r="J72" s="43"/>
      <c r="K72" s="22">
        <v>14400</v>
      </c>
      <c r="L72" s="43" t="s">
        <v>23</v>
      </c>
      <c r="M72" s="43" t="s">
        <v>22</v>
      </c>
      <c r="N72" s="43"/>
      <c r="O72" s="43" t="s">
        <v>24</v>
      </c>
      <c r="P72" s="43"/>
      <c r="Q72" s="43"/>
      <c r="R72" s="43"/>
      <c r="S72" s="43"/>
      <c r="T72" s="43"/>
      <c r="U72" s="39"/>
    </row>
    <row r="73" spans="1:21" ht="15.7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</row>
    <row r="74" spans="1:21" ht="31.5" x14ac:dyDescent="0.25">
      <c r="A74" s="25" t="str">
        <f>B74</f>
        <v>Км12.1</v>
      </c>
      <c r="B74" s="26" t="s">
        <v>218</v>
      </c>
      <c r="C74" s="26"/>
      <c r="D74" s="26" t="s">
        <v>219</v>
      </c>
      <c r="E74" s="26">
        <v>1</v>
      </c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1:21" ht="31.5" x14ac:dyDescent="0.25">
      <c r="A75" s="38" t="str">
        <f>A74</f>
        <v>Км12.1</v>
      </c>
      <c r="B75" s="43">
        <v>75</v>
      </c>
      <c r="C75" s="43" t="s">
        <v>188</v>
      </c>
      <c r="D75" s="43" t="s">
        <v>189</v>
      </c>
      <c r="E75" s="43">
        <v>4</v>
      </c>
      <c r="F75" s="22">
        <v>2.4660000000000002</v>
      </c>
      <c r="G75" s="43"/>
      <c r="H75" s="43">
        <v>5070</v>
      </c>
      <c r="I75" s="43">
        <v>20</v>
      </c>
      <c r="J75" s="43" t="s">
        <v>2</v>
      </c>
      <c r="K75" s="43"/>
      <c r="L75" s="43"/>
      <c r="M75" s="43"/>
      <c r="N75" s="43"/>
      <c r="O75" s="43"/>
      <c r="P75" s="43"/>
      <c r="Q75" s="43"/>
      <c r="R75" s="43"/>
      <c r="S75" s="43" t="s">
        <v>202</v>
      </c>
      <c r="T75" s="43" t="s">
        <v>202</v>
      </c>
      <c r="U75" s="39">
        <v>80</v>
      </c>
    </row>
    <row r="76" spans="1:21" ht="31.5" x14ac:dyDescent="0.25">
      <c r="A76" s="38" t="str">
        <f t="shared" ref="A76:A88" si="5">A75</f>
        <v>Км12.1</v>
      </c>
      <c r="B76" s="43">
        <v>80</v>
      </c>
      <c r="C76" s="43" t="s">
        <v>188</v>
      </c>
      <c r="D76" s="43" t="s">
        <v>189</v>
      </c>
      <c r="E76" s="43">
        <v>4</v>
      </c>
      <c r="F76" s="22">
        <v>1.5780000000000001</v>
      </c>
      <c r="G76" s="43" t="s">
        <v>0</v>
      </c>
      <c r="H76" s="43">
        <v>5870</v>
      </c>
      <c r="I76" s="43">
        <v>16</v>
      </c>
      <c r="J76" s="43" t="s">
        <v>2</v>
      </c>
      <c r="K76" s="43"/>
      <c r="L76" s="43"/>
      <c r="M76" s="43"/>
      <c r="N76" s="43"/>
      <c r="O76" s="43"/>
      <c r="P76" s="43"/>
      <c r="Q76" s="43"/>
      <c r="R76" s="43"/>
      <c r="S76" s="43" t="s">
        <v>202</v>
      </c>
      <c r="T76" s="43" t="s">
        <v>202</v>
      </c>
      <c r="U76" s="39">
        <v>40</v>
      </c>
    </row>
    <row r="77" spans="1:21" ht="31.5" x14ac:dyDescent="0.25">
      <c r="A77" s="38" t="str">
        <f t="shared" si="5"/>
        <v>Км12.1</v>
      </c>
      <c r="B77" s="43">
        <v>83</v>
      </c>
      <c r="C77" s="43" t="s">
        <v>190</v>
      </c>
      <c r="D77" s="43" t="s">
        <v>278</v>
      </c>
      <c r="E77" s="43">
        <f>38+32+33+29</f>
        <v>132</v>
      </c>
      <c r="F77" s="22">
        <v>0.39500000000000002</v>
      </c>
      <c r="G77" s="43" t="s">
        <v>0</v>
      </c>
      <c r="H77" s="43">
        <f>520*4+150</f>
        <v>2230</v>
      </c>
      <c r="I77" s="43">
        <v>8</v>
      </c>
      <c r="J77" s="43" t="s">
        <v>1</v>
      </c>
      <c r="K77" s="43"/>
      <c r="L77" s="43"/>
      <c r="M77" s="43"/>
      <c r="N77" s="43"/>
      <c r="O77" s="43"/>
      <c r="P77" s="43"/>
      <c r="Q77" s="43"/>
      <c r="R77" s="43"/>
      <c r="S77" s="43" t="s">
        <v>202</v>
      </c>
      <c r="T77" s="43" t="s">
        <v>202</v>
      </c>
      <c r="U77" s="39">
        <v>10</v>
      </c>
    </row>
    <row r="78" spans="1:21" ht="31.5" x14ac:dyDescent="0.25">
      <c r="A78" s="38" t="str">
        <f t="shared" si="5"/>
        <v>Км12.1</v>
      </c>
      <c r="B78" s="43">
        <v>85</v>
      </c>
      <c r="C78" s="43" t="s">
        <v>190</v>
      </c>
      <c r="D78" s="43" t="s">
        <v>278</v>
      </c>
      <c r="E78" s="43">
        <f>38+32+33+29</f>
        <v>132</v>
      </c>
      <c r="F78" s="22">
        <v>0.39500000000000002</v>
      </c>
      <c r="G78" s="43" t="s">
        <v>0</v>
      </c>
      <c r="H78" s="43">
        <f>370*4+150</f>
        <v>1630</v>
      </c>
      <c r="I78" s="43">
        <v>8</v>
      </c>
      <c r="J78" s="43" t="s">
        <v>1</v>
      </c>
      <c r="K78" s="43"/>
      <c r="L78" s="43"/>
      <c r="M78" s="43"/>
      <c r="N78" s="43"/>
      <c r="O78" s="43"/>
      <c r="P78" s="43"/>
      <c r="Q78" s="43"/>
      <c r="R78" s="43"/>
      <c r="S78" s="43" t="s">
        <v>202</v>
      </c>
      <c r="T78" s="43" t="s">
        <v>202</v>
      </c>
      <c r="U78" s="39">
        <v>10</v>
      </c>
    </row>
    <row r="79" spans="1:21" ht="31.5" x14ac:dyDescent="0.25">
      <c r="A79" s="38" t="str">
        <f t="shared" si="5"/>
        <v>Км12.1</v>
      </c>
      <c r="B79" s="43">
        <v>79</v>
      </c>
      <c r="C79" s="43" t="s">
        <v>271</v>
      </c>
      <c r="D79" s="43" t="s">
        <v>288</v>
      </c>
      <c r="E79" s="43">
        <v>4</v>
      </c>
      <c r="F79" s="22">
        <v>1.5780000000000001</v>
      </c>
      <c r="G79" s="43" t="s">
        <v>0</v>
      </c>
      <c r="H79" s="43">
        <v>5970</v>
      </c>
      <c r="I79" s="43">
        <v>16</v>
      </c>
      <c r="J79" s="43" t="s">
        <v>2</v>
      </c>
      <c r="K79" s="43"/>
      <c r="L79" s="43"/>
      <c r="M79" s="43"/>
      <c r="N79" s="43"/>
      <c r="O79" s="43"/>
      <c r="P79" s="43"/>
      <c r="Q79" s="43"/>
      <c r="R79" s="43"/>
      <c r="S79" s="43" t="s">
        <v>202</v>
      </c>
      <c r="T79" s="43" t="s">
        <v>202</v>
      </c>
      <c r="U79" s="39">
        <v>40</v>
      </c>
    </row>
    <row r="80" spans="1:21" ht="31.5" x14ac:dyDescent="0.25">
      <c r="A80" s="38" t="str">
        <f t="shared" si="5"/>
        <v>Км12.1</v>
      </c>
      <c r="B80" s="43">
        <v>81</v>
      </c>
      <c r="C80" s="43" t="s">
        <v>271</v>
      </c>
      <c r="D80" s="43" t="s">
        <v>204</v>
      </c>
      <c r="E80" s="43">
        <v>4</v>
      </c>
      <c r="F80" s="22">
        <v>1.5780000000000001</v>
      </c>
      <c r="G80" s="43" t="s">
        <v>0</v>
      </c>
      <c r="H80" s="43">
        <v>4870</v>
      </c>
      <c r="I80" s="43">
        <v>16</v>
      </c>
      <c r="J80" s="43" t="s">
        <v>2</v>
      </c>
      <c r="K80" s="43"/>
      <c r="L80" s="43"/>
      <c r="M80" s="43"/>
      <c r="N80" s="43"/>
      <c r="O80" s="43"/>
      <c r="P80" s="43"/>
      <c r="Q80" s="43"/>
      <c r="R80" s="43"/>
      <c r="S80" s="43" t="s">
        <v>202</v>
      </c>
      <c r="T80" s="43" t="s">
        <v>202</v>
      </c>
      <c r="U80" s="39">
        <v>40</v>
      </c>
    </row>
    <row r="81" spans="1:21" ht="31.5" x14ac:dyDescent="0.25">
      <c r="A81" s="38" t="str">
        <f t="shared" si="5"/>
        <v>Км12.1</v>
      </c>
      <c r="B81" s="43">
        <v>78</v>
      </c>
      <c r="C81" s="43" t="s">
        <v>279</v>
      </c>
      <c r="D81" s="43" t="s">
        <v>280</v>
      </c>
      <c r="E81" s="43">
        <v>4</v>
      </c>
      <c r="F81" s="22">
        <v>2.4660000000000002</v>
      </c>
      <c r="G81" s="43" t="s">
        <v>0</v>
      </c>
      <c r="H81" s="43">
        <v>4060</v>
      </c>
      <c r="I81" s="43">
        <v>20</v>
      </c>
      <c r="J81" s="43" t="s">
        <v>2</v>
      </c>
      <c r="K81" s="43"/>
      <c r="L81" s="43"/>
      <c r="M81" s="43"/>
      <c r="N81" s="43"/>
      <c r="O81" s="43"/>
      <c r="P81" s="43"/>
      <c r="Q81" s="43"/>
      <c r="R81" s="43"/>
      <c r="S81" s="43" t="s">
        <v>202</v>
      </c>
      <c r="T81" s="43" t="s">
        <v>202</v>
      </c>
      <c r="U81" s="39">
        <v>80</v>
      </c>
    </row>
    <row r="82" spans="1:21" ht="31.5" x14ac:dyDescent="0.25">
      <c r="A82" s="38" t="str">
        <f t="shared" si="5"/>
        <v>Км12.1</v>
      </c>
      <c r="B82" s="43">
        <v>82</v>
      </c>
      <c r="C82" s="43" t="s">
        <v>281</v>
      </c>
      <c r="D82" s="43" t="s">
        <v>280</v>
      </c>
      <c r="E82" s="43">
        <v>4</v>
      </c>
      <c r="F82" s="22">
        <v>1.5780000000000001</v>
      </c>
      <c r="G82" s="43" t="s">
        <v>0</v>
      </c>
      <c r="H82" s="43">
        <v>4400</v>
      </c>
      <c r="I82" s="43">
        <v>16</v>
      </c>
      <c r="J82" s="43" t="s">
        <v>2</v>
      </c>
      <c r="K82" s="43"/>
      <c r="L82" s="43"/>
      <c r="M82" s="43"/>
      <c r="N82" s="43"/>
      <c r="O82" s="43"/>
      <c r="P82" s="43"/>
      <c r="Q82" s="43"/>
      <c r="R82" s="43"/>
      <c r="S82" s="43" t="s">
        <v>202</v>
      </c>
      <c r="T82" s="43" t="s">
        <v>202</v>
      </c>
      <c r="U82" s="39">
        <v>40</v>
      </c>
    </row>
    <row r="83" spans="1:21" ht="31.5" x14ac:dyDescent="0.25">
      <c r="A83" s="38" t="str">
        <f t="shared" si="5"/>
        <v>Км12.1</v>
      </c>
      <c r="B83" s="43">
        <v>76</v>
      </c>
      <c r="C83" s="43" t="s">
        <v>188</v>
      </c>
      <c r="D83" s="43" t="s">
        <v>274</v>
      </c>
      <c r="E83" s="43">
        <f>4*4</f>
        <v>16</v>
      </c>
      <c r="F83" s="22">
        <v>2.4660000000000002</v>
      </c>
      <c r="G83" s="43"/>
      <c r="H83" s="43">
        <v>4050</v>
      </c>
      <c r="I83" s="43">
        <v>20</v>
      </c>
      <c r="J83" s="43" t="s">
        <v>2</v>
      </c>
      <c r="K83" s="43"/>
      <c r="L83" s="43"/>
      <c r="M83" s="43"/>
      <c r="N83" s="43"/>
      <c r="O83" s="43"/>
      <c r="P83" s="43"/>
      <c r="Q83" s="43"/>
      <c r="R83" s="43"/>
      <c r="S83" s="43" t="s">
        <v>202</v>
      </c>
      <c r="T83" s="43" t="s">
        <v>202</v>
      </c>
      <c r="U83" s="39">
        <v>80</v>
      </c>
    </row>
    <row r="84" spans="1:21" ht="31.5" x14ac:dyDescent="0.25">
      <c r="A84" s="38" t="str">
        <f t="shared" si="5"/>
        <v>Км12.1</v>
      </c>
      <c r="B84" s="43">
        <v>77</v>
      </c>
      <c r="C84" s="43" t="s">
        <v>188</v>
      </c>
      <c r="D84" s="43" t="s">
        <v>269</v>
      </c>
      <c r="E84" s="43">
        <v>4</v>
      </c>
      <c r="F84" s="22">
        <v>2.4660000000000002</v>
      </c>
      <c r="G84" s="43"/>
      <c r="H84" s="43">
        <v>2720</v>
      </c>
      <c r="I84" s="43">
        <v>20</v>
      </c>
      <c r="J84" s="43" t="s">
        <v>2</v>
      </c>
      <c r="K84" s="43"/>
      <c r="L84" s="43"/>
      <c r="M84" s="43"/>
      <c r="N84" s="43"/>
      <c r="O84" s="43"/>
      <c r="P84" s="43"/>
      <c r="Q84" s="43"/>
      <c r="R84" s="43"/>
      <c r="S84" s="43" t="s">
        <v>202</v>
      </c>
      <c r="T84" s="43" t="s">
        <v>202</v>
      </c>
      <c r="U84" s="39">
        <v>80</v>
      </c>
    </row>
    <row r="85" spans="1:21" ht="31.5" x14ac:dyDescent="0.25">
      <c r="A85" s="38" t="str">
        <f t="shared" si="5"/>
        <v>Км12.1</v>
      </c>
      <c r="B85" s="43">
        <v>84</v>
      </c>
      <c r="C85" s="43" t="s">
        <v>190</v>
      </c>
      <c r="D85" s="43" t="s">
        <v>286</v>
      </c>
      <c r="E85" s="43">
        <f>29+29+31+29</f>
        <v>118</v>
      </c>
      <c r="F85" s="22">
        <v>0.39500000000000002</v>
      </c>
      <c r="G85" s="43" t="s">
        <v>0</v>
      </c>
      <c r="H85" s="43">
        <f>420*4+150</f>
        <v>1830</v>
      </c>
      <c r="I85" s="43">
        <v>8</v>
      </c>
      <c r="J85" s="43" t="s">
        <v>1</v>
      </c>
      <c r="K85" s="43"/>
      <c r="L85" s="43"/>
      <c r="M85" s="43"/>
      <c r="N85" s="43"/>
      <c r="O85" s="43"/>
      <c r="P85" s="43"/>
      <c r="Q85" s="43"/>
      <c r="R85" s="43"/>
      <c r="S85" s="43" t="s">
        <v>202</v>
      </c>
      <c r="T85" s="43" t="s">
        <v>202</v>
      </c>
      <c r="U85" s="39">
        <v>10</v>
      </c>
    </row>
    <row r="86" spans="1:21" ht="15.75" x14ac:dyDescent="0.25">
      <c r="A86" s="38" t="str">
        <f t="shared" si="5"/>
        <v>Км12.1</v>
      </c>
      <c r="B86" s="43"/>
      <c r="C86" s="28" t="s">
        <v>195</v>
      </c>
      <c r="D86" s="28" t="s">
        <v>196</v>
      </c>
      <c r="E86" s="28">
        <f>(1.5*1.5*0.25)+(0.6*0.6*4.57)</f>
        <v>2.2077</v>
      </c>
      <c r="F86" s="22" t="s">
        <v>4</v>
      </c>
      <c r="G86" s="43" t="s">
        <v>3</v>
      </c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39"/>
    </row>
    <row r="87" spans="1:21" ht="15.75" x14ac:dyDescent="0.25">
      <c r="A87" s="38" t="str">
        <f t="shared" si="5"/>
        <v>Км12.1</v>
      </c>
      <c r="B87" s="43"/>
      <c r="C87" s="28" t="s">
        <v>195</v>
      </c>
      <c r="D87" s="28" t="s">
        <v>197</v>
      </c>
      <c r="E87" s="28">
        <f>(0.6*0.6*11.6)+(0.5*0.5*14.87)</f>
        <v>7.8934999999999995</v>
      </c>
      <c r="F87" s="22" t="s">
        <v>4</v>
      </c>
      <c r="G87" s="43" t="s">
        <v>3</v>
      </c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39"/>
    </row>
    <row r="88" spans="1:21" ht="15.75" x14ac:dyDescent="0.25">
      <c r="A88" s="38" t="str">
        <f t="shared" si="5"/>
        <v>Км12.1</v>
      </c>
      <c r="B88" s="30"/>
      <c r="C88" s="30" t="s">
        <v>198</v>
      </c>
      <c r="D88" s="30" t="s">
        <v>199</v>
      </c>
      <c r="E88" s="30">
        <v>4</v>
      </c>
      <c r="F88" s="22">
        <v>94.2</v>
      </c>
      <c r="G88" s="43"/>
      <c r="H88" s="43"/>
      <c r="I88" s="43"/>
      <c r="J88" s="43"/>
      <c r="K88" s="22">
        <v>14400</v>
      </c>
      <c r="L88" s="43" t="s">
        <v>23</v>
      </c>
      <c r="M88" s="43" t="s">
        <v>22</v>
      </c>
      <c r="N88" s="43"/>
      <c r="O88" s="43" t="s">
        <v>24</v>
      </c>
      <c r="P88" s="43"/>
      <c r="Q88" s="43"/>
      <c r="R88" s="43"/>
      <c r="S88" s="43"/>
      <c r="T88" s="43"/>
      <c r="U88" s="39"/>
    </row>
    <row r="89" spans="1:21" ht="15.75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</row>
    <row r="90" spans="1:21" ht="15.7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</row>
    <row r="92" spans="1:21" ht="15.75" x14ac:dyDescent="0.25">
      <c r="A92" s="21" t="s">
        <v>183</v>
      </c>
      <c r="B92" s="22" t="s">
        <v>183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3"/>
    </row>
    <row r="93" spans="1:21" ht="31.5" x14ac:dyDescent="0.25">
      <c r="A93" s="25" t="str">
        <f>B93</f>
        <v>Км1.3.1</v>
      </c>
      <c r="B93" s="26" t="s">
        <v>220</v>
      </c>
      <c r="C93" s="26"/>
      <c r="D93" s="26" t="s">
        <v>221</v>
      </c>
      <c r="E93" s="26">
        <f>1+1</f>
        <v>2</v>
      </c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7"/>
    </row>
    <row r="94" spans="1:21" ht="31.5" x14ac:dyDescent="0.25">
      <c r="A94" s="38" t="str">
        <f>A93</f>
        <v>Км1.3.1</v>
      </c>
      <c r="B94" s="43">
        <v>12</v>
      </c>
      <c r="C94" s="43" t="s">
        <v>188</v>
      </c>
      <c r="D94" s="43" t="s">
        <v>189</v>
      </c>
      <c r="E94" s="43">
        <v>4</v>
      </c>
      <c r="F94" s="22">
        <v>2.984</v>
      </c>
      <c r="G94" s="43"/>
      <c r="H94" s="43">
        <v>5070</v>
      </c>
      <c r="I94" s="43">
        <v>22</v>
      </c>
      <c r="J94" s="43" t="s">
        <v>2</v>
      </c>
      <c r="K94" s="43"/>
      <c r="L94" s="43"/>
      <c r="M94" s="43"/>
      <c r="N94" s="43"/>
      <c r="O94" s="43"/>
      <c r="P94" s="43"/>
      <c r="Q94" s="43"/>
      <c r="R94" s="43"/>
      <c r="S94" s="43" t="s">
        <v>202</v>
      </c>
      <c r="T94" s="43" t="s">
        <v>202</v>
      </c>
      <c r="U94" s="39">
        <v>88</v>
      </c>
    </row>
    <row r="95" spans="1:21" ht="31.5" x14ac:dyDescent="0.25">
      <c r="A95" s="38" t="str">
        <f t="shared" ref="A95:A102" si="6">A94</f>
        <v>Км1.3.1</v>
      </c>
      <c r="B95" s="43">
        <v>17</v>
      </c>
      <c r="C95" s="43" t="s">
        <v>190</v>
      </c>
      <c r="D95" s="43" t="s">
        <v>191</v>
      </c>
      <c r="E95" s="43">
        <f>38+34+(29*4)+26+33</f>
        <v>247</v>
      </c>
      <c r="F95" s="22">
        <v>0.39500000000000002</v>
      </c>
      <c r="G95" s="43" t="s">
        <v>0</v>
      </c>
      <c r="H95" s="43">
        <f>420*4+150</f>
        <v>1830</v>
      </c>
      <c r="I95" s="43">
        <v>8</v>
      </c>
      <c r="J95" s="43" t="s">
        <v>1</v>
      </c>
      <c r="K95" s="43"/>
      <c r="L95" s="43"/>
      <c r="M95" s="43"/>
      <c r="N95" s="43"/>
      <c r="O95" s="43"/>
      <c r="P95" s="43"/>
      <c r="Q95" s="43"/>
      <c r="R95" s="43"/>
      <c r="S95" s="43" t="s">
        <v>202</v>
      </c>
      <c r="T95" s="43" t="s">
        <v>202</v>
      </c>
      <c r="U95" s="39">
        <v>10</v>
      </c>
    </row>
    <row r="96" spans="1:21" ht="31.5" x14ac:dyDescent="0.25">
      <c r="A96" s="38" t="str">
        <f t="shared" si="6"/>
        <v>Км1.3.1</v>
      </c>
      <c r="B96" s="43">
        <v>13</v>
      </c>
      <c r="C96" s="43" t="s">
        <v>188</v>
      </c>
      <c r="D96" s="43" t="s">
        <v>192</v>
      </c>
      <c r="E96" s="43">
        <v>4</v>
      </c>
      <c r="F96" s="22">
        <v>2.4660000000000002</v>
      </c>
      <c r="G96" s="43"/>
      <c r="H96" s="43">
        <v>4500</v>
      </c>
      <c r="I96" s="43">
        <v>20</v>
      </c>
      <c r="J96" s="43" t="s">
        <v>2</v>
      </c>
      <c r="K96" s="43"/>
      <c r="L96" s="43"/>
      <c r="M96" s="43"/>
      <c r="N96" s="43"/>
      <c r="O96" s="43"/>
      <c r="P96" s="43"/>
      <c r="Q96" s="43"/>
      <c r="R96" s="43"/>
      <c r="S96" s="43" t="s">
        <v>202</v>
      </c>
      <c r="T96" s="43" t="s">
        <v>202</v>
      </c>
      <c r="U96" s="39">
        <v>80</v>
      </c>
    </row>
    <row r="97" spans="1:21" ht="31.5" x14ac:dyDescent="0.25">
      <c r="A97" s="38" t="str">
        <f t="shared" si="6"/>
        <v>Км1.3.1</v>
      </c>
      <c r="B97" s="43">
        <v>14</v>
      </c>
      <c r="C97" s="43" t="s">
        <v>188</v>
      </c>
      <c r="D97" s="43" t="s">
        <v>289</v>
      </c>
      <c r="E97" s="43">
        <f>4*4</f>
        <v>16</v>
      </c>
      <c r="F97" s="22">
        <v>2.4660000000000002</v>
      </c>
      <c r="G97" s="43"/>
      <c r="H97" s="43">
        <v>4050</v>
      </c>
      <c r="I97" s="43">
        <v>20</v>
      </c>
      <c r="J97" s="43" t="s">
        <v>2</v>
      </c>
      <c r="K97" s="43"/>
      <c r="L97" s="43"/>
      <c r="M97" s="43"/>
      <c r="N97" s="43"/>
      <c r="O97" s="43"/>
      <c r="P97" s="43"/>
      <c r="Q97" s="43"/>
      <c r="R97" s="43"/>
      <c r="S97" s="43" t="s">
        <v>202</v>
      </c>
      <c r="T97" s="43" t="s">
        <v>202</v>
      </c>
      <c r="U97" s="39">
        <v>80</v>
      </c>
    </row>
    <row r="98" spans="1:21" ht="31.5" x14ac:dyDescent="0.25">
      <c r="A98" s="38" t="str">
        <f t="shared" si="6"/>
        <v>Км1.3.1</v>
      </c>
      <c r="B98" s="43">
        <v>15</v>
      </c>
      <c r="C98" s="43" t="s">
        <v>188</v>
      </c>
      <c r="D98" s="43" t="s">
        <v>290</v>
      </c>
      <c r="E98" s="43">
        <v>4</v>
      </c>
      <c r="F98" s="22">
        <v>2.4660000000000002</v>
      </c>
      <c r="G98" s="43"/>
      <c r="H98" s="43">
        <v>3500</v>
      </c>
      <c r="I98" s="43">
        <v>20</v>
      </c>
      <c r="J98" s="43" t="s">
        <v>2</v>
      </c>
      <c r="K98" s="43"/>
      <c r="L98" s="43"/>
      <c r="M98" s="43"/>
      <c r="N98" s="43"/>
      <c r="O98" s="43"/>
      <c r="P98" s="43"/>
      <c r="Q98" s="43"/>
      <c r="R98" s="43"/>
      <c r="S98" s="43" t="s">
        <v>202</v>
      </c>
      <c r="T98" s="43" t="s">
        <v>202</v>
      </c>
      <c r="U98" s="39">
        <v>80</v>
      </c>
    </row>
    <row r="99" spans="1:21" ht="31.5" x14ac:dyDescent="0.25">
      <c r="A99" s="38" t="str">
        <f t="shared" si="6"/>
        <v>Км1.3.1</v>
      </c>
      <c r="B99" s="43">
        <v>16</v>
      </c>
      <c r="C99" s="43" t="s">
        <v>188</v>
      </c>
      <c r="D99" s="43" t="s">
        <v>194</v>
      </c>
      <c r="E99" s="43">
        <v>4</v>
      </c>
      <c r="F99" s="22">
        <v>2.4660000000000002</v>
      </c>
      <c r="G99" s="43"/>
      <c r="H99" s="43">
        <v>3270</v>
      </c>
      <c r="I99" s="43">
        <v>20</v>
      </c>
      <c r="J99" s="43" t="s">
        <v>2</v>
      </c>
      <c r="K99" s="43"/>
      <c r="L99" s="43"/>
      <c r="M99" s="43"/>
      <c r="N99" s="43"/>
      <c r="O99" s="43"/>
      <c r="P99" s="43"/>
      <c r="Q99" s="43"/>
      <c r="R99" s="43"/>
      <c r="S99" s="43" t="s">
        <v>202</v>
      </c>
      <c r="T99" s="43" t="s">
        <v>202</v>
      </c>
      <c r="U99" s="39">
        <v>80</v>
      </c>
    </row>
    <row r="100" spans="1:21" ht="15.75" x14ac:dyDescent="0.25">
      <c r="A100" s="38" t="str">
        <f t="shared" si="6"/>
        <v>Км1.3.1</v>
      </c>
      <c r="B100" s="43"/>
      <c r="C100" s="28" t="s">
        <v>195</v>
      </c>
      <c r="D100" s="28" t="s">
        <v>196</v>
      </c>
      <c r="E100" s="28">
        <f>4.82*0.5*0.5</f>
        <v>1.2050000000000001</v>
      </c>
      <c r="F100" s="22" t="s">
        <v>4</v>
      </c>
      <c r="G100" s="43" t="s">
        <v>3</v>
      </c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39"/>
    </row>
    <row r="101" spans="1:21" ht="15.75" x14ac:dyDescent="0.25">
      <c r="A101" s="38" t="str">
        <f t="shared" si="6"/>
        <v>Км1.3.1</v>
      </c>
      <c r="B101" s="43"/>
      <c r="C101" s="28" t="s">
        <v>195</v>
      </c>
      <c r="D101" s="28" t="s">
        <v>197</v>
      </c>
      <c r="E101" s="28">
        <f>26.97*0.5*0.5</f>
        <v>6.7424999999999997</v>
      </c>
      <c r="F101" s="22" t="s">
        <v>4</v>
      </c>
      <c r="G101" s="43" t="s">
        <v>3</v>
      </c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39"/>
    </row>
    <row r="102" spans="1:21" ht="15.75" x14ac:dyDescent="0.25">
      <c r="A102" s="38" t="str">
        <f t="shared" si="6"/>
        <v>Км1.3.1</v>
      </c>
      <c r="B102" s="30"/>
      <c r="C102" s="30" t="s">
        <v>198</v>
      </c>
      <c r="D102" s="30" t="s">
        <v>199</v>
      </c>
      <c r="E102" s="30">
        <v>4</v>
      </c>
      <c r="F102" s="22">
        <v>94.2</v>
      </c>
      <c r="G102" s="43"/>
      <c r="H102" s="43"/>
      <c r="I102" s="43"/>
      <c r="J102" s="43"/>
      <c r="K102" s="22">
        <v>14400</v>
      </c>
      <c r="L102" s="43" t="s">
        <v>23</v>
      </c>
      <c r="M102" s="43" t="s">
        <v>22</v>
      </c>
      <c r="N102" s="43"/>
      <c r="O102" s="43" t="s">
        <v>24</v>
      </c>
      <c r="P102" s="43"/>
      <c r="Q102" s="43"/>
      <c r="R102" s="43"/>
      <c r="S102" s="43"/>
      <c r="T102" s="43"/>
      <c r="U102" s="39"/>
    </row>
    <row r="103" spans="1:21" ht="15.75" x14ac:dyDescent="0.2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</row>
    <row r="104" spans="1:21" ht="15.75" x14ac:dyDescent="0.25">
      <c r="A104" s="21" t="s">
        <v>183</v>
      </c>
      <c r="B104" s="22" t="s">
        <v>183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3"/>
    </row>
    <row r="105" spans="1:21" ht="15.75" x14ac:dyDescent="0.25">
      <c r="A105" s="25" t="str">
        <f>B105</f>
        <v>Км1.2</v>
      </c>
      <c r="B105" s="26" t="s">
        <v>222</v>
      </c>
      <c r="C105" s="26"/>
      <c r="D105" s="26" t="s">
        <v>223</v>
      </c>
      <c r="E105" s="26">
        <v>1</v>
      </c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7"/>
    </row>
    <row r="106" spans="1:21" ht="31.5" x14ac:dyDescent="0.25">
      <c r="A106" s="38" t="str">
        <f>A105</f>
        <v>Км1.2</v>
      </c>
      <c r="B106" s="43">
        <v>1</v>
      </c>
      <c r="C106" s="43" t="s">
        <v>188</v>
      </c>
      <c r="D106" s="43" t="s">
        <v>189</v>
      </c>
      <c r="E106" s="43">
        <v>4</v>
      </c>
      <c r="F106" s="22">
        <v>2.984</v>
      </c>
      <c r="G106" s="43"/>
      <c r="H106" s="43">
        <v>5070</v>
      </c>
      <c r="I106" s="43">
        <v>22</v>
      </c>
      <c r="J106" s="43" t="s">
        <v>2</v>
      </c>
      <c r="K106" s="43"/>
      <c r="L106" s="43"/>
      <c r="M106" s="43"/>
      <c r="N106" s="43"/>
      <c r="O106" s="43"/>
      <c r="P106" s="43"/>
      <c r="Q106" s="43"/>
      <c r="R106" s="43"/>
      <c r="S106" s="43" t="s">
        <v>202</v>
      </c>
      <c r="T106" s="43" t="s">
        <v>202</v>
      </c>
      <c r="U106" s="39">
        <v>88</v>
      </c>
    </row>
    <row r="107" spans="1:21" ht="31.5" x14ac:dyDescent="0.25">
      <c r="A107" s="38" t="str">
        <f t="shared" ref="A107:A114" si="7">A106</f>
        <v>Км1.2</v>
      </c>
      <c r="B107" s="43">
        <v>6</v>
      </c>
      <c r="C107" s="43" t="s">
        <v>190</v>
      </c>
      <c r="D107" s="43" t="s">
        <v>191</v>
      </c>
      <c r="E107" s="43">
        <f>38+34+29+29+29+29+29+32+16</f>
        <v>265</v>
      </c>
      <c r="F107" s="22">
        <v>0.39500000000000002</v>
      </c>
      <c r="G107" s="43" t="s">
        <v>0</v>
      </c>
      <c r="H107" s="43">
        <f>420*4+150</f>
        <v>1830</v>
      </c>
      <c r="I107" s="43">
        <v>8</v>
      </c>
      <c r="J107" s="43" t="s">
        <v>1</v>
      </c>
      <c r="K107" s="43"/>
      <c r="L107" s="43"/>
      <c r="M107" s="43"/>
      <c r="N107" s="43"/>
      <c r="O107" s="43"/>
      <c r="P107" s="43"/>
      <c r="Q107" s="43"/>
      <c r="R107" s="43"/>
      <c r="S107" s="43" t="s">
        <v>202</v>
      </c>
      <c r="T107" s="43" t="s">
        <v>202</v>
      </c>
      <c r="U107" s="39">
        <v>10</v>
      </c>
    </row>
    <row r="108" spans="1:21" ht="31.5" x14ac:dyDescent="0.25">
      <c r="A108" s="38" t="str">
        <f t="shared" si="7"/>
        <v>Км1.2</v>
      </c>
      <c r="B108" s="43">
        <v>2</v>
      </c>
      <c r="C108" s="43" t="s">
        <v>188</v>
      </c>
      <c r="D108" s="43" t="s">
        <v>192</v>
      </c>
      <c r="E108" s="43">
        <v>4</v>
      </c>
      <c r="F108" s="22">
        <v>2.4660000000000002</v>
      </c>
      <c r="G108" s="43"/>
      <c r="H108" s="43">
        <v>4500</v>
      </c>
      <c r="I108" s="43">
        <v>20</v>
      </c>
      <c r="J108" s="43" t="s">
        <v>2</v>
      </c>
      <c r="K108" s="43"/>
      <c r="L108" s="43"/>
      <c r="M108" s="43"/>
      <c r="N108" s="43"/>
      <c r="O108" s="43"/>
      <c r="P108" s="43"/>
      <c r="Q108" s="43"/>
      <c r="R108" s="43"/>
      <c r="S108" s="43" t="s">
        <v>202</v>
      </c>
      <c r="T108" s="43" t="s">
        <v>202</v>
      </c>
      <c r="U108" s="39">
        <v>80</v>
      </c>
    </row>
    <row r="109" spans="1:21" ht="31.5" x14ac:dyDescent="0.25">
      <c r="A109" s="38" t="str">
        <f t="shared" si="7"/>
        <v>Км1.2</v>
      </c>
      <c r="B109" s="43">
        <v>3</v>
      </c>
      <c r="C109" s="43" t="s">
        <v>188</v>
      </c>
      <c r="D109" s="43" t="s">
        <v>193</v>
      </c>
      <c r="E109" s="43">
        <f>4*5</f>
        <v>20</v>
      </c>
      <c r="F109" s="22">
        <v>2.4660000000000002</v>
      </c>
      <c r="G109" s="43"/>
      <c r="H109" s="43">
        <v>4050</v>
      </c>
      <c r="I109" s="43">
        <v>20</v>
      </c>
      <c r="J109" s="43" t="s">
        <v>2</v>
      </c>
      <c r="K109" s="43"/>
      <c r="L109" s="43"/>
      <c r="M109" s="43"/>
      <c r="N109" s="43"/>
      <c r="O109" s="43"/>
      <c r="P109" s="43"/>
      <c r="Q109" s="43"/>
      <c r="R109" s="43"/>
      <c r="S109" s="43" t="s">
        <v>202</v>
      </c>
      <c r="T109" s="43" t="s">
        <v>202</v>
      </c>
      <c r="U109" s="39">
        <v>80</v>
      </c>
    </row>
    <row r="110" spans="1:21" ht="31.5" x14ac:dyDescent="0.25">
      <c r="A110" s="38" t="str">
        <f t="shared" si="7"/>
        <v>Км1.2</v>
      </c>
      <c r="B110" s="43">
        <v>4</v>
      </c>
      <c r="C110" s="43" t="s">
        <v>188</v>
      </c>
      <c r="D110" s="43" t="s">
        <v>269</v>
      </c>
      <c r="E110" s="43">
        <v>4</v>
      </c>
      <c r="F110" s="22">
        <v>2.4660000000000002</v>
      </c>
      <c r="G110" s="43"/>
      <c r="H110" s="43">
        <v>3820</v>
      </c>
      <c r="I110" s="43">
        <v>20</v>
      </c>
      <c r="J110" s="43" t="s">
        <v>2</v>
      </c>
      <c r="K110" s="43"/>
      <c r="L110" s="43"/>
      <c r="M110" s="43"/>
      <c r="N110" s="43"/>
      <c r="O110" s="43"/>
      <c r="P110" s="43"/>
      <c r="Q110" s="43"/>
      <c r="R110" s="43"/>
      <c r="S110" s="43" t="s">
        <v>202</v>
      </c>
      <c r="T110" s="43" t="s">
        <v>202</v>
      </c>
      <c r="U110" s="39">
        <v>80</v>
      </c>
    </row>
    <row r="111" spans="1:21" ht="31.5" x14ac:dyDescent="0.25">
      <c r="A111" s="38" t="str">
        <f t="shared" si="7"/>
        <v>Км1.2</v>
      </c>
      <c r="B111" s="43">
        <v>5</v>
      </c>
      <c r="C111" s="43" t="s">
        <v>188</v>
      </c>
      <c r="D111" s="43" t="s">
        <v>270</v>
      </c>
      <c r="E111" s="43">
        <v>4</v>
      </c>
      <c r="F111" s="22">
        <v>2.4660000000000002</v>
      </c>
      <c r="G111" s="43"/>
      <c r="H111" s="43">
        <v>1430</v>
      </c>
      <c r="I111" s="43">
        <v>20</v>
      </c>
      <c r="J111" s="43" t="s">
        <v>2</v>
      </c>
      <c r="K111" s="43"/>
      <c r="L111" s="43"/>
      <c r="M111" s="43"/>
      <c r="N111" s="43"/>
      <c r="O111" s="43"/>
      <c r="P111" s="43"/>
      <c r="Q111" s="43"/>
      <c r="R111" s="43"/>
      <c r="S111" s="43" t="s">
        <v>202</v>
      </c>
      <c r="T111" s="43" t="s">
        <v>202</v>
      </c>
      <c r="U111" s="39">
        <v>80</v>
      </c>
    </row>
    <row r="112" spans="1:21" ht="15.75" x14ac:dyDescent="0.25">
      <c r="A112" s="38" t="str">
        <f t="shared" si="7"/>
        <v>Км1.2</v>
      </c>
      <c r="B112" s="43"/>
      <c r="C112" s="28" t="s">
        <v>195</v>
      </c>
      <c r="D112" s="28" t="s">
        <v>196</v>
      </c>
      <c r="E112" s="28">
        <f>4.82*0.5*0.5</f>
        <v>1.2050000000000001</v>
      </c>
      <c r="F112" s="22" t="s">
        <v>4</v>
      </c>
      <c r="G112" s="43" t="s">
        <v>3</v>
      </c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39"/>
    </row>
    <row r="113" spans="1:21" ht="15.75" x14ac:dyDescent="0.25">
      <c r="A113" s="38" t="str">
        <f t="shared" si="7"/>
        <v>Км1.2</v>
      </c>
      <c r="B113" s="43"/>
      <c r="C113" s="28" t="s">
        <v>195</v>
      </c>
      <c r="D113" s="28" t="s">
        <v>197</v>
      </c>
      <c r="E113" s="28">
        <f>29*0.5*0.5</f>
        <v>7.25</v>
      </c>
      <c r="F113" s="22" t="s">
        <v>4</v>
      </c>
      <c r="G113" s="43" t="s">
        <v>3</v>
      </c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39"/>
    </row>
    <row r="114" spans="1:21" ht="15.75" x14ac:dyDescent="0.25">
      <c r="A114" s="38" t="str">
        <f t="shared" si="7"/>
        <v>Км1.2</v>
      </c>
      <c r="B114" s="30"/>
      <c r="C114" s="30" t="s">
        <v>198</v>
      </c>
      <c r="D114" s="30" t="s">
        <v>199</v>
      </c>
      <c r="E114" s="30">
        <v>4</v>
      </c>
      <c r="F114" s="22">
        <v>94.2</v>
      </c>
      <c r="G114" s="43"/>
      <c r="H114" s="43"/>
      <c r="I114" s="43"/>
      <c r="J114" s="43"/>
      <c r="K114" s="22">
        <v>14400</v>
      </c>
      <c r="L114" s="43" t="s">
        <v>23</v>
      </c>
      <c r="M114" s="43" t="s">
        <v>22</v>
      </c>
      <c r="N114" s="43"/>
      <c r="O114" s="43" t="s">
        <v>24</v>
      </c>
      <c r="P114" s="43"/>
      <c r="Q114" s="43"/>
      <c r="R114" s="43"/>
      <c r="S114" s="43"/>
      <c r="T114" s="43"/>
      <c r="U114" s="39"/>
    </row>
    <row r="115" spans="1:21" ht="15.75" x14ac:dyDescent="0.2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</row>
    <row r="116" spans="1:21" ht="15.75" x14ac:dyDescent="0.25">
      <c r="A116" s="21" t="s">
        <v>183</v>
      </c>
      <c r="B116" s="22" t="s">
        <v>183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3"/>
    </row>
    <row r="117" spans="1:21" ht="31.5" x14ac:dyDescent="0.25">
      <c r="A117" s="25" t="str">
        <f>B117</f>
        <v>Км10.1</v>
      </c>
      <c r="B117" s="26" t="s">
        <v>224</v>
      </c>
      <c r="C117" s="26"/>
      <c r="D117" s="26" t="s">
        <v>225</v>
      </c>
      <c r="E117" s="26">
        <v>1</v>
      </c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7"/>
    </row>
    <row r="118" spans="1:21" ht="31.5" x14ac:dyDescent="0.25">
      <c r="A118" s="38" t="str">
        <f>A117</f>
        <v>Км10.1</v>
      </c>
      <c r="B118" s="43">
        <v>29</v>
      </c>
      <c r="C118" s="43" t="s">
        <v>188</v>
      </c>
      <c r="D118" s="43" t="s">
        <v>189</v>
      </c>
      <c r="E118" s="43">
        <v>4</v>
      </c>
      <c r="F118" s="22">
        <v>2.984</v>
      </c>
      <c r="G118" s="43"/>
      <c r="H118" s="43">
        <v>5070</v>
      </c>
      <c r="I118" s="43">
        <v>22</v>
      </c>
      <c r="J118" s="43" t="s">
        <v>2</v>
      </c>
      <c r="K118" s="43"/>
      <c r="L118" s="43"/>
      <c r="M118" s="43"/>
      <c r="N118" s="43"/>
      <c r="O118" s="43"/>
      <c r="P118" s="43"/>
      <c r="Q118" s="43"/>
      <c r="R118" s="43"/>
      <c r="S118" s="43" t="s">
        <v>202</v>
      </c>
      <c r="T118" s="43" t="s">
        <v>202</v>
      </c>
      <c r="U118" s="39">
        <v>88</v>
      </c>
    </row>
    <row r="119" spans="1:21" ht="31.5" x14ac:dyDescent="0.25">
      <c r="A119" s="38" t="str">
        <f t="shared" ref="A119:A126" si="8">A118</f>
        <v>Км10.1</v>
      </c>
      <c r="B119" s="43">
        <v>34</v>
      </c>
      <c r="C119" s="43" t="s">
        <v>190</v>
      </c>
      <c r="D119" s="43" t="s">
        <v>191</v>
      </c>
      <c r="E119" s="43">
        <f>38+29+2+29+29+29+29+30+32+16</f>
        <v>263</v>
      </c>
      <c r="F119" s="22">
        <v>0.39500000000000002</v>
      </c>
      <c r="G119" s="43" t="s">
        <v>0</v>
      </c>
      <c r="H119" s="43">
        <f>420*4+150</f>
        <v>1830</v>
      </c>
      <c r="I119" s="43">
        <v>8</v>
      </c>
      <c r="J119" s="43" t="s">
        <v>1</v>
      </c>
      <c r="K119" s="43"/>
      <c r="L119" s="43"/>
      <c r="M119" s="43"/>
      <c r="N119" s="43"/>
      <c r="O119" s="43"/>
      <c r="P119" s="43"/>
      <c r="Q119" s="43"/>
      <c r="R119" s="43"/>
      <c r="S119" s="43" t="s">
        <v>202</v>
      </c>
      <c r="T119" s="43" t="s">
        <v>202</v>
      </c>
      <c r="U119" s="39">
        <v>10</v>
      </c>
    </row>
    <row r="120" spans="1:21" ht="31.5" x14ac:dyDescent="0.25">
      <c r="A120" s="38" t="str">
        <f t="shared" si="8"/>
        <v>Км10.1</v>
      </c>
      <c r="B120" s="43">
        <v>30</v>
      </c>
      <c r="C120" s="43" t="s">
        <v>188</v>
      </c>
      <c r="D120" s="43" t="s">
        <v>192</v>
      </c>
      <c r="E120" s="43">
        <v>4</v>
      </c>
      <c r="F120" s="22">
        <v>2.4660000000000002</v>
      </c>
      <c r="G120" s="43"/>
      <c r="H120" s="43">
        <v>4500</v>
      </c>
      <c r="I120" s="43">
        <v>20</v>
      </c>
      <c r="J120" s="43" t="s">
        <v>2</v>
      </c>
      <c r="K120" s="43"/>
      <c r="L120" s="43"/>
      <c r="M120" s="43"/>
      <c r="N120" s="43"/>
      <c r="O120" s="43"/>
      <c r="P120" s="43"/>
      <c r="Q120" s="43"/>
      <c r="R120" s="43"/>
      <c r="S120" s="43" t="s">
        <v>202</v>
      </c>
      <c r="T120" s="43" t="s">
        <v>202</v>
      </c>
      <c r="U120" s="39">
        <v>80</v>
      </c>
    </row>
    <row r="121" spans="1:21" ht="31.5" x14ac:dyDescent="0.25">
      <c r="A121" s="38" t="str">
        <f t="shared" si="8"/>
        <v>Км10.1</v>
      </c>
      <c r="B121" s="43">
        <v>31</v>
      </c>
      <c r="C121" s="43" t="s">
        <v>188</v>
      </c>
      <c r="D121" s="43" t="s">
        <v>193</v>
      </c>
      <c r="E121" s="43">
        <f>4*5</f>
        <v>20</v>
      </c>
      <c r="F121" s="22">
        <v>2.4660000000000002</v>
      </c>
      <c r="G121" s="43"/>
      <c r="H121" s="43">
        <v>4050</v>
      </c>
      <c r="I121" s="43">
        <v>20</v>
      </c>
      <c r="J121" s="43" t="s">
        <v>2</v>
      </c>
      <c r="K121" s="43"/>
      <c r="L121" s="43"/>
      <c r="M121" s="43"/>
      <c r="N121" s="43"/>
      <c r="O121" s="43"/>
      <c r="P121" s="43"/>
      <c r="Q121" s="43"/>
      <c r="R121" s="43"/>
      <c r="S121" s="43" t="s">
        <v>202</v>
      </c>
      <c r="T121" s="43" t="s">
        <v>202</v>
      </c>
      <c r="U121" s="39">
        <v>80</v>
      </c>
    </row>
    <row r="122" spans="1:21" ht="31.5" x14ac:dyDescent="0.25">
      <c r="A122" s="38" t="str">
        <f t="shared" si="8"/>
        <v>Км10.1</v>
      </c>
      <c r="B122" s="43">
        <v>32</v>
      </c>
      <c r="C122" s="43" t="s">
        <v>188</v>
      </c>
      <c r="D122" s="43" t="s">
        <v>269</v>
      </c>
      <c r="E122" s="43">
        <v>4</v>
      </c>
      <c r="F122" s="22">
        <v>2.4660000000000002</v>
      </c>
      <c r="G122" s="43"/>
      <c r="H122" s="43">
        <v>3820</v>
      </c>
      <c r="I122" s="43">
        <v>20</v>
      </c>
      <c r="J122" s="43" t="s">
        <v>2</v>
      </c>
      <c r="K122" s="43"/>
      <c r="L122" s="43"/>
      <c r="M122" s="43"/>
      <c r="N122" s="43"/>
      <c r="O122" s="43"/>
      <c r="P122" s="43"/>
      <c r="Q122" s="43"/>
      <c r="R122" s="43"/>
      <c r="S122" s="43" t="s">
        <v>202</v>
      </c>
      <c r="T122" s="43" t="s">
        <v>202</v>
      </c>
      <c r="U122" s="39">
        <v>80</v>
      </c>
    </row>
    <row r="123" spans="1:21" ht="31.5" x14ac:dyDescent="0.25">
      <c r="A123" s="38" t="str">
        <f t="shared" si="8"/>
        <v>Км10.1</v>
      </c>
      <c r="B123" s="43">
        <v>33</v>
      </c>
      <c r="C123" s="43" t="s">
        <v>188</v>
      </c>
      <c r="D123" s="43" t="s">
        <v>270</v>
      </c>
      <c r="E123" s="43">
        <v>4</v>
      </c>
      <c r="F123" s="22">
        <v>2.4660000000000002</v>
      </c>
      <c r="G123" s="43"/>
      <c r="H123" s="43">
        <v>1430</v>
      </c>
      <c r="I123" s="43">
        <v>20</v>
      </c>
      <c r="J123" s="43" t="s">
        <v>2</v>
      </c>
      <c r="K123" s="43"/>
      <c r="L123" s="43"/>
      <c r="M123" s="43"/>
      <c r="N123" s="43"/>
      <c r="O123" s="43"/>
      <c r="P123" s="43"/>
      <c r="Q123" s="43"/>
      <c r="R123" s="43"/>
      <c r="S123" s="43" t="s">
        <v>202</v>
      </c>
      <c r="T123" s="43" t="s">
        <v>202</v>
      </c>
      <c r="U123" s="39">
        <v>80</v>
      </c>
    </row>
    <row r="124" spans="1:21" ht="15.75" x14ac:dyDescent="0.25">
      <c r="A124" s="38" t="str">
        <f t="shared" si="8"/>
        <v>Км10.1</v>
      </c>
      <c r="B124" s="43"/>
      <c r="C124" s="28" t="s">
        <v>195</v>
      </c>
      <c r="D124" s="28" t="s">
        <v>196</v>
      </c>
      <c r="E124" s="28">
        <f>4.82*0.5*0.5</f>
        <v>1.2050000000000001</v>
      </c>
      <c r="F124" s="22" t="s">
        <v>4</v>
      </c>
      <c r="G124" s="43" t="s">
        <v>3</v>
      </c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39"/>
    </row>
    <row r="125" spans="1:21" ht="15.75" x14ac:dyDescent="0.25">
      <c r="A125" s="38" t="str">
        <f t="shared" si="8"/>
        <v>Км10.1</v>
      </c>
      <c r="B125" s="43"/>
      <c r="C125" s="28" t="s">
        <v>195</v>
      </c>
      <c r="D125" s="28" t="s">
        <v>197</v>
      </c>
      <c r="E125" s="28">
        <f>29*0.5*0.5</f>
        <v>7.25</v>
      </c>
      <c r="F125" s="22" t="s">
        <v>4</v>
      </c>
      <c r="G125" s="43" t="s">
        <v>3</v>
      </c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39"/>
    </row>
    <row r="126" spans="1:21" ht="15.75" x14ac:dyDescent="0.25">
      <c r="A126" s="38" t="str">
        <f t="shared" si="8"/>
        <v>Км10.1</v>
      </c>
      <c r="B126" s="30"/>
      <c r="C126" s="30" t="s">
        <v>198</v>
      </c>
      <c r="D126" s="30" t="s">
        <v>199</v>
      </c>
      <c r="E126" s="30">
        <v>4</v>
      </c>
      <c r="F126" s="22">
        <v>94.2</v>
      </c>
      <c r="G126" s="43"/>
      <c r="H126" s="43"/>
      <c r="I126" s="43"/>
      <c r="J126" s="43"/>
      <c r="K126" s="22">
        <v>14400</v>
      </c>
      <c r="L126" s="43" t="s">
        <v>23</v>
      </c>
      <c r="M126" s="43" t="s">
        <v>22</v>
      </c>
      <c r="N126" s="43"/>
      <c r="O126" s="43" t="s">
        <v>24</v>
      </c>
      <c r="P126" s="43"/>
      <c r="Q126" s="43"/>
      <c r="R126" s="43"/>
      <c r="S126" s="43"/>
      <c r="T126" s="43"/>
      <c r="U126" s="39"/>
    </row>
    <row r="127" spans="1:21" ht="15.75" x14ac:dyDescent="0.2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</row>
    <row r="128" spans="1:21" ht="15.75" x14ac:dyDescent="0.25">
      <c r="A128" s="21" t="s">
        <v>183</v>
      </c>
      <c r="B128" s="22" t="s">
        <v>183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3"/>
    </row>
    <row r="129" spans="1:21" ht="31.5" x14ac:dyDescent="0.25">
      <c r="A129" s="25" t="str">
        <f>B129</f>
        <v>Км3.1.2</v>
      </c>
      <c r="B129" s="26" t="s">
        <v>226</v>
      </c>
      <c r="C129" s="26"/>
      <c r="D129" s="26" t="s">
        <v>227</v>
      </c>
      <c r="E129" s="26">
        <v>1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7"/>
    </row>
    <row r="130" spans="1:21" ht="31.5" x14ac:dyDescent="0.25">
      <c r="A130" s="38" t="str">
        <f>A129</f>
        <v>Км3.1.2</v>
      </c>
      <c r="B130" s="43">
        <v>158</v>
      </c>
      <c r="C130" s="43" t="s">
        <v>188</v>
      </c>
      <c r="D130" s="43" t="s">
        <v>189</v>
      </c>
      <c r="E130" s="43">
        <v>4</v>
      </c>
      <c r="F130" s="22">
        <v>2.4660000000000002</v>
      </c>
      <c r="G130" s="43" t="s">
        <v>0</v>
      </c>
      <c r="H130" s="43">
        <v>5080</v>
      </c>
      <c r="I130" s="43">
        <v>20</v>
      </c>
      <c r="J130" s="43" t="s">
        <v>2</v>
      </c>
      <c r="K130" s="43"/>
      <c r="L130" s="43"/>
      <c r="M130" s="43"/>
      <c r="N130" s="43"/>
      <c r="O130" s="43"/>
      <c r="P130" s="43"/>
      <c r="Q130" s="43"/>
      <c r="R130" s="43"/>
      <c r="S130" s="43" t="s">
        <v>202</v>
      </c>
      <c r="T130" s="43" t="s">
        <v>202</v>
      </c>
      <c r="U130" s="39">
        <v>80</v>
      </c>
    </row>
    <row r="131" spans="1:21" ht="31.5" x14ac:dyDescent="0.25">
      <c r="A131" s="38" t="str">
        <f t="shared" ref="A131:A141" si="9">A130</f>
        <v>Км3.1.2</v>
      </c>
      <c r="B131" s="43">
        <v>159</v>
      </c>
      <c r="C131" s="43" t="s">
        <v>188</v>
      </c>
      <c r="D131" s="43" t="s">
        <v>189</v>
      </c>
      <c r="E131" s="43">
        <v>4</v>
      </c>
      <c r="F131" s="22">
        <v>1.5780000000000001</v>
      </c>
      <c r="G131" s="43" t="s">
        <v>0</v>
      </c>
      <c r="H131" s="43">
        <v>5870</v>
      </c>
      <c r="I131" s="43">
        <v>16</v>
      </c>
      <c r="J131" s="43" t="s">
        <v>2</v>
      </c>
      <c r="K131" s="43"/>
      <c r="L131" s="43"/>
      <c r="M131" s="43"/>
      <c r="N131" s="43"/>
      <c r="O131" s="43"/>
      <c r="P131" s="43"/>
      <c r="Q131" s="43"/>
      <c r="R131" s="43"/>
      <c r="S131" s="43" t="s">
        <v>202</v>
      </c>
      <c r="T131" s="43" t="s">
        <v>202</v>
      </c>
      <c r="U131" s="39">
        <v>40</v>
      </c>
    </row>
    <row r="132" spans="1:21" ht="31.5" x14ac:dyDescent="0.25">
      <c r="A132" s="38" t="str">
        <f t="shared" si="9"/>
        <v>Км3.1.2</v>
      </c>
      <c r="B132" s="43">
        <v>160</v>
      </c>
      <c r="C132" s="43" t="s">
        <v>190</v>
      </c>
      <c r="D132" s="43" t="s">
        <v>278</v>
      </c>
      <c r="E132" s="43">
        <f>38</f>
        <v>38</v>
      </c>
      <c r="F132" s="22">
        <v>0.39500000000000002</v>
      </c>
      <c r="G132" s="43" t="s">
        <v>0</v>
      </c>
      <c r="H132" s="43">
        <f>520*4+150</f>
        <v>2230</v>
      </c>
      <c r="I132" s="43">
        <v>8</v>
      </c>
      <c r="J132" s="43" t="s">
        <v>1</v>
      </c>
      <c r="K132" s="43"/>
      <c r="L132" s="43"/>
      <c r="M132" s="43"/>
      <c r="N132" s="43"/>
      <c r="O132" s="43"/>
      <c r="P132" s="43"/>
      <c r="Q132" s="43"/>
      <c r="R132" s="43"/>
      <c r="S132" s="43" t="s">
        <v>202</v>
      </c>
      <c r="T132" s="43" t="s">
        <v>202</v>
      </c>
      <c r="U132" s="39">
        <v>10</v>
      </c>
    </row>
    <row r="133" spans="1:21" ht="31.5" x14ac:dyDescent="0.25">
      <c r="A133" s="38" t="str">
        <f t="shared" si="9"/>
        <v>Км3.1.2</v>
      </c>
      <c r="B133" s="43">
        <v>162</v>
      </c>
      <c r="C133" s="43" t="s">
        <v>190</v>
      </c>
      <c r="D133" s="43" t="s">
        <v>278</v>
      </c>
      <c r="E133" s="43">
        <f>38</f>
        <v>38</v>
      </c>
      <c r="F133" s="22">
        <v>0.39500000000000002</v>
      </c>
      <c r="G133" s="43" t="s">
        <v>0</v>
      </c>
      <c r="H133" s="43">
        <f>370*4+150</f>
        <v>1630</v>
      </c>
      <c r="I133" s="43">
        <v>8</v>
      </c>
      <c r="J133" s="43" t="s">
        <v>1</v>
      </c>
      <c r="K133" s="43"/>
      <c r="L133" s="43"/>
      <c r="M133" s="43"/>
      <c r="N133" s="43"/>
      <c r="O133" s="43"/>
      <c r="P133" s="43"/>
      <c r="Q133" s="43"/>
      <c r="R133" s="43"/>
      <c r="S133" s="43" t="s">
        <v>202</v>
      </c>
      <c r="T133" s="43" t="s">
        <v>202</v>
      </c>
      <c r="U133" s="39">
        <v>10</v>
      </c>
    </row>
    <row r="134" spans="1:21" ht="31.5" x14ac:dyDescent="0.25">
      <c r="A134" s="38" t="str">
        <f t="shared" si="9"/>
        <v>Км3.1.2</v>
      </c>
      <c r="B134" s="43">
        <v>154</v>
      </c>
      <c r="C134" s="43" t="s">
        <v>188</v>
      </c>
      <c r="D134" s="43" t="s">
        <v>192</v>
      </c>
      <c r="E134" s="43">
        <v>4</v>
      </c>
      <c r="F134" s="22">
        <v>2.4660000000000002</v>
      </c>
      <c r="G134" s="43"/>
      <c r="H134" s="43">
        <v>4500</v>
      </c>
      <c r="I134" s="43">
        <v>20</v>
      </c>
      <c r="J134" s="43" t="s">
        <v>2</v>
      </c>
      <c r="K134" s="43"/>
      <c r="L134" s="43"/>
      <c r="M134" s="43"/>
      <c r="N134" s="43"/>
      <c r="O134" s="43"/>
      <c r="P134" s="43"/>
      <c r="Q134" s="43"/>
      <c r="R134" s="43"/>
      <c r="S134" s="43" t="s">
        <v>202</v>
      </c>
      <c r="T134" s="43" t="s">
        <v>202</v>
      </c>
      <c r="U134" s="39">
        <v>80</v>
      </c>
    </row>
    <row r="135" spans="1:21" ht="31.5" x14ac:dyDescent="0.25">
      <c r="A135" s="38" t="str">
        <f t="shared" si="9"/>
        <v>Км3.1.2</v>
      </c>
      <c r="B135" s="43">
        <v>155</v>
      </c>
      <c r="C135" s="43" t="s">
        <v>188</v>
      </c>
      <c r="D135" s="43" t="s">
        <v>193</v>
      </c>
      <c r="E135" s="43">
        <f>4*5</f>
        <v>20</v>
      </c>
      <c r="F135" s="22">
        <v>2.4660000000000002</v>
      </c>
      <c r="G135" s="43"/>
      <c r="H135" s="43">
        <v>4050</v>
      </c>
      <c r="I135" s="43">
        <v>20</v>
      </c>
      <c r="J135" s="43" t="s">
        <v>2</v>
      </c>
      <c r="K135" s="43"/>
      <c r="L135" s="43"/>
      <c r="M135" s="43"/>
      <c r="N135" s="43"/>
      <c r="O135" s="43"/>
      <c r="P135" s="43"/>
      <c r="Q135" s="43"/>
      <c r="R135" s="43"/>
      <c r="S135" s="43" t="s">
        <v>202</v>
      </c>
      <c r="T135" s="43" t="s">
        <v>202</v>
      </c>
      <c r="U135" s="39">
        <v>80</v>
      </c>
    </row>
    <row r="136" spans="1:21" ht="31.5" x14ac:dyDescent="0.25">
      <c r="A136" s="38" t="str">
        <f t="shared" si="9"/>
        <v>Км3.1.2</v>
      </c>
      <c r="B136" s="43">
        <v>156</v>
      </c>
      <c r="C136" s="43" t="s">
        <v>188</v>
      </c>
      <c r="D136" s="43" t="s">
        <v>269</v>
      </c>
      <c r="E136" s="43">
        <v>4</v>
      </c>
      <c r="F136" s="22">
        <v>2.4660000000000002</v>
      </c>
      <c r="G136" s="43"/>
      <c r="H136" s="43">
        <v>3820</v>
      </c>
      <c r="I136" s="43">
        <v>20</v>
      </c>
      <c r="J136" s="43" t="s">
        <v>2</v>
      </c>
      <c r="K136" s="43"/>
      <c r="L136" s="43"/>
      <c r="M136" s="43"/>
      <c r="N136" s="43"/>
      <c r="O136" s="43"/>
      <c r="P136" s="43"/>
      <c r="Q136" s="43"/>
      <c r="R136" s="43"/>
      <c r="S136" s="43" t="s">
        <v>202</v>
      </c>
      <c r="T136" s="43" t="s">
        <v>202</v>
      </c>
      <c r="U136" s="39">
        <v>80</v>
      </c>
    </row>
    <row r="137" spans="1:21" ht="31.5" x14ac:dyDescent="0.25">
      <c r="A137" s="38" t="str">
        <f t="shared" si="9"/>
        <v>Км3.1.2</v>
      </c>
      <c r="B137" s="43">
        <v>157</v>
      </c>
      <c r="C137" s="43" t="s">
        <v>188</v>
      </c>
      <c r="D137" s="43" t="s">
        <v>270</v>
      </c>
      <c r="E137" s="43">
        <v>4</v>
      </c>
      <c r="F137" s="22">
        <v>2.4660000000000002</v>
      </c>
      <c r="G137" s="43"/>
      <c r="H137" s="43">
        <v>1430</v>
      </c>
      <c r="I137" s="43">
        <v>20</v>
      </c>
      <c r="J137" s="43" t="s">
        <v>2</v>
      </c>
      <c r="K137" s="43"/>
      <c r="L137" s="43"/>
      <c r="M137" s="43"/>
      <c r="N137" s="43"/>
      <c r="O137" s="43"/>
      <c r="P137" s="43"/>
      <c r="Q137" s="43"/>
      <c r="R137" s="43"/>
      <c r="S137" s="43" t="s">
        <v>202</v>
      </c>
      <c r="T137" s="43" t="s">
        <v>202</v>
      </c>
      <c r="U137" s="39">
        <v>80</v>
      </c>
    </row>
    <row r="138" spans="1:21" ht="31.5" x14ac:dyDescent="0.25">
      <c r="A138" s="38" t="str">
        <f t="shared" si="9"/>
        <v>Км3.1.2</v>
      </c>
      <c r="B138" s="43">
        <v>161</v>
      </c>
      <c r="C138" s="43" t="s">
        <v>190</v>
      </c>
      <c r="D138" s="43" t="s">
        <v>191</v>
      </c>
      <c r="E138" s="43">
        <f>30+2+31+29+29+29+29+33+16</f>
        <v>228</v>
      </c>
      <c r="F138" s="22">
        <v>0.39500000000000002</v>
      </c>
      <c r="G138" s="43" t="s">
        <v>0</v>
      </c>
      <c r="H138" s="43">
        <f>420*4+150</f>
        <v>1830</v>
      </c>
      <c r="I138" s="43">
        <v>8</v>
      </c>
      <c r="J138" s="43" t="s">
        <v>1</v>
      </c>
      <c r="K138" s="43"/>
      <c r="L138" s="43"/>
      <c r="M138" s="43"/>
      <c r="N138" s="43"/>
      <c r="O138" s="43"/>
      <c r="P138" s="43"/>
      <c r="Q138" s="43"/>
      <c r="R138" s="43"/>
      <c r="S138" s="43" t="s">
        <v>202</v>
      </c>
      <c r="T138" s="43" t="s">
        <v>202</v>
      </c>
      <c r="U138" s="39">
        <v>10</v>
      </c>
    </row>
    <row r="139" spans="1:21" ht="15.75" x14ac:dyDescent="0.25">
      <c r="A139" s="38" t="str">
        <f t="shared" si="9"/>
        <v>Км3.1.2</v>
      </c>
      <c r="B139" s="43"/>
      <c r="C139" s="28" t="s">
        <v>195</v>
      </c>
      <c r="D139" s="28" t="s">
        <v>196</v>
      </c>
      <c r="E139" s="28">
        <f>(1.5*1.5*0.25)+(0.6*0.6*4.57)</f>
        <v>2.2077</v>
      </c>
      <c r="F139" s="22" t="s">
        <v>4</v>
      </c>
      <c r="G139" s="43" t="s">
        <v>3</v>
      </c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39"/>
    </row>
    <row r="140" spans="1:21" ht="15.75" x14ac:dyDescent="0.25">
      <c r="A140" s="38" t="str">
        <f t="shared" si="9"/>
        <v>Км3.1.2</v>
      </c>
      <c r="B140" s="43"/>
      <c r="C140" s="28" t="s">
        <v>195</v>
      </c>
      <c r="D140" s="28" t="s">
        <v>197</v>
      </c>
      <c r="E140" s="28">
        <f>29.25*0.5*0.5</f>
        <v>7.3125</v>
      </c>
      <c r="F140" s="22" t="s">
        <v>4</v>
      </c>
      <c r="G140" s="43" t="s">
        <v>3</v>
      </c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39"/>
    </row>
    <row r="141" spans="1:21" ht="15.75" x14ac:dyDescent="0.25">
      <c r="A141" s="38" t="str">
        <f t="shared" si="9"/>
        <v>Км3.1.2</v>
      </c>
      <c r="B141" s="30"/>
      <c r="C141" s="30" t="s">
        <v>198</v>
      </c>
      <c r="D141" s="30" t="s">
        <v>199</v>
      </c>
      <c r="E141" s="30">
        <v>4</v>
      </c>
      <c r="F141" s="22">
        <v>94.2</v>
      </c>
      <c r="G141" s="43"/>
      <c r="H141" s="43"/>
      <c r="I141" s="43"/>
      <c r="J141" s="43"/>
      <c r="K141" s="22">
        <v>14400</v>
      </c>
      <c r="L141" s="43" t="s">
        <v>23</v>
      </c>
      <c r="M141" s="43" t="s">
        <v>22</v>
      </c>
      <c r="N141" s="43"/>
      <c r="O141" s="43" t="s">
        <v>24</v>
      </c>
      <c r="P141" s="43"/>
      <c r="Q141" s="43"/>
      <c r="R141" s="43"/>
      <c r="S141" s="43"/>
      <c r="T141" s="43"/>
      <c r="U141" s="39"/>
    </row>
    <row r="142" spans="1:21" ht="15.75" x14ac:dyDescent="0.2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</row>
    <row r="143" spans="1:21" ht="15.75" x14ac:dyDescent="0.25">
      <c r="A143" s="21" t="s">
        <v>183</v>
      </c>
      <c r="B143" s="22" t="s">
        <v>183</v>
      </c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3"/>
    </row>
    <row r="144" spans="1:21" ht="31.5" x14ac:dyDescent="0.25">
      <c r="A144" s="25" t="str">
        <f>B144</f>
        <v>Км6.1.1</v>
      </c>
      <c r="B144" s="26" t="s">
        <v>228</v>
      </c>
      <c r="C144" s="26"/>
      <c r="D144" s="26" t="s">
        <v>229</v>
      </c>
      <c r="E144" s="26">
        <v>1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7"/>
    </row>
    <row r="145" spans="1:21" ht="31.5" x14ac:dyDescent="0.25">
      <c r="A145" s="38" t="str">
        <f>A144</f>
        <v>Км6.1.1</v>
      </c>
      <c r="B145" s="43">
        <v>188</v>
      </c>
      <c r="C145" s="43" t="s">
        <v>188</v>
      </c>
      <c r="D145" s="43" t="s">
        <v>189</v>
      </c>
      <c r="E145" s="43">
        <v>4</v>
      </c>
      <c r="F145" s="22">
        <v>2.4660000000000002</v>
      </c>
      <c r="G145" s="43" t="s">
        <v>0</v>
      </c>
      <c r="H145" s="43">
        <v>5080</v>
      </c>
      <c r="I145" s="43">
        <v>20</v>
      </c>
      <c r="J145" s="43" t="s">
        <v>2</v>
      </c>
      <c r="K145" s="43"/>
      <c r="L145" s="43"/>
      <c r="M145" s="43"/>
      <c r="N145" s="43"/>
      <c r="O145" s="43"/>
      <c r="P145" s="43"/>
      <c r="Q145" s="43"/>
      <c r="R145" s="43"/>
      <c r="S145" s="43" t="s">
        <v>202</v>
      </c>
      <c r="T145" s="43" t="s">
        <v>202</v>
      </c>
      <c r="U145" s="39">
        <v>80</v>
      </c>
    </row>
    <row r="146" spans="1:21" ht="31.5" x14ac:dyDescent="0.25">
      <c r="A146" s="38" t="str">
        <f t="shared" ref="A146:A159" si="10">A145</f>
        <v>Км6.1.1</v>
      </c>
      <c r="B146" s="43">
        <v>189</v>
      </c>
      <c r="C146" s="43" t="s">
        <v>188</v>
      </c>
      <c r="D146" s="43" t="s">
        <v>189</v>
      </c>
      <c r="E146" s="43">
        <v>4</v>
      </c>
      <c r="F146" s="22">
        <v>1.5780000000000001</v>
      </c>
      <c r="G146" s="43" t="s">
        <v>0</v>
      </c>
      <c r="H146" s="43">
        <v>5870</v>
      </c>
      <c r="I146" s="43">
        <v>16</v>
      </c>
      <c r="J146" s="43" t="s">
        <v>2</v>
      </c>
      <c r="K146" s="43"/>
      <c r="L146" s="43"/>
      <c r="M146" s="43"/>
      <c r="N146" s="43"/>
      <c r="O146" s="43"/>
      <c r="P146" s="43"/>
      <c r="Q146" s="43"/>
      <c r="R146" s="43"/>
      <c r="S146" s="43" t="s">
        <v>202</v>
      </c>
      <c r="T146" s="43" t="s">
        <v>202</v>
      </c>
      <c r="U146" s="39">
        <v>40</v>
      </c>
    </row>
    <row r="147" spans="1:21" ht="31.5" x14ac:dyDescent="0.25">
      <c r="A147" s="38" t="str">
        <f t="shared" si="10"/>
        <v>Км6.1.1</v>
      </c>
      <c r="B147" s="43">
        <v>191</v>
      </c>
      <c r="C147" s="43" t="s">
        <v>190</v>
      </c>
      <c r="D147" s="43" t="s">
        <v>278</v>
      </c>
      <c r="E147" s="43">
        <f>38</f>
        <v>38</v>
      </c>
      <c r="F147" s="22">
        <v>0.39500000000000002</v>
      </c>
      <c r="G147" s="43" t="s">
        <v>0</v>
      </c>
      <c r="H147" s="43">
        <f>520*4+150</f>
        <v>2230</v>
      </c>
      <c r="I147" s="43">
        <v>8</v>
      </c>
      <c r="J147" s="43" t="s">
        <v>1</v>
      </c>
      <c r="K147" s="43"/>
      <c r="L147" s="43"/>
      <c r="M147" s="43"/>
      <c r="N147" s="43"/>
      <c r="O147" s="43"/>
      <c r="P147" s="43"/>
      <c r="Q147" s="43"/>
      <c r="R147" s="43"/>
      <c r="S147" s="43" t="s">
        <v>202</v>
      </c>
      <c r="T147" s="43" t="s">
        <v>202</v>
      </c>
      <c r="U147" s="39">
        <v>10</v>
      </c>
    </row>
    <row r="148" spans="1:21" ht="31.5" x14ac:dyDescent="0.25">
      <c r="A148" s="38" t="str">
        <f t="shared" si="10"/>
        <v>Км6.1.1</v>
      </c>
      <c r="B148" s="43">
        <v>193</v>
      </c>
      <c r="C148" s="43" t="s">
        <v>190</v>
      </c>
      <c r="D148" s="43" t="s">
        <v>278</v>
      </c>
      <c r="E148" s="43">
        <f>38</f>
        <v>38</v>
      </c>
      <c r="F148" s="22">
        <v>0.39500000000000002</v>
      </c>
      <c r="G148" s="43" t="s">
        <v>0</v>
      </c>
      <c r="H148" s="43">
        <f>370*4+150</f>
        <v>1630</v>
      </c>
      <c r="I148" s="43">
        <v>8</v>
      </c>
      <c r="J148" s="43" t="s">
        <v>1</v>
      </c>
      <c r="K148" s="43"/>
      <c r="L148" s="43"/>
      <c r="M148" s="43"/>
      <c r="N148" s="43"/>
      <c r="O148" s="43"/>
      <c r="P148" s="43"/>
      <c r="Q148" s="43"/>
      <c r="R148" s="43"/>
      <c r="S148" s="43" t="s">
        <v>202</v>
      </c>
      <c r="T148" s="43" t="s">
        <v>202</v>
      </c>
      <c r="U148" s="39">
        <v>10</v>
      </c>
    </row>
    <row r="149" spans="1:21" ht="31.5" x14ac:dyDescent="0.25">
      <c r="A149" s="38" t="str">
        <f t="shared" si="10"/>
        <v>Км6.1.1</v>
      </c>
      <c r="B149" s="43">
        <v>185</v>
      </c>
      <c r="C149" s="43" t="s">
        <v>188</v>
      </c>
      <c r="D149" s="43" t="s">
        <v>192</v>
      </c>
      <c r="E149" s="43">
        <v>4</v>
      </c>
      <c r="F149" s="22">
        <v>2.4660000000000002</v>
      </c>
      <c r="G149" s="43"/>
      <c r="H149" s="43">
        <v>4500</v>
      </c>
      <c r="I149" s="43">
        <v>20</v>
      </c>
      <c r="J149" s="43" t="s">
        <v>2</v>
      </c>
      <c r="K149" s="43"/>
      <c r="L149" s="43"/>
      <c r="M149" s="43"/>
      <c r="N149" s="43"/>
      <c r="O149" s="43"/>
      <c r="P149" s="43"/>
      <c r="Q149" s="43"/>
      <c r="R149" s="43"/>
      <c r="S149" s="43" t="s">
        <v>202</v>
      </c>
      <c r="T149" s="43" t="s">
        <v>202</v>
      </c>
      <c r="U149" s="39">
        <v>80</v>
      </c>
    </row>
    <row r="150" spans="1:21" ht="31.5" x14ac:dyDescent="0.25">
      <c r="A150" s="38" t="str">
        <f t="shared" si="10"/>
        <v>Км6.1.1</v>
      </c>
      <c r="B150" s="43">
        <v>186</v>
      </c>
      <c r="C150" s="43" t="s">
        <v>188</v>
      </c>
      <c r="D150" s="43" t="s">
        <v>193</v>
      </c>
      <c r="E150" s="43">
        <f>4*5</f>
        <v>20</v>
      </c>
      <c r="F150" s="22">
        <v>2.4660000000000002</v>
      </c>
      <c r="G150" s="43"/>
      <c r="H150" s="43">
        <v>4050</v>
      </c>
      <c r="I150" s="43">
        <v>20</v>
      </c>
      <c r="J150" s="43" t="s">
        <v>2</v>
      </c>
      <c r="K150" s="43"/>
      <c r="L150" s="43"/>
      <c r="M150" s="43"/>
      <c r="N150" s="43"/>
      <c r="O150" s="43"/>
      <c r="P150" s="43"/>
      <c r="Q150" s="43"/>
      <c r="R150" s="43"/>
      <c r="S150" s="43" t="s">
        <v>202</v>
      </c>
      <c r="T150" s="43" t="s">
        <v>202</v>
      </c>
      <c r="U150" s="39">
        <v>80</v>
      </c>
    </row>
    <row r="151" spans="1:21" ht="31.5" x14ac:dyDescent="0.25">
      <c r="A151" s="38" t="str">
        <f t="shared" si="10"/>
        <v>Км6.1.1</v>
      </c>
      <c r="B151" s="43">
        <v>183</v>
      </c>
      <c r="C151" s="43" t="s">
        <v>188</v>
      </c>
      <c r="D151" s="43" t="s">
        <v>269</v>
      </c>
      <c r="E151" s="43">
        <v>4</v>
      </c>
      <c r="F151" s="22">
        <v>2.984</v>
      </c>
      <c r="G151" s="43"/>
      <c r="H151" s="43">
        <v>3820</v>
      </c>
      <c r="I151" s="43">
        <v>22</v>
      </c>
      <c r="J151" s="43" t="s">
        <v>2</v>
      </c>
      <c r="K151" s="43"/>
      <c r="L151" s="43"/>
      <c r="M151" s="43"/>
      <c r="N151" s="43"/>
      <c r="O151" s="43"/>
      <c r="P151" s="43"/>
      <c r="Q151" s="43"/>
      <c r="R151" s="43"/>
      <c r="S151" s="43" t="s">
        <v>202</v>
      </c>
      <c r="T151" s="43" t="s">
        <v>202</v>
      </c>
      <c r="U151" s="39">
        <v>88</v>
      </c>
    </row>
    <row r="152" spans="1:21" ht="31.5" x14ac:dyDescent="0.25">
      <c r="A152" s="38" t="str">
        <f t="shared" si="10"/>
        <v>Км6.1.1</v>
      </c>
      <c r="B152" s="43">
        <v>187</v>
      </c>
      <c r="C152" s="43" t="s">
        <v>188</v>
      </c>
      <c r="D152" s="43" t="s">
        <v>270</v>
      </c>
      <c r="E152" s="43">
        <v>8</v>
      </c>
      <c r="F152" s="22">
        <v>1.5780000000000001</v>
      </c>
      <c r="G152" s="43"/>
      <c r="H152" s="43">
        <v>1800</v>
      </c>
      <c r="I152" s="43">
        <v>16</v>
      </c>
      <c r="J152" s="43" t="s">
        <v>2</v>
      </c>
      <c r="K152" s="43"/>
      <c r="L152" s="43"/>
      <c r="M152" s="43"/>
      <c r="N152" s="43"/>
      <c r="O152" s="43"/>
      <c r="P152" s="43"/>
      <c r="Q152" s="43"/>
      <c r="R152" s="43"/>
      <c r="S152" s="43" t="s">
        <v>202</v>
      </c>
      <c r="T152" s="43" t="s">
        <v>202</v>
      </c>
      <c r="U152" s="39">
        <v>40</v>
      </c>
    </row>
    <row r="153" spans="1:21" ht="31.5" x14ac:dyDescent="0.25">
      <c r="A153" s="38" t="str">
        <f t="shared" si="10"/>
        <v>Км6.1.1</v>
      </c>
      <c r="B153" s="43">
        <v>184</v>
      </c>
      <c r="C153" s="43" t="s">
        <v>188</v>
      </c>
      <c r="D153" s="43" t="s">
        <v>270</v>
      </c>
      <c r="E153" s="43">
        <v>8</v>
      </c>
      <c r="F153" s="22">
        <v>2.984</v>
      </c>
      <c r="G153" s="43"/>
      <c r="H153" s="43">
        <v>1430</v>
      </c>
      <c r="I153" s="43">
        <v>22</v>
      </c>
      <c r="J153" s="43" t="s">
        <v>2</v>
      </c>
      <c r="K153" s="43"/>
      <c r="L153" s="43"/>
      <c r="M153" s="43"/>
      <c r="N153" s="43"/>
      <c r="O153" s="43"/>
      <c r="P153" s="43"/>
      <c r="Q153" s="43"/>
      <c r="R153" s="43"/>
      <c r="S153" s="43" t="s">
        <v>202</v>
      </c>
      <c r="T153" s="43" t="s">
        <v>202</v>
      </c>
      <c r="U153" s="39">
        <v>88</v>
      </c>
    </row>
    <row r="154" spans="1:21" ht="31.5" x14ac:dyDescent="0.25">
      <c r="A154" s="38" t="str">
        <f t="shared" si="10"/>
        <v>Км6.1.1</v>
      </c>
      <c r="B154" s="43">
        <v>190</v>
      </c>
      <c r="C154" s="43" t="s">
        <v>188</v>
      </c>
      <c r="D154" s="43" t="s">
        <v>270</v>
      </c>
      <c r="E154" s="43">
        <v>8</v>
      </c>
      <c r="F154" s="22">
        <v>1.5780000000000001</v>
      </c>
      <c r="G154" s="43" t="s">
        <v>0</v>
      </c>
      <c r="H154" s="43">
        <v>2630</v>
      </c>
      <c r="I154" s="43">
        <v>16</v>
      </c>
      <c r="J154" s="43" t="s">
        <v>2</v>
      </c>
      <c r="K154" s="43"/>
      <c r="L154" s="43"/>
      <c r="M154" s="43"/>
      <c r="N154" s="43"/>
      <c r="O154" s="43"/>
      <c r="P154" s="43"/>
      <c r="Q154" s="43"/>
      <c r="R154" s="43"/>
      <c r="S154" s="43" t="s">
        <v>202</v>
      </c>
      <c r="T154" s="43" t="s">
        <v>202</v>
      </c>
      <c r="U154" s="39">
        <v>40</v>
      </c>
    </row>
    <row r="155" spans="1:21" ht="31.5" x14ac:dyDescent="0.25">
      <c r="A155" s="38" t="str">
        <f t="shared" si="10"/>
        <v>Км6.1.1</v>
      </c>
      <c r="B155" s="43">
        <v>192</v>
      </c>
      <c r="C155" s="43" t="s">
        <v>190</v>
      </c>
      <c r="D155" s="43" t="s">
        <v>191</v>
      </c>
      <c r="E155" s="43">
        <f>30+2+31+29+29+29+29+33+20</f>
        <v>232</v>
      </c>
      <c r="F155" s="22">
        <v>0.39500000000000002</v>
      </c>
      <c r="G155" s="43" t="s">
        <v>0</v>
      </c>
      <c r="H155" s="43">
        <f>420*4+150</f>
        <v>1830</v>
      </c>
      <c r="I155" s="43">
        <v>8</v>
      </c>
      <c r="J155" s="43" t="s">
        <v>1</v>
      </c>
      <c r="K155" s="43"/>
      <c r="L155" s="43"/>
      <c r="M155" s="43"/>
      <c r="N155" s="43"/>
      <c r="O155" s="43"/>
      <c r="P155" s="43"/>
      <c r="Q155" s="43"/>
      <c r="R155" s="43"/>
      <c r="S155" s="43" t="s">
        <v>202</v>
      </c>
      <c r="T155" s="43" t="s">
        <v>202</v>
      </c>
      <c r="U155" s="39">
        <v>10</v>
      </c>
    </row>
    <row r="156" spans="1:21" ht="31.5" x14ac:dyDescent="0.25">
      <c r="A156" s="38" t="str">
        <f t="shared" si="10"/>
        <v>Км6.1.1</v>
      </c>
      <c r="B156" s="43">
        <v>194</v>
      </c>
      <c r="C156" s="43" t="s">
        <v>190</v>
      </c>
      <c r="D156" s="43" t="s">
        <v>191</v>
      </c>
      <c r="E156" s="43">
        <v>20</v>
      </c>
      <c r="F156" s="22">
        <v>0.39500000000000002</v>
      </c>
      <c r="G156" s="43" t="s">
        <v>0</v>
      </c>
      <c r="H156" s="43">
        <f>310*4+150</f>
        <v>1390</v>
      </c>
      <c r="I156" s="43">
        <v>8</v>
      </c>
      <c r="J156" s="43" t="s">
        <v>1</v>
      </c>
      <c r="K156" s="43"/>
      <c r="L156" s="43"/>
      <c r="M156" s="43"/>
      <c r="N156" s="43"/>
      <c r="O156" s="43"/>
      <c r="P156" s="43"/>
      <c r="Q156" s="43"/>
      <c r="R156" s="43"/>
      <c r="S156" s="43" t="s">
        <v>202</v>
      </c>
      <c r="T156" s="43" t="s">
        <v>202</v>
      </c>
      <c r="U156" s="39">
        <v>10</v>
      </c>
    </row>
    <row r="157" spans="1:21" ht="15.75" x14ac:dyDescent="0.25">
      <c r="A157" s="38" t="str">
        <f t="shared" si="10"/>
        <v>Км6.1.1</v>
      </c>
      <c r="B157" s="43"/>
      <c r="C157" s="28" t="s">
        <v>195</v>
      </c>
      <c r="D157" s="28" t="s">
        <v>196</v>
      </c>
      <c r="E157" s="28">
        <f>(1.5*1.5*0.25)+(0.6*0.6*4.57)</f>
        <v>2.2077</v>
      </c>
      <c r="F157" s="22" t="s">
        <v>4</v>
      </c>
      <c r="G157" s="43" t="s">
        <v>3</v>
      </c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39"/>
    </row>
    <row r="158" spans="1:21" ht="15.75" x14ac:dyDescent="0.25">
      <c r="A158" s="38" t="str">
        <f t="shared" si="10"/>
        <v>Км6.1.1</v>
      </c>
      <c r="B158" s="43"/>
      <c r="C158" s="28" t="s">
        <v>195</v>
      </c>
      <c r="D158" s="28" t="s">
        <v>197</v>
      </c>
      <c r="E158" s="28">
        <f>29*0.5*0.5</f>
        <v>7.25</v>
      </c>
      <c r="F158" s="22" t="s">
        <v>4</v>
      </c>
      <c r="G158" s="43" t="s">
        <v>3</v>
      </c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39"/>
    </row>
    <row r="159" spans="1:21" ht="15.75" x14ac:dyDescent="0.25">
      <c r="A159" s="38" t="str">
        <f t="shared" si="10"/>
        <v>Км6.1.1</v>
      </c>
      <c r="B159" s="30"/>
      <c r="C159" s="30" t="s">
        <v>198</v>
      </c>
      <c r="D159" s="30" t="s">
        <v>199</v>
      </c>
      <c r="E159" s="30">
        <v>8</v>
      </c>
      <c r="F159" s="22">
        <v>94.2</v>
      </c>
      <c r="G159" s="43"/>
      <c r="H159" s="43"/>
      <c r="I159" s="43"/>
      <c r="J159" s="43"/>
      <c r="K159" s="22">
        <f>120*120</f>
        <v>14400</v>
      </c>
      <c r="L159" s="43" t="s">
        <v>23</v>
      </c>
      <c r="M159" s="43" t="s">
        <v>22</v>
      </c>
      <c r="N159" s="43"/>
      <c r="O159" s="43" t="s">
        <v>24</v>
      </c>
      <c r="P159" s="43"/>
      <c r="Q159" s="43"/>
      <c r="R159" s="43"/>
      <c r="S159" s="43"/>
      <c r="T159" s="43"/>
      <c r="U159" s="39"/>
    </row>
    <row r="160" spans="1:21" ht="15.75" x14ac:dyDescent="0.2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</row>
    <row r="161" spans="1:21" ht="15.75" x14ac:dyDescent="0.25">
      <c r="A161" s="21" t="s">
        <v>183</v>
      </c>
      <c r="B161" s="22" t="s">
        <v>183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3"/>
    </row>
    <row r="162" spans="1:21" ht="31.5" x14ac:dyDescent="0.25">
      <c r="A162" s="25" t="str">
        <f>B162</f>
        <v>Км6.1.2</v>
      </c>
      <c r="B162" s="26" t="s">
        <v>230</v>
      </c>
      <c r="C162" s="26"/>
      <c r="D162" s="26" t="s">
        <v>231</v>
      </c>
      <c r="E162" s="26">
        <v>1</v>
      </c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7"/>
    </row>
    <row r="163" spans="1:21" ht="31.5" x14ac:dyDescent="0.25">
      <c r="A163" s="38" t="str">
        <f>A162</f>
        <v>Км6.1.2</v>
      </c>
      <c r="B163" s="43">
        <v>200</v>
      </c>
      <c r="C163" s="43" t="s">
        <v>188</v>
      </c>
      <c r="D163" s="43" t="s">
        <v>189</v>
      </c>
      <c r="E163" s="43">
        <v>4</v>
      </c>
      <c r="F163" s="22">
        <v>2.4660000000000002</v>
      </c>
      <c r="G163" s="43" t="s">
        <v>0</v>
      </c>
      <c r="H163" s="43">
        <v>5080</v>
      </c>
      <c r="I163" s="43">
        <v>20</v>
      </c>
      <c r="J163" s="43" t="s">
        <v>2</v>
      </c>
      <c r="K163" s="43"/>
      <c r="L163" s="43"/>
      <c r="M163" s="43"/>
      <c r="N163" s="43"/>
      <c r="O163" s="43"/>
      <c r="P163" s="43"/>
      <c r="Q163" s="43"/>
      <c r="R163" s="43"/>
      <c r="S163" s="43" t="s">
        <v>202</v>
      </c>
      <c r="T163" s="43" t="s">
        <v>202</v>
      </c>
      <c r="U163" s="39">
        <v>80</v>
      </c>
    </row>
    <row r="164" spans="1:21" ht="31.5" x14ac:dyDescent="0.25">
      <c r="A164" s="38" t="str">
        <f t="shared" ref="A164:A177" si="11">A163</f>
        <v>Км6.1.2</v>
      </c>
      <c r="B164" s="43">
        <v>201</v>
      </c>
      <c r="C164" s="43" t="s">
        <v>188</v>
      </c>
      <c r="D164" s="43" t="s">
        <v>189</v>
      </c>
      <c r="E164" s="43">
        <v>4</v>
      </c>
      <c r="F164" s="22">
        <v>1.5780000000000001</v>
      </c>
      <c r="G164" s="43" t="s">
        <v>0</v>
      </c>
      <c r="H164" s="43">
        <v>5870</v>
      </c>
      <c r="I164" s="43">
        <v>16</v>
      </c>
      <c r="J164" s="43" t="s">
        <v>2</v>
      </c>
      <c r="K164" s="43"/>
      <c r="L164" s="43"/>
      <c r="M164" s="43"/>
      <c r="N164" s="43"/>
      <c r="O164" s="43"/>
      <c r="P164" s="43"/>
      <c r="Q164" s="43"/>
      <c r="R164" s="43"/>
      <c r="S164" s="43" t="s">
        <v>202</v>
      </c>
      <c r="T164" s="43" t="s">
        <v>202</v>
      </c>
      <c r="U164" s="39">
        <v>40</v>
      </c>
    </row>
    <row r="165" spans="1:21" ht="31.5" x14ac:dyDescent="0.25">
      <c r="A165" s="38" t="str">
        <f t="shared" si="11"/>
        <v>Км6.1.2</v>
      </c>
      <c r="B165" s="43">
        <v>203</v>
      </c>
      <c r="C165" s="43" t="s">
        <v>190</v>
      </c>
      <c r="D165" s="43" t="s">
        <v>278</v>
      </c>
      <c r="E165" s="43">
        <f>38</f>
        <v>38</v>
      </c>
      <c r="F165" s="22">
        <v>0.39500000000000002</v>
      </c>
      <c r="G165" s="43" t="s">
        <v>0</v>
      </c>
      <c r="H165" s="43">
        <f>520*4+150</f>
        <v>2230</v>
      </c>
      <c r="I165" s="43">
        <v>8</v>
      </c>
      <c r="J165" s="43" t="s">
        <v>1</v>
      </c>
      <c r="K165" s="43"/>
      <c r="L165" s="43"/>
      <c r="M165" s="43"/>
      <c r="N165" s="43"/>
      <c r="O165" s="43"/>
      <c r="P165" s="43"/>
      <c r="Q165" s="43"/>
      <c r="R165" s="43"/>
      <c r="S165" s="43" t="s">
        <v>202</v>
      </c>
      <c r="T165" s="43" t="s">
        <v>202</v>
      </c>
      <c r="U165" s="39">
        <v>10</v>
      </c>
    </row>
    <row r="166" spans="1:21" ht="31.5" x14ac:dyDescent="0.25">
      <c r="A166" s="38" t="str">
        <f t="shared" si="11"/>
        <v>Км6.1.2</v>
      </c>
      <c r="B166" s="43">
        <v>205</v>
      </c>
      <c r="C166" s="43" t="s">
        <v>190</v>
      </c>
      <c r="D166" s="43" t="s">
        <v>278</v>
      </c>
      <c r="E166" s="43">
        <f>38</f>
        <v>38</v>
      </c>
      <c r="F166" s="22">
        <v>0.39500000000000002</v>
      </c>
      <c r="G166" s="43" t="s">
        <v>0</v>
      </c>
      <c r="H166" s="43">
        <f>370*4+150</f>
        <v>1630</v>
      </c>
      <c r="I166" s="43">
        <v>8</v>
      </c>
      <c r="J166" s="43" t="s">
        <v>1</v>
      </c>
      <c r="K166" s="43"/>
      <c r="L166" s="43"/>
      <c r="M166" s="43"/>
      <c r="N166" s="43"/>
      <c r="O166" s="43"/>
      <c r="P166" s="43"/>
      <c r="Q166" s="43"/>
      <c r="R166" s="43"/>
      <c r="S166" s="43" t="s">
        <v>202</v>
      </c>
      <c r="T166" s="43" t="s">
        <v>202</v>
      </c>
      <c r="U166" s="39">
        <v>10</v>
      </c>
    </row>
    <row r="167" spans="1:21" ht="31.5" x14ac:dyDescent="0.25">
      <c r="A167" s="38" t="str">
        <f t="shared" si="11"/>
        <v>Км6.1.2</v>
      </c>
      <c r="B167" s="43">
        <v>197</v>
      </c>
      <c r="C167" s="43" t="s">
        <v>188</v>
      </c>
      <c r="D167" s="43" t="s">
        <v>192</v>
      </c>
      <c r="E167" s="43">
        <v>4</v>
      </c>
      <c r="F167" s="22">
        <v>2.4660000000000002</v>
      </c>
      <c r="G167" s="43"/>
      <c r="H167" s="43">
        <v>4500</v>
      </c>
      <c r="I167" s="43">
        <v>20</v>
      </c>
      <c r="J167" s="43" t="s">
        <v>2</v>
      </c>
      <c r="K167" s="43"/>
      <c r="L167" s="43"/>
      <c r="M167" s="43"/>
      <c r="N167" s="43"/>
      <c r="O167" s="43"/>
      <c r="P167" s="43"/>
      <c r="Q167" s="43"/>
      <c r="R167" s="43"/>
      <c r="S167" s="43" t="s">
        <v>202</v>
      </c>
      <c r="T167" s="43" t="s">
        <v>202</v>
      </c>
      <c r="U167" s="39">
        <v>80</v>
      </c>
    </row>
    <row r="168" spans="1:21" ht="31.5" x14ac:dyDescent="0.25">
      <c r="A168" s="38" t="str">
        <f t="shared" si="11"/>
        <v>Км6.1.2</v>
      </c>
      <c r="B168" s="43">
        <v>198</v>
      </c>
      <c r="C168" s="43" t="s">
        <v>188</v>
      </c>
      <c r="D168" s="43" t="s">
        <v>193</v>
      </c>
      <c r="E168" s="43">
        <f>4*5</f>
        <v>20</v>
      </c>
      <c r="F168" s="22">
        <v>2.4660000000000002</v>
      </c>
      <c r="G168" s="43"/>
      <c r="H168" s="43">
        <v>4050</v>
      </c>
      <c r="I168" s="43">
        <v>20</v>
      </c>
      <c r="J168" s="43" t="s">
        <v>2</v>
      </c>
      <c r="K168" s="43"/>
      <c r="L168" s="43"/>
      <c r="M168" s="43"/>
      <c r="N168" s="43"/>
      <c r="O168" s="43"/>
      <c r="P168" s="43"/>
      <c r="Q168" s="43"/>
      <c r="R168" s="43"/>
      <c r="S168" s="43" t="s">
        <v>202</v>
      </c>
      <c r="T168" s="43" t="s">
        <v>202</v>
      </c>
      <c r="U168" s="39">
        <v>80</v>
      </c>
    </row>
    <row r="169" spans="1:21" ht="31.5" x14ac:dyDescent="0.25">
      <c r="A169" s="38" t="str">
        <f t="shared" si="11"/>
        <v>Км6.1.2</v>
      </c>
      <c r="B169" s="43">
        <v>195</v>
      </c>
      <c r="C169" s="43" t="s">
        <v>188</v>
      </c>
      <c r="D169" s="43" t="s">
        <v>269</v>
      </c>
      <c r="E169" s="43">
        <v>4</v>
      </c>
      <c r="F169" s="22">
        <v>2.984</v>
      </c>
      <c r="G169" s="43"/>
      <c r="H169" s="43">
        <v>3820</v>
      </c>
      <c r="I169" s="43">
        <v>22</v>
      </c>
      <c r="J169" s="43" t="s">
        <v>2</v>
      </c>
      <c r="K169" s="43"/>
      <c r="L169" s="43"/>
      <c r="M169" s="43"/>
      <c r="N169" s="43"/>
      <c r="O169" s="43"/>
      <c r="P169" s="43"/>
      <c r="Q169" s="43"/>
      <c r="R169" s="43"/>
      <c r="S169" s="43" t="s">
        <v>202</v>
      </c>
      <c r="T169" s="43" t="s">
        <v>202</v>
      </c>
      <c r="U169" s="39">
        <v>88</v>
      </c>
    </row>
    <row r="170" spans="1:21" ht="31.5" x14ac:dyDescent="0.25">
      <c r="A170" s="38" t="str">
        <f t="shared" si="11"/>
        <v>Км6.1.2</v>
      </c>
      <c r="B170" s="43">
        <v>199</v>
      </c>
      <c r="C170" s="43" t="s">
        <v>188</v>
      </c>
      <c r="D170" s="43" t="s">
        <v>270</v>
      </c>
      <c r="E170" s="43">
        <v>8</v>
      </c>
      <c r="F170" s="22">
        <v>1.5780000000000001</v>
      </c>
      <c r="G170" s="43"/>
      <c r="H170" s="43">
        <v>1800</v>
      </c>
      <c r="I170" s="43">
        <v>16</v>
      </c>
      <c r="J170" s="43" t="s">
        <v>2</v>
      </c>
      <c r="K170" s="43"/>
      <c r="L170" s="43"/>
      <c r="M170" s="43"/>
      <c r="N170" s="43"/>
      <c r="O170" s="43"/>
      <c r="P170" s="43"/>
      <c r="Q170" s="43"/>
      <c r="R170" s="43"/>
      <c r="S170" s="43" t="s">
        <v>202</v>
      </c>
      <c r="T170" s="43" t="s">
        <v>202</v>
      </c>
      <c r="U170" s="39">
        <v>40</v>
      </c>
    </row>
    <row r="171" spans="1:21" ht="31.5" x14ac:dyDescent="0.25">
      <c r="A171" s="38" t="str">
        <f t="shared" si="11"/>
        <v>Км6.1.2</v>
      </c>
      <c r="B171" s="43">
        <v>196</v>
      </c>
      <c r="C171" s="43" t="s">
        <v>188</v>
      </c>
      <c r="D171" s="43" t="s">
        <v>270</v>
      </c>
      <c r="E171" s="43">
        <v>8</v>
      </c>
      <c r="F171" s="22">
        <v>2.984</v>
      </c>
      <c r="G171" s="43"/>
      <c r="H171" s="43">
        <v>1430</v>
      </c>
      <c r="I171" s="43">
        <v>22</v>
      </c>
      <c r="J171" s="43" t="s">
        <v>2</v>
      </c>
      <c r="K171" s="43"/>
      <c r="L171" s="43"/>
      <c r="M171" s="43"/>
      <c r="N171" s="43"/>
      <c r="O171" s="43"/>
      <c r="P171" s="43"/>
      <c r="Q171" s="43"/>
      <c r="R171" s="43"/>
      <c r="S171" s="43" t="s">
        <v>202</v>
      </c>
      <c r="T171" s="43" t="s">
        <v>202</v>
      </c>
      <c r="U171" s="39">
        <v>88</v>
      </c>
    </row>
    <row r="172" spans="1:21" ht="31.5" x14ac:dyDescent="0.25">
      <c r="A172" s="38" t="str">
        <f t="shared" si="11"/>
        <v>Км6.1.2</v>
      </c>
      <c r="B172" s="43">
        <v>202</v>
      </c>
      <c r="C172" s="43" t="s">
        <v>188</v>
      </c>
      <c r="D172" s="43" t="s">
        <v>270</v>
      </c>
      <c r="E172" s="43">
        <v>8</v>
      </c>
      <c r="F172" s="22">
        <v>1.5780000000000001</v>
      </c>
      <c r="G172" s="43" t="s">
        <v>0</v>
      </c>
      <c r="H172" s="43">
        <v>2630</v>
      </c>
      <c r="I172" s="43">
        <v>16</v>
      </c>
      <c r="J172" s="43" t="s">
        <v>2</v>
      </c>
      <c r="K172" s="43"/>
      <c r="L172" s="43"/>
      <c r="M172" s="43"/>
      <c r="N172" s="43"/>
      <c r="O172" s="43"/>
      <c r="P172" s="43"/>
      <c r="Q172" s="43"/>
      <c r="R172" s="43"/>
      <c r="S172" s="43" t="s">
        <v>202</v>
      </c>
      <c r="T172" s="43" t="s">
        <v>202</v>
      </c>
      <c r="U172" s="39">
        <v>40</v>
      </c>
    </row>
    <row r="173" spans="1:21" ht="31.5" x14ac:dyDescent="0.25">
      <c r="A173" s="38" t="str">
        <f t="shared" si="11"/>
        <v>Км6.1.2</v>
      </c>
      <c r="B173" s="43">
        <v>204</v>
      </c>
      <c r="C173" s="43" t="s">
        <v>190</v>
      </c>
      <c r="D173" s="43" t="s">
        <v>191</v>
      </c>
      <c r="E173" s="43">
        <f>30+2+31+29+29+29+29+1+33+20</f>
        <v>233</v>
      </c>
      <c r="F173" s="22">
        <v>0.39500000000000002</v>
      </c>
      <c r="G173" s="43" t="s">
        <v>0</v>
      </c>
      <c r="H173" s="43">
        <f>420*4+150</f>
        <v>1830</v>
      </c>
      <c r="I173" s="43">
        <v>8</v>
      </c>
      <c r="J173" s="43" t="s">
        <v>1</v>
      </c>
      <c r="K173" s="43"/>
      <c r="L173" s="43"/>
      <c r="M173" s="43"/>
      <c r="N173" s="43"/>
      <c r="O173" s="43"/>
      <c r="P173" s="43"/>
      <c r="Q173" s="43"/>
      <c r="R173" s="43"/>
      <c r="S173" s="43" t="s">
        <v>202</v>
      </c>
      <c r="T173" s="43" t="s">
        <v>202</v>
      </c>
      <c r="U173" s="39">
        <v>10</v>
      </c>
    </row>
    <row r="174" spans="1:21" ht="31.5" x14ac:dyDescent="0.25">
      <c r="A174" s="38" t="str">
        <f t="shared" si="11"/>
        <v>Км6.1.2</v>
      </c>
      <c r="B174" s="43">
        <v>206</v>
      </c>
      <c r="C174" s="43" t="s">
        <v>190</v>
      </c>
      <c r="D174" s="43" t="s">
        <v>191</v>
      </c>
      <c r="E174" s="43">
        <v>20</v>
      </c>
      <c r="F174" s="22">
        <v>0.39500000000000002</v>
      </c>
      <c r="G174" s="43" t="s">
        <v>0</v>
      </c>
      <c r="H174" s="43">
        <f>310*4+150</f>
        <v>1390</v>
      </c>
      <c r="I174" s="43">
        <v>8</v>
      </c>
      <c r="J174" s="43" t="s">
        <v>1</v>
      </c>
      <c r="K174" s="43"/>
      <c r="L174" s="43"/>
      <c r="M174" s="43"/>
      <c r="N174" s="43"/>
      <c r="O174" s="43"/>
      <c r="P174" s="43"/>
      <c r="Q174" s="43"/>
      <c r="R174" s="43"/>
      <c r="S174" s="43" t="s">
        <v>202</v>
      </c>
      <c r="T174" s="43" t="s">
        <v>202</v>
      </c>
      <c r="U174" s="39">
        <v>10</v>
      </c>
    </row>
    <row r="175" spans="1:21" ht="15.75" x14ac:dyDescent="0.25">
      <c r="A175" s="38" t="str">
        <f t="shared" si="11"/>
        <v>Км6.1.2</v>
      </c>
      <c r="B175" s="43"/>
      <c r="C175" s="28" t="s">
        <v>195</v>
      </c>
      <c r="D175" s="28" t="s">
        <v>196</v>
      </c>
      <c r="E175" s="28">
        <f>(1.5*1.5*0.25)+(0.6*0.6*4.57)</f>
        <v>2.2077</v>
      </c>
      <c r="F175" s="22" t="s">
        <v>4</v>
      </c>
      <c r="G175" s="43" t="s">
        <v>3</v>
      </c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39"/>
    </row>
    <row r="176" spans="1:21" ht="15.75" x14ac:dyDescent="0.25">
      <c r="A176" s="38" t="str">
        <f t="shared" si="11"/>
        <v>Км6.1.2</v>
      </c>
      <c r="B176" s="43"/>
      <c r="C176" s="28" t="s">
        <v>195</v>
      </c>
      <c r="D176" s="28" t="s">
        <v>197</v>
      </c>
      <c r="E176" s="28">
        <f>29*0.5*0.5</f>
        <v>7.25</v>
      </c>
      <c r="F176" s="22" t="s">
        <v>4</v>
      </c>
      <c r="G176" s="43" t="s">
        <v>3</v>
      </c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39"/>
    </row>
    <row r="177" spans="1:21" ht="15.75" x14ac:dyDescent="0.25">
      <c r="A177" s="38" t="str">
        <f t="shared" si="11"/>
        <v>Км6.1.2</v>
      </c>
      <c r="B177" s="30"/>
      <c r="C177" s="30" t="s">
        <v>198</v>
      </c>
      <c r="D177" s="30" t="s">
        <v>199</v>
      </c>
      <c r="E177" s="30">
        <v>8</v>
      </c>
      <c r="F177" s="22">
        <v>94.2</v>
      </c>
      <c r="G177" s="43"/>
      <c r="H177" s="43"/>
      <c r="I177" s="43"/>
      <c r="J177" s="43"/>
      <c r="K177" s="22">
        <f>120*120</f>
        <v>14400</v>
      </c>
      <c r="L177" s="43" t="s">
        <v>23</v>
      </c>
      <c r="M177" s="43" t="s">
        <v>22</v>
      </c>
      <c r="N177" s="43"/>
      <c r="O177" s="43" t="s">
        <v>24</v>
      </c>
      <c r="P177" s="43"/>
      <c r="Q177" s="43"/>
      <c r="R177" s="43"/>
      <c r="S177" s="43"/>
      <c r="T177" s="43"/>
      <c r="U177" s="39"/>
    </row>
    <row r="178" spans="1:21" ht="15.75" x14ac:dyDescent="0.2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</row>
    <row r="179" spans="1:21" ht="15.75" x14ac:dyDescent="0.2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</row>
    <row r="180" spans="1:21" ht="15.75" x14ac:dyDescent="0.25">
      <c r="A180" s="21" t="s">
        <v>183</v>
      </c>
      <c r="B180" s="22" t="s">
        <v>183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3"/>
    </row>
    <row r="181" spans="1:21" ht="31.5" x14ac:dyDescent="0.25">
      <c r="A181" s="25" t="str">
        <f>B181</f>
        <v>Км3.2</v>
      </c>
      <c r="B181" s="26" t="s">
        <v>232</v>
      </c>
      <c r="C181" s="26"/>
      <c r="D181" s="26" t="s">
        <v>233</v>
      </c>
      <c r="E181" s="26">
        <v>1</v>
      </c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7"/>
    </row>
    <row r="182" spans="1:21" ht="31.5" x14ac:dyDescent="0.25">
      <c r="A182" s="38" t="str">
        <f>A181</f>
        <v>Км3.2</v>
      </c>
      <c r="B182" s="43">
        <v>167</v>
      </c>
      <c r="C182" s="43" t="s">
        <v>188</v>
      </c>
      <c r="D182" s="43" t="s">
        <v>189</v>
      </c>
      <c r="E182" s="43">
        <v>4</v>
      </c>
      <c r="F182" s="22">
        <v>2.984</v>
      </c>
      <c r="G182" s="43" t="s">
        <v>0</v>
      </c>
      <c r="H182" s="43">
        <v>5070</v>
      </c>
      <c r="I182" s="43">
        <v>22</v>
      </c>
      <c r="J182" s="43" t="s">
        <v>2</v>
      </c>
      <c r="K182" s="43"/>
      <c r="L182" s="43"/>
      <c r="M182" s="43"/>
      <c r="N182" s="43"/>
      <c r="O182" s="43"/>
      <c r="P182" s="43"/>
      <c r="Q182" s="43"/>
      <c r="R182" s="43"/>
      <c r="S182" s="43" t="s">
        <v>202</v>
      </c>
      <c r="T182" s="43" t="s">
        <v>202</v>
      </c>
      <c r="U182" s="39">
        <v>88</v>
      </c>
    </row>
    <row r="183" spans="1:21" ht="31.5" x14ac:dyDescent="0.25">
      <c r="A183" s="38" t="str">
        <f t="shared" ref="A183:A191" si="12">A182</f>
        <v>Км3.2</v>
      </c>
      <c r="B183" s="43">
        <v>168</v>
      </c>
      <c r="C183" s="43" t="s">
        <v>188</v>
      </c>
      <c r="D183" s="43" t="s">
        <v>189</v>
      </c>
      <c r="E183" s="43">
        <v>4</v>
      </c>
      <c r="F183" s="22">
        <v>1.5780000000000001</v>
      </c>
      <c r="G183" s="43" t="s">
        <v>0</v>
      </c>
      <c r="H183" s="43">
        <v>5870</v>
      </c>
      <c r="I183" s="43">
        <v>16</v>
      </c>
      <c r="J183" s="43" t="s">
        <v>2</v>
      </c>
      <c r="K183" s="43"/>
      <c r="L183" s="43"/>
      <c r="M183" s="43"/>
      <c r="N183" s="43"/>
      <c r="O183" s="43"/>
      <c r="P183" s="43"/>
      <c r="Q183" s="43"/>
      <c r="R183" s="43"/>
      <c r="S183" s="43" t="s">
        <v>202</v>
      </c>
      <c r="T183" s="43" t="s">
        <v>202</v>
      </c>
      <c r="U183" s="39">
        <v>40</v>
      </c>
    </row>
    <row r="184" spans="1:21" ht="31.5" x14ac:dyDescent="0.25">
      <c r="A184" s="38" t="str">
        <f t="shared" si="12"/>
        <v>Км3.2</v>
      </c>
      <c r="B184" s="43">
        <v>163</v>
      </c>
      <c r="C184" s="43" t="s">
        <v>188</v>
      </c>
      <c r="D184" s="43" t="s">
        <v>192</v>
      </c>
      <c r="E184" s="43">
        <v>4</v>
      </c>
      <c r="F184" s="22">
        <v>2.4660000000000002</v>
      </c>
      <c r="G184" s="43"/>
      <c r="H184" s="43">
        <v>4500</v>
      </c>
      <c r="I184" s="43">
        <v>20</v>
      </c>
      <c r="J184" s="43" t="s">
        <v>2</v>
      </c>
      <c r="K184" s="43"/>
      <c r="L184" s="43"/>
      <c r="M184" s="43"/>
      <c r="N184" s="43"/>
      <c r="O184" s="43"/>
      <c r="P184" s="43"/>
      <c r="Q184" s="43"/>
      <c r="R184" s="43"/>
      <c r="S184" s="43" t="s">
        <v>202</v>
      </c>
      <c r="T184" s="43" t="s">
        <v>202</v>
      </c>
      <c r="U184" s="39">
        <v>80</v>
      </c>
    </row>
    <row r="185" spans="1:21" ht="31.5" x14ac:dyDescent="0.25">
      <c r="A185" s="38" t="str">
        <f t="shared" si="12"/>
        <v>Км3.2</v>
      </c>
      <c r="B185" s="43">
        <v>164</v>
      </c>
      <c r="C185" s="43" t="s">
        <v>188</v>
      </c>
      <c r="D185" s="43" t="s">
        <v>193</v>
      </c>
      <c r="E185" s="43">
        <f>4*5</f>
        <v>20</v>
      </c>
      <c r="F185" s="22">
        <v>2.4660000000000002</v>
      </c>
      <c r="G185" s="43"/>
      <c r="H185" s="43">
        <v>4050</v>
      </c>
      <c r="I185" s="43">
        <v>20</v>
      </c>
      <c r="J185" s="43" t="s">
        <v>2</v>
      </c>
      <c r="K185" s="43"/>
      <c r="L185" s="43"/>
      <c r="M185" s="43"/>
      <c r="N185" s="43"/>
      <c r="O185" s="43"/>
      <c r="P185" s="43"/>
      <c r="Q185" s="43"/>
      <c r="R185" s="43"/>
      <c r="S185" s="43" t="s">
        <v>202</v>
      </c>
      <c r="T185" s="43" t="s">
        <v>202</v>
      </c>
      <c r="U185" s="39">
        <v>80</v>
      </c>
    </row>
    <row r="186" spans="1:21" ht="31.5" x14ac:dyDescent="0.25">
      <c r="A186" s="38" t="str">
        <f t="shared" si="12"/>
        <v>Км3.2</v>
      </c>
      <c r="B186" s="43">
        <v>165</v>
      </c>
      <c r="C186" s="43" t="s">
        <v>188</v>
      </c>
      <c r="D186" s="43" t="s">
        <v>194</v>
      </c>
      <c r="E186" s="43">
        <v>4</v>
      </c>
      <c r="F186" s="22">
        <v>2.4660000000000002</v>
      </c>
      <c r="G186" s="43"/>
      <c r="H186" s="43">
        <v>2720</v>
      </c>
      <c r="I186" s="43">
        <v>20</v>
      </c>
      <c r="J186" s="43" t="s">
        <v>2</v>
      </c>
      <c r="K186" s="43"/>
      <c r="L186" s="43"/>
      <c r="M186" s="43"/>
      <c r="N186" s="43"/>
      <c r="O186" s="43"/>
      <c r="P186" s="43"/>
      <c r="Q186" s="43"/>
      <c r="R186" s="43"/>
      <c r="S186" s="43" t="s">
        <v>202</v>
      </c>
      <c r="T186" s="43" t="s">
        <v>202</v>
      </c>
      <c r="U186" s="39">
        <v>80</v>
      </c>
    </row>
    <row r="187" spans="1:21" ht="31.5" x14ac:dyDescent="0.25">
      <c r="A187" s="38" t="str">
        <f t="shared" si="12"/>
        <v>Км3.2</v>
      </c>
      <c r="B187" s="43">
        <v>166</v>
      </c>
      <c r="C187" s="43" t="s">
        <v>188</v>
      </c>
      <c r="D187" s="43" t="s">
        <v>194</v>
      </c>
      <c r="E187" s="43">
        <v>4</v>
      </c>
      <c r="F187" s="22">
        <v>1.5780000000000001</v>
      </c>
      <c r="G187" s="43"/>
      <c r="H187" s="43">
        <v>4320</v>
      </c>
      <c r="I187" s="43">
        <v>16</v>
      </c>
      <c r="J187" s="43" t="s">
        <v>2</v>
      </c>
      <c r="K187" s="43"/>
      <c r="L187" s="43"/>
      <c r="M187" s="43"/>
      <c r="N187" s="43"/>
      <c r="O187" s="43"/>
      <c r="P187" s="43"/>
      <c r="Q187" s="43"/>
      <c r="R187" s="43"/>
      <c r="S187" s="43" t="s">
        <v>202</v>
      </c>
      <c r="T187" s="43" t="s">
        <v>202</v>
      </c>
      <c r="U187" s="39">
        <v>40</v>
      </c>
    </row>
    <row r="188" spans="1:21" ht="31.5" x14ac:dyDescent="0.25">
      <c r="A188" s="38" t="str">
        <f t="shared" si="12"/>
        <v>Км3.2</v>
      </c>
      <c r="B188" s="43">
        <v>169</v>
      </c>
      <c r="C188" s="43" t="s">
        <v>190</v>
      </c>
      <c r="D188" s="43" t="s">
        <v>191</v>
      </c>
      <c r="E188" s="43">
        <f>38+29+2+29+29+29+29+27+2+30</f>
        <v>244</v>
      </c>
      <c r="F188" s="22">
        <v>0.39500000000000002</v>
      </c>
      <c r="G188" s="43" t="s">
        <v>0</v>
      </c>
      <c r="H188" s="43">
        <f>420*4+150</f>
        <v>1830</v>
      </c>
      <c r="I188" s="43">
        <v>8</v>
      </c>
      <c r="J188" s="43" t="s">
        <v>1</v>
      </c>
      <c r="K188" s="43"/>
      <c r="L188" s="43"/>
      <c r="M188" s="43"/>
      <c r="N188" s="43"/>
      <c r="O188" s="43"/>
      <c r="P188" s="43"/>
      <c r="Q188" s="43"/>
      <c r="R188" s="43"/>
      <c r="S188" s="43" t="s">
        <v>202</v>
      </c>
      <c r="T188" s="43" t="s">
        <v>202</v>
      </c>
      <c r="U188" s="39">
        <v>10</v>
      </c>
    </row>
    <row r="189" spans="1:21" ht="15.75" x14ac:dyDescent="0.25">
      <c r="A189" s="38" t="str">
        <f t="shared" si="12"/>
        <v>Км3.2</v>
      </c>
      <c r="B189" s="43"/>
      <c r="C189" s="28" t="s">
        <v>195</v>
      </c>
      <c r="D189" s="28" t="s">
        <v>196</v>
      </c>
      <c r="E189" s="28">
        <f>(1.5*1.5*0.25)+(1*1*0.25)+(0.5*0.5*4.32)</f>
        <v>1.8925000000000001</v>
      </c>
      <c r="F189" s="22" t="s">
        <v>4</v>
      </c>
      <c r="G189" s="43" t="s">
        <v>3</v>
      </c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39"/>
    </row>
    <row r="190" spans="1:21" ht="15.75" x14ac:dyDescent="0.25">
      <c r="A190" s="38" t="str">
        <f t="shared" si="12"/>
        <v>Км3.2</v>
      </c>
      <c r="B190" s="43"/>
      <c r="C190" s="28" t="s">
        <v>195</v>
      </c>
      <c r="D190" s="28" t="s">
        <v>197</v>
      </c>
      <c r="E190" s="28">
        <f>26.47*0.5*0.5</f>
        <v>6.6174999999999997</v>
      </c>
      <c r="F190" s="22" t="s">
        <v>4</v>
      </c>
      <c r="G190" s="43" t="s">
        <v>3</v>
      </c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39"/>
    </row>
    <row r="191" spans="1:21" ht="15.75" x14ac:dyDescent="0.25">
      <c r="A191" s="38" t="str">
        <f t="shared" si="12"/>
        <v>Км3.2</v>
      </c>
      <c r="B191" s="30"/>
      <c r="C191" s="30" t="s">
        <v>198</v>
      </c>
      <c r="D191" s="30" t="s">
        <v>199</v>
      </c>
      <c r="E191" s="30">
        <v>4</v>
      </c>
      <c r="F191" s="22">
        <v>94.2</v>
      </c>
      <c r="G191" s="43"/>
      <c r="H191" s="43"/>
      <c r="I191" s="43"/>
      <c r="J191" s="43"/>
      <c r="K191" s="22">
        <f>120*120</f>
        <v>14400</v>
      </c>
      <c r="L191" s="43" t="s">
        <v>23</v>
      </c>
      <c r="M191" s="43" t="s">
        <v>22</v>
      </c>
      <c r="N191" s="43"/>
      <c r="O191" s="43" t="s">
        <v>24</v>
      </c>
      <c r="P191" s="43"/>
      <c r="Q191" s="43"/>
      <c r="R191" s="43"/>
      <c r="S191" s="43"/>
      <c r="T191" s="43"/>
      <c r="U191" s="39"/>
    </row>
    <row r="192" spans="1:21" ht="15.75" x14ac:dyDescent="0.2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</row>
    <row r="193" spans="1:21" ht="15.75" x14ac:dyDescent="0.25">
      <c r="A193" s="21" t="s">
        <v>183</v>
      </c>
      <c r="B193" s="22" t="s">
        <v>183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3"/>
    </row>
    <row r="194" spans="1:21" ht="15.75" x14ac:dyDescent="0.25">
      <c r="A194" s="25" t="str">
        <f>B194</f>
        <v>Км1.4</v>
      </c>
      <c r="B194" s="26" t="s">
        <v>234</v>
      </c>
      <c r="C194" s="26"/>
      <c r="D194" s="26" t="s">
        <v>235</v>
      </c>
      <c r="E194" s="26">
        <v>1</v>
      </c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7"/>
    </row>
    <row r="195" spans="1:21" ht="31.5" x14ac:dyDescent="0.25">
      <c r="A195" s="38" t="str">
        <f>A194</f>
        <v>Км1.4</v>
      </c>
      <c r="B195" s="43">
        <v>23</v>
      </c>
      <c r="C195" s="43" t="s">
        <v>188</v>
      </c>
      <c r="D195" s="43" t="s">
        <v>189</v>
      </c>
      <c r="E195" s="43">
        <v>4</v>
      </c>
      <c r="F195" s="22">
        <v>2.984</v>
      </c>
      <c r="G195" s="43"/>
      <c r="H195" s="43">
        <v>5070</v>
      </c>
      <c r="I195" s="43">
        <v>22</v>
      </c>
      <c r="J195" s="43" t="s">
        <v>2</v>
      </c>
      <c r="K195" s="43"/>
      <c r="L195" s="43"/>
      <c r="M195" s="43"/>
      <c r="N195" s="43"/>
      <c r="O195" s="43"/>
      <c r="P195" s="43"/>
      <c r="Q195" s="43"/>
      <c r="R195" s="43"/>
      <c r="S195" s="43" t="s">
        <v>202</v>
      </c>
      <c r="T195" s="43" t="s">
        <v>202</v>
      </c>
      <c r="U195" s="39">
        <v>88</v>
      </c>
    </row>
    <row r="196" spans="1:21" ht="31.5" x14ac:dyDescent="0.25">
      <c r="A196" s="38" t="str">
        <f t="shared" ref="A196:A203" si="13">A195</f>
        <v>Км1.4</v>
      </c>
      <c r="B196" s="43">
        <v>28</v>
      </c>
      <c r="C196" s="43" t="s">
        <v>190</v>
      </c>
      <c r="D196" s="43" t="s">
        <v>191</v>
      </c>
      <c r="E196" s="43">
        <f>38+34+(29*4)+26+33</f>
        <v>247</v>
      </c>
      <c r="F196" s="22">
        <v>0.39500000000000002</v>
      </c>
      <c r="G196" s="43" t="s">
        <v>0</v>
      </c>
      <c r="H196" s="43">
        <f>420*4+150</f>
        <v>1830</v>
      </c>
      <c r="I196" s="43">
        <v>8</v>
      </c>
      <c r="J196" s="43" t="s">
        <v>1</v>
      </c>
      <c r="K196" s="43"/>
      <c r="L196" s="43"/>
      <c r="M196" s="43"/>
      <c r="N196" s="43"/>
      <c r="O196" s="43"/>
      <c r="P196" s="43"/>
      <c r="Q196" s="43"/>
      <c r="R196" s="43"/>
      <c r="S196" s="43" t="s">
        <v>202</v>
      </c>
      <c r="T196" s="43" t="s">
        <v>202</v>
      </c>
      <c r="U196" s="39">
        <v>10</v>
      </c>
    </row>
    <row r="197" spans="1:21" ht="31.5" x14ac:dyDescent="0.25">
      <c r="A197" s="38" t="str">
        <f t="shared" si="13"/>
        <v>Км1.4</v>
      </c>
      <c r="B197" s="43">
        <v>24</v>
      </c>
      <c r="C197" s="43" t="s">
        <v>188</v>
      </c>
      <c r="D197" s="43" t="s">
        <v>192</v>
      </c>
      <c r="E197" s="43">
        <v>4</v>
      </c>
      <c r="F197" s="22">
        <v>2.4660000000000002</v>
      </c>
      <c r="G197" s="43"/>
      <c r="H197" s="43">
        <v>4500</v>
      </c>
      <c r="I197" s="43">
        <v>20</v>
      </c>
      <c r="J197" s="43" t="s">
        <v>2</v>
      </c>
      <c r="K197" s="43"/>
      <c r="L197" s="43"/>
      <c r="M197" s="43"/>
      <c r="N197" s="43"/>
      <c r="O197" s="43"/>
      <c r="P197" s="43"/>
      <c r="Q197" s="43"/>
      <c r="R197" s="43"/>
      <c r="S197" s="43" t="s">
        <v>202</v>
      </c>
      <c r="T197" s="43" t="s">
        <v>202</v>
      </c>
      <c r="U197" s="39">
        <v>80</v>
      </c>
    </row>
    <row r="198" spans="1:21" ht="31.5" x14ac:dyDescent="0.25">
      <c r="A198" s="38" t="str">
        <f t="shared" si="13"/>
        <v>Км1.4</v>
      </c>
      <c r="B198" s="43">
        <v>25</v>
      </c>
      <c r="C198" s="43" t="s">
        <v>188</v>
      </c>
      <c r="D198" s="43" t="s">
        <v>289</v>
      </c>
      <c r="E198" s="43">
        <f>4*4</f>
        <v>16</v>
      </c>
      <c r="F198" s="22">
        <v>2.4660000000000002</v>
      </c>
      <c r="G198" s="43"/>
      <c r="H198" s="43">
        <v>4050</v>
      </c>
      <c r="I198" s="43">
        <v>20</v>
      </c>
      <c r="J198" s="43" t="s">
        <v>2</v>
      </c>
      <c r="K198" s="43"/>
      <c r="L198" s="43"/>
      <c r="M198" s="43"/>
      <c r="N198" s="43"/>
      <c r="O198" s="43"/>
      <c r="P198" s="43"/>
      <c r="Q198" s="43"/>
      <c r="R198" s="43"/>
      <c r="S198" s="43" t="s">
        <v>202</v>
      </c>
      <c r="T198" s="43" t="s">
        <v>202</v>
      </c>
      <c r="U198" s="39">
        <v>80</v>
      </c>
    </row>
    <row r="199" spans="1:21" ht="31.5" x14ac:dyDescent="0.25">
      <c r="A199" s="38" t="str">
        <f t="shared" si="13"/>
        <v>Км1.4</v>
      </c>
      <c r="B199" s="43">
        <v>26</v>
      </c>
      <c r="C199" s="43" t="s">
        <v>188</v>
      </c>
      <c r="D199" s="43" t="s">
        <v>290</v>
      </c>
      <c r="E199" s="43">
        <v>4</v>
      </c>
      <c r="F199" s="22">
        <v>2.4660000000000002</v>
      </c>
      <c r="G199" s="43"/>
      <c r="H199" s="43">
        <v>3500</v>
      </c>
      <c r="I199" s="43">
        <v>20</v>
      </c>
      <c r="J199" s="43" t="s">
        <v>2</v>
      </c>
      <c r="K199" s="43"/>
      <c r="L199" s="43"/>
      <c r="M199" s="43"/>
      <c r="N199" s="43"/>
      <c r="O199" s="43"/>
      <c r="P199" s="43"/>
      <c r="Q199" s="43"/>
      <c r="R199" s="43"/>
      <c r="S199" s="43" t="s">
        <v>202</v>
      </c>
      <c r="T199" s="43" t="s">
        <v>202</v>
      </c>
      <c r="U199" s="39">
        <v>80</v>
      </c>
    </row>
    <row r="200" spans="1:21" ht="31.5" x14ac:dyDescent="0.25">
      <c r="A200" s="38" t="str">
        <f t="shared" si="13"/>
        <v>Км1.4</v>
      </c>
      <c r="B200" s="43">
        <v>27</v>
      </c>
      <c r="C200" s="43" t="s">
        <v>188</v>
      </c>
      <c r="D200" s="43" t="s">
        <v>194</v>
      </c>
      <c r="E200" s="43">
        <v>4</v>
      </c>
      <c r="F200" s="22">
        <v>2.4660000000000002</v>
      </c>
      <c r="G200" s="43"/>
      <c r="H200" s="43">
        <v>3270</v>
      </c>
      <c r="I200" s="43">
        <v>20</v>
      </c>
      <c r="J200" s="43" t="s">
        <v>2</v>
      </c>
      <c r="K200" s="43"/>
      <c r="L200" s="43"/>
      <c r="M200" s="43"/>
      <c r="N200" s="43"/>
      <c r="O200" s="43"/>
      <c r="P200" s="43"/>
      <c r="Q200" s="43"/>
      <c r="R200" s="43"/>
      <c r="S200" s="43" t="s">
        <v>202</v>
      </c>
      <c r="T200" s="43" t="s">
        <v>202</v>
      </c>
      <c r="U200" s="39">
        <v>80</v>
      </c>
    </row>
    <row r="201" spans="1:21" ht="15.75" x14ac:dyDescent="0.25">
      <c r="A201" s="38" t="str">
        <f t="shared" si="13"/>
        <v>Км1.4</v>
      </c>
      <c r="B201" s="43"/>
      <c r="C201" s="28" t="s">
        <v>195</v>
      </c>
      <c r="D201" s="28" t="s">
        <v>196</v>
      </c>
      <c r="E201" s="28">
        <f>4.82*0.5*0.5</f>
        <v>1.2050000000000001</v>
      </c>
      <c r="F201" s="22" t="s">
        <v>4</v>
      </c>
      <c r="G201" s="43" t="s">
        <v>3</v>
      </c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39"/>
    </row>
    <row r="202" spans="1:21" ht="15.75" x14ac:dyDescent="0.25">
      <c r="A202" s="38" t="str">
        <f t="shared" si="13"/>
        <v>Км1.4</v>
      </c>
      <c r="B202" s="43"/>
      <c r="C202" s="28" t="s">
        <v>195</v>
      </c>
      <c r="D202" s="28" t="s">
        <v>197</v>
      </c>
      <c r="E202" s="28">
        <f>26.97*0.5*0.5</f>
        <v>6.7424999999999997</v>
      </c>
      <c r="F202" s="22" t="s">
        <v>4</v>
      </c>
      <c r="G202" s="43" t="s">
        <v>3</v>
      </c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39"/>
    </row>
    <row r="203" spans="1:21" ht="15.75" x14ac:dyDescent="0.25">
      <c r="A203" s="38" t="str">
        <f t="shared" si="13"/>
        <v>Км1.4</v>
      </c>
      <c r="B203" s="30"/>
      <c r="C203" s="30" t="s">
        <v>198</v>
      </c>
      <c r="D203" s="30" t="s">
        <v>199</v>
      </c>
      <c r="E203" s="30">
        <v>4</v>
      </c>
      <c r="F203" s="22">
        <v>94.2</v>
      </c>
      <c r="G203" s="43"/>
      <c r="H203" s="43"/>
      <c r="I203" s="43"/>
      <c r="J203" s="43"/>
      <c r="K203" s="22">
        <f>120*120</f>
        <v>14400</v>
      </c>
      <c r="L203" s="43" t="s">
        <v>23</v>
      </c>
      <c r="M203" s="43" t="s">
        <v>22</v>
      </c>
      <c r="N203" s="43"/>
      <c r="O203" s="43" t="s">
        <v>24</v>
      </c>
      <c r="P203" s="43"/>
      <c r="Q203" s="43"/>
      <c r="R203" s="43"/>
      <c r="S203" s="43"/>
      <c r="T203" s="43"/>
      <c r="U203" s="39"/>
    </row>
    <row r="204" spans="1:21" ht="15.75" x14ac:dyDescent="0.2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</row>
    <row r="205" spans="1:21" ht="15.75" x14ac:dyDescent="0.2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</row>
    <row r="206" spans="1:21" ht="15.75" x14ac:dyDescent="0.2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</row>
    <row r="207" spans="1:21" ht="15.75" x14ac:dyDescent="0.2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</row>
    <row r="208" spans="1:21" ht="31.5" x14ac:dyDescent="0.25">
      <c r="A208" s="25" t="str">
        <f>B208</f>
        <v>Км11.1</v>
      </c>
      <c r="B208" s="26" t="s">
        <v>236</v>
      </c>
      <c r="C208" s="26"/>
      <c r="D208" s="26" t="s">
        <v>237</v>
      </c>
      <c r="E208" s="26">
        <f>1</f>
        <v>1</v>
      </c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7"/>
    </row>
    <row r="209" spans="1:21" ht="31.5" x14ac:dyDescent="0.25">
      <c r="A209" s="38" t="str">
        <f>A208</f>
        <v>Км11.1</v>
      </c>
      <c r="B209" s="43">
        <v>41</v>
      </c>
      <c r="C209" s="43" t="s">
        <v>188</v>
      </c>
      <c r="D209" s="43" t="s">
        <v>189</v>
      </c>
      <c r="E209" s="43">
        <v>4</v>
      </c>
      <c r="F209" s="22">
        <v>2.984</v>
      </c>
      <c r="G209" s="43"/>
      <c r="H209" s="43">
        <v>5070</v>
      </c>
      <c r="I209" s="43">
        <v>22</v>
      </c>
      <c r="J209" s="43" t="s">
        <v>2</v>
      </c>
      <c r="K209" s="43"/>
      <c r="L209" s="43"/>
      <c r="M209" s="43"/>
      <c r="N209" s="43"/>
      <c r="O209" s="43"/>
      <c r="P209" s="43"/>
      <c r="Q209" s="43"/>
      <c r="R209" s="43"/>
      <c r="S209" s="43" t="s">
        <v>202</v>
      </c>
      <c r="T209" s="43" t="s">
        <v>202</v>
      </c>
      <c r="U209" s="39">
        <v>88</v>
      </c>
    </row>
    <row r="210" spans="1:21" ht="31.5" x14ac:dyDescent="0.25">
      <c r="A210" s="38" t="str">
        <f t="shared" ref="A210:A219" si="14">A209</f>
        <v>Км11.1</v>
      </c>
      <c r="B210" s="43">
        <v>47</v>
      </c>
      <c r="C210" s="43" t="s">
        <v>190</v>
      </c>
      <c r="D210" s="43" t="s">
        <v>191</v>
      </c>
      <c r="E210" s="43">
        <f>38+29+2+29+28+29+29+29+32+16</f>
        <v>261</v>
      </c>
      <c r="F210" s="22">
        <v>0.39500000000000002</v>
      </c>
      <c r="G210" s="43" t="s">
        <v>0</v>
      </c>
      <c r="H210" s="43">
        <f>420*4+150</f>
        <v>1830</v>
      </c>
      <c r="I210" s="43">
        <v>8</v>
      </c>
      <c r="J210" s="43" t="s">
        <v>1</v>
      </c>
      <c r="K210" s="43"/>
      <c r="L210" s="43"/>
      <c r="M210" s="43"/>
      <c r="N210" s="43"/>
      <c r="O210" s="43"/>
      <c r="P210" s="43"/>
      <c r="Q210" s="43"/>
      <c r="R210" s="43"/>
      <c r="S210" s="43" t="s">
        <v>202</v>
      </c>
      <c r="T210" s="43" t="s">
        <v>202</v>
      </c>
      <c r="U210" s="39">
        <v>10</v>
      </c>
    </row>
    <row r="211" spans="1:21" ht="31.5" x14ac:dyDescent="0.25">
      <c r="A211" s="38" t="str">
        <f t="shared" si="14"/>
        <v>Км11.1</v>
      </c>
      <c r="B211" s="43">
        <v>42</v>
      </c>
      <c r="C211" s="43" t="s">
        <v>188</v>
      </c>
      <c r="D211" s="43" t="s">
        <v>192</v>
      </c>
      <c r="E211" s="43">
        <v>4</v>
      </c>
      <c r="F211" s="22">
        <v>2.4660000000000002</v>
      </c>
      <c r="G211" s="43"/>
      <c r="H211" s="43">
        <v>4500</v>
      </c>
      <c r="I211" s="43">
        <v>20</v>
      </c>
      <c r="J211" s="43" t="s">
        <v>2</v>
      </c>
      <c r="K211" s="43"/>
      <c r="L211" s="43"/>
      <c r="M211" s="43"/>
      <c r="N211" s="43"/>
      <c r="O211" s="43"/>
      <c r="P211" s="43"/>
      <c r="Q211" s="43"/>
      <c r="R211" s="43"/>
      <c r="S211" s="43" t="s">
        <v>202</v>
      </c>
      <c r="T211" s="43" t="s">
        <v>202</v>
      </c>
      <c r="U211" s="39">
        <v>80</v>
      </c>
    </row>
    <row r="212" spans="1:21" ht="31.5" x14ac:dyDescent="0.25">
      <c r="A212" s="38" t="str">
        <f t="shared" si="14"/>
        <v>Км11.1</v>
      </c>
      <c r="B212" s="43">
        <v>43</v>
      </c>
      <c r="C212" s="43" t="s">
        <v>188</v>
      </c>
      <c r="D212" s="43" t="s">
        <v>193</v>
      </c>
      <c r="E212" s="43">
        <f>4*5</f>
        <v>20</v>
      </c>
      <c r="F212" s="22">
        <v>2.4660000000000002</v>
      </c>
      <c r="G212" s="43"/>
      <c r="H212" s="43">
        <v>4050</v>
      </c>
      <c r="I212" s="43">
        <v>20</v>
      </c>
      <c r="J212" s="43" t="s">
        <v>2</v>
      </c>
      <c r="K212" s="43"/>
      <c r="L212" s="43"/>
      <c r="M212" s="43"/>
      <c r="N212" s="43"/>
      <c r="O212" s="43"/>
      <c r="P212" s="43"/>
      <c r="Q212" s="43"/>
      <c r="R212" s="43"/>
      <c r="S212" s="43" t="s">
        <v>202</v>
      </c>
      <c r="T212" s="43" t="s">
        <v>202</v>
      </c>
      <c r="U212" s="39">
        <v>80</v>
      </c>
    </row>
    <row r="213" spans="1:21" ht="31.5" x14ac:dyDescent="0.25">
      <c r="A213" s="38" t="str">
        <f t="shared" si="14"/>
        <v>Км11.1</v>
      </c>
      <c r="B213" s="43">
        <v>44</v>
      </c>
      <c r="C213" s="43" t="s">
        <v>188</v>
      </c>
      <c r="D213" s="43" t="s">
        <v>194</v>
      </c>
      <c r="E213" s="43">
        <v>4</v>
      </c>
      <c r="F213" s="22">
        <v>2.4660000000000002</v>
      </c>
      <c r="G213" s="43"/>
      <c r="H213" s="43">
        <v>3820</v>
      </c>
      <c r="I213" s="43">
        <v>20</v>
      </c>
      <c r="J213" s="43" t="s">
        <v>2</v>
      </c>
      <c r="K213" s="43"/>
      <c r="L213" s="43"/>
      <c r="M213" s="43"/>
      <c r="N213" s="43"/>
      <c r="O213" s="43"/>
      <c r="P213" s="43"/>
      <c r="Q213" s="43"/>
      <c r="R213" s="43"/>
      <c r="S213" s="43" t="s">
        <v>202</v>
      </c>
      <c r="T213" s="43" t="s">
        <v>202</v>
      </c>
      <c r="U213" s="39">
        <v>80</v>
      </c>
    </row>
    <row r="214" spans="1:21" ht="31.5" x14ac:dyDescent="0.25">
      <c r="A214" s="38" t="str">
        <f t="shared" si="14"/>
        <v>Км11.1</v>
      </c>
      <c r="B214" s="43">
        <v>45</v>
      </c>
      <c r="C214" s="43" t="s">
        <v>291</v>
      </c>
      <c r="D214" s="43" t="s">
        <v>270</v>
      </c>
      <c r="E214" s="43">
        <v>4</v>
      </c>
      <c r="F214" s="22">
        <v>2.4660000000000002</v>
      </c>
      <c r="G214" s="43"/>
      <c r="H214" s="43">
        <v>1430</v>
      </c>
      <c r="I214" s="43">
        <v>20</v>
      </c>
      <c r="J214" s="43" t="s">
        <v>2</v>
      </c>
      <c r="K214" s="43"/>
      <c r="L214" s="43"/>
      <c r="M214" s="43"/>
      <c r="N214" s="43"/>
      <c r="O214" s="43"/>
      <c r="P214" s="43"/>
      <c r="Q214" s="43"/>
      <c r="R214" s="43"/>
      <c r="S214" s="43" t="s">
        <v>202</v>
      </c>
      <c r="T214" s="43" t="s">
        <v>202</v>
      </c>
      <c r="U214" s="39">
        <v>80</v>
      </c>
    </row>
    <row r="215" spans="1:21" ht="31.5" x14ac:dyDescent="0.25">
      <c r="A215" s="38" t="str">
        <f t="shared" si="14"/>
        <v>Км11.1</v>
      </c>
      <c r="B215" s="43">
        <v>45</v>
      </c>
      <c r="C215" s="43" t="s">
        <v>291</v>
      </c>
      <c r="D215" s="43" t="s">
        <v>270</v>
      </c>
      <c r="E215" s="43">
        <v>4</v>
      </c>
      <c r="F215" s="22">
        <v>2.4660000000000002</v>
      </c>
      <c r="G215" s="43"/>
      <c r="H215" s="43">
        <v>1430</v>
      </c>
      <c r="I215" s="43">
        <v>20</v>
      </c>
      <c r="J215" s="43" t="s">
        <v>2</v>
      </c>
      <c r="K215" s="43"/>
      <c r="L215" s="43"/>
      <c r="M215" s="43"/>
      <c r="N215" s="43"/>
      <c r="O215" s="43"/>
      <c r="P215" s="43"/>
      <c r="Q215" s="43"/>
      <c r="R215" s="43"/>
      <c r="S215" s="43" t="s">
        <v>202</v>
      </c>
      <c r="T215" s="43" t="s">
        <v>202</v>
      </c>
      <c r="U215" s="39">
        <v>80</v>
      </c>
    </row>
    <row r="216" spans="1:21" ht="31.5" x14ac:dyDescent="0.25">
      <c r="A216" s="38" t="str">
        <f t="shared" si="14"/>
        <v>Км11.1</v>
      </c>
      <c r="B216" s="43">
        <v>46</v>
      </c>
      <c r="C216" s="43" t="s">
        <v>188</v>
      </c>
      <c r="D216" s="43" t="s">
        <v>270</v>
      </c>
      <c r="E216" s="43">
        <v>4</v>
      </c>
      <c r="F216" s="22">
        <v>1.5780000000000001</v>
      </c>
      <c r="G216" s="43"/>
      <c r="H216" s="43">
        <v>2630</v>
      </c>
      <c r="I216" s="43">
        <v>16</v>
      </c>
      <c r="J216" s="43" t="s">
        <v>2</v>
      </c>
      <c r="K216" s="43"/>
      <c r="L216" s="43"/>
      <c r="M216" s="43"/>
      <c r="N216" s="43"/>
      <c r="O216" s="43"/>
      <c r="P216" s="43"/>
      <c r="Q216" s="43"/>
      <c r="R216" s="43"/>
      <c r="S216" s="43" t="s">
        <v>202</v>
      </c>
      <c r="T216" s="43" t="s">
        <v>202</v>
      </c>
      <c r="U216" s="39">
        <v>40</v>
      </c>
    </row>
    <row r="217" spans="1:21" ht="15.75" x14ac:dyDescent="0.25">
      <c r="A217" s="38" t="str">
        <f t="shared" si="14"/>
        <v>Км11.1</v>
      </c>
      <c r="B217" s="43"/>
      <c r="C217" s="28" t="s">
        <v>195</v>
      </c>
      <c r="D217" s="28" t="s">
        <v>196</v>
      </c>
      <c r="E217" s="28">
        <f>(1.5*1.5*0.25)+(0.5*0.5*4.57)</f>
        <v>1.7050000000000001</v>
      </c>
      <c r="F217" s="22" t="s">
        <v>4</v>
      </c>
      <c r="G217" s="43" t="s">
        <v>3</v>
      </c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39"/>
    </row>
    <row r="218" spans="1:21" ht="15.75" x14ac:dyDescent="0.25">
      <c r="A218" s="38" t="str">
        <f t="shared" si="14"/>
        <v>Км11.1</v>
      </c>
      <c r="B218" s="43"/>
      <c r="C218" s="28" t="s">
        <v>195</v>
      </c>
      <c r="D218" s="28" t="s">
        <v>197</v>
      </c>
      <c r="E218" s="28">
        <f>28.75*0.5*0.5</f>
        <v>7.1875</v>
      </c>
      <c r="F218" s="22" t="s">
        <v>4</v>
      </c>
      <c r="G218" s="43" t="s">
        <v>3</v>
      </c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39"/>
    </row>
    <row r="219" spans="1:21" ht="15.75" x14ac:dyDescent="0.25">
      <c r="A219" s="38" t="str">
        <f t="shared" si="14"/>
        <v>Км11.1</v>
      </c>
      <c r="B219" s="30"/>
      <c r="C219" s="30" t="s">
        <v>198</v>
      </c>
      <c r="D219" s="30" t="s">
        <v>199</v>
      </c>
      <c r="E219" s="30">
        <v>4</v>
      </c>
      <c r="F219" s="22">
        <v>94.2</v>
      </c>
      <c r="G219" s="43"/>
      <c r="H219" s="43"/>
      <c r="I219" s="43"/>
      <c r="J219" s="43"/>
      <c r="K219" s="22">
        <f>120*120</f>
        <v>14400</v>
      </c>
      <c r="L219" s="43" t="s">
        <v>23</v>
      </c>
      <c r="M219" s="43" t="s">
        <v>22</v>
      </c>
      <c r="N219" s="43"/>
      <c r="O219" s="43" t="s">
        <v>24</v>
      </c>
      <c r="P219" s="43"/>
      <c r="Q219" s="43"/>
      <c r="R219" s="43"/>
      <c r="S219" s="43"/>
      <c r="T219" s="43"/>
      <c r="U219" s="39"/>
    </row>
    <row r="220" spans="1:21" ht="15.75" x14ac:dyDescent="0.2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</row>
    <row r="221" spans="1:21" ht="15.75" x14ac:dyDescent="0.2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</row>
    <row r="222" spans="1:21" ht="31.5" x14ac:dyDescent="0.25">
      <c r="A222" s="25" t="str">
        <f>B222</f>
        <v>Км8.1.2</v>
      </c>
      <c r="B222" s="26" t="s">
        <v>238</v>
      </c>
      <c r="C222" s="26"/>
      <c r="D222" s="26" t="s">
        <v>239</v>
      </c>
      <c r="E222" s="26">
        <f>1</f>
        <v>1</v>
      </c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7"/>
    </row>
    <row r="223" spans="1:21" ht="31.5" x14ac:dyDescent="0.25">
      <c r="A223" s="38" t="str">
        <f>A222</f>
        <v>Км8.1.2</v>
      </c>
      <c r="B223" s="43">
        <v>226</v>
      </c>
      <c r="C223" s="43" t="s">
        <v>188</v>
      </c>
      <c r="D223" s="43" t="s">
        <v>189</v>
      </c>
      <c r="E223" s="43">
        <v>4</v>
      </c>
      <c r="F223" s="22">
        <v>2.984</v>
      </c>
      <c r="G223" s="43" t="s">
        <v>27</v>
      </c>
      <c r="H223" s="43">
        <v>5070</v>
      </c>
      <c r="I223" s="43">
        <v>22</v>
      </c>
      <c r="J223" s="43" t="s">
        <v>2</v>
      </c>
      <c r="K223" s="43"/>
      <c r="L223" s="43"/>
      <c r="M223" s="43"/>
      <c r="N223" s="43"/>
      <c r="O223" s="43"/>
      <c r="P223" s="43"/>
      <c r="Q223" s="43"/>
      <c r="R223" s="43"/>
      <c r="S223" s="43" t="s">
        <v>202</v>
      </c>
      <c r="T223" s="43" t="s">
        <v>202</v>
      </c>
      <c r="U223" s="39">
        <v>88</v>
      </c>
    </row>
    <row r="224" spans="1:21" ht="31.5" x14ac:dyDescent="0.25">
      <c r="A224" s="38" t="str">
        <f t="shared" ref="A224:A235" si="15">A223</f>
        <v>Км8.1.2</v>
      </c>
      <c r="B224" s="43">
        <v>228</v>
      </c>
      <c r="C224" s="43" t="s">
        <v>190</v>
      </c>
      <c r="D224" s="43" t="s">
        <v>191</v>
      </c>
      <c r="E224" s="43">
        <f>38+29+2+29+28+31+29+29+32+16</f>
        <v>263</v>
      </c>
      <c r="F224" s="22">
        <v>0.39500000000000002</v>
      </c>
      <c r="G224" s="43" t="s">
        <v>27</v>
      </c>
      <c r="H224" s="43">
        <f>420*4+150</f>
        <v>1830</v>
      </c>
      <c r="I224" s="43">
        <v>8</v>
      </c>
      <c r="J224" s="43" t="s">
        <v>1</v>
      </c>
      <c r="K224" s="43"/>
      <c r="L224" s="43"/>
      <c r="M224" s="43"/>
      <c r="N224" s="43"/>
      <c r="O224" s="43"/>
      <c r="P224" s="43"/>
      <c r="Q224" s="43"/>
      <c r="R224" s="43"/>
      <c r="S224" s="43" t="s">
        <v>202</v>
      </c>
      <c r="T224" s="43" t="s">
        <v>202</v>
      </c>
      <c r="U224" s="39">
        <v>10</v>
      </c>
    </row>
    <row r="225" spans="1:21" ht="31.5" x14ac:dyDescent="0.25">
      <c r="A225" s="38" t="str">
        <f t="shared" si="15"/>
        <v>Км8.1.2</v>
      </c>
      <c r="B225" s="43">
        <v>226</v>
      </c>
      <c r="C225" s="43" t="s">
        <v>188</v>
      </c>
      <c r="D225" s="43" t="s">
        <v>192</v>
      </c>
      <c r="E225" s="43">
        <v>4</v>
      </c>
      <c r="F225" s="22">
        <v>2.984</v>
      </c>
      <c r="G225" s="43" t="s">
        <v>27</v>
      </c>
      <c r="H225" s="43">
        <v>4500</v>
      </c>
      <c r="I225" s="43">
        <v>22</v>
      </c>
      <c r="J225" s="43" t="s">
        <v>2</v>
      </c>
      <c r="K225" s="43"/>
      <c r="L225" s="43"/>
      <c r="M225" s="43"/>
      <c r="N225" s="43"/>
      <c r="O225" s="43"/>
      <c r="P225" s="43"/>
      <c r="Q225" s="43"/>
      <c r="R225" s="43"/>
      <c r="S225" s="43" t="s">
        <v>202</v>
      </c>
      <c r="T225" s="43" t="s">
        <v>202</v>
      </c>
      <c r="U225" s="39">
        <v>88</v>
      </c>
    </row>
    <row r="226" spans="1:21" ht="31.5" x14ac:dyDescent="0.25">
      <c r="A226" s="38" t="str">
        <f t="shared" si="15"/>
        <v>Км8.1.2</v>
      </c>
      <c r="B226" s="43">
        <v>227</v>
      </c>
      <c r="C226" s="43" t="s">
        <v>188</v>
      </c>
      <c r="D226" s="43" t="s">
        <v>292</v>
      </c>
      <c r="E226" s="43">
        <f>4*4</f>
        <v>16</v>
      </c>
      <c r="F226" s="22">
        <v>2.4660000000000002</v>
      </c>
      <c r="G226" s="43" t="s">
        <v>27</v>
      </c>
      <c r="H226" s="43">
        <v>4050</v>
      </c>
      <c r="I226" s="43">
        <v>20</v>
      </c>
      <c r="J226" s="43" t="s">
        <v>2</v>
      </c>
      <c r="K226" s="43"/>
      <c r="L226" s="43"/>
      <c r="M226" s="43"/>
      <c r="N226" s="43"/>
      <c r="O226" s="43"/>
      <c r="P226" s="43"/>
      <c r="Q226" s="43"/>
      <c r="R226" s="43"/>
      <c r="S226" s="43" t="s">
        <v>202</v>
      </c>
      <c r="T226" s="43" t="s">
        <v>202</v>
      </c>
      <c r="U226" s="39">
        <v>80</v>
      </c>
    </row>
    <row r="227" spans="1:21" ht="31.5" x14ac:dyDescent="0.25">
      <c r="A227" s="38" t="str">
        <f t="shared" si="15"/>
        <v>Км8.1.2</v>
      </c>
      <c r="B227" s="43">
        <v>227</v>
      </c>
      <c r="C227" s="43" t="s">
        <v>188</v>
      </c>
      <c r="D227" s="43" t="s">
        <v>280</v>
      </c>
      <c r="E227" s="43">
        <v>4</v>
      </c>
      <c r="F227" s="22">
        <v>2.4660000000000002</v>
      </c>
      <c r="G227" s="43" t="s">
        <v>27</v>
      </c>
      <c r="H227" s="43">
        <v>3800</v>
      </c>
      <c r="I227" s="43">
        <v>20</v>
      </c>
      <c r="J227" s="43" t="s">
        <v>2</v>
      </c>
      <c r="K227" s="43"/>
      <c r="L227" s="43"/>
      <c r="M227" s="43"/>
      <c r="N227" s="43"/>
      <c r="O227" s="43"/>
      <c r="P227" s="43"/>
      <c r="Q227" s="43"/>
      <c r="R227" s="43"/>
      <c r="S227" s="43" t="s">
        <v>202</v>
      </c>
      <c r="T227" s="43" t="s">
        <v>202</v>
      </c>
      <c r="U227" s="39">
        <v>80</v>
      </c>
    </row>
    <row r="228" spans="1:21" ht="31.5" x14ac:dyDescent="0.25">
      <c r="A228" s="38" t="str">
        <f t="shared" si="15"/>
        <v>Км8.1.2</v>
      </c>
      <c r="B228" s="43">
        <v>227</v>
      </c>
      <c r="C228" s="43" t="s">
        <v>271</v>
      </c>
      <c r="D228" s="43" t="s">
        <v>293</v>
      </c>
      <c r="E228" s="43">
        <v>4</v>
      </c>
      <c r="F228" s="22">
        <v>2.4660000000000002</v>
      </c>
      <c r="G228" s="43" t="s">
        <v>27</v>
      </c>
      <c r="H228" s="43">
        <v>4300</v>
      </c>
      <c r="I228" s="43">
        <v>20</v>
      </c>
      <c r="J228" s="43" t="s">
        <v>2</v>
      </c>
      <c r="K228" s="43"/>
      <c r="L228" s="43"/>
      <c r="M228" s="43"/>
      <c r="N228" s="43"/>
      <c r="O228" s="43"/>
      <c r="P228" s="43"/>
      <c r="Q228" s="43"/>
      <c r="R228" s="43"/>
      <c r="S228" s="43" t="s">
        <v>202</v>
      </c>
      <c r="T228" s="43" t="s">
        <v>202</v>
      </c>
      <c r="U228" s="39">
        <v>80</v>
      </c>
    </row>
    <row r="229" spans="1:21" ht="31.5" x14ac:dyDescent="0.25">
      <c r="A229" s="38" t="str">
        <f t="shared" si="15"/>
        <v>Км8.1.2</v>
      </c>
      <c r="B229" s="43">
        <v>226</v>
      </c>
      <c r="C229" s="43" t="s">
        <v>291</v>
      </c>
      <c r="D229" s="43" t="s">
        <v>294</v>
      </c>
      <c r="E229" s="43">
        <v>4</v>
      </c>
      <c r="F229" s="22">
        <v>2.984</v>
      </c>
      <c r="G229" s="43" t="s">
        <v>27</v>
      </c>
      <c r="H229" s="43">
        <v>3820</v>
      </c>
      <c r="I229" s="43">
        <v>22</v>
      </c>
      <c r="J229" s="43" t="s">
        <v>2</v>
      </c>
      <c r="K229" s="43"/>
      <c r="L229" s="43"/>
      <c r="M229" s="43"/>
      <c r="N229" s="43"/>
      <c r="O229" s="43"/>
      <c r="P229" s="43"/>
      <c r="Q229" s="43"/>
      <c r="R229" s="43"/>
      <c r="S229" s="43" t="s">
        <v>202</v>
      </c>
      <c r="T229" s="43" t="s">
        <v>202</v>
      </c>
      <c r="U229" s="39">
        <v>88</v>
      </c>
    </row>
    <row r="230" spans="1:21" ht="31.5" x14ac:dyDescent="0.25">
      <c r="A230" s="38" t="str">
        <f t="shared" si="15"/>
        <v>Км8.1.2</v>
      </c>
      <c r="B230" s="43">
        <v>229</v>
      </c>
      <c r="C230" s="43" t="s">
        <v>271</v>
      </c>
      <c r="D230" s="43" t="s">
        <v>295</v>
      </c>
      <c r="E230" s="43">
        <v>4</v>
      </c>
      <c r="F230" s="22">
        <v>2.984</v>
      </c>
      <c r="G230" s="43"/>
      <c r="H230" s="43">
        <v>5020</v>
      </c>
      <c r="I230" s="43">
        <v>22</v>
      </c>
      <c r="J230" s="43" t="s">
        <v>2</v>
      </c>
      <c r="K230" s="43"/>
      <c r="L230" s="43"/>
      <c r="M230" s="43"/>
      <c r="N230" s="43"/>
      <c r="O230" s="43"/>
      <c r="P230" s="43"/>
      <c r="Q230" s="43"/>
      <c r="R230" s="43"/>
      <c r="S230" s="43" t="s">
        <v>202</v>
      </c>
      <c r="T230" s="43" t="s">
        <v>202</v>
      </c>
      <c r="U230" s="39">
        <v>88</v>
      </c>
    </row>
    <row r="231" spans="1:21" ht="31.5" x14ac:dyDescent="0.25">
      <c r="A231" s="38" t="str">
        <f t="shared" si="15"/>
        <v>Км8.1.2</v>
      </c>
      <c r="B231" s="43">
        <v>230</v>
      </c>
      <c r="C231" s="43" t="s">
        <v>296</v>
      </c>
      <c r="D231" s="43" t="s">
        <v>270</v>
      </c>
      <c r="E231" s="43">
        <v>8</v>
      </c>
      <c r="F231" s="22">
        <v>2.984</v>
      </c>
      <c r="G231" s="43"/>
      <c r="H231" s="43">
        <v>1430</v>
      </c>
      <c r="I231" s="43">
        <v>22</v>
      </c>
      <c r="J231" s="43" t="s">
        <v>2</v>
      </c>
      <c r="K231" s="43"/>
      <c r="L231" s="43"/>
      <c r="M231" s="43"/>
      <c r="N231" s="43"/>
      <c r="O231" s="43"/>
      <c r="P231" s="43"/>
      <c r="Q231" s="43"/>
      <c r="R231" s="43"/>
      <c r="S231" s="43" t="s">
        <v>202</v>
      </c>
      <c r="T231" s="43" t="s">
        <v>202</v>
      </c>
      <c r="U231" s="39">
        <v>88</v>
      </c>
    </row>
    <row r="232" spans="1:21" ht="31.5" x14ac:dyDescent="0.25">
      <c r="A232" s="38" t="str">
        <f t="shared" si="15"/>
        <v>Км8.1.2</v>
      </c>
      <c r="B232" s="43">
        <v>231</v>
      </c>
      <c r="C232" s="43" t="s">
        <v>291</v>
      </c>
      <c r="D232" s="43" t="s">
        <v>270</v>
      </c>
      <c r="E232" s="43">
        <v>8</v>
      </c>
      <c r="F232" s="22">
        <v>1.5780000000000001</v>
      </c>
      <c r="G232" s="43"/>
      <c r="H232" s="43">
        <v>2630</v>
      </c>
      <c r="I232" s="43">
        <v>16</v>
      </c>
      <c r="J232" s="43" t="s">
        <v>2</v>
      </c>
      <c r="K232" s="43"/>
      <c r="L232" s="43"/>
      <c r="M232" s="43"/>
      <c r="N232" s="43"/>
      <c r="O232" s="43"/>
      <c r="P232" s="43"/>
      <c r="Q232" s="43"/>
      <c r="R232" s="43"/>
      <c r="S232" s="43" t="s">
        <v>202</v>
      </c>
      <c r="T232" s="43" t="s">
        <v>202</v>
      </c>
      <c r="U232" s="39">
        <v>40</v>
      </c>
    </row>
    <row r="233" spans="1:21" ht="15.75" x14ac:dyDescent="0.25">
      <c r="A233" s="38" t="str">
        <f t="shared" si="15"/>
        <v>Км8.1.2</v>
      </c>
      <c r="B233" s="43"/>
      <c r="C233" s="28" t="s">
        <v>195</v>
      </c>
      <c r="D233" s="28" t="s">
        <v>196</v>
      </c>
      <c r="E233" s="28">
        <f>(1.5*1.5*0.25)+(0.5*0.5*4.57)</f>
        <v>1.7050000000000001</v>
      </c>
      <c r="F233" s="22" t="s">
        <v>4</v>
      </c>
      <c r="G233" s="43" t="s">
        <v>3</v>
      </c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39"/>
    </row>
    <row r="234" spans="1:21" ht="15.75" x14ac:dyDescent="0.25">
      <c r="A234" s="38" t="str">
        <f t="shared" si="15"/>
        <v>Км8.1.2</v>
      </c>
      <c r="B234" s="43"/>
      <c r="C234" s="28" t="s">
        <v>195</v>
      </c>
      <c r="D234" s="28" t="s">
        <v>197</v>
      </c>
      <c r="E234" s="28">
        <f>29*0.5*0.5</f>
        <v>7.25</v>
      </c>
      <c r="F234" s="22" t="s">
        <v>4</v>
      </c>
      <c r="G234" s="43" t="s">
        <v>3</v>
      </c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39"/>
    </row>
    <row r="235" spans="1:21" ht="15.75" x14ac:dyDescent="0.25">
      <c r="A235" s="38" t="str">
        <f t="shared" si="15"/>
        <v>Км8.1.2</v>
      </c>
      <c r="B235" s="30"/>
      <c r="C235" s="30" t="s">
        <v>312</v>
      </c>
      <c r="D235" s="30" t="s">
        <v>199</v>
      </c>
      <c r="E235" s="30">
        <v>8</v>
      </c>
      <c r="F235" s="22">
        <v>94.2</v>
      </c>
      <c r="G235" s="43"/>
      <c r="H235" s="43"/>
      <c r="I235" s="43"/>
      <c r="J235" s="43"/>
      <c r="K235" s="22">
        <f>120*120</f>
        <v>14400</v>
      </c>
      <c r="L235" s="43" t="s">
        <v>5</v>
      </c>
      <c r="M235" s="43" t="s">
        <v>22</v>
      </c>
      <c r="N235" s="43"/>
      <c r="O235" s="43" t="s">
        <v>24</v>
      </c>
      <c r="P235" s="43"/>
      <c r="Q235" s="43"/>
      <c r="R235" s="43"/>
      <c r="S235" s="43"/>
      <c r="T235" s="43"/>
      <c r="U235" s="39"/>
    </row>
    <row r="236" spans="1:21" ht="15.75" x14ac:dyDescent="0.2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</row>
    <row r="237" spans="1:21" ht="31.5" x14ac:dyDescent="0.25">
      <c r="A237" s="25" t="str">
        <f>B237</f>
        <v>Км11.1.3</v>
      </c>
      <c r="B237" s="26" t="s">
        <v>240</v>
      </c>
      <c r="C237" s="26"/>
      <c r="D237" s="26" t="s">
        <v>241</v>
      </c>
      <c r="E237" s="26">
        <f>1+1</f>
        <v>2</v>
      </c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7"/>
    </row>
    <row r="238" spans="1:21" ht="31.5" x14ac:dyDescent="0.25">
      <c r="A238" s="38" t="str">
        <f>A237</f>
        <v>Км11.1.3</v>
      </c>
      <c r="B238" s="43">
        <v>62</v>
      </c>
      <c r="C238" s="43" t="s">
        <v>188</v>
      </c>
      <c r="D238" s="43" t="s">
        <v>189</v>
      </c>
      <c r="E238" s="43">
        <v>4</v>
      </c>
      <c r="F238" s="22">
        <v>2.984</v>
      </c>
      <c r="G238" s="43"/>
      <c r="H238" s="43">
        <v>5070</v>
      </c>
      <c r="I238" s="43">
        <v>22</v>
      </c>
      <c r="J238" s="43" t="s">
        <v>2</v>
      </c>
      <c r="K238" s="43"/>
      <c r="L238" s="43"/>
      <c r="M238" s="43"/>
      <c r="N238" s="43"/>
      <c r="O238" s="43"/>
      <c r="P238" s="43"/>
      <c r="Q238" s="43"/>
      <c r="R238" s="43"/>
      <c r="S238" s="43" t="s">
        <v>202</v>
      </c>
      <c r="T238" s="43" t="s">
        <v>202</v>
      </c>
      <c r="U238" s="39">
        <v>88</v>
      </c>
    </row>
    <row r="239" spans="1:21" ht="31.5" x14ac:dyDescent="0.25">
      <c r="A239" s="38" t="str">
        <f t="shared" ref="A239:A247" si="16">A238</f>
        <v>Км11.1.3</v>
      </c>
      <c r="B239" s="43">
        <v>68</v>
      </c>
      <c r="C239" s="43" t="s">
        <v>190</v>
      </c>
      <c r="D239" s="43" t="s">
        <v>191</v>
      </c>
      <c r="E239" s="43">
        <f>38+33+29+28+29+29+29+1+32+16</f>
        <v>264</v>
      </c>
      <c r="F239" s="22">
        <v>0.39500000000000002</v>
      </c>
      <c r="G239" s="43" t="s">
        <v>0</v>
      </c>
      <c r="H239" s="43">
        <f>420*4+150</f>
        <v>1830</v>
      </c>
      <c r="I239" s="43">
        <v>8</v>
      </c>
      <c r="J239" s="43" t="s">
        <v>1</v>
      </c>
      <c r="K239" s="43"/>
      <c r="L239" s="43"/>
      <c r="M239" s="43"/>
      <c r="N239" s="43"/>
      <c r="O239" s="43"/>
      <c r="P239" s="43"/>
      <c r="Q239" s="43"/>
      <c r="R239" s="43"/>
      <c r="S239" s="43" t="s">
        <v>202</v>
      </c>
      <c r="T239" s="43" t="s">
        <v>202</v>
      </c>
      <c r="U239" s="39">
        <v>10</v>
      </c>
    </row>
    <row r="240" spans="1:21" ht="31.5" x14ac:dyDescent="0.25">
      <c r="A240" s="38" t="str">
        <f t="shared" si="16"/>
        <v>Км11.1.3</v>
      </c>
      <c r="B240" s="43">
        <v>63</v>
      </c>
      <c r="C240" s="43" t="s">
        <v>188</v>
      </c>
      <c r="D240" s="43" t="s">
        <v>192</v>
      </c>
      <c r="E240" s="43">
        <v>4</v>
      </c>
      <c r="F240" s="22">
        <v>2.4660000000000002</v>
      </c>
      <c r="G240" s="43"/>
      <c r="H240" s="43">
        <v>4500</v>
      </c>
      <c r="I240" s="43">
        <v>20</v>
      </c>
      <c r="J240" s="43" t="s">
        <v>2</v>
      </c>
      <c r="K240" s="43"/>
      <c r="L240" s="43"/>
      <c r="M240" s="43"/>
      <c r="N240" s="43"/>
      <c r="O240" s="43"/>
      <c r="P240" s="43"/>
      <c r="Q240" s="43"/>
      <c r="R240" s="43"/>
      <c r="S240" s="43" t="s">
        <v>202</v>
      </c>
      <c r="T240" s="43" t="s">
        <v>202</v>
      </c>
      <c r="U240" s="39">
        <v>80</v>
      </c>
    </row>
    <row r="241" spans="1:21" ht="31.5" x14ac:dyDescent="0.25">
      <c r="A241" s="38" t="str">
        <f t="shared" si="16"/>
        <v>Км11.1.3</v>
      </c>
      <c r="B241" s="43">
        <v>64</v>
      </c>
      <c r="C241" s="43" t="s">
        <v>188</v>
      </c>
      <c r="D241" s="43" t="s">
        <v>297</v>
      </c>
      <c r="E241" s="43">
        <f>4*4</f>
        <v>16</v>
      </c>
      <c r="F241" s="22">
        <v>2.4660000000000002</v>
      </c>
      <c r="G241" s="43"/>
      <c r="H241" s="43">
        <v>4050</v>
      </c>
      <c r="I241" s="43">
        <v>20</v>
      </c>
      <c r="J241" s="43" t="s">
        <v>2</v>
      </c>
      <c r="K241" s="43"/>
      <c r="L241" s="43"/>
      <c r="M241" s="43"/>
      <c r="N241" s="43"/>
      <c r="O241" s="43"/>
      <c r="P241" s="43"/>
      <c r="Q241" s="43"/>
      <c r="R241" s="43"/>
      <c r="S241" s="43" t="s">
        <v>202</v>
      </c>
      <c r="T241" s="43" t="s">
        <v>202</v>
      </c>
      <c r="U241" s="39">
        <v>80</v>
      </c>
    </row>
    <row r="242" spans="1:21" ht="31.5" x14ac:dyDescent="0.25">
      <c r="A242" s="38" t="str">
        <f t="shared" si="16"/>
        <v>Км11.1.3</v>
      </c>
      <c r="B242" s="43">
        <v>65</v>
      </c>
      <c r="C242" s="43" t="s">
        <v>188</v>
      </c>
      <c r="D242" s="43" t="s">
        <v>194</v>
      </c>
      <c r="E242" s="43">
        <v>4</v>
      </c>
      <c r="F242" s="22">
        <v>2.4660000000000002</v>
      </c>
      <c r="G242" s="43"/>
      <c r="H242" s="43">
        <v>3820</v>
      </c>
      <c r="I242" s="43">
        <v>20</v>
      </c>
      <c r="J242" s="43" t="s">
        <v>2</v>
      </c>
      <c r="K242" s="43"/>
      <c r="L242" s="43"/>
      <c r="M242" s="43"/>
      <c r="N242" s="43"/>
      <c r="O242" s="43"/>
      <c r="P242" s="43"/>
      <c r="Q242" s="43"/>
      <c r="R242" s="43"/>
      <c r="S242" s="43" t="s">
        <v>202</v>
      </c>
      <c r="T242" s="43" t="s">
        <v>202</v>
      </c>
      <c r="U242" s="39">
        <v>80</v>
      </c>
    </row>
    <row r="243" spans="1:21" ht="31.5" x14ac:dyDescent="0.25">
      <c r="A243" s="38" t="str">
        <f t="shared" si="16"/>
        <v>Км11.1.3</v>
      </c>
      <c r="B243" s="43">
        <v>66</v>
      </c>
      <c r="C243" s="43" t="s">
        <v>296</v>
      </c>
      <c r="D243" s="43" t="s">
        <v>270</v>
      </c>
      <c r="E243" s="43">
        <v>4</v>
      </c>
      <c r="F243" s="22">
        <v>2.4660000000000002</v>
      </c>
      <c r="G243" s="43"/>
      <c r="H243" s="43">
        <v>1430</v>
      </c>
      <c r="I243" s="43">
        <v>20</v>
      </c>
      <c r="J243" s="43" t="s">
        <v>2</v>
      </c>
      <c r="K243" s="43"/>
      <c r="L243" s="43"/>
      <c r="M243" s="43"/>
      <c r="N243" s="43"/>
      <c r="O243" s="43"/>
      <c r="P243" s="43"/>
      <c r="Q243" s="43"/>
      <c r="R243" s="43"/>
      <c r="S243" s="43" t="s">
        <v>202</v>
      </c>
      <c r="T243" s="43" t="s">
        <v>202</v>
      </c>
      <c r="U243" s="39">
        <v>80</v>
      </c>
    </row>
    <row r="244" spans="1:21" ht="31.5" x14ac:dyDescent="0.25">
      <c r="A244" s="38" t="str">
        <f t="shared" si="16"/>
        <v>Км11.1.3</v>
      </c>
      <c r="B244" s="43">
        <v>67</v>
      </c>
      <c r="C244" s="43" t="s">
        <v>291</v>
      </c>
      <c r="D244" s="43" t="s">
        <v>270</v>
      </c>
      <c r="E244" s="43">
        <v>4</v>
      </c>
      <c r="F244" s="22">
        <v>1.5780000000000001</v>
      </c>
      <c r="G244" s="43"/>
      <c r="H244" s="43">
        <v>2630</v>
      </c>
      <c r="I244" s="43">
        <v>16</v>
      </c>
      <c r="J244" s="43" t="s">
        <v>2</v>
      </c>
      <c r="K244" s="43"/>
      <c r="L244" s="43"/>
      <c r="M244" s="43"/>
      <c r="N244" s="43"/>
      <c r="O244" s="43"/>
      <c r="P244" s="43"/>
      <c r="Q244" s="43"/>
      <c r="R244" s="43"/>
      <c r="S244" s="43" t="s">
        <v>202</v>
      </c>
      <c r="T244" s="43" t="s">
        <v>202</v>
      </c>
      <c r="U244" s="39">
        <v>40</v>
      </c>
    </row>
    <row r="245" spans="1:21" ht="15.75" x14ac:dyDescent="0.25">
      <c r="A245" s="38" t="str">
        <f t="shared" si="16"/>
        <v>Км11.1.3</v>
      </c>
      <c r="B245" s="43"/>
      <c r="C245" s="28" t="s">
        <v>195</v>
      </c>
      <c r="D245" s="28" t="s">
        <v>196</v>
      </c>
      <c r="E245" s="28">
        <f>(1.5*1.5*0.25)+(0.5*0.5*4.57)</f>
        <v>1.7050000000000001</v>
      </c>
      <c r="F245" s="22" t="s">
        <v>4</v>
      </c>
      <c r="G245" s="43" t="s">
        <v>3</v>
      </c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39"/>
    </row>
    <row r="246" spans="1:21" ht="15.75" x14ac:dyDescent="0.25">
      <c r="A246" s="38" t="str">
        <f t="shared" si="16"/>
        <v>Км11.1.3</v>
      </c>
      <c r="B246" s="43"/>
      <c r="C246" s="28" t="s">
        <v>195</v>
      </c>
      <c r="D246" s="28" t="s">
        <v>197</v>
      </c>
      <c r="E246" s="28">
        <f>29*0.5*0.5</f>
        <v>7.25</v>
      </c>
      <c r="F246" s="22" t="s">
        <v>4</v>
      </c>
      <c r="G246" s="43" t="s">
        <v>3</v>
      </c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39"/>
    </row>
    <row r="247" spans="1:21" ht="15.75" x14ac:dyDescent="0.25">
      <c r="A247" s="38" t="str">
        <f t="shared" si="16"/>
        <v>Км11.1.3</v>
      </c>
      <c r="B247" s="30"/>
      <c r="C247" s="30" t="s">
        <v>198</v>
      </c>
      <c r="D247" s="30" t="s">
        <v>199</v>
      </c>
      <c r="E247" s="30">
        <v>4</v>
      </c>
      <c r="F247" s="22">
        <v>94.2</v>
      </c>
      <c r="G247" s="43"/>
      <c r="H247" s="43"/>
      <c r="I247" s="43"/>
      <c r="J247" s="43"/>
      <c r="K247" s="22">
        <f>120*120</f>
        <v>14400</v>
      </c>
      <c r="L247" s="43" t="s">
        <v>23</v>
      </c>
      <c r="M247" s="43" t="s">
        <v>22</v>
      </c>
      <c r="N247" s="43"/>
      <c r="O247" s="43" t="s">
        <v>24</v>
      </c>
      <c r="P247" s="43"/>
      <c r="Q247" s="43"/>
      <c r="R247" s="43"/>
      <c r="S247" s="43"/>
      <c r="T247" s="43"/>
      <c r="U247" s="39"/>
    </row>
    <row r="248" spans="1:21" ht="15.75" x14ac:dyDescent="0.2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</row>
    <row r="249" spans="1:21" ht="31.5" x14ac:dyDescent="0.25">
      <c r="A249" s="25" t="str">
        <f>B249</f>
        <v>Км11.1.1</v>
      </c>
      <c r="B249" s="26" t="s">
        <v>242</v>
      </c>
      <c r="C249" s="26"/>
      <c r="D249" s="26" t="s">
        <v>243</v>
      </c>
      <c r="E249" s="26">
        <f>1+1+1</f>
        <v>3</v>
      </c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7"/>
    </row>
    <row r="250" spans="1:21" ht="31.5" x14ac:dyDescent="0.25">
      <c r="A250" s="38" t="str">
        <f>A249</f>
        <v>Км11.1.1</v>
      </c>
      <c r="B250" s="43">
        <v>48</v>
      </c>
      <c r="C250" s="43" t="s">
        <v>188</v>
      </c>
      <c r="D250" s="43" t="s">
        <v>189</v>
      </c>
      <c r="E250" s="43">
        <v>4</v>
      </c>
      <c r="F250" s="22">
        <v>2.984</v>
      </c>
      <c r="G250" s="43"/>
      <c r="H250" s="43">
        <v>5070</v>
      </c>
      <c r="I250" s="43">
        <v>22</v>
      </c>
      <c r="J250" s="43" t="s">
        <v>2</v>
      </c>
      <c r="K250" s="43"/>
      <c r="L250" s="43"/>
      <c r="M250" s="43"/>
      <c r="N250" s="43"/>
      <c r="O250" s="43"/>
      <c r="P250" s="43"/>
      <c r="Q250" s="43"/>
      <c r="R250" s="43"/>
      <c r="S250" s="43" t="s">
        <v>202</v>
      </c>
      <c r="T250" s="43" t="s">
        <v>202</v>
      </c>
      <c r="U250" s="39">
        <v>88</v>
      </c>
    </row>
    <row r="251" spans="1:21" ht="31.5" x14ac:dyDescent="0.25">
      <c r="A251" s="38" t="str">
        <f t="shared" ref="A251:A259" si="17">A250</f>
        <v>Км11.1.1</v>
      </c>
      <c r="B251" s="43">
        <v>54</v>
      </c>
      <c r="C251" s="43" t="s">
        <v>190</v>
      </c>
      <c r="D251" s="43" t="s">
        <v>191</v>
      </c>
      <c r="E251" s="43">
        <f>38+33+29+29+29+29+27+1+32+16</f>
        <v>263</v>
      </c>
      <c r="F251" s="22">
        <v>0.39500000000000002</v>
      </c>
      <c r="G251" s="43" t="s">
        <v>0</v>
      </c>
      <c r="H251" s="43">
        <f>420*4+150</f>
        <v>1830</v>
      </c>
      <c r="I251" s="43">
        <v>8</v>
      </c>
      <c r="J251" s="43" t="s">
        <v>1</v>
      </c>
      <c r="K251" s="43"/>
      <c r="L251" s="43"/>
      <c r="M251" s="43"/>
      <c r="N251" s="43"/>
      <c r="O251" s="43"/>
      <c r="P251" s="43"/>
      <c r="Q251" s="43"/>
      <c r="R251" s="43"/>
      <c r="S251" s="43" t="s">
        <v>202</v>
      </c>
      <c r="T251" s="43" t="s">
        <v>202</v>
      </c>
      <c r="U251" s="39">
        <v>10</v>
      </c>
    </row>
    <row r="252" spans="1:21" ht="31.5" x14ac:dyDescent="0.25">
      <c r="A252" s="38" t="str">
        <f t="shared" si="17"/>
        <v>Км11.1.1</v>
      </c>
      <c r="B252" s="43">
        <v>50</v>
      </c>
      <c r="C252" s="43" t="s">
        <v>188</v>
      </c>
      <c r="D252" s="43" t="s">
        <v>192</v>
      </c>
      <c r="E252" s="43">
        <v>4</v>
      </c>
      <c r="F252" s="22">
        <v>2.4660000000000002</v>
      </c>
      <c r="G252" s="43"/>
      <c r="H252" s="43">
        <v>4500</v>
      </c>
      <c r="I252" s="43">
        <v>20</v>
      </c>
      <c r="J252" s="43" t="s">
        <v>2</v>
      </c>
      <c r="K252" s="43"/>
      <c r="L252" s="43"/>
      <c r="M252" s="43"/>
      <c r="N252" s="43"/>
      <c r="O252" s="43"/>
      <c r="P252" s="43"/>
      <c r="Q252" s="43"/>
      <c r="R252" s="43"/>
      <c r="S252" s="43" t="s">
        <v>202</v>
      </c>
      <c r="T252" s="43" t="s">
        <v>202</v>
      </c>
      <c r="U252" s="39">
        <v>80</v>
      </c>
    </row>
    <row r="253" spans="1:21" ht="31.5" x14ac:dyDescent="0.25">
      <c r="A253" s="38" t="str">
        <f t="shared" si="17"/>
        <v>Км11.1.1</v>
      </c>
      <c r="B253" s="43">
        <v>51</v>
      </c>
      <c r="C253" s="43" t="s">
        <v>188</v>
      </c>
      <c r="D253" s="43" t="s">
        <v>298</v>
      </c>
      <c r="E253" s="43">
        <f>4*5</f>
        <v>20</v>
      </c>
      <c r="F253" s="22">
        <v>2.4660000000000002</v>
      </c>
      <c r="G253" s="43"/>
      <c r="H253" s="43">
        <v>4050</v>
      </c>
      <c r="I253" s="43">
        <v>20</v>
      </c>
      <c r="J253" s="43" t="s">
        <v>2</v>
      </c>
      <c r="K253" s="43"/>
      <c r="L253" s="43"/>
      <c r="M253" s="43"/>
      <c r="N253" s="43"/>
      <c r="O253" s="43"/>
      <c r="P253" s="43"/>
      <c r="Q253" s="43"/>
      <c r="R253" s="43"/>
      <c r="S253" s="43" t="s">
        <v>202</v>
      </c>
      <c r="T253" s="43" t="s">
        <v>202</v>
      </c>
      <c r="U253" s="39">
        <v>80</v>
      </c>
    </row>
    <row r="254" spans="1:21" ht="31.5" x14ac:dyDescent="0.25">
      <c r="A254" s="38" t="str">
        <f t="shared" si="17"/>
        <v>Км11.1.1</v>
      </c>
      <c r="B254" s="43">
        <v>52</v>
      </c>
      <c r="C254" s="43" t="s">
        <v>188</v>
      </c>
      <c r="D254" s="43" t="s">
        <v>194</v>
      </c>
      <c r="E254" s="43">
        <v>4</v>
      </c>
      <c r="F254" s="22">
        <v>2.4660000000000002</v>
      </c>
      <c r="G254" s="43"/>
      <c r="H254" s="43">
        <v>3820</v>
      </c>
      <c r="I254" s="43">
        <v>20</v>
      </c>
      <c r="J254" s="43" t="s">
        <v>2</v>
      </c>
      <c r="K254" s="43"/>
      <c r="L254" s="43"/>
      <c r="M254" s="43"/>
      <c r="N254" s="43"/>
      <c r="O254" s="43"/>
      <c r="P254" s="43"/>
      <c r="Q254" s="43"/>
      <c r="R254" s="43"/>
      <c r="S254" s="43" t="s">
        <v>202</v>
      </c>
      <c r="T254" s="43" t="s">
        <v>202</v>
      </c>
      <c r="U254" s="39">
        <v>80</v>
      </c>
    </row>
    <row r="255" spans="1:21" ht="31.5" x14ac:dyDescent="0.25">
      <c r="A255" s="38" t="str">
        <f t="shared" si="17"/>
        <v>Км11.1.1</v>
      </c>
      <c r="B255" s="43">
        <v>49</v>
      </c>
      <c r="C255" s="43" t="s">
        <v>296</v>
      </c>
      <c r="D255" s="43" t="s">
        <v>270</v>
      </c>
      <c r="E255" s="43">
        <v>4</v>
      </c>
      <c r="F255" s="22">
        <v>2.984</v>
      </c>
      <c r="G255" s="43"/>
      <c r="H255" s="43">
        <v>1430</v>
      </c>
      <c r="I255" s="43">
        <v>22</v>
      </c>
      <c r="J255" s="43" t="s">
        <v>2</v>
      </c>
      <c r="K255" s="43"/>
      <c r="L255" s="43"/>
      <c r="M255" s="43"/>
      <c r="N255" s="43"/>
      <c r="O255" s="43"/>
      <c r="P255" s="43"/>
      <c r="Q255" s="43"/>
      <c r="R255" s="43"/>
      <c r="S255" s="43" t="s">
        <v>202</v>
      </c>
      <c r="T255" s="43" t="s">
        <v>202</v>
      </c>
      <c r="U255" s="39">
        <v>88</v>
      </c>
    </row>
    <row r="256" spans="1:21" ht="31.5" x14ac:dyDescent="0.25">
      <c r="A256" s="38" t="str">
        <f t="shared" si="17"/>
        <v>Км11.1.1</v>
      </c>
      <c r="B256" s="43">
        <v>53</v>
      </c>
      <c r="C256" s="43" t="s">
        <v>291</v>
      </c>
      <c r="D256" s="43" t="s">
        <v>270</v>
      </c>
      <c r="E256" s="43">
        <v>4</v>
      </c>
      <c r="F256" s="22">
        <v>1.5780000000000001</v>
      </c>
      <c r="G256" s="43"/>
      <c r="H256" s="43">
        <v>2630</v>
      </c>
      <c r="I256" s="43">
        <v>16</v>
      </c>
      <c r="J256" s="43" t="s">
        <v>2</v>
      </c>
      <c r="K256" s="43"/>
      <c r="L256" s="43"/>
      <c r="M256" s="43"/>
      <c r="N256" s="43"/>
      <c r="O256" s="43"/>
      <c r="P256" s="43"/>
      <c r="Q256" s="43"/>
      <c r="R256" s="43"/>
      <c r="S256" s="43" t="s">
        <v>202</v>
      </c>
      <c r="T256" s="43" t="s">
        <v>202</v>
      </c>
      <c r="U256" s="39">
        <v>40</v>
      </c>
    </row>
    <row r="257" spans="1:21" ht="15.75" x14ac:dyDescent="0.25">
      <c r="A257" s="38" t="str">
        <f t="shared" si="17"/>
        <v>Км11.1.1</v>
      </c>
      <c r="B257" s="43"/>
      <c r="C257" s="28" t="s">
        <v>195</v>
      </c>
      <c r="D257" s="28" t="s">
        <v>196</v>
      </c>
      <c r="E257" s="28">
        <f>(1.5*1.5*0.25)+(0.5*0.5*4.57)</f>
        <v>1.7050000000000001</v>
      </c>
      <c r="F257" s="22" t="s">
        <v>4</v>
      </c>
      <c r="G257" s="43" t="s">
        <v>3</v>
      </c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39"/>
    </row>
    <row r="258" spans="1:21" ht="15.75" x14ac:dyDescent="0.25">
      <c r="A258" s="38" t="str">
        <f t="shared" si="17"/>
        <v>Км11.1.1</v>
      </c>
      <c r="B258" s="43"/>
      <c r="C258" s="28" t="s">
        <v>195</v>
      </c>
      <c r="D258" s="28" t="s">
        <v>197</v>
      </c>
      <c r="E258" s="28">
        <f>29*0.5*0.5</f>
        <v>7.25</v>
      </c>
      <c r="F258" s="22" t="s">
        <v>4</v>
      </c>
      <c r="G258" s="43" t="s">
        <v>3</v>
      </c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39"/>
    </row>
    <row r="259" spans="1:21" ht="15.75" x14ac:dyDescent="0.25">
      <c r="A259" s="38" t="str">
        <f t="shared" si="17"/>
        <v>Км11.1.1</v>
      </c>
      <c r="B259" s="30"/>
      <c r="C259" s="30" t="s">
        <v>198</v>
      </c>
      <c r="D259" s="30" t="s">
        <v>199</v>
      </c>
      <c r="E259" s="30">
        <v>8</v>
      </c>
      <c r="F259" s="22">
        <v>94.2</v>
      </c>
      <c r="G259" s="43"/>
      <c r="H259" s="43"/>
      <c r="I259" s="43"/>
      <c r="J259" s="43"/>
      <c r="K259" s="22">
        <f>120*120</f>
        <v>14400</v>
      </c>
      <c r="L259" s="43" t="s">
        <v>23</v>
      </c>
      <c r="M259" s="43" t="s">
        <v>22</v>
      </c>
      <c r="N259" s="43"/>
      <c r="O259" s="43" t="s">
        <v>24</v>
      </c>
      <c r="P259" s="43"/>
      <c r="Q259" s="43"/>
      <c r="R259" s="43"/>
      <c r="S259" s="43"/>
      <c r="T259" s="43"/>
      <c r="U259" s="39"/>
    </row>
    <row r="260" spans="1:21" ht="15.75" x14ac:dyDescent="0.2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</row>
    <row r="261" spans="1:21" ht="31.5" x14ac:dyDescent="0.25">
      <c r="A261" s="25" t="str">
        <f>B261</f>
        <v>Км11.1.2</v>
      </c>
      <c r="B261" s="26" t="s">
        <v>244</v>
      </c>
      <c r="C261" s="26"/>
      <c r="D261" s="26" t="s">
        <v>245</v>
      </c>
      <c r="E261" s="26">
        <f>1+1</f>
        <v>2</v>
      </c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7"/>
    </row>
    <row r="262" spans="1:21" ht="31.5" x14ac:dyDescent="0.25">
      <c r="A262" s="38" t="str">
        <f>A261</f>
        <v>Км11.1.2</v>
      </c>
      <c r="B262" s="43">
        <v>55</v>
      </c>
      <c r="C262" s="43" t="s">
        <v>188</v>
      </c>
      <c r="D262" s="43" t="s">
        <v>189</v>
      </c>
      <c r="E262" s="43">
        <v>4</v>
      </c>
      <c r="F262" s="22">
        <v>2.984</v>
      </c>
      <c r="G262" s="43"/>
      <c r="H262" s="43">
        <v>5070</v>
      </c>
      <c r="I262" s="43">
        <v>22</v>
      </c>
      <c r="J262" s="43" t="s">
        <v>2</v>
      </c>
      <c r="K262" s="43"/>
      <c r="L262" s="43"/>
      <c r="M262" s="43"/>
      <c r="N262" s="43"/>
      <c r="O262" s="43"/>
      <c r="P262" s="43"/>
      <c r="Q262" s="43"/>
      <c r="R262" s="43"/>
      <c r="S262" s="43" t="s">
        <v>202</v>
      </c>
      <c r="T262" s="43" t="s">
        <v>202</v>
      </c>
      <c r="U262" s="39">
        <v>88</v>
      </c>
    </row>
    <row r="263" spans="1:21" ht="31.5" x14ac:dyDescent="0.25">
      <c r="A263" s="38" t="str">
        <f>A262</f>
        <v>Км11.1.2</v>
      </c>
      <c r="B263" s="43">
        <v>61</v>
      </c>
      <c r="C263" s="43" t="s">
        <v>190</v>
      </c>
      <c r="D263" s="43" t="s">
        <v>191</v>
      </c>
      <c r="E263" s="43">
        <f>38+33+29+29+29+29+27+1+34+16</f>
        <v>265</v>
      </c>
      <c r="F263" s="22">
        <v>0.39500000000000002</v>
      </c>
      <c r="G263" s="43" t="s">
        <v>0</v>
      </c>
      <c r="H263" s="43">
        <f>420*4+150</f>
        <v>1830</v>
      </c>
      <c r="I263" s="43">
        <v>8</v>
      </c>
      <c r="J263" s="43" t="s">
        <v>1</v>
      </c>
      <c r="K263" s="43"/>
      <c r="L263" s="43"/>
      <c r="M263" s="43"/>
      <c r="N263" s="43"/>
      <c r="O263" s="43"/>
      <c r="P263" s="43"/>
      <c r="Q263" s="43"/>
      <c r="R263" s="43"/>
      <c r="S263" s="43" t="s">
        <v>202</v>
      </c>
      <c r="T263" s="43" t="s">
        <v>202</v>
      </c>
      <c r="U263" s="39">
        <v>10</v>
      </c>
    </row>
    <row r="264" spans="1:21" ht="31.5" x14ac:dyDescent="0.25">
      <c r="A264" s="38" t="str">
        <f t="shared" ref="A264:A271" si="18">A263</f>
        <v>Км11.1.2</v>
      </c>
      <c r="B264" s="43">
        <v>57</v>
      </c>
      <c r="C264" s="43" t="s">
        <v>188</v>
      </c>
      <c r="D264" s="43" t="s">
        <v>192</v>
      </c>
      <c r="E264" s="43">
        <v>4</v>
      </c>
      <c r="F264" s="22">
        <v>2.4660000000000002</v>
      </c>
      <c r="G264" s="43"/>
      <c r="H264" s="43">
        <v>4500</v>
      </c>
      <c r="I264" s="43">
        <v>20</v>
      </c>
      <c r="J264" s="43" t="s">
        <v>2</v>
      </c>
      <c r="K264" s="43"/>
      <c r="L264" s="43"/>
      <c r="M264" s="43"/>
      <c r="N264" s="43"/>
      <c r="O264" s="43"/>
      <c r="P264" s="43"/>
      <c r="Q264" s="43"/>
      <c r="R264" s="43"/>
      <c r="S264" s="43" t="s">
        <v>202</v>
      </c>
      <c r="T264" s="43" t="s">
        <v>202</v>
      </c>
      <c r="U264" s="39">
        <v>80</v>
      </c>
    </row>
    <row r="265" spans="1:21" ht="31.5" x14ac:dyDescent="0.25">
      <c r="A265" s="38" t="str">
        <f t="shared" si="18"/>
        <v>Км11.1.2</v>
      </c>
      <c r="B265" s="43">
        <v>58</v>
      </c>
      <c r="C265" s="43" t="s">
        <v>188</v>
      </c>
      <c r="D265" s="43" t="s">
        <v>298</v>
      </c>
      <c r="E265" s="43">
        <f>4*5</f>
        <v>20</v>
      </c>
      <c r="F265" s="22">
        <v>2.4660000000000002</v>
      </c>
      <c r="G265" s="43"/>
      <c r="H265" s="43">
        <v>4050</v>
      </c>
      <c r="I265" s="43">
        <v>20</v>
      </c>
      <c r="J265" s="43" t="s">
        <v>2</v>
      </c>
      <c r="K265" s="43"/>
      <c r="L265" s="43"/>
      <c r="M265" s="43"/>
      <c r="N265" s="43"/>
      <c r="O265" s="43"/>
      <c r="P265" s="43"/>
      <c r="Q265" s="43"/>
      <c r="R265" s="43"/>
      <c r="S265" s="43" t="s">
        <v>202</v>
      </c>
      <c r="T265" s="43" t="s">
        <v>202</v>
      </c>
      <c r="U265" s="39">
        <v>80</v>
      </c>
    </row>
    <row r="266" spans="1:21" ht="31.5" x14ac:dyDescent="0.25">
      <c r="A266" s="38" t="str">
        <f t="shared" si="18"/>
        <v>Км11.1.2</v>
      </c>
      <c r="B266" s="43">
        <v>59</v>
      </c>
      <c r="C266" s="43" t="s">
        <v>188</v>
      </c>
      <c r="D266" s="43" t="s">
        <v>194</v>
      </c>
      <c r="E266" s="43">
        <v>4</v>
      </c>
      <c r="F266" s="22">
        <v>2.4660000000000002</v>
      </c>
      <c r="G266" s="43"/>
      <c r="H266" s="43">
        <v>3820</v>
      </c>
      <c r="I266" s="43">
        <v>20</v>
      </c>
      <c r="J266" s="43" t="s">
        <v>2</v>
      </c>
      <c r="K266" s="43"/>
      <c r="L266" s="43"/>
      <c r="M266" s="43"/>
      <c r="N266" s="43"/>
      <c r="O266" s="43"/>
      <c r="P266" s="43"/>
      <c r="Q266" s="43"/>
      <c r="R266" s="43"/>
      <c r="S266" s="43" t="s">
        <v>202</v>
      </c>
      <c r="T266" s="43" t="s">
        <v>202</v>
      </c>
      <c r="U266" s="39">
        <v>80</v>
      </c>
    </row>
    <row r="267" spans="1:21" ht="31.5" x14ac:dyDescent="0.25">
      <c r="A267" s="38" t="str">
        <f t="shared" si="18"/>
        <v>Км11.1.2</v>
      </c>
      <c r="B267" s="43">
        <v>56</v>
      </c>
      <c r="C267" s="43" t="s">
        <v>296</v>
      </c>
      <c r="D267" s="43" t="s">
        <v>270</v>
      </c>
      <c r="E267" s="43">
        <v>4</v>
      </c>
      <c r="F267" s="22">
        <v>2.984</v>
      </c>
      <c r="G267" s="43"/>
      <c r="H267" s="43">
        <v>1430</v>
      </c>
      <c r="I267" s="43">
        <v>22</v>
      </c>
      <c r="J267" s="43" t="s">
        <v>2</v>
      </c>
      <c r="K267" s="43"/>
      <c r="L267" s="43"/>
      <c r="M267" s="43"/>
      <c r="N267" s="43"/>
      <c r="O267" s="43"/>
      <c r="P267" s="43"/>
      <c r="Q267" s="43"/>
      <c r="R267" s="43"/>
      <c r="S267" s="43" t="s">
        <v>202</v>
      </c>
      <c r="T267" s="43" t="s">
        <v>202</v>
      </c>
      <c r="U267" s="39">
        <v>88</v>
      </c>
    </row>
    <row r="268" spans="1:21" ht="31.5" x14ac:dyDescent="0.25">
      <c r="A268" s="38" t="str">
        <f t="shared" si="18"/>
        <v>Км11.1.2</v>
      </c>
      <c r="B268" s="43">
        <v>60</v>
      </c>
      <c r="C268" s="43" t="s">
        <v>291</v>
      </c>
      <c r="D268" s="43" t="s">
        <v>270</v>
      </c>
      <c r="E268" s="43">
        <v>4</v>
      </c>
      <c r="F268" s="22">
        <v>1.5780000000000001</v>
      </c>
      <c r="G268" s="43"/>
      <c r="H268" s="43">
        <v>2630</v>
      </c>
      <c r="I268" s="43">
        <v>16</v>
      </c>
      <c r="J268" s="43" t="s">
        <v>2</v>
      </c>
      <c r="K268" s="43"/>
      <c r="L268" s="43"/>
      <c r="M268" s="43"/>
      <c r="N268" s="43"/>
      <c r="O268" s="43"/>
      <c r="P268" s="43"/>
      <c r="Q268" s="43"/>
      <c r="R268" s="43"/>
      <c r="S268" s="43" t="s">
        <v>202</v>
      </c>
      <c r="T268" s="43" t="s">
        <v>202</v>
      </c>
      <c r="U268" s="39">
        <v>40</v>
      </c>
    </row>
    <row r="269" spans="1:21" ht="15.75" x14ac:dyDescent="0.25">
      <c r="A269" s="38" t="str">
        <f t="shared" si="18"/>
        <v>Км11.1.2</v>
      </c>
      <c r="B269" s="43"/>
      <c r="C269" s="28" t="s">
        <v>195</v>
      </c>
      <c r="D269" s="28" t="s">
        <v>196</v>
      </c>
      <c r="E269" s="28">
        <f>(1.5*1.5*0.25)+(0.5*0.5*4.57)</f>
        <v>1.7050000000000001</v>
      </c>
      <c r="F269" s="22" t="s">
        <v>4</v>
      </c>
      <c r="G269" s="43" t="s">
        <v>3</v>
      </c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39"/>
    </row>
    <row r="270" spans="1:21" ht="15.75" x14ac:dyDescent="0.25">
      <c r="A270" s="38" t="str">
        <f t="shared" si="18"/>
        <v>Км11.1.2</v>
      </c>
      <c r="B270" s="43"/>
      <c r="C270" s="28" t="s">
        <v>195</v>
      </c>
      <c r="D270" s="28" t="s">
        <v>197</v>
      </c>
      <c r="E270" s="28">
        <f>29.25*0.5*0.5</f>
        <v>7.3125</v>
      </c>
      <c r="F270" s="22" t="s">
        <v>4</v>
      </c>
      <c r="G270" s="43" t="s">
        <v>3</v>
      </c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39"/>
    </row>
    <row r="271" spans="1:21" ht="15.75" x14ac:dyDescent="0.25">
      <c r="A271" s="38" t="str">
        <f t="shared" si="18"/>
        <v>Км11.1.2</v>
      </c>
      <c r="B271" s="30"/>
      <c r="C271" s="30" t="s">
        <v>198</v>
      </c>
      <c r="D271" s="30" t="s">
        <v>199</v>
      </c>
      <c r="E271" s="30">
        <v>8</v>
      </c>
      <c r="F271" s="22">
        <v>94.2</v>
      </c>
      <c r="G271" s="43"/>
      <c r="H271" s="43"/>
      <c r="I271" s="43"/>
      <c r="J271" s="43"/>
      <c r="K271" s="22">
        <f>120*120</f>
        <v>14400</v>
      </c>
      <c r="L271" s="43" t="s">
        <v>23</v>
      </c>
      <c r="M271" s="43" t="s">
        <v>22</v>
      </c>
      <c r="N271" s="43"/>
      <c r="O271" s="43" t="s">
        <v>24</v>
      </c>
      <c r="P271" s="43"/>
      <c r="Q271" s="43"/>
      <c r="R271" s="43"/>
      <c r="S271" s="43"/>
      <c r="T271" s="43"/>
      <c r="U271" s="39"/>
    </row>
    <row r="272" spans="1:21" ht="15.75" x14ac:dyDescent="0.2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</row>
    <row r="273" spans="1:21" ht="31.5" x14ac:dyDescent="0.25">
      <c r="A273" s="25" t="str">
        <f>B273</f>
        <v>Км8.2.1</v>
      </c>
      <c r="B273" s="26" t="s">
        <v>246</v>
      </c>
      <c r="C273" s="26"/>
      <c r="D273" s="26" t="s">
        <v>247</v>
      </c>
      <c r="E273" s="26">
        <f>1</f>
        <v>1</v>
      </c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7"/>
    </row>
    <row r="274" spans="1:21" ht="31.5" x14ac:dyDescent="0.25">
      <c r="A274" s="38" t="str">
        <f>A273</f>
        <v>Км8.2.1</v>
      </c>
      <c r="B274" s="43">
        <v>232</v>
      </c>
      <c r="C274" s="43" t="s">
        <v>188</v>
      </c>
      <c r="D274" s="43" t="s">
        <v>189</v>
      </c>
      <c r="E274" s="43">
        <v>4</v>
      </c>
      <c r="F274" s="22">
        <v>2.984</v>
      </c>
      <c r="G274" s="43"/>
      <c r="H274" s="43">
        <v>5070</v>
      </c>
      <c r="I274" s="43">
        <v>22</v>
      </c>
      <c r="J274" s="43" t="s">
        <v>2</v>
      </c>
      <c r="K274" s="43"/>
      <c r="L274" s="43"/>
      <c r="M274" s="43"/>
      <c r="N274" s="43"/>
      <c r="O274" s="43"/>
      <c r="P274" s="43"/>
      <c r="Q274" s="43"/>
      <c r="R274" s="43"/>
      <c r="S274" s="43" t="s">
        <v>202</v>
      </c>
      <c r="T274" s="43" t="s">
        <v>202</v>
      </c>
      <c r="U274" s="39">
        <v>88</v>
      </c>
    </row>
    <row r="275" spans="1:21" ht="31.5" x14ac:dyDescent="0.25">
      <c r="A275" s="38" t="str">
        <f t="shared" ref="A275:A284" si="19">A274</f>
        <v>Км8.2.1</v>
      </c>
      <c r="B275" s="43">
        <v>239</v>
      </c>
      <c r="C275" s="43" t="s">
        <v>190</v>
      </c>
      <c r="D275" s="43" t="s">
        <v>191</v>
      </c>
      <c r="E275" s="43">
        <f>38+29+2+29+29+29+29+27+1+29+16</f>
        <v>258</v>
      </c>
      <c r="F275" s="22">
        <v>0.39500000000000002</v>
      </c>
      <c r="G275" s="43" t="s">
        <v>0</v>
      </c>
      <c r="H275" s="43">
        <f>420*4+150</f>
        <v>1830</v>
      </c>
      <c r="I275" s="43">
        <v>8</v>
      </c>
      <c r="J275" s="43" t="s">
        <v>1</v>
      </c>
      <c r="K275" s="43"/>
      <c r="L275" s="43"/>
      <c r="M275" s="43"/>
      <c r="N275" s="43"/>
      <c r="O275" s="43"/>
      <c r="P275" s="43"/>
      <c r="Q275" s="43"/>
      <c r="R275" s="43"/>
      <c r="S275" s="43" t="s">
        <v>202</v>
      </c>
      <c r="T275" s="43" t="s">
        <v>202</v>
      </c>
      <c r="U275" s="39">
        <v>10</v>
      </c>
    </row>
    <row r="276" spans="1:21" ht="31.5" x14ac:dyDescent="0.25">
      <c r="A276" s="38" t="str">
        <f t="shared" si="19"/>
        <v>Км8.2.1</v>
      </c>
      <c r="B276" s="43">
        <v>234</v>
      </c>
      <c r="C276" s="43" t="s">
        <v>188</v>
      </c>
      <c r="D276" s="43" t="s">
        <v>192</v>
      </c>
      <c r="E276" s="43">
        <v>4</v>
      </c>
      <c r="F276" s="22">
        <v>2.984</v>
      </c>
      <c r="G276" s="43"/>
      <c r="H276" s="43">
        <v>4500</v>
      </c>
      <c r="I276" s="43">
        <v>22</v>
      </c>
      <c r="J276" s="43" t="s">
        <v>2</v>
      </c>
      <c r="K276" s="43"/>
      <c r="L276" s="43"/>
      <c r="M276" s="43"/>
      <c r="N276" s="43"/>
      <c r="O276" s="43"/>
      <c r="P276" s="43"/>
      <c r="Q276" s="43"/>
      <c r="R276" s="43"/>
      <c r="S276" s="43" t="s">
        <v>202</v>
      </c>
      <c r="T276" s="43" t="s">
        <v>202</v>
      </c>
      <c r="U276" s="39">
        <v>88</v>
      </c>
    </row>
    <row r="277" spans="1:21" ht="31.5" x14ac:dyDescent="0.25">
      <c r="A277" s="38" t="str">
        <f t="shared" si="19"/>
        <v>Км8.2.1</v>
      </c>
      <c r="B277" s="43">
        <v>237</v>
      </c>
      <c r="C277" s="43" t="s">
        <v>188</v>
      </c>
      <c r="D277" s="43" t="s">
        <v>299</v>
      </c>
      <c r="E277" s="43">
        <f>4*5</f>
        <v>20</v>
      </c>
      <c r="F277" s="22">
        <v>2.4660000000000002</v>
      </c>
      <c r="G277" s="43"/>
      <c r="H277" s="43">
        <v>4050</v>
      </c>
      <c r="I277" s="43">
        <v>20</v>
      </c>
      <c r="J277" s="43" t="s">
        <v>2</v>
      </c>
      <c r="K277" s="43"/>
      <c r="L277" s="43"/>
      <c r="M277" s="43"/>
      <c r="N277" s="43"/>
      <c r="O277" s="43"/>
      <c r="P277" s="43"/>
      <c r="Q277" s="43"/>
      <c r="R277" s="43"/>
      <c r="S277" s="43" t="s">
        <v>202</v>
      </c>
      <c r="T277" s="43" t="s">
        <v>202</v>
      </c>
      <c r="U277" s="39">
        <v>80</v>
      </c>
    </row>
    <row r="278" spans="1:21" ht="31.5" x14ac:dyDescent="0.25">
      <c r="A278" s="38" t="str">
        <f t="shared" si="19"/>
        <v>Км8.2.1</v>
      </c>
      <c r="B278" s="43">
        <v>235</v>
      </c>
      <c r="C278" s="43" t="s">
        <v>291</v>
      </c>
      <c r="D278" s="43" t="s">
        <v>295</v>
      </c>
      <c r="E278" s="43">
        <v>4</v>
      </c>
      <c r="F278" s="22">
        <v>2.984</v>
      </c>
      <c r="G278" s="43"/>
      <c r="H278" s="43">
        <v>3820</v>
      </c>
      <c r="I278" s="43">
        <v>22</v>
      </c>
      <c r="J278" s="43" t="s">
        <v>2</v>
      </c>
      <c r="K278" s="43"/>
      <c r="L278" s="43"/>
      <c r="M278" s="43"/>
      <c r="N278" s="43"/>
      <c r="O278" s="43"/>
      <c r="P278" s="43"/>
      <c r="Q278" s="43"/>
      <c r="R278" s="43"/>
      <c r="S278" s="43" t="s">
        <v>202</v>
      </c>
      <c r="T278" s="43" t="s">
        <v>202</v>
      </c>
      <c r="U278" s="39">
        <v>88</v>
      </c>
    </row>
    <row r="279" spans="1:21" ht="31.5" x14ac:dyDescent="0.25">
      <c r="A279" s="38" t="str">
        <f t="shared" si="19"/>
        <v>Км8.2.1</v>
      </c>
      <c r="B279" s="43">
        <v>233</v>
      </c>
      <c r="C279" s="43" t="s">
        <v>271</v>
      </c>
      <c r="D279" s="43" t="s">
        <v>295</v>
      </c>
      <c r="E279" s="43">
        <v>4</v>
      </c>
      <c r="F279" s="22">
        <v>2.984</v>
      </c>
      <c r="G279" s="43"/>
      <c r="H279" s="43">
        <v>5020</v>
      </c>
      <c r="I279" s="43">
        <v>22</v>
      </c>
      <c r="J279" s="43" t="s">
        <v>2</v>
      </c>
      <c r="K279" s="43"/>
      <c r="L279" s="43"/>
      <c r="M279" s="43"/>
      <c r="N279" s="43"/>
      <c r="O279" s="43"/>
      <c r="P279" s="43"/>
      <c r="Q279" s="43"/>
      <c r="R279" s="43"/>
      <c r="S279" s="43" t="s">
        <v>202</v>
      </c>
      <c r="T279" s="43" t="s">
        <v>202</v>
      </c>
      <c r="U279" s="39">
        <v>88</v>
      </c>
    </row>
    <row r="280" spans="1:21" ht="31.5" x14ac:dyDescent="0.25">
      <c r="A280" s="38" t="str">
        <f t="shared" si="19"/>
        <v>Км8.2.1</v>
      </c>
      <c r="B280" s="43">
        <v>236</v>
      </c>
      <c r="C280" s="43" t="s">
        <v>296</v>
      </c>
      <c r="D280" s="43" t="s">
        <v>270</v>
      </c>
      <c r="E280" s="43">
        <v>8</v>
      </c>
      <c r="F280" s="22">
        <v>2.984</v>
      </c>
      <c r="G280" s="43"/>
      <c r="H280" s="43">
        <v>1430</v>
      </c>
      <c r="I280" s="43">
        <v>22</v>
      </c>
      <c r="J280" s="43" t="s">
        <v>2</v>
      </c>
      <c r="K280" s="43"/>
      <c r="L280" s="43"/>
      <c r="M280" s="43"/>
      <c r="N280" s="43"/>
      <c r="O280" s="43"/>
      <c r="P280" s="43"/>
      <c r="Q280" s="43"/>
      <c r="R280" s="43"/>
      <c r="S280" s="43" t="s">
        <v>202</v>
      </c>
      <c r="T280" s="43" t="s">
        <v>202</v>
      </c>
      <c r="U280" s="39">
        <v>88</v>
      </c>
    </row>
    <row r="281" spans="1:21" ht="31.5" x14ac:dyDescent="0.25">
      <c r="A281" s="38" t="str">
        <f t="shared" si="19"/>
        <v>Км8.2.1</v>
      </c>
      <c r="B281" s="43">
        <v>238</v>
      </c>
      <c r="C281" s="43" t="s">
        <v>291</v>
      </c>
      <c r="D281" s="43" t="s">
        <v>270</v>
      </c>
      <c r="E281" s="43">
        <v>8</v>
      </c>
      <c r="F281" s="22">
        <v>1.5780000000000001</v>
      </c>
      <c r="G281" s="43"/>
      <c r="H281" s="43">
        <v>2630</v>
      </c>
      <c r="I281" s="43">
        <v>16</v>
      </c>
      <c r="J281" s="43" t="s">
        <v>2</v>
      </c>
      <c r="K281" s="43"/>
      <c r="L281" s="43"/>
      <c r="M281" s="43"/>
      <c r="N281" s="43"/>
      <c r="O281" s="43"/>
      <c r="P281" s="43"/>
      <c r="Q281" s="43"/>
      <c r="R281" s="43"/>
      <c r="S281" s="43" t="s">
        <v>202</v>
      </c>
      <c r="T281" s="43" t="s">
        <v>202</v>
      </c>
      <c r="U281" s="39">
        <v>40</v>
      </c>
    </row>
    <row r="282" spans="1:21" ht="15.75" x14ac:dyDescent="0.25">
      <c r="A282" s="38" t="str">
        <f t="shared" si="19"/>
        <v>Км8.2.1</v>
      </c>
      <c r="B282" s="43"/>
      <c r="C282" s="28" t="s">
        <v>195</v>
      </c>
      <c r="D282" s="28" t="s">
        <v>196</v>
      </c>
      <c r="E282" s="28">
        <f>(1.5*1.5*0.25)+(0.5*0.5*4.57)</f>
        <v>1.7050000000000001</v>
      </c>
      <c r="F282" s="22" t="s">
        <v>4</v>
      </c>
      <c r="G282" s="43" t="s">
        <v>3</v>
      </c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39"/>
    </row>
    <row r="283" spans="1:21" ht="15.75" x14ac:dyDescent="0.25">
      <c r="A283" s="38" t="str">
        <f t="shared" si="19"/>
        <v>Км8.2.1</v>
      </c>
      <c r="B283" s="43"/>
      <c r="C283" s="28" t="s">
        <v>195</v>
      </c>
      <c r="D283" s="28" t="s">
        <v>197</v>
      </c>
      <c r="E283" s="28">
        <f>28.5*0.5*0.5</f>
        <v>7.125</v>
      </c>
      <c r="F283" s="22" t="s">
        <v>4</v>
      </c>
      <c r="G283" s="43" t="s">
        <v>3</v>
      </c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39"/>
    </row>
    <row r="284" spans="1:21" ht="15.75" x14ac:dyDescent="0.25">
      <c r="A284" s="38" t="str">
        <f t="shared" si="19"/>
        <v>Км8.2.1</v>
      </c>
      <c r="B284" s="30"/>
      <c r="C284" s="30" t="s">
        <v>198</v>
      </c>
      <c r="D284" s="30" t="s">
        <v>199</v>
      </c>
      <c r="E284" s="30">
        <v>8</v>
      </c>
      <c r="F284" s="22">
        <v>94.2</v>
      </c>
      <c r="G284" s="43"/>
      <c r="H284" s="43"/>
      <c r="I284" s="43"/>
      <c r="J284" s="43"/>
      <c r="K284" s="22">
        <f>120*120</f>
        <v>14400</v>
      </c>
      <c r="L284" s="43" t="s">
        <v>23</v>
      </c>
      <c r="M284" s="43" t="s">
        <v>22</v>
      </c>
      <c r="N284" s="43"/>
      <c r="O284" s="43" t="s">
        <v>24</v>
      </c>
      <c r="P284" s="43"/>
      <c r="Q284" s="43"/>
      <c r="R284" s="43"/>
      <c r="S284" s="43"/>
      <c r="T284" s="43"/>
      <c r="U284" s="39"/>
    </row>
    <row r="285" spans="1:21" ht="15.75" x14ac:dyDescent="0.2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</row>
    <row r="286" spans="1:21" ht="15.75" x14ac:dyDescent="0.25">
      <c r="A286" s="21" t="s">
        <v>183</v>
      </c>
      <c r="B286" s="22" t="s">
        <v>183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3"/>
    </row>
    <row r="287" spans="1:21" ht="31.5" x14ac:dyDescent="0.25">
      <c r="A287" s="25" t="str">
        <f>B287</f>
        <v>Км10.2</v>
      </c>
      <c r="B287" s="26" t="s">
        <v>248</v>
      </c>
      <c r="C287" s="26"/>
      <c r="D287" s="26" t="s">
        <v>249</v>
      </c>
      <c r="E287" s="26">
        <v>1</v>
      </c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7"/>
    </row>
    <row r="288" spans="1:21" ht="31.5" x14ac:dyDescent="0.25">
      <c r="A288" s="38" t="str">
        <f>A287</f>
        <v>Км10.2</v>
      </c>
      <c r="B288" s="43">
        <v>35</v>
      </c>
      <c r="C288" s="43" t="s">
        <v>188</v>
      </c>
      <c r="D288" s="43" t="s">
        <v>189</v>
      </c>
      <c r="E288" s="43">
        <v>4</v>
      </c>
      <c r="F288" s="22">
        <v>2.984</v>
      </c>
      <c r="G288" s="43"/>
      <c r="H288" s="43">
        <v>5070</v>
      </c>
      <c r="I288" s="43">
        <v>22</v>
      </c>
      <c r="J288" s="43" t="s">
        <v>2</v>
      </c>
      <c r="K288" s="43"/>
      <c r="L288" s="43"/>
      <c r="M288" s="43"/>
      <c r="N288" s="43"/>
      <c r="O288" s="43"/>
      <c r="P288" s="43"/>
      <c r="Q288" s="43"/>
      <c r="R288" s="43"/>
      <c r="S288" s="43" t="s">
        <v>202</v>
      </c>
      <c r="T288" s="43" t="s">
        <v>202</v>
      </c>
      <c r="U288" s="39">
        <v>88</v>
      </c>
    </row>
    <row r="289" spans="1:21" ht="31.5" x14ac:dyDescent="0.25">
      <c r="A289" s="38" t="str">
        <f>A288</f>
        <v>Км10.2</v>
      </c>
      <c r="B289" s="43">
        <v>40</v>
      </c>
      <c r="C289" s="43" t="s">
        <v>190</v>
      </c>
      <c r="D289" s="43" t="s">
        <v>191</v>
      </c>
      <c r="E289" s="43">
        <f>38+29+2+29+29+29+29+26+2+29</f>
        <v>242</v>
      </c>
      <c r="F289" s="22">
        <v>0.39500000000000002</v>
      </c>
      <c r="G289" s="43" t="s">
        <v>0</v>
      </c>
      <c r="H289" s="43">
        <f>420*4+150</f>
        <v>1830</v>
      </c>
      <c r="I289" s="43">
        <v>8</v>
      </c>
      <c r="J289" s="43" t="s">
        <v>1</v>
      </c>
      <c r="K289" s="43"/>
      <c r="L289" s="43"/>
      <c r="M289" s="43"/>
      <c r="N289" s="43"/>
      <c r="O289" s="43"/>
      <c r="P289" s="43"/>
      <c r="Q289" s="43"/>
      <c r="R289" s="43"/>
      <c r="S289" s="43" t="s">
        <v>202</v>
      </c>
      <c r="T289" s="43" t="s">
        <v>202</v>
      </c>
      <c r="U289" s="39">
        <v>10</v>
      </c>
    </row>
    <row r="290" spans="1:21" ht="31.5" x14ac:dyDescent="0.25">
      <c r="A290" s="38" t="str">
        <f t="shared" ref="A290:A296" si="20">A289</f>
        <v>Км10.2</v>
      </c>
      <c r="B290" s="43">
        <v>36</v>
      </c>
      <c r="C290" s="43" t="s">
        <v>188</v>
      </c>
      <c r="D290" s="43" t="s">
        <v>192</v>
      </c>
      <c r="E290" s="43">
        <v>4</v>
      </c>
      <c r="F290" s="22">
        <v>2.4660000000000002</v>
      </c>
      <c r="G290" s="43"/>
      <c r="H290" s="43">
        <v>4500</v>
      </c>
      <c r="I290" s="43">
        <v>20</v>
      </c>
      <c r="J290" s="43" t="s">
        <v>2</v>
      </c>
      <c r="K290" s="43"/>
      <c r="L290" s="43"/>
      <c r="M290" s="43"/>
      <c r="N290" s="43"/>
      <c r="O290" s="43"/>
      <c r="P290" s="43"/>
      <c r="Q290" s="43"/>
      <c r="R290" s="43"/>
      <c r="S290" s="43" t="s">
        <v>202</v>
      </c>
      <c r="T290" s="43" t="s">
        <v>202</v>
      </c>
      <c r="U290" s="39">
        <v>80</v>
      </c>
    </row>
    <row r="291" spans="1:21" ht="31.5" x14ac:dyDescent="0.25">
      <c r="A291" s="38" t="str">
        <f t="shared" si="20"/>
        <v>Км10.2</v>
      </c>
      <c r="B291" s="43">
        <v>37</v>
      </c>
      <c r="C291" s="43" t="s">
        <v>188</v>
      </c>
      <c r="D291" s="43" t="s">
        <v>193</v>
      </c>
      <c r="E291" s="43">
        <f>4*5</f>
        <v>20</v>
      </c>
      <c r="F291" s="22">
        <v>2.4660000000000002</v>
      </c>
      <c r="G291" s="43"/>
      <c r="H291" s="43">
        <v>4050</v>
      </c>
      <c r="I291" s="43">
        <v>20</v>
      </c>
      <c r="J291" s="43" t="s">
        <v>2</v>
      </c>
      <c r="K291" s="43"/>
      <c r="L291" s="43"/>
      <c r="M291" s="43"/>
      <c r="N291" s="43"/>
      <c r="O291" s="43"/>
      <c r="P291" s="43"/>
      <c r="Q291" s="43"/>
      <c r="R291" s="43"/>
      <c r="S291" s="43" t="s">
        <v>202</v>
      </c>
      <c r="T291" s="43" t="s">
        <v>202</v>
      </c>
      <c r="U291" s="39">
        <v>80</v>
      </c>
    </row>
    <row r="292" spans="1:21" ht="31.5" x14ac:dyDescent="0.25">
      <c r="A292" s="38" t="str">
        <f t="shared" si="20"/>
        <v>Км10.2</v>
      </c>
      <c r="B292" s="43">
        <v>38</v>
      </c>
      <c r="C292" s="43" t="s">
        <v>188</v>
      </c>
      <c r="D292" s="43" t="s">
        <v>269</v>
      </c>
      <c r="E292" s="43">
        <v>4</v>
      </c>
      <c r="F292" s="22">
        <v>2.4660000000000002</v>
      </c>
      <c r="G292" s="43"/>
      <c r="H292" s="43">
        <v>2720</v>
      </c>
      <c r="I292" s="43">
        <v>20</v>
      </c>
      <c r="J292" s="43" t="s">
        <v>2</v>
      </c>
      <c r="K292" s="43"/>
      <c r="L292" s="43"/>
      <c r="M292" s="43"/>
      <c r="N292" s="43"/>
      <c r="O292" s="43"/>
      <c r="P292" s="43"/>
      <c r="Q292" s="43"/>
      <c r="R292" s="43"/>
      <c r="S292" s="43" t="s">
        <v>202</v>
      </c>
      <c r="T292" s="43" t="s">
        <v>202</v>
      </c>
      <c r="U292" s="39">
        <v>80</v>
      </c>
    </row>
    <row r="293" spans="1:21" ht="31.5" x14ac:dyDescent="0.25">
      <c r="A293" s="38" t="str">
        <f t="shared" si="20"/>
        <v>Км10.2</v>
      </c>
      <c r="B293" s="43">
        <v>39</v>
      </c>
      <c r="C293" s="43" t="s">
        <v>188</v>
      </c>
      <c r="D293" s="43" t="s">
        <v>270</v>
      </c>
      <c r="E293" s="43">
        <v>4</v>
      </c>
      <c r="F293" s="22">
        <v>1.5780000000000001</v>
      </c>
      <c r="G293" s="43"/>
      <c r="H293" s="43">
        <v>4320</v>
      </c>
      <c r="I293" s="43">
        <v>16</v>
      </c>
      <c r="J293" s="43" t="s">
        <v>2</v>
      </c>
      <c r="K293" s="43"/>
      <c r="L293" s="43"/>
      <c r="M293" s="43"/>
      <c r="N293" s="43"/>
      <c r="O293" s="43"/>
      <c r="P293" s="43"/>
      <c r="Q293" s="43"/>
      <c r="R293" s="43"/>
      <c r="S293" s="43" t="s">
        <v>202</v>
      </c>
      <c r="T293" s="43" t="s">
        <v>202</v>
      </c>
      <c r="U293" s="39">
        <v>40</v>
      </c>
    </row>
    <row r="294" spans="1:21" ht="15.75" x14ac:dyDescent="0.25">
      <c r="A294" s="38" t="str">
        <f t="shared" si="20"/>
        <v>Км10.2</v>
      </c>
      <c r="B294" s="43"/>
      <c r="C294" s="28" t="s">
        <v>195</v>
      </c>
      <c r="D294" s="28" t="s">
        <v>196</v>
      </c>
      <c r="E294" s="28">
        <f>(4.32*0.5*0.5)+(1.5*1.5*0.25)+(1*1*0.25)</f>
        <v>1.8925000000000001</v>
      </c>
      <c r="F294" s="22" t="s">
        <v>4</v>
      </c>
      <c r="G294" s="43" t="s">
        <v>3</v>
      </c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39"/>
    </row>
    <row r="295" spans="1:21" ht="15.75" x14ac:dyDescent="0.25">
      <c r="A295" s="38" t="str">
        <f t="shared" si="20"/>
        <v>Км10.2</v>
      </c>
      <c r="B295" s="43"/>
      <c r="C295" s="28" t="s">
        <v>195</v>
      </c>
      <c r="D295" s="28" t="s">
        <v>197</v>
      </c>
      <c r="E295" s="28">
        <f>26.47*0.5*0.5</f>
        <v>6.6174999999999997</v>
      </c>
      <c r="F295" s="22" t="s">
        <v>4</v>
      </c>
      <c r="G295" s="43" t="s">
        <v>3</v>
      </c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39"/>
    </row>
    <row r="296" spans="1:21" ht="15.75" x14ac:dyDescent="0.25">
      <c r="A296" s="38" t="str">
        <f t="shared" si="20"/>
        <v>Км10.2</v>
      </c>
      <c r="B296" s="30"/>
      <c r="C296" s="30" t="s">
        <v>198</v>
      </c>
      <c r="D296" s="30" t="s">
        <v>199</v>
      </c>
      <c r="E296" s="30">
        <v>4</v>
      </c>
      <c r="F296" s="22">
        <v>94.2</v>
      </c>
      <c r="G296" s="43"/>
      <c r="H296" s="43"/>
      <c r="I296" s="43"/>
      <c r="J296" s="43"/>
      <c r="K296" s="22">
        <f>120*120</f>
        <v>14400</v>
      </c>
      <c r="L296" s="43" t="s">
        <v>23</v>
      </c>
      <c r="M296" s="43" t="s">
        <v>22</v>
      </c>
      <c r="N296" s="43"/>
      <c r="O296" s="43" t="s">
        <v>24</v>
      </c>
      <c r="P296" s="43"/>
      <c r="Q296" s="43"/>
      <c r="R296" s="43"/>
      <c r="S296" s="43"/>
      <c r="T296" s="43"/>
      <c r="U296" s="39"/>
    </row>
    <row r="297" spans="1:21" ht="15.75" x14ac:dyDescent="0.2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</row>
    <row r="298" spans="1:21" ht="15.75" x14ac:dyDescent="0.25">
      <c r="A298" s="21" t="s">
        <v>183</v>
      </c>
      <c r="B298" s="22" t="s">
        <v>183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3"/>
    </row>
    <row r="299" spans="1:21" ht="31.5" x14ac:dyDescent="0.25">
      <c r="A299" s="25" t="str">
        <f>B299</f>
        <v>Км11.3.1</v>
      </c>
      <c r="B299" s="26" t="s">
        <v>250</v>
      </c>
      <c r="C299" s="26"/>
      <c r="D299" s="26" t="s">
        <v>251</v>
      </c>
      <c r="E299" s="26">
        <v>1</v>
      </c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7"/>
    </row>
    <row r="300" spans="1:21" ht="31.5" x14ac:dyDescent="0.25">
      <c r="A300" s="38" t="str">
        <f>A299</f>
        <v>Км11.3.1</v>
      </c>
      <c r="B300" s="43">
        <v>69</v>
      </c>
      <c r="C300" s="43" t="s">
        <v>188</v>
      </c>
      <c r="D300" s="43" t="s">
        <v>189</v>
      </c>
      <c r="E300" s="43">
        <v>4</v>
      </c>
      <c r="F300" s="22">
        <v>2.984</v>
      </c>
      <c r="G300" s="43"/>
      <c r="H300" s="43">
        <v>5070</v>
      </c>
      <c r="I300" s="43">
        <v>22</v>
      </c>
      <c r="J300" s="43" t="s">
        <v>2</v>
      </c>
      <c r="K300" s="43"/>
      <c r="L300" s="43"/>
      <c r="M300" s="43"/>
      <c r="N300" s="43"/>
      <c r="O300" s="43"/>
      <c r="P300" s="43"/>
      <c r="Q300" s="43"/>
      <c r="R300" s="43"/>
      <c r="S300" s="43" t="s">
        <v>202</v>
      </c>
      <c r="T300" s="43" t="s">
        <v>202</v>
      </c>
      <c r="U300" s="39">
        <v>88</v>
      </c>
    </row>
    <row r="301" spans="1:21" ht="31.5" x14ac:dyDescent="0.25">
      <c r="A301" s="38" t="str">
        <f t="shared" ref="A301:A308" si="21">A300</f>
        <v>Км11.3.1</v>
      </c>
      <c r="B301" s="43">
        <v>74</v>
      </c>
      <c r="C301" s="43" t="s">
        <v>190</v>
      </c>
      <c r="D301" s="43" t="s">
        <v>191</v>
      </c>
      <c r="E301" s="43">
        <f>38+29+2+29+29+29+29+27+2+30</f>
        <v>244</v>
      </c>
      <c r="F301" s="22">
        <v>0.39500000000000002</v>
      </c>
      <c r="G301" s="43" t="s">
        <v>0</v>
      </c>
      <c r="H301" s="43">
        <f>420*4+150</f>
        <v>1830</v>
      </c>
      <c r="I301" s="43">
        <v>8</v>
      </c>
      <c r="J301" s="43" t="s">
        <v>1</v>
      </c>
      <c r="K301" s="43"/>
      <c r="L301" s="43"/>
      <c r="M301" s="43"/>
      <c r="N301" s="43"/>
      <c r="O301" s="43"/>
      <c r="P301" s="43"/>
      <c r="Q301" s="43"/>
      <c r="R301" s="43"/>
      <c r="S301" s="43" t="s">
        <v>202</v>
      </c>
      <c r="T301" s="43" t="s">
        <v>202</v>
      </c>
      <c r="U301" s="39">
        <v>10</v>
      </c>
    </row>
    <row r="302" spans="1:21" ht="31.5" x14ac:dyDescent="0.25">
      <c r="A302" s="38" t="str">
        <f t="shared" si="21"/>
        <v>Км11.3.1</v>
      </c>
      <c r="B302" s="43">
        <v>70</v>
      </c>
      <c r="C302" s="43" t="s">
        <v>188</v>
      </c>
      <c r="D302" s="43" t="s">
        <v>192</v>
      </c>
      <c r="E302" s="43">
        <v>4</v>
      </c>
      <c r="F302" s="22">
        <v>2.4660000000000002</v>
      </c>
      <c r="G302" s="43"/>
      <c r="H302" s="43">
        <v>4500</v>
      </c>
      <c r="I302" s="43">
        <v>20</v>
      </c>
      <c r="J302" s="43" t="s">
        <v>2</v>
      </c>
      <c r="K302" s="43"/>
      <c r="L302" s="43"/>
      <c r="M302" s="43"/>
      <c r="N302" s="43"/>
      <c r="O302" s="43"/>
      <c r="P302" s="43"/>
      <c r="Q302" s="43"/>
      <c r="R302" s="43"/>
      <c r="S302" s="43" t="s">
        <v>202</v>
      </c>
      <c r="T302" s="43" t="s">
        <v>202</v>
      </c>
      <c r="U302" s="39">
        <v>80</v>
      </c>
    </row>
    <row r="303" spans="1:21" ht="31.5" x14ac:dyDescent="0.25">
      <c r="A303" s="38" t="str">
        <f t="shared" si="21"/>
        <v>Км11.3.1</v>
      </c>
      <c r="B303" s="43">
        <v>71</v>
      </c>
      <c r="C303" s="43" t="s">
        <v>188</v>
      </c>
      <c r="D303" s="43" t="s">
        <v>193</v>
      </c>
      <c r="E303" s="43">
        <f>4*5</f>
        <v>20</v>
      </c>
      <c r="F303" s="22">
        <v>2.4660000000000002</v>
      </c>
      <c r="G303" s="43"/>
      <c r="H303" s="43">
        <v>4050</v>
      </c>
      <c r="I303" s="43">
        <v>20</v>
      </c>
      <c r="J303" s="43" t="s">
        <v>2</v>
      </c>
      <c r="K303" s="43"/>
      <c r="L303" s="43"/>
      <c r="M303" s="43"/>
      <c r="N303" s="43"/>
      <c r="O303" s="43"/>
      <c r="P303" s="43"/>
      <c r="Q303" s="43"/>
      <c r="R303" s="43"/>
      <c r="S303" s="43" t="s">
        <v>202</v>
      </c>
      <c r="T303" s="43" t="s">
        <v>202</v>
      </c>
      <c r="U303" s="39">
        <v>80</v>
      </c>
    </row>
    <row r="304" spans="1:21" ht="31.5" x14ac:dyDescent="0.25">
      <c r="A304" s="38" t="str">
        <f t="shared" si="21"/>
        <v>Км11.3.1</v>
      </c>
      <c r="B304" s="43">
        <v>72</v>
      </c>
      <c r="C304" s="43" t="s">
        <v>188</v>
      </c>
      <c r="D304" s="43" t="s">
        <v>269</v>
      </c>
      <c r="E304" s="43">
        <v>4</v>
      </c>
      <c r="F304" s="22">
        <v>2.4660000000000002</v>
      </c>
      <c r="G304" s="43"/>
      <c r="H304" s="43">
        <v>2720</v>
      </c>
      <c r="I304" s="43">
        <v>20</v>
      </c>
      <c r="J304" s="43" t="s">
        <v>2</v>
      </c>
      <c r="K304" s="43"/>
      <c r="L304" s="43"/>
      <c r="M304" s="43"/>
      <c r="N304" s="43"/>
      <c r="O304" s="43"/>
      <c r="P304" s="43"/>
      <c r="Q304" s="43"/>
      <c r="R304" s="43"/>
      <c r="S304" s="43" t="s">
        <v>202</v>
      </c>
      <c r="T304" s="43" t="s">
        <v>202</v>
      </c>
      <c r="U304" s="39">
        <v>80</v>
      </c>
    </row>
    <row r="305" spans="1:21" ht="31.5" x14ac:dyDescent="0.25">
      <c r="A305" s="38" t="str">
        <f t="shared" si="21"/>
        <v>Км11.3.1</v>
      </c>
      <c r="B305" s="43">
        <v>73</v>
      </c>
      <c r="C305" s="43" t="s">
        <v>188</v>
      </c>
      <c r="D305" s="43" t="s">
        <v>270</v>
      </c>
      <c r="E305" s="43">
        <v>4</v>
      </c>
      <c r="F305" s="22">
        <v>1.5780000000000001</v>
      </c>
      <c r="G305" s="43"/>
      <c r="H305" s="43">
        <v>4320</v>
      </c>
      <c r="I305" s="43">
        <v>16</v>
      </c>
      <c r="J305" s="43" t="s">
        <v>2</v>
      </c>
      <c r="K305" s="43"/>
      <c r="L305" s="43"/>
      <c r="M305" s="43"/>
      <c r="N305" s="43"/>
      <c r="O305" s="43"/>
      <c r="P305" s="43"/>
      <c r="Q305" s="43"/>
      <c r="R305" s="43"/>
      <c r="S305" s="43" t="s">
        <v>202</v>
      </c>
      <c r="T305" s="43" t="s">
        <v>202</v>
      </c>
      <c r="U305" s="39">
        <v>40</v>
      </c>
    </row>
    <row r="306" spans="1:21" ht="15.75" x14ac:dyDescent="0.25">
      <c r="A306" s="38" t="str">
        <f t="shared" si="21"/>
        <v>Км11.3.1</v>
      </c>
      <c r="B306" s="43"/>
      <c r="C306" s="28" t="s">
        <v>195</v>
      </c>
      <c r="D306" s="28" t="s">
        <v>196</v>
      </c>
      <c r="E306" s="28">
        <f>(4.57*0.5*0.5)+(1.5*1.5*0.25)</f>
        <v>1.7050000000000001</v>
      </c>
      <c r="F306" s="22" t="s">
        <v>4</v>
      </c>
      <c r="G306" s="43" t="s">
        <v>3</v>
      </c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39"/>
    </row>
    <row r="307" spans="1:21" ht="15.75" x14ac:dyDescent="0.25">
      <c r="A307" s="38" t="str">
        <f t="shared" si="21"/>
        <v>Км11.3.1</v>
      </c>
      <c r="B307" s="43"/>
      <c r="C307" s="28" t="s">
        <v>195</v>
      </c>
      <c r="D307" s="28" t="s">
        <v>197</v>
      </c>
      <c r="E307" s="28">
        <f>26.47*0.5*0.5</f>
        <v>6.6174999999999997</v>
      </c>
      <c r="F307" s="22" t="s">
        <v>4</v>
      </c>
      <c r="G307" s="43" t="s">
        <v>3</v>
      </c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39"/>
    </row>
    <row r="308" spans="1:21" ht="15.75" x14ac:dyDescent="0.25">
      <c r="A308" s="38" t="str">
        <f t="shared" si="21"/>
        <v>Км11.3.1</v>
      </c>
      <c r="B308" s="30"/>
      <c r="C308" s="30" t="s">
        <v>198</v>
      </c>
      <c r="D308" s="30" t="s">
        <v>199</v>
      </c>
      <c r="E308" s="30">
        <v>4</v>
      </c>
      <c r="F308" s="22">
        <v>94.2</v>
      </c>
      <c r="G308" s="43"/>
      <c r="H308" s="43"/>
      <c r="I308" s="43"/>
      <c r="J308" s="43"/>
      <c r="K308" s="22">
        <f>120*120</f>
        <v>14400</v>
      </c>
      <c r="L308" s="43" t="s">
        <v>23</v>
      </c>
      <c r="M308" s="43" t="s">
        <v>22</v>
      </c>
      <c r="N308" s="43"/>
      <c r="O308" s="43" t="s">
        <v>24</v>
      </c>
      <c r="P308" s="43"/>
      <c r="Q308" s="43"/>
      <c r="R308" s="43"/>
      <c r="S308" s="43"/>
      <c r="T308" s="43"/>
      <c r="U308" s="39"/>
    </row>
    <row r="309" spans="1:21" ht="15.75" x14ac:dyDescent="0.2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</row>
    <row r="310" spans="1:21" ht="15.75" x14ac:dyDescent="0.2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</row>
    <row r="311" spans="1:21" ht="15.75" x14ac:dyDescent="0.25">
      <c r="A311" s="21" t="s">
        <v>183</v>
      </c>
      <c r="B311" s="22" t="s">
        <v>183</v>
      </c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3"/>
    </row>
    <row r="312" spans="1:21" ht="31.5" x14ac:dyDescent="0.25">
      <c r="A312" s="25" t="str">
        <f>B312</f>
        <v>Км1.3.2</v>
      </c>
      <c r="B312" s="26" t="s">
        <v>252</v>
      </c>
      <c r="C312" s="26"/>
      <c r="D312" s="26" t="s">
        <v>253</v>
      </c>
      <c r="E312" s="26">
        <v>1</v>
      </c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7"/>
    </row>
    <row r="313" spans="1:21" ht="31.5" x14ac:dyDescent="0.25">
      <c r="A313" s="38" t="str">
        <f>A312</f>
        <v>Км1.3.2</v>
      </c>
      <c r="B313" s="43">
        <v>18</v>
      </c>
      <c r="C313" s="43" t="s">
        <v>188</v>
      </c>
      <c r="D313" s="43" t="s">
        <v>189</v>
      </c>
      <c r="E313" s="43">
        <v>4</v>
      </c>
      <c r="F313" s="22">
        <v>2.984</v>
      </c>
      <c r="G313" s="43"/>
      <c r="H313" s="43">
        <v>5070</v>
      </c>
      <c r="I313" s="43">
        <v>22</v>
      </c>
      <c r="J313" s="43" t="s">
        <v>2</v>
      </c>
      <c r="K313" s="43"/>
      <c r="L313" s="43"/>
      <c r="M313" s="43"/>
      <c r="N313" s="43"/>
      <c r="O313" s="43"/>
      <c r="P313" s="43"/>
      <c r="Q313" s="43"/>
      <c r="R313" s="43"/>
      <c r="S313" s="43" t="s">
        <v>202</v>
      </c>
      <c r="T313" s="43" t="s">
        <v>202</v>
      </c>
      <c r="U313" s="39">
        <v>88</v>
      </c>
    </row>
    <row r="314" spans="1:21" ht="31.5" x14ac:dyDescent="0.25">
      <c r="A314" s="38" t="str">
        <f t="shared" ref="A314:A320" si="22">A313</f>
        <v>Км1.3.2</v>
      </c>
      <c r="B314" s="43">
        <v>22</v>
      </c>
      <c r="C314" s="43" t="s">
        <v>190</v>
      </c>
      <c r="D314" s="43" t="s">
        <v>191</v>
      </c>
      <c r="E314" s="43">
        <f>38+34+29+29+29+29+26+2+30</f>
        <v>246</v>
      </c>
      <c r="F314" s="22">
        <v>0.39500000000000002</v>
      </c>
      <c r="G314" s="43" t="s">
        <v>0</v>
      </c>
      <c r="H314" s="43">
        <f>420*4+150</f>
        <v>1830</v>
      </c>
      <c r="I314" s="43">
        <v>8</v>
      </c>
      <c r="J314" s="43" t="s">
        <v>1</v>
      </c>
      <c r="K314" s="43"/>
      <c r="L314" s="43"/>
      <c r="M314" s="43"/>
      <c r="N314" s="43"/>
      <c r="O314" s="43"/>
      <c r="P314" s="43"/>
      <c r="Q314" s="43"/>
      <c r="R314" s="43"/>
      <c r="S314" s="43" t="s">
        <v>202</v>
      </c>
      <c r="T314" s="43" t="s">
        <v>202</v>
      </c>
      <c r="U314" s="39">
        <v>10</v>
      </c>
    </row>
    <row r="315" spans="1:21" ht="31.5" x14ac:dyDescent="0.25">
      <c r="A315" s="38" t="str">
        <f t="shared" si="22"/>
        <v>Км1.3.2</v>
      </c>
      <c r="B315" s="43">
        <v>19</v>
      </c>
      <c r="C315" s="43" t="s">
        <v>188</v>
      </c>
      <c r="D315" s="43" t="s">
        <v>192</v>
      </c>
      <c r="E315" s="43">
        <v>4</v>
      </c>
      <c r="F315" s="22">
        <v>2.4660000000000002</v>
      </c>
      <c r="G315" s="43"/>
      <c r="H315" s="43">
        <v>4500</v>
      </c>
      <c r="I315" s="43">
        <v>20</v>
      </c>
      <c r="J315" s="43" t="s">
        <v>2</v>
      </c>
      <c r="K315" s="43"/>
      <c r="L315" s="43"/>
      <c r="M315" s="43"/>
      <c r="N315" s="43"/>
      <c r="O315" s="43"/>
      <c r="P315" s="43"/>
      <c r="Q315" s="43"/>
      <c r="R315" s="43"/>
      <c r="S315" s="43" t="s">
        <v>202</v>
      </c>
      <c r="T315" s="43" t="s">
        <v>202</v>
      </c>
      <c r="U315" s="39">
        <v>80</v>
      </c>
    </row>
    <row r="316" spans="1:21" ht="31.5" x14ac:dyDescent="0.25">
      <c r="A316" s="38" t="str">
        <f t="shared" si="22"/>
        <v>Км1.3.2</v>
      </c>
      <c r="B316" s="43">
        <v>20</v>
      </c>
      <c r="C316" s="43" t="s">
        <v>188</v>
      </c>
      <c r="D316" s="43" t="s">
        <v>193</v>
      </c>
      <c r="E316" s="43">
        <f>4*5</f>
        <v>20</v>
      </c>
      <c r="F316" s="22">
        <v>2.4660000000000002</v>
      </c>
      <c r="G316" s="43"/>
      <c r="H316" s="43">
        <v>4050</v>
      </c>
      <c r="I316" s="43">
        <v>20</v>
      </c>
      <c r="J316" s="43" t="s">
        <v>2</v>
      </c>
      <c r="K316" s="43"/>
      <c r="L316" s="43"/>
      <c r="M316" s="43"/>
      <c r="N316" s="43"/>
      <c r="O316" s="43"/>
      <c r="P316" s="43"/>
      <c r="Q316" s="43"/>
      <c r="R316" s="43"/>
      <c r="S316" s="43" t="s">
        <v>202</v>
      </c>
      <c r="T316" s="43" t="s">
        <v>202</v>
      </c>
      <c r="U316" s="39">
        <v>80</v>
      </c>
    </row>
    <row r="317" spans="1:21" ht="31.5" x14ac:dyDescent="0.25">
      <c r="A317" s="38" t="str">
        <f t="shared" si="22"/>
        <v>Км1.3.2</v>
      </c>
      <c r="B317" s="43">
        <v>21</v>
      </c>
      <c r="C317" s="43" t="s">
        <v>188</v>
      </c>
      <c r="D317" s="43" t="s">
        <v>194</v>
      </c>
      <c r="E317" s="43">
        <v>4</v>
      </c>
      <c r="F317" s="22">
        <v>2.4660000000000002</v>
      </c>
      <c r="G317" s="43"/>
      <c r="H317" s="43">
        <v>2720</v>
      </c>
      <c r="I317" s="43">
        <v>20</v>
      </c>
      <c r="J317" s="43" t="s">
        <v>2</v>
      </c>
      <c r="K317" s="43"/>
      <c r="L317" s="43"/>
      <c r="M317" s="43"/>
      <c r="N317" s="43"/>
      <c r="O317" s="43"/>
      <c r="P317" s="43"/>
      <c r="Q317" s="43"/>
      <c r="R317" s="43"/>
      <c r="S317" s="43" t="s">
        <v>202</v>
      </c>
      <c r="T317" s="43" t="s">
        <v>202</v>
      </c>
      <c r="U317" s="39">
        <v>80</v>
      </c>
    </row>
    <row r="318" spans="1:21" ht="15.75" x14ac:dyDescent="0.25">
      <c r="A318" s="38" t="str">
        <f t="shared" si="22"/>
        <v>Км1.3.2</v>
      </c>
      <c r="B318" s="43"/>
      <c r="C318" s="28" t="s">
        <v>195</v>
      </c>
      <c r="D318" s="28" t="s">
        <v>196</v>
      </c>
      <c r="E318" s="28">
        <f>4.82*0.5*0.5</f>
        <v>1.2050000000000001</v>
      </c>
      <c r="F318" s="22" t="s">
        <v>4</v>
      </c>
      <c r="G318" s="43" t="s">
        <v>3</v>
      </c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39"/>
    </row>
    <row r="319" spans="1:21" ht="15.75" x14ac:dyDescent="0.25">
      <c r="A319" s="38" t="str">
        <f t="shared" si="22"/>
        <v>Км1.3.2</v>
      </c>
      <c r="B319" s="43"/>
      <c r="C319" s="28" t="s">
        <v>195</v>
      </c>
      <c r="D319" s="28" t="s">
        <v>197</v>
      </c>
      <c r="E319" s="28">
        <f>26.72*0.5*0.5</f>
        <v>6.68</v>
      </c>
      <c r="F319" s="22" t="s">
        <v>4</v>
      </c>
      <c r="G319" s="43" t="s">
        <v>3</v>
      </c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39"/>
    </row>
    <row r="320" spans="1:21" ht="15.75" x14ac:dyDescent="0.25">
      <c r="A320" s="38" t="str">
        <f t="shared" si="22"/>
        <v>Км1.3.2</v>
      </c>
      <c r="B320" s="30"/>
      <c r="C320" s="30" t="s">
        <v>198</v>
      </c>
      <c r="D320" s="30" t="s">
        <v>199</v>
      </c>
      <c r="E320" s="30">
        <v>4</v>
      </c>
      <c r="F320" s="22">
        <v>94.2</v>
      </c>
      <c r="G320" s="43"/>
      <c r="H320" s="43"/>
      <c r="I320" s="43"/>
      <c r="J320" s="43"/>
      <c r="K320" s="22">
        <f>120*120</f>
        <v>14400</v>
      </c>
      <c r="L320" s="43" t="s">
        <v>23</v>
      </c>
      <c r="M320" s="43" t="s">
        <v>22</v>
      </c>
      <c r="N320" s="43"/>
      <c r="O320" s="43" t="s">
        <v>24</v>
      </c>
      <c r="P320" s="43"/>
      <c r="Q320" s="43"/>
      <c r="R320" s="43"/>
      <c r="S320" s="43"/>
      <c r="T320" s="43"/>
      <c r="U320" s="39"/>
    </row>
    <row r="321" spans="1:21" ht="15.75" x14ac:dyDescent="0.2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</row>
    <row r="322" spans="1:21" ht="15.75" x14ac:dyDescent="0.25">
      <c r="A322" s="21" t="s">
        <v>183</v>
      </c>
      <c r="B322" s="22" t="s">
        <v>183</v>
      </c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3"/>
    </row>
    <row r="323" spans="1:21" ht="31.5" x14ac:dyDescent="0.25">
      <c r="A323" s="25" t="str">
        <f>B323</f>
        <v>Км7.1.1</v>
      </c>
      <c r="B323" s="26" t="s">
        <v>254</v>
      </c>
      <c r="C323" s="26"/>
      <c r="D323" s="26" t="s">
        <v>255</v>
      </c>
      <c r="E323" s="26">
        <v>1</v>
      </c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7"/>
    </row>
    <row r="324" spans="1:21" ht="31.5" x14ac:dyDescent="0.25">
      <c r="A324" s="38" t="str">
        <f>A323</f>
        <v>Км7.1.1</v>
      </c>
      <c r="B324" s="43">
        <v>207</v>
      </c>
      <c r="C324" s="43" t="s">
        <v>188</v>
      </c>
      <c r="D324" s="43" t="s">
        <v>189</v>
      </c>
      <c r="E324" s="43">
        <v>4</v>
      </c>
      <c r="F324" s="22">
        <v>2.984</v>
      </c>
      <c r="G324" s="43"/>
      <c r="H324" s="43">
        <v>5070</v>
      </c>
      <c r="I324" s="43">
        <v>22</v>
      </c>
      <c r="J324" s="43" t="s">
        <v>2</v>
      </c>
      <c r="K324" s="43"/>
      <c r="L324" s="43"/>
      <c r="M324" s="43"/>
      <c r="N324" s="43"/>
      <c r="O324" s="43"/>
      <c r="P324" s="43"/>
      <c r="Q324" s="43"/>
      <c r="R324" s="43"/>
      <c r="S324" s="43" t="s">
        <v>202</v>
      </c>
      <c r="T324" s="43" t="s">
        <v>202</v>
      </c>
      <c r="U324" s="39">
        <v>88</v>
      </c>
    </row>
    <row r="325" spans="1:21" ht="31.5" x14ac:dyDescent="0.25">
      <c r="A325" s="38" t="str">
        <f t="shared" ref="A325:A336" si="23">A324</f>
        <v>Км7.1.1</v>
      </c>
      <c r="B325" s="43">
        <v>216</v>
      </c>
      <c r="C325" s="43" t="s">
        <v>190</v>
      </c>
      <c r="D325" s="43" t="s">
        <v>191</v>
      </c>
      <c r="E325" s="43">
        <f>38+33+29+28+31+29+29+32+16</f>
        <v>265</v>
      </c>
      <c r="F325" s="22">
        <v>0.39500000000000002</v>
      </c>
      <c r="G325" s="43" t="s">
        <v>0</v>
      </c>
      <c r="H325" s="43">
        <f>420*4+150</f>
        <v>1830</v>
      </c>
      <c r="I325" s="43">
        <v>8</v>
      </c>
      <c r="J325" s="43" t="s">
        <v>1</v>
      </c>
      <c r="K325" s="43"/>
      <c r="L325" s="43"/>
      <c r="M325" s="43"/>
      <c r="N325" s="43"/>
      <c r="O325" s="43"/>
      <c r="P325" s="43"/>
      <c r="Q325" s="43"/>
      <c r="R325" s="43"/>
      <c r="S325" s="43" t="s">
        <v>202</v>
      </c>
      <c r="T325" s="43" t="s">
        <v>202</v>
      </c>
      <c r="U325" s="39">
        <v>10</v>
      </c>
    </row>
    <row r="326" spans="1:21" ht="31.5" x14ac:dyDescent="0.25">
      <c r="A326" s="38" t="str">
        <f t="shared" si="23"/>
        <v>Км7.1.1</v>
      </c>
      <c r="B326" s="43">
        <v>209</v>
      </c>
      <c r="C326" s="43" t="s">
        <v>188</v>
      </c>
      <c r="D326" s="43" t="s">
        <v>192</v>
      </c>
      <c r="E326" s="43">
        <v>4</v>
      </c>
      <c r="F326" s="22">
        <v>2.984</v>
      </c>
      <c r="G326" s="43"/>
      <c r="H326" s="43">
        <v>4500</v>
      </c>
      <c r="I326" s="43">
        <v>22</v>
      </c>
      <c r="J326" s="43" t="s">
        <v>2</v>
      </c>
      <c r="K326" s="43"/>
      <c r="L326" s="43"/>
      <c r="M326" s="43"/>
      <c r="N326" s="43"/>
      <c r="O326" s="43"/>
      <c r="P326" s="43"/>
      <c r="Q326" s="43"/>
      <c r="R326" s="43"/>
      <c r="S326" s="43" t="s">
        <v>202</v>
      </c>
      <c r="T326" s="43" t="s">
        <v>202</v>
      </c>
      <c r="U326" s="39">
        <v>88</v>
      </c>
    </row>
    <row r="327" spans="1:21" ht="31.5" x14ac:dyDescent="0.25">
      <c r="A327" s="38" t="str">
        <f t="shared" si="23"/>
        <v>Км7.1.1</v>
      </c>
      <c r="B327" s="43">
        <v>210</v>
      </c>
      <c r="C327" s="43" t="s">
        <v>188</v>
      </c>
      <c r="D327" s="43" t="s">
        <v>300</v>
      </c>
      <c r="E327" s="43">
        <f>4*4</f>
        <v>16</v>
      </c>
      <c r="F327" s="22">
        <v>2.984</v>
      </c>
      <c r="G327" s="43"/>
      <c r="H327" s="43">
        <v>4050</v>
      </c>
      <c r="I327" s="43">
        <v>22</v>
      </c>
      <c r="J327" s="43" t="s">
        <v>2</v>
      </c>
      <c r="K327" s="43"/>
      <c r="L327" s="43"/>
      <c r="M327" s="43"/>
      <c r="N327" s="43"/>
      <c r="O327" s="43"/>
      <c r="P327" s="43"/>
      <c r="Q327" s="43"/>
      <c r="R327" s="43"/>
      <c r="S327" s="43" t="s">
        <v>202</v>
      </c>
      <c r="T327" s="43" t="s">
        <v>202</v>
      </c>
      <c r="U327" s="39">
        <v>88</v>
      </c>
    </row>
    <row r="328" spans="1:21" ht="31.5" x14ac:dyDescent="0.25">
      <c r="A328" s="38" t="str">
        <f t="shared" si="23"/>
        <v>Км7.1.1</v>
      </c>
      <c r="B328" s="43">
        <v>212</v>
      </c>
      <c r="C328" s="43" t="s">
        <v>188</v>
      </c>
      <c r="D328" s="43" t="s">
        <v>280</v>
      </c>
      <c r="E328" s="43">
        <v>4</v>
      </c>
      <c r="F328" s="22">
        <v>2.984</v>
      </c>
      <c r="G328" s="43"/>
      <c r="H328" s="43">
        <v>3800</v>
      </c>
      <c r="I328" s="43">
        <v>22</v>
      </c>
      <c r="J328" s="43" t="s">
        <v>2</v>
      </c>
      <c r="K328" s="43"/>
      <c r="L328" s="43"/>
      <c r="M328" s="43"/>
      <c r="N328" s="43"/>
      <c r="O328" s="43"/>
      <c r="P328" s="43"/>
      <c r="Q328" s="43"/>
      <c r="R328" s="43"/>
      <c r="S328" s="43" t="s">
        <v>202</v>
      </c>
      <c r="T328" s="43" t="s">
        <v>202</v>
      </c>
      <c r="U328" s="39">
        <v>88</v>
      </c>
    </row>
    <row r="329" spans="1:21" ht="31.5" x14ac:dyDescent="0.25">
      <c r="A329" s="38" t="str">
        <f t="shared" si="23"/>
        <v>Км7.1.1</v>
      </c>
      <c r="B329" s="43">
        <v>211</v>
      </c>
      <c r="C329" s="43" t="s">
        <v>188</v>
      </c>
      <c r="D329" s="43" t="s">
        <v>194</v>
      </c>
      <c r="E329" s="43">
        <v>4</v>
      </c>
      <c r="F329" s="22">
        <v>2.984</v>
      </c>
      <c r="G329" s="43"/>
      <c r="H329" s="43">
        <v>3820</v>
      </c>
      <c r="I329" s="43">
        <v>22</v>
      </c>
      <c r="J329" s="43" t="s">
        <v>2</v>
      </c>
      <c r="K329" s="43"/>
      <c r="L329" s="43"/>
      <c r="M329" s="43"/>
      <c r="N329" s="43"/>
      <c r="O329" s="43"/>
      <c r="P329" s="43"/>
      <c r="Q329" s="43"/>
      <c r="R329" s="43"/>
      <c r="S329" s="43" t="s">
        <v>202</v>
      </c>
      <c r="T329" s="43" t="s">
        <v>202</v>
      </c>
      <c r="U329" s="39">
        <v>88</v>
      </c>
    </row>
    <row r="330" spans="1:21" ht="31.5" x14ac:dyDescent="0.25">
      <c r="A330" s="38" t="str">
        <f t="shared" si="23"/>
        <v>Км7.1.1</v>
      </c>
      <c r="B330" s="43">
        <v>208</v>
      </c>
      <c r="C330" s="43" t="s">
        <v>188</v>
      </c>
      <c r="D330" s="43" t="s">
        <v>194</v>
      </c>
      <c r="E330" s="43">
        <v>4</v>
      </c>
      <c r="F330" s="22">
        <v>2.984</v>
      </c>
      <c r="G330" s="43"/>
      <c r="H330" s="43">
        <v>5020</v>
      </c>
      <c r="I330" s="43">
        <v>22</v>
      </c>
      <c r="J330" s="43" t="s">
        <v>2</v>
      </c>
      <c r="K330" s="43"/>
      <c r="L330" s="43"/>
      <c r="M330" s="43"/>
      <c r="N330" s="43"/>
      <c r="O330" s="43"/>
      <c r="P330" s="43"/>
      <c r="Q330" s="43"/>
      <c r="R330" s="43"/>
      <c r="S330" s="43" t="s">
        <v>202</v>
      </c>
      <c r="T330" s="43" t="s">
        <v>202</v>
      </c>
      <c r="U330" s="39">
        <v>88</v>
      </c>
    </row>
    <row r="331" spans="1:21" ht="31.5" x14ac:dyDescent="0.25">
      <c r="A331" s="38" t="str">
        <f t="shared" si="23"/>
        <v>Км7.1.1</v>
      </c>
      <c r="B331" s="43">
        <v>214</v>
      </c>
      <c r="C331" s="43" t="s">
        <v>188</v>
      </c>
      <c r="D331" s="43" t="s">
        <v>194</v>
      </c>
      <c r="E331" s="43">
        <v>4</v>
      </c>
      <c r="F331" s="22">
        <v>1.5780000000000001</v>
      </c>
      <c r="G331" s="43" t="s">
        <v>0</v>
      </c>
      <c r="H331" s="43">
        <v>5040</v>
      </c>
      <c r="I331" s="43">
        <v>16</v>
      </c>
      <c r="J331" s="43" t="s">
        <v>2</v>
      </c>
      <c r="K331" s="43"/>
      <c r="L331" s="43"/>
      <c r="M331" s="43"/>
      <c r="N331" s="43"/>
      <c r="O331" s="43"/>
      <c r="P331" s="43"/>
      <c r="Q331" s="43"/>
      <c r="R331" s="43"/>
      <c r="S331" s="43" t="s">
        <v>202</v>
      </c>
      <c r="T331" s="43" t="s">
        <v>202</v>
      </c>
      <c r="U331" s="39">
        <v>40</v>
      </c>
    </row>
    <row r="332" spans="1:21" ht="31.5" x14ac:dyDescent="0.25">
      <c r="A332" s="38" t="str">
        <f t="shared" si="23"/>
        <v>Км7.1.1</v>
      </c>
      <c r="B332" s="43">
        <v>213</v>
      </c>
      <c r="C332" s="43" t="s">
        <v>188</v>
      </c>
      <c r="D332" s="43" t="s">
        <v>270</v>
      </c>
      <c r="E332" s="43">
        <v>8</v>
      </c>
      <c r="F332" s="22">
        <v>2.984</v>
      </c>
      <c r="G332" s="43"/>
      <c r="H332" s="43">
        <v>1430</v>
      </c>
      <c r="I332" s="43">
        <v>22</v>
      </c>
      <c r="J332" s="43" t="s">
        <v>2</v>
      </c>
      <c r="K332" s="43"/>
      <c r="L332" s="43"/>
      <c r="M332" s="43"/>
      <c r="N332" s="43"/>
      <c r="O332" s="43"/>
      <c r="P332" s="43"/>
      <c r="Q332" s="43"/>
      <c r="R332" s="43"/>
      <c r="S332" s="43" t="s">
        <v>202</v>
      </c>
      <c r="T332" s="43" t="s">
        <v>202</v>
      </c>
      <c r="U332" s="39">
        <v>88</v>
      </c>
    </row>
    <row r="333" spans="1:21" ht="31.5" x14ac:dyDescent="0.25">
      <c r="A333" s="38" t="str">
        <f t="shared" si="23"/>
        <v>Км7.1.1</v>
      </c>
      <c r="B333" s="43">
        <v>215</v>
      </c>
      <c r="C333" s="43" t="s">
        <v>291</v>
      </c>
      <c r="D333" s="43" t="s">
        <v>270</v>
      </c>
      <c r="E333" s="43">
        <v>8</v>
      </c>
      <c r="F333" s="22">
        <v>1.5780000000000001</v>
      </c>
      <c r="G333" s="43" t="s">
        <v>0</v>
      </c>
      <c r="H333" s="43">
        <v>2630</v>
      </c>
      <c r="I333" s="43">
        <v>16</v>
      </c>
      <c r="J333" s="43" t="s">
        <v>2</v>
      </c>
      <c r="K333" s="43"/>
      <c r="L333" s="43"/>
      <c r="M333" s="43"/>
      <c r="N333" s="43"/>
      <c r="O333" s="43"/>
      <c r="P333" s="43"/>
      <c r="Q333" s="43"/>
      <c r="R333" s="43"/>
      <c r="S333" s="43" t="s">
        <v>202</v>
      </c>
      <c r="T333" s="43" t="s">
        <v>202</v>
      </c>
      <c r="U333" s="39">
        <v>40</v>
      </c>
    </row>
    <row r="334" spans="1:21" ht="15.75" x14ac:dyDescent="0.25">
      <c r="A334" s="38" t="str">
        <f t="shared" si="23"/>
        <v>Км7.1.1</v>
      </c>
      <c r="B334" s="43"/>
      <c r="C334" s="28" t="s">
        <v>195</v>
      </c>
      <c r="D334" s="28" t="s">
        <v>196</v>
      </c>
      <c r="E334" s="28">
        <f>(1.5*1.5*0.25)+(4.57*0.5*0.5)</f>
        <v>1.7050000000000001</v>
      </c>
      <c r="F334" s="22" t="s">
        <v>4</v>
      </c>
      <c r="G334" s="43" t="s">
        <v>3</v>
      </c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39"/>
    </row>
    <row r="335" spans="1:21" ht="15.75" x14ac:dyDescent="0.25">
      <c r="A335" s="38" t="str">
        <f t="shared" si="23"/>
        <v>Км7.1.1</v>
      </c>
      <c r="B335" s="43"/>
      <c r="C335" s="28" t="s">
        <v>195</v>
      </c>
      <c r="D335" s="28" t="s">
        <v>197</v>
      </c>
      <c r="E335" s="28">
        <f>29.25*0.5*0.5</f>
        <v>7.3125</v>
      </c>
      <c r="F335" s="22" t="s">
        <v>4</v>
      </c>
      <c r="G335" s="43" t="s">
        <v>3</v>
      </c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39"/>
    </row>
    <row r="336" spans="1:21" ht="15.75" x14ac:dyDescent="0.25">
      <c r="A336" s="38" t="str">
        <f t="shared" si="23"/>
        <v>Км7.1.1</v>
      </c>
      <c r="B336" s="30"/>
      <c r="C336" s="30" t="s">
        <v>198</v>
      </c>
      <c r="D336" s="30" t="s">
        <v>199</v>
      </c>
      <c r="E336" s="30">
        <v>8</v>
      </c>
      <c r="F336" s="22">
        <v>94.2</v>
      </c>
      <c r="G336" s="43"/>
      <c r="H336" s="43"/>
      <c r="I336" s="43"/>
      <c r="J336" s="43"/>
      <c r="K336" s="22">
        <f>120*120</f>
        <v>14400</v>
      </c>
      <c r="L336" s="43" t="s">
        <v>23</v>
      </c>
      <c r="M336" s="43" t="s">
        <v>22</v>
      </c>
      <c r="N336" s="43"/>
      <c r="O336" s="43" t="s">
        <v>24</v>
      </c>
      <c r="P336" s="43"/>
      <c r="Q336" s="43"/>
      <c r="R336" s="43"/>
      <c r="S336" s="43"/>
      <c r="T336" s="43"/>
      <c r="U336" s="39"/>
    </row>
    <row r="337" spans="1:21" ht="15.75" x14ac:dyDescent="0.2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</row>
    <row r="338" spans="1:21" ht="15.75" x14ac:dyDescent="0.25">
      <c r="A338" s="21" t="s">
        <v>183</v>
      </c>
      <c r="B338" s="22" t="s">
        <v>183</v>
      </c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3"/>
    </row>
    <row r="339" spans="1:21" ht="31.5" x14ac:dyDescent="0.25">
      <c r="A339" s="25" t="str">
        <f>B339</f>
        <v>Км7.2</v>
      </c>
      <c r="B339" s="26" t="s">
        <v>256</v>
      </c>
      <c r="C339" s="26"/>
      <c r="D339" s="26" t="s">
        <v>257</v>
      </c>
      <c r="E339" s="26">
        <v>1</v>
      </c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7"/>
    </row>
    <row r="340" spans="1:21" ht="31.5" x14ac:dyDescent="0.25">
      <c r="A340" s="38" t="str">
        <f>A339</f>
        <v>Км7.2</v>
      </c>
      <c r="B340" s="43">
        <v>217</v>
      </c>
      <c r="C340" s="43" t="s">
        <v>188</v>
      </c>
      <c r="D340" s="43" t="s">
        <v>189</v>
      </c>
      <c r="E340" s="43">
        <v>4</v>
      </c>
      <c r="F340" s="22">
        <v>2.984</v>
      </c>
      <c r="G340" s="43"/>
      <c r="H340" s="43">
        <v>5070</v>
      </c>
      <c r="I340" s="43">
        <v>22</v>
      </c>
      <c r="J340" s="43" t="s">
        <v>2</v>
      </c>
      <c r="K340" s="43"/>
      <c r="L340" s="43"/>
      <c r="M340" s="43"/>
      <c r="N340" s="43"/>
      <c r="O340" s="43"/>
      <c r="P340" s="43"/>
      <c r="Q340" s="43"/>
      <c r="R340" s="43"/>
      <c r="S340" s="43" t="s">
        <v>202</v>
      </c>
      <c r="T340" s="43" t="s">
        <v>202</v>
      </c>
      <c r="U340" s="39">
        <v>88</v>
      </c>
    </row>
    <row r="341" spans="1:21" ht="31.5" x14ac:dyDescent="0.25">
      <c r="A341" s="38" t="str">
        <f t="shared" ref="A341:A351" si="24">A340</f>
        <v>Км7.2</v>
      </c>
      <c r="B341" s="43">
        <v>225</v>
      </c>
      <c r="C341" s="43" t="s">
        <v>190</v>
      </c>
      <c r="D341" s="43" t="s">
        <v>191</v>
      </c>
      <c r="E341" s="43">
        <f>38+29+2+29+29+29+29+27+1+33+16</f>
        <v>262</v>
      </c>
      <c r="F341" s="22">
        <v>0.39500000000000002</v>
      </c>
      <c r="G341" s="43" t="s">
        <v>0</v>
      </c>
      <c r="H341" s="43">
        <f>420*4+150</f>
        <v>1830</v>
      </c>
      <c r="I341" s="43">
        <v>8</v>
      </c>
      <c r="J341" s="43" t="s">
        <v>1</v>
      </c>
      <c r="K341" s="43"/>
      <c r="L341" s="43"/>
      <c r="M341" s="43"/>
      <c r="N341" s="43"/>
      <c r="O341" s="43"/>
      <c r="P341" s="43"/>
      <c r="Q341" s="43"/>
      <c r="R341" s="43"/>
      <c r="S341" s="43" t="s">
        <v>202</v>
      </c>
      <c r="T341" s="43" t="s">
        <v>202</v>
      </c>
      <c r="U341" s="39">
        <v>10</v>
      </c>
    </row>
    <row r="342" spans="1:21" ht="31.5" x14ac:dyDescent="0.25">
      <c r="A342" s="38" t="str">
        <f t="shared" si="24"/>
        <v>Км7.2</v>
      </c>
      <c r="B342" s="43">
        <v>219</v>
      </c>
      <c r="C342" s="43" t="s">
        <v>188</v>
      </c>
      <c r="D342" s="43" t="s">
        <v>192</v>
      </c>
      <c r="E342" s="43">
        <v>4</v>
      </c>
      <c r="F342" s="22">
        <v>2.984</v>
      </c>
      <c r="G342" s="43"/>
      <c r="H342" s="43">
        <v>4500</v>
      </c>
      <c r="I342" s="43">
        <v>22</v>
      </c>
      <c r="J342" s="43" t="s">
        <v>2</v>
      </c>
      <c r="K342" s="43"/>
      <c r="L342" s="43"/>
      <c r="M342" s="43"/>
      <c r="N342" s="43"/>
      <c r="O342" s="43"/>
      <c r="P342" s="43"/>
      <c r="Q342" s="43"/>
      <c r="R342" s="43"/>
      <c r="S342" s="43" t="s">
        <v>202</v>
      </c>
      <c r="T342" s="43" t="s">
        <v>202</v>
      </c>
      <c r="U342" s="39">
        <v>88</v>
      </c>
    </row>
    <row r="343" spans="1:21" ht="31.5" x14ac:dyDescent="0.25">
      <c r="A343" s="38" t="str">
        <f t="shared" si="24"/>
        <v>Км7.2</v>
      </c>
      <c r="B343" s="43">
        <v>220</v>
      </c>
      <c r="C343" s="43" t="s">
        <v>188</v>
      </c>
      <c r="D343" s="43" t="s">
        <v>301</v>
      </c>
      <c r="E343" s="43">
        <f>4*5</f>
        <v>20</v>
      </c>
      <c r="F343" s="22">
        <v>2.984</v>
      </c>
      <c r="G343" s="43"/>
      <c r="H343" s="43">
        <v>4050</v>
      </c>
      <c r="I343" s="43">
        <v>22</v>
      </c>
      <c r="J343" s="43" t="s">
        <v>2</v>
      </c>
      <c r="K343" s="43"/>
      <c r="L343" s="43"/>
      <c r="M343" s="43"/>
      <c r="N343" s="43"/>
      <c r="O343" s="43"/>
      <c r="P343" s="43"/>
      <c r="Q343" s="43"/>
      <c r="R343" s="43"/>
      <c r="S343" s="43" t="s">
        <v>202</v>
      </c>
      <c r="T343" s="43" t="s">
        <v>202</v>
      </c>
      <c r="U343" s="39">
        <v>88</v>
      </c>
    </row>
    <row r="344" spans="1:21" ht="31.5" x14ac:dyDescent="0.25">
      <c r="A344" s="38" t="str">
        <f t="shared" si="24"/>
        <v>Км7.2</v>
      </c>
      <c r="B344" s="43">
        <v>221</v>
      </c>
      <c r="C344" s="43" t="s">
        <v>188</v>
      </c>
      <c r="D344" s="43" t="s">
        <v>194</v>
      </c>
      <c r="E344" s="43">
        <v>4</v>
      </c>
      <c r="F344" s="22">
        <v>2.984</v>
      </c>
      <c r="G344" s="43"/>
      <c r="H344" s="43">
        <v>3820</v>
      </c>
      <c r="I344" s="43">
        <v>22</v>
      </c>
      <c r="J344" s="43" t="s">
        <v>2</v>
      </c>
      <c r="K344" s="43"/>
      <c r="L344" s="43"/>
      <c r="M344" s="43"/>
      <c r="N344" s="43"/>
      <c r="O344" s="43"/>
      <c r="P344" s="43"/>
      <c r="Q344" s="43"/>
      <c r="R344" s="43"/>
      <c r="S344" s="43" t="s">
        <v>202</v>
      </c>
      <c r="T344" s="43" t="s">
        <v>202</v>
      </c>
      <c r="U344" s="39">
        <v>88</v>
      </c>
    </row>
    <row r="345" spans="1:21" ht="31.5" x14ac:dyDescent="0.25">
      <c r="A345" s="38" t="str">
        <f t="shared" si="24"/>
        <v>Км7.2</v>
      </c>
      <c r="B345" s="43">
        <v>218</v>
      </c>
      <c r="C345" s="43" t="s">
        <v>188</v>
      </c>
      <c r="D345" s="43" t="s">
        <v>194</v>
      </c>
      <c r="E345" s="43">
        <v>4</v>
      </c>
      <c r="F345" s="22">
        <v>2.984</v>
      </c>
      <c r="G345" s="43"/>
      <c r="H345" s="43">
        <v>5020</v>
      </c>
      <c r="I345" s="43">
        <v>22</v>
      </c>
      <c r="J345" s="43" t="s">
        <v>2</v>
      </c>
      <c r="K345" s="43"/>
      <c r="L345" s="43"/>
      <c r="M345" s="43"/>
      <c r="N345" s="43"/>
      <c r="O345" s="43"/>
      <c r="P345" s="43"/>
      <c r="Q345" s="43"/>
      <c r="R345" s="43"/>
      <c r="S345" s="43" t="s">
        <v>202</v>
      </c>
      <c r="T345" s="43" t="s">
        <v>202</v>
      </c>
      <c r="U345" s="39">
        <v>88</v>
      </c>
    </row>
    <row r="346" spans="1:21" ht="31.5" x14ac:dyDescent="0.25">
      <c r="A346" s="38" t="str">
        <f t="shared" si="24"/>
        <v>Км7.2</v>
      </c>
      <c r="B346" s="43">
        <v>223</v>
      </c>
      <c r="C346" s="43" t="s">
        <v>188</v>
      </c>
      <c r="D346" s="43" t="s">
        <v>194</v>
      </c>
      <c r="E346" s="43">
        <v>4</v>
      </c>
      <c r="F346" s="22">
        <v>1.5780000000000001</v>
      </c>
      <c r="G346" s="43" t="s">
        <v>0</v>
      </c>
      <c r="H346" s="43">
        <v>5040</v>
      </c>
      <c r="I346" s="43">
        <v>16</v>
      </c>
      <c r="J346" s="43" t="s">
        <v>2</v>
      </c>
      <c r="K346" s="43"/>
      <c r="L346" s="43"/>
      <c r="M346" s="43"/>
      <c r="N346" s="43"/>
      <c r="O346" s="43"/>
      <c r="P346" s="43"/>
      <c r="Q346" s="43"/>
      <c r="R346" s="43"/>
      <c r="S346" s="43" t="s">
        <v>202</v>
      </c>
      <c r="T346" s="43" t="s">
        <v>202</v>
      </c>
      <c r="U346" s="39">
        <v>40</v>
      </c>
    </row>
    <row r="347" spans="1:21" ht="31.5" x14ac:dyDescent="0.25">
      <c r="A347" s="38" t="str">
        <f t="shared" si="24"/>
        <v>Км7.2</v>
      </c>
      <c r="B347" s="43">
        <v>222</v>
      </c>
      <c r="C347" s="43" t="s">
        <v>188</v>
      </c>
      <c r="D347" s="43" t="s">
        <v>270</v>
      </c>
      <c r="E347" s="43">
        <v>8</v>
      </c>
      <c r="F347" s="22">
        <v>2.984</v>
      </c>
      <c r="G347" s="43"/>
      <c r="H347" s="43">
        <v>1430</v>
      </c>
      <c r="I347" s="43">
        <v>22</v>
      </c>
      <c r="J347" s="43" t="s">
        <v>2</v>
      </c>
      <c r="K347" s="43"/>
      <c r="L347" s="43"/>
      <c r="M347" s="43"/>
      <c r="N347" s="43"/>
      <c r="O347" s="43"/>
      <c r="P347" s="43"/>
      <c r="Q347" s="43"/>
      <c r="R347" s="43"/>
      <c r="S347" s="43" t="s">
        <v>202</v>
      </c>
      <c r="T347" s="43" t="s">
        <v>202</v>
      </c>
      <c r="U347" s="39">
        <v>88</v>
      </c>
    </row>
    <row r="348" spans="1:21" ht="31.5" x14ac:dyDescent="0.25">
      <c r="A348" s="38" t="str">
        <f t="shared" si="24"/>
        <v>Км7.2</v>
      </c>
      <c r="B348" s="43">
        <v>224</v>
      </c>
      <c r="C348" s="43" t="s">
        <v>291</v>
      </c>
      <c r="D348" s="43" t="s">
        <v>270</v>
      </c>
      <c r="E348" s="43">
        <v>8</v>
      </c>
      <c r="F348" s="22">
        <v>1.5780000000000001</v>
      </c>
      <c r="G348" s="43" t="s">
        <v>0</v>
      </c>
      <c r="H348" s="43">
        <v>2630</v>
      </c>
      <c r="I348" s="43">
        <v>16</v>
      </c>
      <c r="J348" s="43" t="s">
        <v>2</v>
      </c>
      <c r="K348" s="43"/>
      <c r="L348" s="43"/>
      <c r="M348" s="43"/>
      <c r="N348" s="43"/>
      <c r="O348" s="43"/>
      <c r="P348" s="43"/>
      <c r="Q348" s="43"/>
      <c r="R348" s="43"/>
      <c r="S348" s="43" t="s">
        <v>202</v>
      </c>
      <c r="T348" s="43" t="s">
        <v>202</v>
      </c>
      <c r="U348" s="39">
        <v>40</v>
      </c>
    </row>
    <row r="349" spans="1:21" ht="15.75" x14ac:dyDescent="0.25">
      <c r="A349" s="38" t="str">
        <f t="shared" si="24"/>
        <v>Км7.2</v>
      </c>
      <c r="B349" s="43"/>
      <c r="C349" s="28" t="s">
        <v>195</v>
      </c>
      <c r="D349" s="28" t="s">
        <v>196</v>
      </c>
      <c r="E349" s="28">
        <f>(1.5*1.5*0.25)+(4.57*0.5*0.5)</f>
        <v>1.7050000000000001</v>
      </c>
      <c r="F349" s="22" t="s">
        <v>4</v>
      </c>
      <c r="G349" s="43" t="s">
        <v>3</v>
      </c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39"/>
    </row>
    <row r="350" spans="1:21" ht="15.75" x14ac:dyDescent="0.25">
      <c r="A350" s="38" t="str">
        <f t="shared" si="24"/>
        <v>Км7.2</v>
      </c>
      <c r="B350" s="43"/>
      <c r="C350" s="28" t="s">
        <v>195</v>
      </c>
      <c r="D350" s="28" t="s">
        <v>197</v>
      </c>
      <c r="E350" s="28">
        <f>28.5*0.5*0.5</f>
        <v>7.125</v>
      </c>
      <c r="F350" s="22" t="s">
        <v>4</v>
      </c>
      <c r="G350" s="43" t="s">
        <v>3</v>
      </c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39"/>
    </row>
    <row r="351" spans="1:21" ht="15.75" x14ac:dyDescent="0.25">
      <c r="A351" s="38" t="str">
        <f t="shared" si="24"/>
        <v>Км7.2</v>
      </c>
      <c r="B351" s="30"/>
      <c r="C351" s="30" t="s">
        <v>198</v>
      </c>
      <c r="D351" s="30" t="s">
        <v>199</v>
      </c>
      <c r="E351" s="30">
        <v>8</v>
      </c>
      <c r="F351" s="22">
        <v>94.2</v>
      </c>
      <c r="G351" s="43"/>
      <c r="H351" s="43"/>
      <c r="I351" s="43"/>
      <c r="J351" s="43"/>
      <c r="K351" s="22">
        <f>120*120</f>
        <v>14400</v>
      </c>
      <c r="L351" s="43" t="s">
        <v>23</v>
      </c>
      <c r="M351" s="43" t="s">
        <v>22</v>
      </c>
      <c r="N351" s="43"/>
      <c r="O351" s="43" t="s">
        <v>24</v>
      </c>
      <c r="P351" s="43"/>
      <c r="Q351" s="43"/>
      <c r="R351" s="43"/>
      <c r="S351" s="43"/>
      <c r="T351" s="43"/>
      <c r="U351" s="39"/>
    </row>
    <row r="352" spans="1:21" ht="15.75" x14ac:dyDescent="0.2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</row>
    <row r="353" spans="1:21" ht="15.75" x14ac:dyDescent="0.25">
      <c r="A353" s="21" t="s">
        <v>183</v>
      </c>
      <c r="B353" s="22" t="s">
        <v>183</v>
      </c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3"/>
    </row>
    <row r="354" spans="1:21" ht="15.75" x14ac:dyDescent="0.25">
      <c r="A354" s="25" t="str">
        <f>B354</f>
        <v>Км2.1</v>
      </c>
      <c r="B354" s="26" t="s">
        <v>259</v>
      </c>
      <c r="C354" s="26"/>
      <c r="D354" s="26" t="s">
        <v>260</v>
      </c>
      <c r="E354" s="26">
        <v>1</v>
      </c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7"/>
    </row>
    <row r="355" spans="1:21" ht="31.5" x14ac:dyDescent="0.25">
      <c r="A355" s="38" t="str">
        <f>A354</f>
        <v>Км2.1</v>
      </c>
      <c r="B355" s="43">
        <v>126</v>
      </c>
      <c r="C355" s="43" t="s">
        <v>188</v>
      </c>
      <c r="D355" s="43" t="s">
        <v>189</v>
      </c>
      <c r="E355" s="43">
        <v>8</v>
      </c>
      <c r="F355" s="22">
        <v>3.8530000000000002</v>
      </c>
      <c r="G355" s="43"/>
      <c r="H355" s="43">
        <v>5070</v>
      </c>
      <c r="I355" s="43">
        <v>25</v>
      </c>
      <c r="J355" s="43" t="s">
        <v>2</v>
      </c>
      <c r="K355" s="43"/>
      <c r="L355" s="43"/>
      <c r="M355" s="43"/>
      <c r="N355" s="43"/>
      <c r="O355" s="43"/>
      <c r="P355" s="43"/>
      <c r="Q355" s="43"/>
      <c r="R355" s="43"/>
      <c r="S355" s="43" t="s">
        <v>202</v>
      </c>
      <c r="T355" s="43" t="s">
        <v>202</v>
      </c>
      <c r="U355" s="39">
        <v>100</v>
      </c>
    </row>
    <row r="356" spans="1:21" ht="31.5" x14ac:dyDescent="0.25">
      <c r="A356" s="38" t="str">
        <f t="shared" ref="A356:A366" si="25">A355</f>
        <v>Км2.1</v>
      </c>
      <c r="B356" s="43">
        <v>133</v>
      </c>
      <c r="C356" s="43" t="s">
        <v>190</v>
      </c>
      <c r="D356" s="43" t="s">
        <v>302</v>
      </c>
      <c r="E356" s="43">
        <f>38+13+21+16</f>
        <v>88</v>
      </c>
      <c r="F356" s="22">
        <v>0.39500000000000002</v>
      </c>
      <c r="G356" s="43" t="s">
        <v>0</v>
      </c>
      <c r="H356" s="43">
        <f>430*4+150</f>
        <v>1870</v>
      </c>
      <c r="I356" s="43">
        <v>8</v>
      </c>
      <c r="J356" s="43" t="s">
        <v>1</v>
      </c>
      <c r="K356" s="43"/>
      <c r="L356" s="43"/>
      <c r="M356" s="43"/>
      <c r="N356" s="43"/>
      <c r="O356" s="43"/>
      <c r="P356" s="43"/>
      <c r="Q356" s="43"/>
      <c r="R356" s="43"/>
      <c r="S356" s="43" t="s">
        <v>202</v>
      </c>
      <c r="T356" s="43" t="s">
        <v>202</v>
      </c>
      <c r="U356" s="39">
        <v>10</v>
      </c>
    </row>
    <row r="357" spans="1:21" ht="31.5" x14ac:dyDescent="0.25">
      <c r="A357" s="38" t="str">
        <f t="shared" si="25"/>
        <v>Км2.1</v>
      </c>
      <c r="B357" s="43">
        <v>135</v>
      </c>
      <c r="C357" s="43" t="s">
        <v>190</v>
      </c>
      <c r="D357" s="43" t="s">
        <v>302</v>
      </c>
      <c r="E357" s="43">
        <f>38+13+21+16</f>
        <v>88</v>
      </c>
      <c r="F357" s="22">
        <v>0.39500000000000002</v>
      </c>
      <c r="G357" s="43" t="s">
        <v>0</v>
      </c>
      <c r="H357" s="43">
        <f>320*4+150</f>
        <v>1430</v>
      </c>
      <c r="I357" s="43">
        <v>8</v>
      </c>
      <c r="J357" s="43" t="s">
        <v>1</v>
      </c>
      <c r="K357" s="43"/>
      <c r="L357" s="43"/>
      <c r="M357" s="43"/>
      <c r="N357" s="43"/>
      <c r="O357" s="43"/>
      <c r="P357" s="43"/>
      <c r="Q357" s="43"/>
      <c r="R357" s="43"/>
      <c r="S357" s="43" t="s">
        <v>202</v>
      </c>
      <c r="T357" s="43" t="s">
        <v>202</v>
      </c>
      <c r="U357" s="39">
        <v>10</v>
      </c>
    </row>
    <row r="358" spans="1:21" ht="31.5" x14ac:dyDescent="0.25">
      <c r="A358" s="38" t="str">
        <f t="shared" si="25"/>
        <v>Км2.1</v>
      </c>
      <c r="B358" s="43">
        <v>130</v>
      </c>
      <c r="C358" s="43" t="s">
        <v>188</v>
      </c>
      <c r="D358" s="43" t="s">
        <v>192</v>
      </c>
      <c r="E358" s="43">
        <v>4</v>
      </c>
      <c r="F358" s="22">
        <v>2.984</v>
      </c>
      <c r="G358" s="43"/>
      <c r="H358" s="43">
        <v>4500</v>
      </c>
      <c r="I358" s="43">
        <v>22</v>
      </c>
      <c r="J358" s="43" t="s">
        <v>2</v>
      </c>
      <c r="K358" s="43"/>
      <c r="L358" s="43"/>
      <c r="M358" s="43"/>
      <c r="N358" s="43"/>
      <c r="O358" s="43"/>
      <c r="P358" s="43"/>
      <c r="Q358" s="43"/>
      <c r="R358" s="43"/>
      <c r="S358" s="43" t="s">
        <v>202</v>
      </c>
      <c r="T358" s="43" t="s">
        <v>202</v>
      </c>
      <c r="U358" s="39">
        <v>88</v>
      </c>
    </row>
    <row r="359" spans="1:21" ht="31.5" x14ac:dyDescent="0.25">
      <c r="A359" s="38" t="str">
        <f t="shared" si="25"/>
        <v>Км2.1</v>
      </c>
      <c r="B359" s="43">
        <v>131</v>
      </c>
      <c r="C359" s="43" t="s">
        <v>188</v>
      </c>
      <c r="D359" s="43" t="s">
        <v>303</v>
      </c>
      <c r="E359" s="43">
        <f>4*5</f>
        <v>20</v>
      </c>
      <c r="F359" s="22">
        <v>2.984</v>
      </c>
      <c r="G359" s="43"/>
      <c r="H359" s="43">
        <v>4050</v>
      </c>
      <c r="I359" s="43">
        <v>22</v>
      </c>
      <c r="J359" s="43" t="s">
        <v>2</v>
      </c>
      <c r="K359" s="43"/>
      <c r="L359" s="43"/>
      <c r="M359" s="43"/>
      <c r="N359" s="43"/>
      <c r="O359" s="43"/>
      <c r="P359" s="43"/>
      <c r="Q359" s="43"/>
      <c r="R359" s="43"/>
      <c r="S359" s="43" t="s">
        <v>202</v>
      </c>
      <c r="T359" s="43" t="s">
        <v>202</v>
      </c>
      <c r="U359" s="39">
        <v>88</v>
      </c>
    </row>
    <row r="360" spans="1:21" ht="31.5" x14ac:dyDescent="0.25">
      <c r="A360" s="38" t="str">
        <f t="shared" si="25"/>
        <v>Км2.1</v>
      </c>
      <c r="B360" s="43">
        <v>127</v>
      </c>
      <c r="C360" s="43" t="s">
        <v>188</v>
      </c>
      <c r="D360" s="43" t="s">
        <v>194</v>
      </c>
      <c r="E360" s="43">
        <v>4</v>
      </c>
      <c r="F360" s="22">
        <v>3.8530000000000002</v>
      </c>
      <c r="G360" s="43"/>
      <c r="H360" s="43">
        <v>3820</v>
      </c>
      <c r="I360" s="43">
        <v>25</v>
      </c>
      <c r="J360" s="43" t="s">
        <v>2</v>
      </c>
      <c r="K360" s="43"/>
      <c r="L360" s="43"/>
      <c r="M360" s="43"/>
      <c r="N360" s="43"/>
      <c r="O360" s="43"/>
      <c r="P360" s="43"/>
      <c r="Q360" s="43"/>
      <c r="R360" s="43"/>
      <c r="S360" s="43" t="s">
        <v>202</v>
      </c>
      <c r="T360" s="43" t="s">
        <v>202</v>
      </c>
      <c r="U360" s="39">
        <v>100</v>
      </c>
    </row>
    <row r="361" spans="1:21" ht="31.5" x14ac:dyDescent="0.25">
      <c r="A361" s="38" t="str">
        <f t="shared" si="25"/>
        <v>Км2.1</v>
      </c>
      <c r="B361" s="43">
        <v>129</v>
      </c>
      <c r="C361" s="43" t="s">
        <v>188</v>
      </c>
      <c r="D361" s="43" t="s">
        <v>194</v>
      </c>
      <c r="E361" s="43">
        <v>4</v>
      </c>
      <c r="F361" s="22">
        <v>2.984</v>
      </c>
      <c r="G361" s="43"/>
      <c r="H361" s="43">
        <v>5020</v>
      </c>
      <c r="I361" s="43">
        <v>22</v>
      </c>
      <c r="J361" s="43" t="s">
        <v>2</v>
      </c>
      <c r="K361" s="43"/>
      <c r="L361" s="43"/>
      <c r="M361" s="43"/>
      <c r="N361" s="43"/>
      <c r="O361" s="43"/>
      <c r="P361" s="43"/>
      <c r="Q361" s="43"/>
      <c r="R361" s="43"/>
      <c r="S361" s="43" t="s">
        <v>202</v>
      </c>
      <c r="T361" s="43" t="s">
        <v>202</v>
      </c>
      <c r="U361" s="39">
        <v>88</v>
      </c>
    </row>
    <row r="362" spans="1:21" ht="31.5" x14ac:dyDescent="0.25">
      <c r="A362" s="38" t="str">
        <f t="shared" si="25"/>
        <v>Км2.1</v>
      </c>
      <c r="B362" s="43">
        <v>134</v>
      </c>
      <c r="C362" s="43" t="s">
        <v>190</v>
      </c>
      <c r="D362" s="43" t="s">
        <v>191</v>
      </c>
      <c r="E362" s="43">
        <f>20+29+29+29+29+27+13</f>
        <v>176</v>
      </c>
      <c r="F362" s="22">
        <v>0.39500000000000002</v>
      </c>
      <c r="G362" s="43" t="s">
        <v>0</v>
      </c>
      <c r="H362" s="43">
        <f>420*4+150</f>
        <v>1830</v>
      </c>
      <c r="I362" s="43">
        <v>8</v>
      </c>
      <c r="J362" s="43" t="s">
        <v>1</v>
      </c>
      <c r="K362" s="43"/>
      <c r="L362" s="43"/>
      <c r="M362" s="43"/>
      <c r="N362" s="43"/>
      <c r="O362" s="43"/>
      <c r="P362" s="43"/>
      <c r="Q362" s="43"/>
      <c r="R362" s="43"/>
      <c r="S362" s="43" t="s">
        <v>202</v>
      </c>
      <c r="T362" s="43" t="s">
        <v>202</v>
      </c>
      <c r="U362" s="39">
        <v>10</v>
      </c>
    </row>
    <row r="363" spans="1:21" ht="31.5" x14ac:dyDescent="0.25">
      <c r="A363" s="38" t="str">
        <f t="shared" si="25"/>
        <v>Км2.1</v>
      </c>
      <c r="B363" s="43">
        <v>128</v>
      </c>
      <c r="C363" s="43" t="s">
        <v>188</v>
      </c>
      <c r="D363" s="43" t="s">
        <v>270</v>
      </c>
      <c r="E363" s="43">
        <v>4</v>
      </c>
      <c r="F363" s="22">
        <v>3.8530000000000002</v>
      </c>
      <c r="G363" s="43"/>
      <c r="H363" s="43">
        <v>1430</v>
      </c>
      <c r="I363" s="43">
        <v>25</v>
      </c>
      <c r="J363" s="43" t="s">
        <v>2</v>
      </c>
      <c r="K363" s="43"/>
      <c r="L363" s="43"/>
      <c r="M363" s="43"/>
      <c r="N363" s="43"/>
      <c r="O363" s="43"/>
      <c r="P363" s="43"/>
      <c r="Q363" s="43"/>
      <c r="R363" s="43"/>
      <c r="S363" s="43" t="s">
        <v>202</v>
      </c>
      <c r="T363" s="43" t="s">
        <v>202</v>
      </c>
      <c r="U363" s="39">
        <v>100</v>
      </c>
    </row>
    <row r="364" spans="1:21" ht="31.5" x14ac:dyDescent="0.25">
      <c r="A364" s="38" t="str">
        <f t="shared" si="25"/>
        <v>Км2.1</v>
      </c>
      <c r="B364" s="43">
        <v>132</v>
      </c>
      <c r="C364" s="43" t="s">
        <v>291</v>
      </c>
      <c r="D364" s="43" t="s">
        <v>270</v>
      </c>
      <c r="E364" s="43">
        <v>4</v>
      </c>
      <c r="F364" s="22">
        <v>2.984</v>
      </c>
      <c r="G364" s="43"/>
      <c r="H364" s="43">
        <v>1430</v>
      </c>
      <c r="I364" s="43">
        <v>22</v>
      </c>
      <c r="J364" s="43" t="s">
        <v>2</v>
      </c>
      <c r="K364" s="43"/>
      <c r="L364" s="43"/>
      <c r="M364" s="43"/>
      <c r="N364" s="43"/>
      <c r="O364" s="43"/>
      <c r="P364" s="43"/>
      <c r="Q364" s="43"/>
      <c r="R364" s="43"/>
      <c r="S364" s="43" t="s">
        <v>202</v>
      </c>
      <c r="T364" s="43" t="s">
        <v>202</v>
      </c>
      <c r="U364" s="39">
        <v>88</v>
      </c>
    </row>
    <row r="365" spans="1:21" ht="15.75" x14ac:dyDescent="0.25">
      <c r="A365" s="38" t="str">
        <f t="shared" si="25"/>
        <v>Км2.1</v>
      </c>
      <c r="B365" s="43"/>
      <c r="C365" s="28" t="s">
        <v>195</v>
      </c>
      <c r="D365" s="28" t="s">
        <v>196</v>
      </c>
      <c r="E365" s="28">
        <f>(1.5*1.5*0.25)+(4.57*0.5*0.5)</f>
        <v>1.7050000000000001</v>
      </c>
      <c r="F365" s="22" t="s">
        <v>4</v>
      </c>
      <c r="G365" s="43" t="s">
        <v>3</v>
      </c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39"/>
    </row>
    <row r="366" spans="1:21" ht="15.75" x14ac:dyDescent="0.25">
      <c r="A366" s="38" t="str">
        <f t="shared" si="25"/>
        <v>Км2.1</v>
      </c>
      <c r="B366" s="43"/>
      <c r="C366" s="28" t="s">
        <v>195</v>
      </c>
      <c r="D366" s="28" t="s">
        <v>197</v>
      </c>
      <c r="E366" s="28">
        <f>29*0.5*0.5</f>
        <v>7.25</v>
      </c>
      <c r="F366" s="22" t="s">
        <v>4</v>
      </c>
      <c r="G366" s="43" t="s">
        <v>3</v>
      </c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39"/>
    </row>
    <row r="367" spans="1:21" ht="15.75" x14ac:dyDescent="0.25">
      <c r="A367" s="38" t="str">
        <f>A366</f>
        <v>Км2.1</v>
      </c>
      <c r="B367" s="30"/>
      <c r="C367" s="30" t="s">
        <v>198</v>
      </c>
      <c r="D367" s="30" t="s">
        <v>199</v>
      </c>
      <c r="E367" s="30">
        <v>8</v>
      </c>
      <c r="F367" s="22">
        <v>94.2</v>
      </c>
      <c r="G367" s="43"/>
      <c r="H367" s="43"/>
      <c r="I367" s="43"/>
      <c r="J367" s="43"/>
      <c r="K367" s="22">
        <f>120*120</f>
        <v>14400</v>
      </c>
      <c r="L367" s="43" t="s">
        <v>23</v>
      </c>
      <c r="M367" s="43" t="s">
        <v>22</v>
      </c>
      <c r="N367" s="43"/>
      <c r="O367" s="43" t="s">
        <v>24</v>
      </c>
      <c r="P367" s="43"/>
      <c r="Q367" s="43"/>
      <c r="R367" s="43"/>
      <c r="S367" s="43"/>
      <c r="T367" s="43"/>
      <c r="U367" s="39"/>
    </row>
    <row r="368" spans="1:21" ht="15.75" x14ac:dyDescent="0.2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</row>
    <row r="369" spans="1:21" ht="15.75" x14ac:dyDescent="0.25">
      <c r="A369" s="21" t="s">
        <v>183</v>
      </c>
      <c r="B369" s="22" t="s">
        <v>183</v>
      </c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3"/>
    </row>
    <row r="370" spans="1:21" ht="31.5" x14ac:dyDescent="0.25">
      <c r="A370" s="25" t="str">
        <f>B370</f>
        <v>Км9.2.1</v>
      </c>
      <c r="B370" s="26" t="s">
        <v>261</v>
      </c>
      <c r="C370" s="26"/>
      <c r="D370" s="26" t="s">
        <v>262</v>
      </c>
      <c r="E370" s="26">
        <v>1</v>
      </c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7"/>
    </row>
    <row r="371" spans="1:21" ht="31.5" x14ac:dyDescent="0.25">
      <c r="A371" s="38" t="str">
        <f>A370</f>
        <v>Км9.2.1</v>
      </c>
      <c r="B371" s="43">
        <v>246</v>
      </c>
      <c r="C371" s="43" t="s">
        <v>188</v>
      </c>
      <c r="D371" s="43" t="s">
        <v>189</v>
      </c>
      <c r="E371" s="43">
        <v>5</v>
      </c>
      <c r="F371" s="22">
        <v>2.4660000000000002</v>
      </c>
      <c r="G371" s="43"/>
      <c r="H371" s="43">
        <v>5070</v>
      </c>
      <c r="I371" s="43">
        <v>20</v>
      </c>
      <c r="J371" s="43" t="s">
        <v>2</v>
      </c>
      <c r="K371" s="43"/>
      <c r="L371" s="43"/>
      <c r="M371" s="43"/>
      <c r="N371" s="43"/>
      <c r="O371" s="43"/>
      <c r="P371" s="43"/>
      <c r="Q371" s="43"/>
      <c r="R371" s="43"/>
      <c r="S371" s="43" t="s">
        <v>202</v>
      </c>
      <c r="T371" s="43" t="s">
        <v>202</v>
      </c>
      <c r="U371" s="39">
        <v>80</v>
      </c>
    </row>
    <row r="372" spans="1:21" ht="31.5" x14ac:dyDescent="0.25">
      <c r="A372" s="38" t="str">
        <f t="shared" ref="A372:A383" si="26">A371</f>
        <v>Км9.2.1</v>
      </c>
      <c r="B372" s="43">
        <v>247</v>
      </c>
      <c r="C372" s="43" t="s">
        <v>190</v>
      </c>
      <c r="D372" s="43" t="s">
        <v>302</v>
      </c>
      <c r="E372" s="43">
        <f>38+13+21+16</f>
        <v>88</v>
      </c>
      <c r="F372" s="22">
        <v>0.39500000000000002</v>
      </c>
      <c r="G372" s="43" t="s">
        <v>0</v>
      </c>
      <c r="H372" s="43">
        <f>430*4+150</f>
        <v>1870</v>
      </c>
      <c r="I372" s="43">
        <v>8</v>
      </c>
      <c r="J372" s="43" t="s">
        <v>1</v>
      </c>
      <c r="K372" s="43"/>
      <c r="L372" s="43"/>
      <c r="M372" s="43"/>
      <c r="N372" s="43"/>
      <c r="O372" s="43"/>
      <c r="P372" s="43"/>
      <c r="Q372" s="43"/>
      <c r="R372" s="43"/>
      <c r="S372" s="43" t="s">
        <v>202</v>
      </c>
      <c r="T372" s="43" t="s">
        <v>202</v>
      </c>
      <c r="U372" s="39">
        <v>10</v>
      </c>
    </row>
    <row r="373" spans="1:21" ht="31.5" x14ac:dyDescent="0.25">
      <c r="A373" s="38" t="str">
        <f t="shared" si="26"/>
        <v>Км9.2.1</v>
      </c>
      <c r="B373" s="43">
        <v>249</v>
      </c>
      <c r="C373" s="43" t="s">
        <v>190</v>
      </c>
      <c r="D373" s="43" t="s">
        <v>302</v>
      </c>
      <c r="E373" s="43">
        <f>38+13+21+16</f>
        <v>88</v>
      </c>
      <c r="F373" s="22">
        <v>0.39500000000000002</v>
      </c>
      <c r="G373" s="43" t="s">
        <v>0</v>
      </c>
      <c r="H373" s="43">
        <f>320*4+150</f>
        <v>1430</v>
      </c>
      <c r="I373" s="43">
        <v>8</v>
      </c>
      <c r="J373" s="43" t="s">
        <v>1</v>
      </c>
      <c r="K373" s="43"/>
      <c r="L373" s="43"/>
      <c r="M373" s="43"/>
      <c r="N373" s="43"/>
      <c r="O373" s="43"/>
      <c r="P373" s="43"/>
      <c r="Q373" s="43"/>
      <c r="R373" s="43"/>
      <c r="S373" s="43" t="s">
        <v>202</v>
      </c>
      <c r="T373" s="43" t="s">
        <v>202</v>
      </c>
      <c r="U373" s="39">
        <v>10</v>
      </c>
    </row>
    <row r="374" spans="1:21" ht="31.5" x14ac:dyDescent="0.25">
      <c r="A374" s="38" t="str">
        <f t="shared" si="26"/>
        <v>Км9.2.1</v>
      </c>
      <c r="B374" s="43">
        <v>243</v>
      </c>
      <c r="C374" s="43" t="s">
        <v>188</v>
      </c>
      <c r="D374" s="43" t="s">
        <v>192</v>
      </c>
      <c r="E374" s="43">
        <v>4</v>
      </c>
      <c r="F374" s="22">
        <v>2.984</v>
      </c>
      <c r="G374" s="43"/>
      <c r="H374" s="43">
        <v>4500</v>
      </c>
      <c r="I374" s="43">
        <v>22</v>
      </c>
      <c r="J374" s="43" t="s">
        <v>2</v>
      </c>
      <c r="K374" s="43"/>
      <c r="L374" s="43"/>
      <c r="M374" s="43"/>
      <c r="N374" s="43"/>
      <c r="O374" s="43"/>
      <c r="P374" s="43"/>
      <c r="Q374" s="43"/>
      <c r="R374" s="43"/>
      <c r="S374" s="43" t="s">
        <v>202</v>
      </c>
      <c r="T374" s="43" t="s">
        <v>202</v>
      </c>
      <c r="U374" s="39">
        <v>88</v>
      </c>
    </row>
    <row r="375" spans="1:21" ht="31.5" x14ac:dyDescent="0.25">
      <c r="A375" s="38" t="str">
        <f t="shared" si="26"/>
        <v>Км9.2.1</v>
      </c>
      <c r="B375" s="43">
        <v>244</v>
      </c>
      <c r="C375" s="43" t="s">
        <v>188</v>
      </c>
      <c r="D375" s="43" t="s">
        <v>303</v>
      </c>
      <c r="E375" s="43">
        <f>4*5</f>
        <v>20</v>
      </c>
      <c r="F375" s="22">
        <v>2.984</v>
      </c>
      <c r="G375" s="43"/>
      <c r="H375" s="43">
        <v>4050</v>
      </c>
      <c r="I375" s="43">
        <v>22</v>
      </c>
      <c r="J375" s="43" t="s">
        <v>2</v>
      </c>
      <c r="K375" s="43"/>
      <c r="L375" s="43"/>
      <c r="M375" s="43"/>
      <c r="N375" s="43"/>
      <c r="O375" s="43"/>
      <c r="P375" s="43"/>
      <c r="Q375" s="43"/>
      <c r="R375" s="43"/>
      <c r="S375" s="43" t="s">
        <v>202</v>
      </c>
      <c r="T375" s="43" t="s">
        <v>202</v>
      </c>
      <c r="U375" s="39">
        <v>88</v>
      </c>
    </row>
    <row r="376" spans="1:21" ht="31.5" x14ac:dyDescent="0.25">
      <c r="A376" s="38" t="str">
        <f t="shared" si="26"/>
        <v>Км9.2.1</v>
      </c>
      <c r="B376" s="43">
        <v>240</v>
      </c>
      <c r="C376" s="43" t="s">
        <v>188</v>
      </c>
      <c r="D376" s="43" t="s">
        <v>194</v>
      </c>
      <c r="E376" s="43">
        <v>4</v>
      </c>
      <c r="F376" s="22">
        <v>3.8530000000000002</v>
      </c>
      <c r="G376" s="43"/>
      <c r="H376" s="43">
        <v>3820</v>
      </c>
      <c r="I376" s="43">
        <v>25</v>
      </c>
      <c r="J376" s="43" t="s">
        <v>2</v>
      </c>
      <c r="K376" s="43"/>
      <c r="L376" s="43"/>
      <c r="M376" s="43"/>
      <c r="N376" s="43"/>
      <c r="O376" s="43"/>
      <c r="P376" s="43"/>
      <c r="Q376" s="43"/>
      <c r="R376" s="43"/>
      <c r="S376" s="43" t="s">
        <v>202</v>
      </c>
      <c r="T376" s="43" t="s">
        <v>202</v>
      </c>
      <c r="U376" s="39">
        <v>100</v>
      </c>
    </row>
    <row r="377" spans="1:21" ht="31.5" x14ac:dyDescent="0.25">
      <c r="A377" s="38" t="str">
        <f t="shared" si="26"/>
        <v>Км9.2.1</v>
      </c>
      <c r="B377" s="43">
        <v>242</v>
      </c>
      <c r="C377" s="43" t="s">
        <v>188</v>
      </c>
      <c r="D377" s="43" t="s">
        <v>194</v>
      </c>
      <c r="E377" s="43">
        <v>4</v>
      </c>
      <c r="F377" s="22">
        <v>2.984</v>
      </c>
      <c r="G377" s="43"/>
      <c r="H377" s="43">
        <v>5020</v>
      </c>
      <c r="I377" s="43">
        <v>22</v>
      </c>
      <c r="J377" s="43" t="s">
        <v>2</v>
      </c>
      <c r="K377" s="43"/>
      <c r="L377" s="43"/>
      <c r="M377" s="43"/>
      <c r="N377" s="43"/>
      <c r="O377" s="43"/>
      <c r="P377" s="43"/>
      <c r="Q377" s="43"/>
      <c r="R377" s="43"/>
      <c r="S377" s="43" t="s">
        <v>202</v>
      </c>
      <c r="T377" s="43" t="s">
        <v>202</v>
      </c>
      <c r="U377" s="39">
        <v>88</v>
      </c>
    </row>
    <row r="378" spans="1:21" ht="31.5" x14ac:dyDescent="0.25">
      <c r="A378" s="38" t="str">
        <f t="shared" si="26"/>
        <v>Км9.2.1</v>
      </c>
      <c r="B378" s="43">
        <v>248</v>
      </c>
      <c r="C378" s="43" t="s">
        <v>190</v>
      </c>
      <c r="D378" s="43" t="s">
        <v>191</v>
      </c>
      <c r="E378" s="43">
        <f>20+29+29+29+29+27+13</f>
        <v>176</v>
      </c>
      <c r="F378" s="22">
        <v>0.39500000000000002</v>
      </c>
      <c r="G378" s="43" t="s">
        <v>0</v>
      </c>
      <c r="H378" s="43">
        <f>420*4+150</f>
        <v>1830</v>
      </c>
      <c r="I378" s="43">
        <v>8</v>
      </c>
      <c r="J378" s="43" t="s">
        <v>1</v>
      </c>
      <c r="K378" s="43"/>
      <c r="L378" s="43"/>
      <c r="M378" s="43"/>
      <c r="N378" s="43"/>
      <c r="O378" s="43"/>
      <c r="P378" s="43"/>
      <c r="Q378" s="43"/>
      <c r="R378" s="43"/>
      <c r="S378" s="43" t="s">
        <v>202</v>
      </c>
      <c r="T378" s="43" t="s">
        <v>202</v>
      </c>
      <c r="U378" s="39">
        <v>10</v>
      </c>
    </row>
    <row r="379" spans="1:21" ht="31.5" x14ac:dyDescent="0.25">
      <c r="A379" s="38" t="str">
        <f t="shared" si="26"/>
        <v>Км9.2.1</v>
      </c>
      <c r="B379" s="43">
        <v>241</v>
      </c>
      <c r="C379" s="43" t="s">
        <v>188</v>
      </c>
      <c r="D379" s="43" t="s">
        <v>270</v>
      </c>
      <c r="E379" s="43">
        <v>4</v>
      </c>
      <c r="F379" s="22">
        <v>3.8530000000000002</v>
      </c>
      <c r="G379" s="43"/>
      <c r="H379" s="43">
        <v>1430</v>
      </c>
      <c r="I379" s="43">
        <v>25</v>
      </c>
      <c r="J379" s="43" t="s">
        <v>2</v>
      </c>
      <c r="K379" s="43"/>
      <c r="L379" s="43"/>
      <c r="M379" s="43"/>
      <c r="N379" s="43"/>
      <c r="O379" s="43"/>
      <c r="P379" s="43"/>
      <c r="Q379" s="43"/>
      <c r="R379" s="43"/>
      <c r="S379" s="43" t="s">
        <v>202</v>
      </c>
      <c r="T379" s="43" t="s">
        <v>202</v>
      </c>
      <c r="U379" s="39">
        <v>100</v>
      </c>
    </row>
    <row r="380" spans="1:21" ht="31.5" x14ac:dyDescent="0.25">
      <c r="A380" s="38" t="str">
        <f t="shared" si="26"/>
        <v>Км9.2.1</v>
      </c>
      <c r="B380" s="43">
        <v>245</v>
      </c>
      <c r="C380" s="43" t="s">
        <v>291</v>
      </c>
      <c r="D380" s="43" t="s">
        <v>270</v>
      </c>
      <c r="E380" s="43">
        <v>4</v>
      </c>
      <c r="F380" s="22">
        <v>2.984</v>
      </c>
      <c r="G380" s="43"/>
      <c r="H380" s="43">
        <v>1430</v>
      </c>
      <c r="I380" s="43">
        <v>22</v>
      </c>
      <c r="J380" s="43" t="s">
        <v>2</v>
      </c>
      <c r="K380" s="43"/>
      <c r="L380" s="43"/>
      <c r="M380" s="43"/>
      <c r="N380" s="43"/>
      <c r="O380" s="43"/>
      <c r="P380" s="43"/>
      <c r="Q380" s="43"/>
      <c r="R380" s="43"/>
      <c r="S380" s="43" t="s">
        <v>202</v>
      </c>
      <c r="T380" s="43" t="s">
        <v>202</v>
      </c>
      <c r="U380" s="39">
        <v>88</v>
      </c>
    </row>
    <row r="381" spans="1:21" ht="15.75" x14ac:dyDescent="0.25">
      <c r="A381" s="38" t="str">
        <f t="shared" si="26"/>
        <v>Км9.2.1</v>
      </c>
      <c r="B381" s="43"/>
      <c r="C381" s="28" t="s">
        <v>195</v>
      </c>
      <c r="D381" s="28" t="s">
        <v>196</v>
      </c>
      <c r="E381" s="28">
        <f>(1.5*1.5*0.25)+(4.57*0.5*0.5)</f>
        <v>1.7050000000000001</v>
      </c>
      <c r="F381" s="22" t="s">
        <v>4</v>
      </c>
      <c r="G381" s="43" t="s">
        <v>3</v>
      </c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39"/>
    </row>
    <row r="382" spans="1:21" ht="15.75" x14ac:dyDescent="0.25">
      <c r="A382" s="38" t="str">
        <f t="shared" si="26"/>
        <v>Км9.2.1</v>
      </c>
      <c r="B382" s="43"/>
      <c r="C382" s="28" t="s">
        <v>195</v>
      </c>
      <c r="D382" s="28" t="s">
        <v>197</v>
      </c>
      <c r="E382" s="28">
        <f>29*0.5*0.5</f>
        <v>7.25</v>
      </c>
      <c r="F382" s="22" t="s">
        <v>4</v>
      </c>
      <c r="G382" s="43" t="s">
        <v>3</v>
      </c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39"/>
    </row>
    <row r="383" spans="1:21" ht="15.75" x14ac:dyDescent="0.25">
      <c r="A383" s="38" t="str">
        <f t="shared" si="26"/>
        <v>Км9.2.1</v>
      </c>
      <c r="B383" s="30"/>
      <c r="C383" s="30" t="s">
        <v>198</v>
      </c>
      <c r="D383" s="30" t="s">
        <v>199</v>
      </c>
      <c r="E383" s="30">
        <v>4</v>
      </c>
      <c r="F383" s="22">
        <v>94.2</v>
      </c>
      <c r="G383" s="43"/>
      <c r="H383" s="43"/>
      <c r="I383" s="43"/>
      <c r="J383" s="43"/>
      <c r="K383" s="22">
        <f>120*120</f>
        <v>14400</v>
      </c>
      <c r="L383" s="43" t="s">
        <v>23</v>
      </c>
      <c r="M383" s="43" t="s">
        <v>22</v>
      </c>
      <c r="N383" s="43"/>
      <c r="O383" s="43" t="s">
        <v>24</v>
      </c>
      <c r="P383" s="43"/>
      <c r="Q383" s="43"/>
      <c r="R383" s="43"/>
      <c r="S383" s="43"/>
      <c r="T383" s="43"/>
      <c r="U383" s="39"/>
    </row>
    <row r="384" spans="1:21" ht="15.75" x14ac:dyDescent="0.2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</row>
    <row r="385" spans="1:21" ht="15.75" x14ac:dyDescent="0.25">
      <c r="A385" s="25" t="str">
        <f>B385</f>
        <v>Км1.3</v>
      </c>
      <c r="B385" s="26" t="s">
        <v>186</v>
      </c>
      <c r="C385" s="26"/>
      <c r="D385" s="26" t="s">
        <v>187</v>
      </c>
      <c r="E385" s="26">
        <v>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7"/>
    </row>
    <row r="386" spans="1:21" ht="31.5" x14ac:dyDescent="0.25">
      <c r="A386" s="38" t="str">
        <f>A385</f>
        <v>Км1.3</v>
      </c>
      <c r="B386" s="43">
        <v>7</v>
      </c>
      <c r="C386" s="43" t="s">
        <v>188</v>
      </c>
      <c r="D386" s="43" t="s">
        <v>189</v>
      </c>
      <c r="E386" s="43">
        <v>4</v>
      </c>
      <c r="F386" s="22">
        <v>2.984</v>
      </c>
      <c r="G386" s="43"/>
      <c r="H386" s="43">
        <v>5070</v>
      </c>
      <c r="I386" s="43">
        <v>22</v>
      </c>
      <c r="J386" s="43" t="s">
        <v>2</v>
      </c>
      <c r="K386" s="43"/>
      <c r="L386" s="43"/>
      <c r="M386" s="43"/>
      <c r="N386" s="43"/>
      <c r="O386" s="43"/>
      <c r="P386" s="43"/>
      <c r="Q386" s="43"/>
      <c r="R386" s="43"/>
      <c r="S386" s="43" t="s">
        <v>202</v>
      </c>
      <c r="T386" s="43" t="s">
        <v>202</v>
      </c>
      <c r="U386" s="39">
        <v>88</v>
      </c>
    </row>
    <row r="387" spans="1:21" ht="31.5" x14ac:dyDescent="0.25">
      <c r="A387" s="38" t="str">
        <f t="shared" ref="A387:A393" si="27">A386</f>
        <v>Км1.3</v>
      </c>
      <c r="B387" s="43">
        <v>11</v>
      </c>
      <c r="C387" s="43" t="s">
        <v>190</v>
      </c>
      <c r="D387" s="43" t="s">
        <v>191</v>
      </c>
      <c r="E387" s="43">
        <f>38+34+(29*5)+30</f>
        <v>247</v>
      </c>
      <c r="F387" s="22">
        <v>0.39500000000000002</v>
      </c>
      <c r="G387" s="43" t="s">
        <v>0</v>
      </c>
      <c r="H387" s="43">
        <f>420*4+150</f>
        <v>1830</v>
      </c>
      <c r="I387" s="43">
        <v>8</v>
      </c>
      <c r="J387" s="43" t="s">
        <v>1</v>
      </c>
      <c r="K387" s="43"/>
      <c r="L387" s="43"/>
      <c r="M387" s="43"/>
      <c r="N387" s="43"/>
      <c r="O387" s="43"/>
      <c r="P387" s="43"/>
      <c r="Q387" s="43"/>
      <c r="R387" s="43"/>
      <c r="S387" s="43" t="s">
        <v>202</v>
      </c>
      <c r="T387" s="43" t="s">
        <v>202</v>
      </c>
      <c r="U387" s="39">
        <v>10</v>
      </c>
    </row>
    <row r="388" spans="1:21" ht="31.5" x14ac:dyDescent="0.25">
      <c r="A388" s="38" t="str">
        <f t="shared" si="27"/>
        <v>Км1.3</v>
      </c>
      <c r="B388" s="43">
        <v>8</v>
      </c>
      <c r="C388" s="43" t="s">
        <v>188</v>
      </c>
      <c r="D388" s="43" t="s">
        <v>192</v>
      </c>
      <c r="E388" s="43">
        <v>4</v>
      </c>
      <c r="F388" s="22">
        <v>2.4660000000000002</v>
      </c>
      <c r="G388" s="43"/>
      <c r="H388" s="43">
        <v>4500</v>
      </c>
      <c r="I388" s="43">
        <v>20</v>
      </c>
      <c r="J388" s="43" t="s">
        <v>2</v>
      </c>
      <c r="K388" s="43"/>
      <c r="L388" s="43"/>
      <c r="M388" s="43"/>
      <c r="N388" s="43"/>
      <c r="O388" s="43"/>
      <c r="P388" s="43"/>
      <c r="Q388" s="43"/>
      <c r="R388" s="43"/>
      <c r="S388" s="43" t="s">
        <v>202</v>
      </c>
      <c r="T388" s="43" t="s">
        <v>202</v>
      </c>
      <c r="U388" s="39">
        <v>80</v>
      </c>
    </row>
    <row r="389" spans="1:21" ht="31.5" x14ac:dyDescent="0.25">
      <c r="A389" s="38" t="str">
        <f t="shared" si="27"/>
        <v>Км1.3</v>
      </c>
      <c r="B389" s="43">
        <v>9</v>
      </c>
      <c r="C389" s="43" t="s">
        <v>188</v>
      </c>
      <c r="D389" s="43" t="s">
        <v>193</v>
      </c>
      <c r="E389" s="43">
        <f>4*5</f>
        <v>20</v>
      </c>
      <c r="F389" s="22">
        <v>2.4660000000000002</v>
      </c>
      <c r="G389" s="43"/>
      <c r="H389" s="43">
        <v>4050</v>
      </c>
      <c r="I389" s="43">
        <v>20</v>
      </c>
      <c r="J389" s="43" t="s">
        <v>2</v>
      </c>
      <c r="K389" s="43"/>
      <c r="L389" s="43"/>
      <c r="M389" s="43"/>
      <c r="N389" s="43"/>
      <c r="O389" s="43"/>
      <c r="P389" s="43"/>
      <c r="Q389" s="43"/>
      <c r="R389" s="43"/>
      <c r="S389" s="43" t="s">
        <v>202</v>
      </c>
      <c r="T389" s="43" t="s">
        <v>202</v>
      </c>
      <c r="U389" s="39">
        <v>80</v>
      </c>
    </row>
    <row r="390" spans="1:21" ht="31.5" x14ac:dyDescent="0.25">
      <c r="A390" s="38" t="str">
        <f t="shared" si="27"/>
        <v>Км1.3</v>
      </c>
      <c r="B390" s="43">
        <v>10</v>
      </c>
      <c r="C390" s="43" t="s">
        <v>188</v>
      </c>
      <c r="D390" s="43" t="s">
        <v>194</v>
      </c>
      <c r="E390" s="43">
        <v>4</v>
      </c>
      <c r="F390" s="22">
        <v>2.4660000000000002</v>
      </c>
      <c r="G390" s="43"/>
      <c r="H390" s="43">
        <v>2720</v>
      </c>
      <c r="I390" s="43">
        <v>20</v>
      </c>
      <c r="J390" s="43" t="s">
        <v>2</v>
      </c>
      <c r="K390" s="43"/>
      <c r="L390" s="43"/>
      <c r="M390" s="43"/>
      <c r="N390" s="43"/>
      <c r="O390" s="43"/>
      <c r="P390" s="43"/>
      <c r="Q390" s="43"/>
      <c r="R390" s="43"/>
      <c r="S390" s="43" t="s">
        <v>202</v>
      </c>
      <c r="T390" s="43" t="s">
        <v>202</v>
      </c>
      <c r="U390" s="39">
        <v>80</v>
      </c>
    </row>
    <row r="391" spans="1:21" ht="15.75" x14ac:dyDescent="0.25">
      <c r="A391" s="38" t="str">
        <f t="shared" si="27"/>
        <v>Км1.3</v>
      </c>
      <c r="B391" s="43"/>
      <c r="C391" s="28" t="s">
        <v>195</v>
      </c>
      <c r="D391" s="28" t="s">
        <v>196</v>
      </c>
      <c r="E391" s="28">
        <f>4.82*0.5*0.5</f>
        <v>1.2050000000000001</v>
      </c>
      <c r="F391" s="22" t="s">
        <v>4</v>
      </c>
      <c r="G391" s="43" t="s">
        <v>3</v>
      </c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39"/>
    </row>
    <row r="392" spans="1:21" ht="15.75" x14ac:dyDescent="0.25">
      <c r="A392" s="38" t="str">
        <f t="shared" si="27"/>
        <v>Км1.3</v>
      </c>
      <c r="B392" s="43"/>
      <c r="C392" s="28" t="s">
        <v>195</v>
      </c>
      <c r="D392" s="28" t="s">
        <v>197</v>
      </c>
      <c r="E392" s="28">
        <f>26.72*0.5*0.5</f>
        <v>6.68</v>
      </c>
      <c r="F392" s="22" t="s">
        <v>4</v>
      </c>
      <c r="G392" s="43" t="s">
        <v>3</v>
      </c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39"/>
    </row>
    <row r="393" spans="1:21" ht="15.75" x14ac:dyDescent="0.25">
      <c r="A393" s="38" t="str">
        <f t="shared" si="27"/>
        <v>Км1.3</v>
      </c>
      <c r="B393" s="30"/>
      <c r="C393" s="30" t="s">
        <v>198</v>
      </c>
      <c r="D393" s="30" t="s">
        <v>199</v>
      </c>
      <c r="E393" s="30">
        <v>4</v>
      </c>
      <c r="F393" s="22">
        <v>94.2</v>
      </c>
      <c r="G393" s="43"/>
      <c r="H393" s="43"/>
      <c r="I393" s="43"/>
      <c r="J393" s="43"/>
      <c r="K393" s="22">
        <f>120*120</f>
        <v>14400</v>
      </c>
      <c r="L393" s="43" t="s">
        <v>23</v>
      </c>
      <c r="M393" s="43" t="s">
        <v>22</v>
      </c>
      <c r="N393" s="43"/>
      <c r="O393" s="43" t="s">
        <v>24</v>
      </c>
      <c r="P393" s="43"/>
      <c r="Q393" s="43"/>
      <c r="R393" s="43"/>
      <c r="S393" s="43"/>
      <c r="T393" s="43"/>
      <c r="U393" s="39"/>
    </row>
    <row r="394" spans="1:21" ht="15.75" x14ac:dyDescent="0.2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</row>
    <row r="395" spans="1:21" ht="15.75" x14ac:dyDescent="0.25">
      <c r="A395" s="21" t="s">
        <v>183</v>
      </c>
      <c r="B395" s="22" t="s">
        <v>183</v>
      </c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3"/>
    </row>
    <row r="396" spans="1:21" ht="31.5" x14ac:dyDescent="0.25">
      <c r="A396" s="25" t="str">
        <f>B396</f>
        <v>Км12.2</v>
      </c>
      <c r="B396" s="26" t="s">
        <v>200</v>
      </c>
      <c r="C396" s="26"/>
      <c r="D396" s="26" t="s">
        <v>201</v>
      </c>
      <c r="E396" s="26">
        <v>1</v>
      </c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7"/>
    </row>
    <row r="397" spans="1:21" ht="31.5" x14ac:dyDescent="0.25">
      <c r="A397" s="38" t="str">
        <f>A396</f>
        <v>Км12.2</v>
      </c>
      <c r="B397" s="43">
        <v>86</v>
      </c>
      <c r="C397" s="43" t="s">
        <v>188</v>
      </c>
      <c r="D397" s="43" t="s">
        <v>189</v>
      </c>
      <c r="E397" s="43">
        <v>4</v>
      </c>
      <c r="F397" s="22">
        <v>2.4660000000000002</v>
      </c>
      <c r="G397" s="43"/>
      <c r="H397" s="43">
        <v>5070</v>
      </c>
      <c r="I397" s="43">
        <v>20</v>
      </c>
      <c r="J397" s="43" t="s">
        <v>2</v>
      </c>
      <c r="K397" s="43"/>
      <c r="L397" s="43"/>
      <c r="M397" s="43"/>
      <c r="N397" s="43"/>
      <c r="O397" s="43"/>
      <c r="P397" s="43"/>
      <c r="Q397" s="43"/>
      <c r="R397" s="43"/>
      <c r="S397" s="43" t="s">
        <v>202</v>
      </c>
      <c r="T397" s="43" t="s">
        <v>202</v>
      </c>
      <c r="U397" s="39">
        <v>80</v>
      </c>
    </row>
    <row r="398" spans="1:21" ht="31.5" x14ac:dyDescent="0.25">
      <c r="A398" s="38" t="str">
        <f t="shared" ref="A398:A407" si="28">A397</f>
        <v>Км12.2</v>
      </c>
      <c r="B398" s="43">
        <v>90</v>
      </c>
      <c r="C398" s="43" t="s">
        <v>188</v>
      </c>
      <c r="D398" s="43" t="s">
        <v>189</v>
      </c>
      <c r="E398" s="43">
        <v>4</v>
      </c>
      <c r="F398" s="22">
        <v>1.5780000000000001</v>
      </c>
      <c r="G398" s="43" t="s">
        <v>0</v>
      </c>
      <c r="H398" s="43">
        <v>5870</v>
      </c>
      <c r="I398" s="43">
        <v>16</v>
      </c>
      <c r="J398" s="43" t="s">
        <v>2</v>
      </c>
      <c r="K398" s="43"/>
      <c r="L398" s="43"/>
      <c r="M398" s="43"/>
      <c r="N398" s="43"/>
      <c r="O398" s="43"/>
      <c r="P398" s="43"/>
      <c r="Q398" s="43"/>
      <c r="R398" s="43"/>
      <c r="S398" s="43" t="s">
        <v>202</v>
      </c>
      <c r="T398" s="43" t="s">
        <v>202</v>
      </c>
      <c r="U398" s="39">
        <v>40</v>
      </c>
    </row>
    <row r="399" spans="1:21" ht="31.5" x14ac:dyDescent="0.25">
      <c r="A399" s="38" t="str">
        <f t="shared" si="28"/>
        <v>Км12.2</v>
      </c>
      <c r="B399" s="43">
        <v>91</v>
      </c>
      <c r="C399" s="43" t="s">
        <v>190</v>
      </c>
      <c r="D399" s="43" t="s">
        <v>203</v>
      </c>
      <c r="E399" s="43">
        <f>38+33+29+29</f>
        <v>129</v>
      </c>
      <c r="F399" s="22">
        <v>0.39500000000000002</v>
      </c>
      <c r="G399" s="43" t="s">
        <v>0</v>
      </c>
      <c r="H399" s="43">
        <f>520*4+150</f>
        <v>2230</v>
      </c>
      <c r="I399" s="43">
        <v>8</v>
      </c>
      <c r="J399" s="43" t="s">
        <v>1</v>
      </c>
      <c r="K399" s="43"/>
      <c r="L399" s="43"/>
      <c r="M399" s="43"/>
      <c r="N399" s="43"/>
      <c r="O399" s="43"/>
      <c r="P399" s="43"/>
      <c r="Q399" s="43"/>
      <c r="R399" s="43"/>
      <c r="S399" s="43" t="s">
        <v>202</v>
      </c>
      <c r="T399" s="43" t="s">
        <v>202</v>
      </c>
      <c r="U399" s="39">
        <v>10</v>
      </c>
    </row>
    <row r="400" spans="1:21" ht="31.5" x14ac:dyDescent="0.25">
      <c r="A400" s="38" t="str">
        <f t="shared" si="28"/>
        <v>Км12.2</v>
      </c>
      <c r="B400" s="43">
        <v>93</v>
      </c>
      <c r="C400" s="43" t="s">
        <v>190</v>
      </c>
      <c r="D400" s="43" t="s">
        <v>203</v>
      </c>
      <c r="E400" s="43">
        <f>38+33+29+29</f>
        <v>129</v>
      </c>
      <c r="F400" s="22">
        <v>0.39500000000000002</v>
      </c>
      <c r="G400" s="43" t="s">
        <v>0</v>
      </c>
      <c r="H400" s="43">
        <f>370*4+150</f>
        <v>1630</v>
      </c>
      <c r="I400" s="43">
        <v>8</v>
      </c>
      <c r="J400" s="43" t="s">
        <v>1</v>
      </c>
      <c r="K400" s="43"/>
      <c r="L400" s="43"/>
      <c r="M400" s="43"/>
      <c r="N400" s="43"/>
      <c r="O400" s="43"/>
      <c r="P400" s="43"/>
      <c r="Q400" s="43"/>
      <c r="R400" s="43"/>
      <c r="S400" s="43" t="s">
        <v>202</v>
      </c>
      <c r="T400" s="43" t="s">
        <v>202</v>
      </c>
      <c r="U400" s="39">
        <v>10</v>
      </c>
    </row>
    <row r="401" spans="1:21" ht="31.5" x14ac:dyDescent="0.25">
      <c r="A401" s="38" t="str">
        <f t="shared" si="28"/>
        <v>Км12.2</v>
      </c>
      <c r="B401" s="43">
        <v>87</v>
      </c>
      <c r="C401" s="43" t="s">
        <v>188</v>
      </c>
      <c r="D401" s="43" t="s">
        <v>192</v>
      </c>
      <c r="E401" s="43">
        <v>4</v>
      </c>
      <c r="F401" s="22">
        <v>2.4660000000000002</v>
      </c>
      <c r="G401" s="43"/>
      <c r="H401" s="43">
        <v>4500</v>
      </c>
      <c r="I401" s="43">
        <v>20</v>
      </c>
      <c r="J401" s="43" t="s">
        <v>2</v>
      </c>
      <c r="K401" s="43"/>
      <c r="L401" s="43"/>
      <c r="M401" s="43"/>
      <c r="N401" s="43"/>
      <c r="O401" s="43"/>
      <c r="P401" s="43"/>
      <c r="Q401" s="43"/>
      <c r="R401" s="43"/>
      <c r="S401" s="43" t="s">
        <v>202</v>
      </c>
      <c r="T401" s="43" t="s">
        <v>202</v>
      </c>
      <c r="U401" s="39">
        <v>80</v>
      </c>
    </row>
    <row r="402" spans="1:21" ht="31.5" x14ac:dyDescent="0.25">
      <c r="A402" s="38" t="str">
        <f t="shared" si="28"/>
        <v>Км12.2</v>
      </c>
      <c r="B402" s="43">
        <v>88</v>
      </c>
      <c r="C402" s="43" t="s">
        <v>188</v>
      </c>
      <c r="D402" s="43" t="s">
        <v>303</v>
      </c>
      <c r="E402" s="43">
        <f>4*5</f>
        <v>20</v>
      </c>
      <c r="F402" s="22">
        <v>2.4660000000000002</v>
      </c>
      <c r="G402" s="43"/>
      <c r="H402" s="43">
        <v>4050</v>
      </c>
      <c r="I402" s="43">
        <v>20</v>
      </c>
      <c r="J402" s="43" t="s">
        <v>2</v>
      </c>
      <c r="K402" s="43"/>
      <c r="L402" s="43"/>
      <c r="M402" s="43"/>
      <c r="N402" s="43"/>
      <c r="O402" s="43"/>
      <c r="P402" s="43"/>
      <c r="Q402" s="43"/>
      <c r="R402" s="43"/>
      <c r="S402" s="43" t="s">
        <v>202</v>
      </c>
      <c r="T402" s="43" t="s">
        <v>202</v>
      </c>
      <c r="U402" s="39">
        <v>80</v>
      </c>
    </row>
    <row r="403" spans="1:21" ht="31.5" x14ac:dyDescent="0.25">
      <c r="A403" s="38" t="str">
        <f t="shared" si="28"/>
        <v>Км12.2</v>
      </c>
      <c r="B403" s="43">
        <v>89</v>
      </c>
      <c r="C403" s="43" t="s">
        <v>188</v>
      </c>
      <c r="D403" s="43" t="s">
        <v>194</v>
      </c>
      <c r="E403" s="43">
        <v>4</v>
      </c>
      <c r="F403" s="22">
        <v>2.4660000000000002</v>
      </c>
      <c r="G403" s="43"/>
      <c r="H403" s="43">
        <v>3820</v>
      </c>
      <c r="I403" s="43">
        <v>20</v>
      </c>
      <c r="J403" s="43" t="s">
        <v>2</v>
      </c>
      <c r="K403" s="43"/>
      <c r="L403" s="43"/>
      <c r="M403" s="43"/>
      <c r="N403" s="43"/>
      <c r="O403" s="43"/>
      <c r="P403" s="43"/>
      <c r="Q403" s="43"/>
      <c r="R403" s="43"/>
      <c r="S403" s="43" t="s">
        <v>202</v>
      </c>
      <c r="T403" s="43" t="s">
        <v>202</v>
      </c>
      <c r="U403" s="39">
        <v>80</v>
      </c>
    </row>
    <row r="404" spans="1:21" ht="31.5" x14ac:dyDescent="0.25">
      <c r="A404" s="38" t="str">
        <f t="shared" si="28"/>
        <v>Км12.2</v>
      </c>
      <c r="B404" s="43">
        <v>92</v>
      </c>
      <c r="C404" s="43" t="s">
        <v>190</v>
      </c>
      <c r="D404" s="43" t="s">
        <v>191</v>
      </c>
      <c r="E404" s="43">
        <f>29+29+29+40</f>
        <v>127</v>
      </c>
      <c r="F404" s="22">
        <v>0.39500000000000002</v>
      </c>
      <c r="G404" s="43" t="s">
        <v>0</v>
      </c>
      <c r="H404" s="43">
        <f>420*4+150</f>
        <v>1830</v>
      </c>
      <c r="I404" s="43">
        <v>8</v>
      </c>
      <c r="J404" s="43" t="s">
        <v>1</v>
      </c>
      <c r="K404" s="43"/>
      <c r="L404" s="43"/>
      <c r="M404" s="43"/>
      <c r="N404" s="43"/>
      <c r="O404" s="43"/>
      <c r="P404" s="43"/>
      <c r="Q404" s="43"/>
      <c r="R404" s="43"/>
      <c r="S404" s="43" t="s">
        <v>202</v>
      </c>
      <c r="T404" s="43" t="s">
        <v>202</v>
      </c>
      <c r="U404" s="39">
        <v>10</v>
      </c>
    </row>
    <row r="405" spans="1:21" ht="15.75" x14ac:dyDescent="0.25">
      <c r="A405" s="38" t="str">
        <f t="shared" si="28"/>
        <v>Км12.2</v>
      </c>
      <c r="B405" s="43"/>
      <c r="C405" s="28" t="s">
        <v>195</v>
      </c>
      <c r="D405" s="28" t="s">
        <v>196</v>
      </c>
      <c r="E405" s="28">
        <f>(1.5*1.5*0.25)+(4.57*0.5*0.5)</f>
        <v>1.7050000000000001</v>
      </c>
      <c r="F405" s="22" t="s">
        <v>4</v>
      </c>
      <c r="G405" s="43" t="s">
        <v>3</v>
      </c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39"/>
    </row>
    <row r="406" spans="1:21" ht="15.75" x14ac:dyDescent="0.25">
      <c r="A406" s="38" t="str">
        <f t="shared" si="28"/>
        <v>Км12.2</v>
      </c>
      <c r="B406" s="43"/>
      <c r="C406" s="28" t="s">
        <v>195</v>
      </c>
      <c r="D406" s="28" t="s">
        <v>197</v>
      </c>
      <c r="E406" s="28">
        <f>29*0.5*0.5</f>
        <v>7.25</v>
      </c>
      <c r="F406" s="22" t="s">
        <v>4</v>
      </c>
      <c r="G406" s="43" t="s">
        <v>3</v>
      </c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39"/>
    </row>
    <row r="407" spans="1:21" ht="15.75" x14ac:dyDescent="0.25">
      <c r="A407" s="38" t="str">
        <f t="shared" si="28"/>
        <v>Км12.2</v>
      </c>
      <c r="B407" s="30"/>
      <c r="C407" s="30" t="s">
        <v>198</v>
      </c>
      <c r="D407" s="30" t="s">
        <v>199</v>
      </c>
      <c r="E407" s="30">
        <v>4</v>
      </c>
      <c r="F407" s="22">
        <v>94.2</v>
      </c>
      <c r="G407" s="43"/>
      <c r="H407" s="43"/>
      <c r="I407" s="43"/>
      <c r="J407" s="43"/>
      <c r="K407" s="22">
        <f>120*120</f>
        <v>14400</v>
      </c>
      <c r="L407" s="43" t="s">
        <v>23</v>
      </c>
      <c r="M407" s="43" t="s">
        <v>22</v>
      </c>
      <c r="N407" s="43"/>
      <c r="O407" s="43" t="s">
        <v>24</v>
      </c>
      <c r="P407" s="43"/>
      <c r="Q407" s="43"/>
      <c r="R407" s="43"/>
      <c r="S407" s="43"/>
      <c r="T407" s="43"/>
      <c r="U407" s="39"/>
    </row>
    <row r="408" spans="1:21" ht="15.75" x14ac:dyDescent="0.2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</row>
    <row r="409" spans="1:21" ht="15.75" x14ac:dyDescent="0.25">
      <c r="A409" s="21" t="s">
        <v>183</v>
      </c>
      <c r="B409" s="22" t="s">
        <v>183</v>
      </c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3"/>
    </row>
    <row r="410" spans="1:21" ht="15.75" x14ac:dyDescent="0.25">
      <c r="A410" s="25" t="str">
        <f>B410</f>
        <v>Км5.1</v>
      </c>
      <c r="B410" s="26" t="s">
        <v>263</v>
      </c>
      <c r="C410" s="26"/>
      <c r="D410" s="26" t="s">
        <v>264</v>
      </c>
      <c r="E410" s="26">
        <f>1+1</f>
        <v>2</v>
      </c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7"/>
    </row>
    <row r="411" spans="1:21" ht="31.5" x14ac:dyDescent="0.25">
      <c r="A411" s="38" t="str">
        <f>A410</f>
        <v>Км5.1</v>
      </c>
      <c r="B411" s="43">
        <v>180</v>
      </c>
      <c r="C411" s="43" t="s">
        <v>188</v>
      </c>
      <c r="D411" s="43" t="s">
        <v>189</v>
      </c>
      <c r="E411" s="43">
        <v>4</v>
      </c>
      <c r="F411" s="22">
        <v>2.984</v>
      </c>
      <c r="G411" s="43"/>
      <c r="H411" s="43">
        <v>5070</v>
      </c>
      <c r="I411" s="43">
        <v>22</v>
      </c>
      <c r="J411" s="43" t="s">
        <v>2</v>
      </c>
      <c r="K411" s="43"/>
      <c r="L411" s="43"/>
      <c r="M411" s="43"/>
      <c r="N411" s="43"/>
      <c r="O411" s="43"/>
      <c r="P411" s="43"/>
      <c r="Q411" s="43"/>
      <c r="R411" s="43"/>
      <c r="S411" s="43" t="s">
        <v>202</v>
      </c>
      <c r="T411" s="43" t="s">
        <v>202</v>
      </c>
      <c r="U411" s="39">
        <v>88</v>
      </c>
    </row>
    <row r="412" spans="1:21" ht="31.5" x14ac:dyDescent="0.25">
      <c r="A412" s="38" t="str">
        <f t="shared" ref="A412:A416" si="29">A411</f>
        <v>Км5.1</v>
      </c>
      <c r="B412" s="43">
        <v>182</v>
      </c>
      <c r="C412" s="43" t="s">
        <v>190</v>
      </c>
      <c r="D412" s="43" t="s">
        <v>282</v>
      </c>
      <c r="E412" s="43">
        <f>35+30</f>
        <v>65</v>
      </c>
      <c r="F412" s="22">
        <v>0.39500000000000002</v>
      </c>
      <c r="G412" s="43" t="s">
        <v>0</v>
      </c>
      <c r="H412" s="43">
        <f>420*4+150</f>
        <v>1830</v>
      </c>
      <c r="I412" s="43">
        <v>8</v>
      </c>
      <c r="J412" s="43" t="s">
        <v>1</v>
      </c>
      <c r="K412" s="43"/>
      <c r="L412" s="43"/>
      <c r="M412" s="43"/>
      <c r="N412" s="43"/>
      <c r="O412" s="43"/>
      <c r="P412" s="43"/>
      <c r="Q412" s="43"/>
      <c r="R412" s="43"/>
      <c r="S412" s="43" t="s">
        <v>202</v>
      </c>
      <c r="T412" s="43" t="s">
        <v>202</v>
      </c>
      <c r="U412" s="39">
        <v>10</v>
      </c>
    </row>
    <row r="413" spans="1:21" ht="31.5" x14ac:dyDescent="0.25">
      <c r="A413" s="38" t="str">
        <f t="shared" si="29"/>
        <v>Км5.1</v>
      </c>
      <c r="B413" s="43">
        <v>181</v>
      </c>
      <c r="C413" s="43" t="s">
        <v>188</v>
      </c>
      <c r="D413" s="43" t="s">
        <v>285</v>
      </c>
      <c r="E413" s="43">
        <v>4</v>
      </c>
      <c r="F413" s="22">
        <v>2.984</v>
      </c>
      <c r="G413" s="43"/>
      <c r="H413" s="43">
        <v>2770</v>
      </c>
      <c r="I413" s="43">
        <v>22</v>
      </c>
      <c r="J413" s="43" t="s">
        <v>2</v>
      </c>
      <c r="K413" s="43"/>
      <c r="L413" s="43"/>
      <c r="M413" s="43"/>
      <c r="N413" s="43"/>
      <c r="O413" s="43"/>
      <c r="P413" s="43"/>
      <c r="Q413" s="43"/>
      <c r="R413" s="43"/>
      <c r="S413" s="43" t="s">
        <v>202</v>
      </c>
      <c r="T413" s="43" t="s">
        <v>202</v>
      </c>
      <c r="U413" s="39">
        <v>88</v>
      </c>
    </row>
    <row r="414" spans="1:21" ht="15.75" x14ac:dyDescent="0.25">
      <c r="A414" s="38" t="str">
        <f t="shared" si="29"/>
        <v>Км5.1</v>
      </c>
      <c r="B414" s="43"/>
      <c r="C414" s="28" t="s">
        <v>195</v>
      </c>
      <c r="D414" s="28" t="s">
        <v>196</v>
      </c>
      <c r="E414" s="28">
        <f>(1.5*1.5*0.25)+(0.5*0.5*4.32)</f>
        <v>1.6425000000000001</v>
      </c>
      <c r="F414" s="22" t="s">
        <v>4</v>
      </c>
      <c r="G414" s="43" t="s">
        <v>3</v>
      </c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39"/>
    </row>
    <row r="415" spans="1:21" ht="15.75" x14ac:dyDescent="0.25">
      <c r="A415" s="38" t="str">
        <f t="shared" si="29"/>
        <v>Км5.1</v>
      </c>
      <c r="B415" s="43"/>
      <c r="C415" s="28" t="s">
        <v>195</v>
      </c>
      <c r="D415" s="28" t="s">
        <v>197</v>
      </c>
      <c r="E415" s="28">
        <f>3.77*0.5*0.5</f>
        <v>0.9425</v>
      </c>
      <c r="F415" s="22" t="s">
        <v>4</v>
      </c>
      <c r="G415" s="43" t="s">
        <v>3</v>
      </c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39"/>
    </row>
    <row r="416" spans="1:21" ht="15.75" x14ac:dyDescent="0.25">
      <c r="A416" s="38" t="str">
        <f t="shared" si="29"/>
        <v>Км5.1</v>
      </c>
      <c r="B416" s="30"/>
      <c r="C416" s="30" t="s">
        <v>198</v>
      </c>
      <c r="D416" s="30" t="s">
        <v>199</v>
      </c>
      <c r="E416" s="30">
        <v>4</v>
      </c>
      <c r="F416" s="22">
        <v>94.2</v>
      </c>
      <c r="G416" s="43"/>
      <c r="H416" s="43"/>
      <c r="I416" s="43"/>
      <c r="J416" s="43"/>
      <c r="K416" s="22">
        <v>14400</v>
      </c>
      <c r="L416" s="43" t="s">
        <v>23</v>
      </c>
      <c r="M416" s="43" t="s">
        <v>22</v>
      </c>
      <c r="N416" s="43"/>
      <c r="O416" s="43" t="s">
        <v>24</v>
      </c>
      <c r="P416" s="43"/>
      <c r="Q416" s="43"/>
      <c r="R416" s="43"/>
      <c r="S416" s="43"/>
      <c r="T416" s="43"/>
      <c r="U416" s="39"/>
    </row>
    <row r="417" spans="1:21" ht="15.75" x14ac:dyDescent="0.2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</row>
    <row r="418" spans="1:21" ht="31.5" x14ac:dyDescent="0.25">
      <c r="A418" s="25" t="str">
        <f>B418</f>
        <v>Км3.1.1</v>
      </c>
      <c r="B418" s="26" t="s">
        <v>265</v>
      </c>
      <c r="C418" s="26"/>
      <c r="D418" s="26" t="s">
        <v>266</v>
      </c>
      <c r="E418" s="26">
        <f>1</f>
        <v>1</v>
      </c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7"/>
    </row>
    <row r="419" spans="1:21" ht="31.5" x14ac:dyDescent="0.25">
      <c r="A419" s="38" t="str">
        <f>A418</f>
        <v>Км3.1.1</v>
      </c>
      <c r="B419" s="43">
        <v>149</v>
      </c>
      <c r="C419" s="43" t="s">
        <v>188</v>
      </c>
      <c r="D419" s="43" t="s">
        <v>189</v>
      </c>
      <c r="E419" s="43">
        <v>4</v>
      </c>
      <c r="F419" s="22">
        <v>2.4660000000000002</v>
      </c>
      <c r="G419" s="43" t="s">
        <v>0</v>
      </c>
      <c r="H419" s="43">
        <v>5080</v>
      </c>
      <c r="I419" s="43">
        <v>20</v>
      </c>
      <c r="J419" s="43" t="s">
        <v>2</v>
      </c>
      <c r="K419" s="43"/>
      <c r="L419" s="43"/>
      <c r="M419" s="43"/>
      <c r="N419" s="43"/>
      <c r="O419" s="43"/>
      <c r="P419" s="43"/>
      <c r="Q419" s="43"/>
      <c r="R419" s="43"/>
      <c r="S419" s="43" t="s">
        <v>202</v>
      </c>
      <c r="T419" s="43" t="s">
        <v>202</v>
      </c>
      <c r="U419" s="39">
        <v>80</v>
      </c>
    </row>
    <row r="420" spans="1:21" ht="31.5" x14ac:dyDescent="0.25">
      <c r="A420" s="38" t="str">
        <f t="shared" ref="A420:A429" si="30">A419</f>
        <v>Км3.1.1</v>
      </c>
      <c r="B420" s="43">
        <v>150</v>
      </c>
      <c r="C420" s="43" t="s">
        <v>188</v>
      </c>
      <c r="D420" s="43" t="s">
        <v>189</v>
      </c>
      <c r="E420" s="43">
        <v>4</v>
      </c>
      <c r="F420" s="22">
        <v>1.5780000000000001</v>
      </c>
      <c r="G420" s="43" t="s">
        <v>0</v>
      </c>
      <c r="H420" s="43">
        <v>5870</v>
      </c>
      <c r="I420" s="43">
        <v>16</v>
      </c>
      <c r="J420" s="43" t="s">
        <v>2</v>
      </c>
      <c r="K420" s="43"/>
      <c r="L420" s="43"/>
      <c r="M420" s="43"/>
      <c r="N420" s="43"/>
      <c r="O420" s="43"/>
      <c r="P420" s="43"/>
      <c r="Q420" s="43"/>
      <c r="R420" s="43"/>
      <c r="S420" s="43" t="s">
        <v>202</v>
      </c>
      <c r="T420" s="43" t="s">
        <v>202</v>
      </c>
      <c r="U420" s="39">
        <v>40</v>
      </c>
    </row>
    <row r="421" spans="1:21" ht="31.5" x14ac:dyDescent="0.25">
      <c r="A421" s="38" t="str">
        <f t="shared" si="30"/>
        <v>Км3.1.1</v>
      </c>
      <c r="B421" s="43">
        <v>145</v>
      </c>
      <c r="C421" s="43" t="s">
        <v>188</v>
      </c>
      <c r="D421" s="43" t="s">
        <v>283</v>
      </c>
      <c r="E421" s="43">
        <f>4+4</f>
        <v>8</v>
      </c>
      <c r="F421" s="22">
        <v>2.4660000000000002</v>
      </c>
      <c r="G421" s="43"/>
      <c r="H421" s="43">
        <v>4270</v>
      </c>
      <c r="I421" s="43">
        <v>20</v>
      </c>
      <c r="J421" s="43" t="s">
        <v>2</v>
      </c>
      <c r="K421" s="43"/>
      <c r="L421" s="43"/>
      <c r="M421" s="43"/>
      <c r="N421" s="43"/>
      <c r="O421" s="43"/>
      <c r="P421" s="43"/>
      <c r="Q421" s="43"/>
      <c r="R421" s="43"/>
      <c r="S421" s="43" t="s">
        <v>202</v>
      </c>
      <c r="T421" s="43" t="s">
        <v>202</v>
      </c>
      <c r="U421" s="39">
        <v>80</v>
      </c>
    </row>
    <row r="422" spans="1:21" ht="31.5" x14ac:dyDescent="0.25">
      <c r="A422" s="38" t="str">
        <f t="shared" si="30"/>
        <v>Км3.1.1</v>
      </c>
      <c r="B422" s="43">
        <v>151</v>
      </c>
      <c r="C422" s="43" t="s">
        <v>190</v>
      </c>
      <c r="D422" s="43" t="s">
        <v>277</v>
      </c>
      <c r="E422" s="43">
        <f>35</f>
        <v>35</v>
      </c>
      <c r="F422" s="22">
        <v>0.39500000000000002</v>
      </c>
      <c r="G422" s="43" t="s">
        <v>0</v>
      </c>
      <c r="H422" s="43">
        <f>520*4+150</f>
        <v>2230</v>
      </c>
      <c r="I422" s="43">
        <v>8</v>
      </c>
      <c r="J422" s="43" t="s">
        <v>1</v>
      </c>
      <c r="K422" s="43"/>
      <c r="L422" s="43"/>
      <c r="M422" s="43"/>
      <c r="N422" s="43"/>
      <c r="O422" s="43"/>
      <c r="P422" s="43"/>
      <c r="Q422" s="43"/>
      <c r="R422" s="43"/>
      <c r="S422" s="43" t="s">
        <v>202</v>
      </c>
      <c r="T422" s="43" t="s">
        <v>202</v>
      </c>
      <c r="U422" s="39">
        <v>10</v>
      </c>
    </row>
    <row r="423" spans="1:21" ht="31.5" x14ac:dyDescent="0.25">
      <c r="A423" s="38" t="str">
        <f t="shared" si="30"/>
        <v>Км3.1.1</v>
      </c>
      <c r="B423" s="43">
        <v>153</v>
      </c>
      <c r="C423" s="43" t="s">
        <v>190</v>
      </c>
      <c r="D423" s="43" t="s">
        <v>278</v>
      </c>
      <c r="E423" s="43">
        <f>35</f>
        <v>35</v>
      </c>
      <c r="F423" s="22">
        <v>0.39500000000000002</v>
      </c>
      <c r="G423" s="43" t="s">
        <v>0</v>
      </c>
      <c r="H423" s="43">
        <f>370*4+150</f>
        <v>1630</v>
      </c>
      <c r="I423" s="43">
        <v>8</v>
      </c>
      <c r="J423" s="43" t="s">
        <v>1</v>
      </c>
      <c r="K423" s="43"/>
      <c r="L423" s="43"/>
      <c r="M423" s="43"/>
      <c r="N423" s="43"/>
      <c r="O423" s="43"/>
      <c r="P423" s="43"/>
      <c r="Q423" s="43"/>
      <c r="R423" s="43"/>
      <c r="S423" s="43" t="s">
        <v>202</v>
      </c>
      <c r="T423" s="43" t="s">
        <v>202</v>
      </c>
      <c r="U423" s="39">
        <v>10</v>
      </c>
    </row>
    <row r="424" spans="1:21" ht="31.5" x14ac:dyDescent="0.25">
      <c r="A424" s="38" t="str">
        <f t="shared" si="30"/>
        <v>Км3.1.1</v>
      </c>
      <c r="B424" s="43">
        <v>146</v>
      </c>
      <c r="C424" s="43" t="s">
        <v>188</v>
      </c>
      <c r="D424" s="43" t="s">
        <v>284</v>
      </c>
      <c r="E424" s="43">
        <f>4*4</f>
        <v>16</v>
      </c>
      <c r="F424" s="22">
        <v>2.4660000000000002</v>
      </c>
      <c r="G424" s="43"/>
      <c r="H424" s="43">
        <v>4050</v>
      </c>
      <c r="I424" s="43">
        <v>20</v>
      </c>
      <c r="J424" s="43" t="s">
        <v>2</v>
      </c>
      <c r="K424" s="43"/>
      <c r="L424" s="43"/>
      <c r="M424" s="43"/>
      <c r="N424" s="43"/>
      <c r="O424" s="43"/>
      <c r="P424" s="43"/>
      <c r="Q424" s="43"/>
      <c r="R424" s="43"/>
      <c r="S424" s="43" t="s">
        <v>202</v>
      </c>
      <c r="T424" s="43" t="s">
        <v>202</v>
      </c>
      <c r="U424" s="39">
        <v>80</v>
      </c>
    </row>
    <row r="425" spans="1:21" ht="31.5" x14ac:dyDescent="0.25">
      <c r="A425" s="38" t="str">
        <f t="shared" si="30"/>
        <v>Км3.1.1</v>
      </c>
      <c r="B425" s="43">
        <v>147</v>
      </c>
      <c r="C425" s="43" t="s">
        <v>188</v>
      </c>
      <c r="D425" s="43" t="s">
        <v>194</v>
      </c>
      <c r="E425" s="43">
        <v>4</v>
      </c>
      <c r="F425" s="22">
        <v>2.4660000000000002</v>
      </c>
      <c r="G425" s="43"/>
      <c r="H425" s="43">
        <v>3820</v>
      </c>
      <c r="I425" s="43">
        <v>20</v>
      </c>
      <c r="J425" s="43" t="s">
        <v>2</v>
      </c>
      <c r="K425" s="43"/>
      <c r="L425" s="43"/>
      <c r="M425" s="43"/>
      <c r="N425" s="43"/>
      <c r="O425" s="43"/>
      <c r="P425" s="43"/>
      <c r="Q425" s="43"/>
      <c r="R425" s="43"/>
      <c r="S425" s="43" t="s">
        <v>202</v>
      </c>
      <c r="T425" s="43" t="s">
        <v>202</v>
      </c>
      <c r="U425" s="39">
        <v>80</v>
      </c>
    </row>
    <row r="426" spans="1:21" ht="31.5" x14ac:dyDescent="0.25">
      <c r="A426" s="38" t="str">
        <f t="shared" si="30"/>
        <v>Км3.1.1</v>
      </c>
      <c r="B426" s="43">
        <v>148</v>
      </c>
      <c r="C426" s="43" t="s">
        <v>188</v>
      </c>
      <c r="D426" s="43" t="s">
        <v>270</v>
      </c>
      <c r="E426" s="43">
        <v>4</v>
      </c>
      <c r="F426" s="22">
        <v>2.4660000000000002</v>
      </c>
      <c r="G426" s="43"/>
      <c r="H426" s="43">
        <v>1430</v>
      </c>
      <c r="I426" s="43">
        <v>20</v>
      </c>
      <c r="J426" s="43" t="s">
        <v>2</v>
      </c>
      <c r="K426" s="43"/>
      <c r="L426" s="43"/>
      <c r="M426" s="43"/>
      <c r="N426" s="43"/>
      <c r="O426" s="43"/>
      <c r="P426" s="43"/>
      <c r="Q426" s="43"/>
      <c r="R426" s="43"/>
      <c r="S426" s="43" t="s">
        <v>202</v>
      </c>
      <c r="T426" s="43" t="s">
        <v>202</v>
      </c>
      <c r="U426" s="39">
        <v>80</v>
      </c>
    </row>
    <row r="427" spans="1:21" ht="31.5" x14ac:dyDescent="0.25">
      <c r="A427" s="38" t="str">
        <f t="shared" si="30"/>
        <v>Км3.1.1</v>
      </c>
      <c r="B427" s="43">
        <v>152</v>
      </c>
      <c r="C427" s="43" t="s">
        <v>190</v>
      </c>
      <c r="D427" s="43" t="s">
        <v>191</v>
      </c>
      <c r="E427" s="43">
        <f>30+33+29+29+29+27+1+32+16</f>
        <v>226</v>
      </c>
      <c r="F427" s="22">
        <v>0.39500000000000002</v>
      </c>
      <c r="G427" s="43" t="s">
        <v>0</v>
      </c>
      <c r="H427" s="43">
        <f>420*4+150</f>
        <v>1830</v>
      </c>
      <c r="I427" s="43">
        <v>8</v>
      </c>
      <c r="J427" s="43" t="s">
        <v>1</v>
      </c>
      <c r="K427" s="43"/>
      <c r="L427" s="43"/>
      <c r="M427" s="43"/>
      <c r="N427" s="43"/>
      <c r="O427" s="43"/>
      <c r="P427" s="43"/>
      <c r="Q427" s="43"/>
      <c r="R427" s="43"/>
      <c r="S427" s="43" t="s">
        <v>202</v>
      </c>
      <c r="T427" s="43" t="s">
        <v>202</v>
      </c>
      <c r="U427" s="39">
        <v>10</v>
      </c>
    </row>
    <row r="428" spans="1:21" ht="15.75" x14ac:dyDescent="0.25">
      <c r="A428" s="38" t="str">
        <f t="shared" si="30"/>
        <v>Км3.1.1</v>
      </c>
      <c r="B428" s="43"/>
      <c r="C428" s="28" t="s">
        <v>195</v>
      </c>
      <c r="D428" s="28" t="s">
        <v>196</v>
      </c>
      <c r="E428" s="28">
        <f>(1.5*1.5*0.25)+(0.6*0.6*4.32)</f>
        <v>2.1177000000000001</v>
      </c>
      <c r="F428" s="22" t="s">
        <v>4</v>
      </c>
      <c r="G428" s="43" t="s">
        <v>3</v>
      </c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39"/>
    </row>
    <row r="429" spans="1:21" ht="15.75" x14ac:dyDescent="0.25">
      <c r="A429" s="38" t="str">
        <f t="shared" si="30"/>
        <v>Км3.1.1</v>
      </c>
      <c r="B429" s="43"/>
      <c r="C429" s="28" t="s">
        <v>195</v>
      </c>
      <c r="D429" s="28" t="s">
        <v>197</v>
      </c>
      <c r="E429" s="28">
        <f>0.5*0.5*29</f>
        <v>7.25</v>
      </c>
      <c r="F429" s="22" t="s">
        <v>4</v>
      </c>
      <c r="G429" s="43" t="s">
        <v>3</v>
      </c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39"/>
    </row>
    <row r="430" spans="1:21" ht="15.75" x14ac:dyDescent="0.2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</row>
    <row r="431" spans="1:21" ht="31.5" x14ac:dyDescent="0.25">
      <c r="A431" s="25" t="str">
        <f>B431</f>
        <v>Км14.1</v>
      </c>
      <c r="B431" s="26" t="s">
        <v>267</v>
      </c>
      <c r="C431" s="26"/>
      <c r="D431" s="26" t="s">
        <v>268</v>
      </c>
      <c r="E431" s="26">
        <f>1</f>
        <v>1</v>
      </c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7"/>
    </row>
    <row r="432" spans="1:21" ht="31.5" x14ac:dyDescent="0.25">
      <c r="A432" s="38" t="str">
        <f>A431</f>
        <v>Км14.1</v>
      </c>
      <c r="B432" s="43">
        <v>114</v>
      </c>
      <c r="C432" s="43" t="s">
        <v>271</v>
      </c>
      <c r="D432" s="43" t="s">
        <v>189</v>
      </c>
      <c r="E432" s="43">
        <f>4</f>
        <v>4</v>
      </c>
      <c r="F432" s="22">
        <v>2.984</v>
      </c>
      <c r="G432" s="43" t="s">
        <v>0</v>
      </c>
      <c r="H432" s="43">
        <v>5080</v>
      </c>
      <c r="I432" s="43">
        <v>22</v>
      </c>
      <c r="J432" s="43" t="s">
        <v>2</v>
      </c>
      <c r="K432" s="43"/>
      <c r="L432" s="43"/>
      <c r="M432" s="43"/>
      <c r="N432" s="43"/>
      <c r="O432" s="43"/>
      <c r="P432" s="43"/>
      <c r="Q432" s="43"/>
      <c r="R432" s="43"/>
      <c r="S432" s="43" t="s">
        <v>202</v>
      </c>
      <c r="T432" s="43" t="s">
        <v>202</v>
      </c>
      <c r="U432" s="39">
        <v>88</v>
      </c>
    </row>
    <row r="433" spans="1:21" ht="31.5" x14ac:dyDescent="0.25">
      <c r="A433" s="38" t="str">
        <f t="shared" ref="A433:A451" si="31">A432</f>
        <v>Км14.1</v>
      </c>
      <c r="B433" s="43">
        <v>116</v>
      </c>
      <c r="C433" s="43" t="s">
        <v>271</v>
      </c>
      <c r="D433" s="43" t="s">
        <v>189</v>
      </c>
      <c r="E433" s="43">
        <f>4</f>
        <v>4</v>
      </c>
      <c r="F433" s="22">
        <v>1.5780000000000001</v>
      </c>
      <c r="G433" s="43" t="s">
        <v>0</v>
      </c>
      <c r="H433" s="43">
        <v>5870</v>
      </c>
      <c r="I433" s="43">
        <v>16</v>
      </c>
      <c r="J433" s="43" t="s">
        <v>2</v>
      </c>
      <c r="K433" s="43"/>
      <c r="L433" s="43"/>
      <c r="M433" s="43"/>
      <c r="N433" s="43"/>
      <c r="O433" s="43"/>
      <c r="P433" s="43"/>
      <c r="Q433" s="43"/>
      <c r="R433" s="43"/>
      <c r="S433" s="43" t="s">
        <v>202</v>
      </c>
      <c r="T433" s="43" t="s">
        <v>202</v>
      </c>
      <c r="U433" s="39">
        <v>40</v>
      </c>
    </row>
    <row r="434" spans="1:21" ht="31.5" x14ac:dyDescent="0.25">
      <c r="A434" s="38" t="str">
        <f t="shared" si="31"/>
        <v>Км14.1</v>
      </c>
      <c r="B434" s="43">
        <v>110</v>
      </c>
      <c r="C434" s="43" t="s">
        <v>271</v>
      </c>
      <c r="D434" s="43" t="s">
        <v>272</v>
      </c>
      <c r="E434" s="43">
        <f>4</f>
        <v>4</v>
      </c>
      <c r="F434" s="22">
        <v>2.4660000000000002</v>
      </c>
      <c r="G434" s="43"/>
      <c r="H434" s="43">
        <v>4500</v>
      </c>
      <c r="I434" s="43">
        <v>20</v>
      </c>
      <c r="J434" s="43" t="s">
        <v>2</v>
      </c>
      <c r="K434" s="43"/>
      <c r="L434" s="43"/>
      <c r="M434" s="43"/>
      <c r="N434" s="43"/>
      <c r="O434" s="43"/>
      <c r="P434" s="43"/>
      <c r="Q434" s="43"/>
      <c r="R434" s="43"/>
      <c r="S434" s="43" t="s">
        <v>202</v>
      </c>
      <c r="T434" s="43" t="s">
        <v>202</v>
      </c>
      <c r="U434" s="39">
        <v>80</v>
      </c>
    </row>
    <row r="435" spans="1:21" ht="31.5" x14ac:dyDescent="0.25">
      <c r="A435" s="38" t="str">
        <f t="shared" si="31"/>
        <v>Км14.1</v>
      </c>
      <c r="B435" s="43">
        <v>117</v>
      </c>
      <c r="C435" s="43" t="s">
        <v>271</v>
      </c>
      <c r="D435" s="43" t="s">
        <v>273</v>
      </c>
      <c r="E435" s="43">
        <f>4</f>
        <v>4</v>
      </c>
      <c r="F435" s="22">
        <v>1.5780000000000001</v>
      </c>
      <c r="G435" s="43" t="s">
        <v>0</v>
      </c>
      <c r="H435" s="43">
        <v>5370</v>
      </c>
      <c r="I435" s="43">
        <v>16</v>
      </c>
      <c r="J435" s="43" t="s">
        <v>2</v>
      </c>
      <c r="K435" s="43"/>
      <c r="L435" s="43"/>
      <c r="M435" s="43"/>
      <c r="N435" s="43"/>
      <c r="O435" s="43"/>
      <c r="P435" s="43"/>
      <c r="Q435" s="43"/>
      <c r="R435" s="43"/>
      <c r="S435" s="43" t="s">
        <v>202</v>
      </c>
      <c r="T435" s="43" t="s">
        <v>202</v>
      </c>
      <c r="U435" s="39">
        <v>40</v>
      </c>
    </row>
    <row r="436" spans="1:21" ht="31.5" x14ac:dyDescent="0.25">
      <c r="A436" s="38" t="str">
        <f t="shared" si="31"/>
        <v>Км14.1</v>
      </c>
      <c r="B436" s="43">
        <v>111</v>
      </c>
      <c r="C436" s="43" t="s">
        <v>271</v>
      </c>
      <c r="D436" s="43" t="s">
        <v>274</v>
      </c>
      <c r="E436" s="43">
        <f>4*4</f>
        <v>16</v>
      </c>
      <c r="F436" s="22">
        <v>2.4660000000000002</v>
      </c>
      <c r="G436" s="43"/>
      <c r="H436" s="43">
        <v>4050</v>
      </c>
      <c r="I436" s="43">
        <v>20</v>
      </c>
      <c r="J436" s="43" t="s">
        <v>2</v>
      </c>
      <c r="K436" s="43"/>
      <c r="L436" s="43"/>
      <c r="M436" s="43"/>
      <c r="N436" s="43"/>
      <c r="O436" s="43"/>
      <c r="P436" s="43"/>
      <c r="Q436" s="43"/>
      <c r="R436" s="43"/>
      <c r="S436" s="43" t="s">
        <v>202</v>
      </c>
      <c r="T436" s="43" t="s">
        <v>202</v>
      </c>
      <c r="U436" s="39">
        <v>80</v>
      </c>
    </row>
    <row r="437" spans="1:21" ht="31.5" x14ac:dyDescent="0.25">
      <c r="A437" s="38" t="str">
        <f t="shared" si="31"/>
        <v>Км14.1</v>
      </c>
      <c r="B437" s="43">
        <v>112</v>
      </c>
      <c r="C437" s="43" t="s">
        <v>188</v>
      </c>
      <c r="D437" s="43" t="s">
        <v>269</v>
      </c>
      <c r="E437" s="43">
        <v>4</v>
      </c>
      <c r="F437" s="22">
        <v>2.4660000000000002</v>
      </c>
      <c r="G437" s="43"/>
      <c r="H437" s="43">
        <v>3820</v>
      </c>
      <c r="I437" s="43">
        <v>20</v>
      </c>
      <c r="J437" s="43" t="s">
        <v>2</v>
      </c>
      <c r="K437" s="43"/>
      <c r="L437" s="43"/>
      <c r="M437" s="43"/>
      <c r="N437" s="43"/>
      <c r="O437" s="43"/>
      <c r="P437" s="43"/>
      <c r="Q437" s="43"/>
      <c r="R437" s="43"/>
      <c r="S437" s="43" t="s">
        <v>202</v>
      </c>
      <c r="T437" s="43" t="s">
        <v>202</v>
      </c>
      <c r="U437" s="39">
        <v>80</v>
      </c>
    </row>
    <row r="438" spans="1:21" ht="31.5" x14ac:dyDescent="0.25">
      <c r="A438" s="38" t="str">
        <f t="shared" si="31"/>
        <v>Км14.1</v>
      </c>
      <c r="B438" s="43">
        <v>121</v>
      </c>
      <c r="C438" s="43" t="s">
        <v>190</v>
      </c>
      <c r="D438" s="43" t="s">
        <v>275</v>
      </c>
      <c r="E438" s="43">
        <f>37</f>
        <v>37</v>
      </c>
      <c r="F438" s="22">
        <v>0.39500000000000002</v>
      </c>
      <c r="G438" s="43" t="s">
        <v>0</v>
      </c>
      <c r="H438" s="43">
        <f>620*4+150</f>
        <v>2630</v>
      </c>
      <c r="I438" s="43">
        <v>8</v>
      </c>
      <c r="J438" s="43" t="s">
        <v>1</v>
      </c>
      <c r="K438" s="43"/>
      <c r="L438" s="43"/>
      <c r="M438" s="43"/>
      <c r="N438" s="43"/>
      <c r="O438" s="43"/>
      <c r="P438" s="43"/>
      <c r="Q438" s="43"/>
      <c r="R438" s="43"/>
      <c r="S438" s="43" t="s">
        <v>202</v>
      </c>
      <c r="T438" s="43" t="s">
        <v>202</v>
      </c>
      <c r="U438" s="39">
        <v>10</v>
      </c>
    </row>
    <row r="439" spans="1:21" ht="31.5" x14ac:dyDescent="0.25">
      <c r="A439" s="38" t="str">
        <f t="shared" si="31"/>
        <v>Км14.1</v>
      </c>
      <c r="B439" s="43">
        <v>123</v>
      </c>
      <c r="C439" s="43" t="s">
        <v>190</v>
      </c>
      <c r="D439" s="43" t="s">
        <v>276</v>
      </c>
      <c r="E439" s="43">
        <f>37</f>
        <v>37</v>
      </c>
      <c r="F439" s="22">
        <v>0.39500000000000002</v>
      </c>
      <c r="G439" s="43" t="s">
        <v>0</v>
      </c>
      <c r="H439" s="43">
        <f>450*4+150</f>
        <v>1950</v>
      </c>
      <c r="I439" s="43">
        <v>8</v>
      </c>
      <c r="J439" s="43" t="s">
        <v>1</v>
      </c>
      <c r="K439" s="43"/>
      <c r="L439" s="43"/>
      <c r="M439" s="43"/>
      <c r="N439" s="43"/>
      <c r="O439" s="43"/>
      <c r="P439" s="43"/>
      <c r="Q439" s="43"/>
      <c r="R439" s="43"/>
      <c r="S439" s="43" t="s">
        <v>202</v>
      </c>
      <c r="T439" s="43" t="s">
        <v>202</v>
      </c>
      <c r="U439" s="39">
        <v>10</v>
      </c>
    </row>
    <row r="440" spans="1:21" ht="31.5" x14ac:dyDescent="0.25">
      <c r="A440" s="38" t="str">
        <f t="shared" si="31"/>
        <v>Км14.1</v>
      </c>
      <c r="B440" s="43">
        <v>122</v>
      </c>
      <c r="C440" s="43" t="s">
        <v>190</v>
      </c>
      <c r="D440" s="43" t="s">
        <v>277</v>
      </c>
      <c r="E440" s="43">
        <f>32+29+29</f>
        <v>90</v>
      </c>
      <c r="F440" s="22">
        <v>0.39500000000000002</v>
      </c>
      <c r="G440" s="43" t="s">
        <v>0</v>
      </c>
      <c r="H440" s="43">
        <f>520*4+150</f>
        <v>2230</v>
      </c>
      <c r="I440" s="43">
        <v>8</v>
      </c>
      <c r="J440" s="43" t="s">
        <v>1</v>
      </c>
      <c r="K440" s="43"/>
      <c r="L440" s="43"/>
      <c r="M440" s="43"/>
      <c r="N440" s="43"/>
      <c r="O440" s="43"/>
      <c r="P440" s="43"/>
      <c r="Q440" s="43"/>
      <c r="R440" s="43"/>
      <c r="S440" s="43" t="s">
        <v>202</v>
      </c>
      <c r="T440" s="43" t="s">
        <v>202</v>
      </c>
      <c r="U440" s="39">
        <v>10</v>
      </c>
    </row>
    <row r="441" spans="1:21" ht="31.5" x14ac:dyDescent="0.25">
      <c r="A441" s="38" t="str">
        <f t="shared" si="31"/>
        <v>Км14.1</v>
      </c>
      <c r="B441" s="43">
        <v>125</v>
      </c>
      <c r="C441" s="43" t="s">
        <v>190</v>
      </c>
      <c r="D441" s="43" t="s">
        <v>278</v>
      </c>
      <c r="E441" s="43">
        <f>32+29+29</f>
        <v>90</v>
      </c>
      <c r="F441" s="22">
        <v>0.39500000000000002</v>
      </c>
      <c r="G441" s="43" t="s">
        <v>0</v>
      </c>
      <c r="H441" s="43">
        <f>370*4+150</f>
        <v>1630</v>
      </c>
      <c r="I441" s="43">
        <v>8</v>
      </c>
      <c r="J441" s="43" t="s">
        <v>1</v>
      </c>
      <c r="K441" s="43"/>
      <c r="L441" s="43"/>
      <c r="M441" s="43"/>
      <c r="N441" s="43"/>
      <c r="O441" s="43"/>
      <c r="P441" s="43"/>
      <c r="Q441" s="43"/>
      <c r="R441" s="43"/>
      <c r="S441" s="43" t="s">
        <v>202</v>
      </c>
      <c r="T441" s="43" t="s">
        <v>202</v>
      </c>
      <c r="U441" s="39">
        <v>10</v>
      </c>
    </row>
    <row r="442" spans="1:21" ht="31.5" x14ac:dyDescent="0.25">
      <c r="A442" s="38" t="str">
        <f t="shared" si="31"/>
        <v>Км14.1</v>
      </c>
      <c r="B442" s="43">
        <v>118</v>
      </c>
      <c r="C442" s="43" t="s">
        <v>271</v>
      </c>
      <c r="D442" s="43" t="s">
        <v>204</v>
      </c>
      <c r="E442" s="43">
        <f>4</f>
        <v>4</v>
      </c>
      <c r="F442" s="22">
        <v>1.5780000000000001</v>
      </c>
      <c r="G442" s="43" t="s">
        <v>0</v>
      </c>
      <c r="H442" s="43">
        <v>4870</v>
      </c>
      <c r="I442" s="43">
        <v>16</v>
      </c>
      <c r="J442" s="43" t="s">
        <v>2</v>
      </c>
      <c r="K442" s="43"/>
      <c r="L442" s="43"/>
      <c r="M442" s="43"/>
      <c r="N442" s="43"/>
      <c r="O442" s="43"/>
      <c r="P442" s="43"/>
      <c r="Q442" s="43"/>
      <c r="R442" s="43"/>
      <c r="S442" s="43" t="s">
        <v>202</v>
      </c>
      <c r="T442" s="43" t="s">
        <v>202</v>
      </c>
      <c r="U442" s="39">
        <v>40</v>
      </c>
    </row>
    <row r="443" spans="1:21" ht="31.5" x14ac:dyDescent="0.25">
      <c r="A443" s="38" t="str">
        <f t="shared" si="31"/>
        <v>Км14.1</v>
      </c>
      <c r="B443" s="43">
        <v>115</v>
      </c>
      <c r="C443" s="43" t="s">
        <v>279</v>
      </c>
      <c r="D443" s="43" t="s">
        <v>280</v>
      </c>
      <c r="E443" s="43">
        <f>4</f>
        <v>4</v>
      </c>
      <c r="F443" s="22">
        <v>2.4660000000000002</v>
      </c>
      <c r="G443" s="43" t="s">
        <v>0</v>
      </c>
      <c r="H443" s="43">
        <v>4060</v>
      </c>
      <c r="I443" s="43">
        <v>20</v>
      </c>
      <c r="J443" s="43" t="s">
        <v>2</v>
      </c>
      <c r="K443" s="43"/>
      <c r="L443" s="43"/>
      <c r="M443" s="43"/>
      <c r="N443" s="43"/>
      <c r="O443" s="43"/>
      <c r="P443" s="43"/>
      <c r="Q443" s="43"/>
      <c r="R443" s="43"/>
      <c r="S443" s="43" t="s">
        <v>202</v>
      </c>
      <c r="T443" s="43" t="s">
        <v>202</v>
      </c>
      <c r="U443" s="39">
        <v>80</v>
      </c>
    </row>
    <row r="444" spans="1:21" ht="31.5" x14ac:dyDescent="0.25">
      <c r="A444" s="38" t="str">
        <f t="shared" si="31"/>
        <v>Км14.1</v>
      </c>
      <c r="B444" s="43">
        <v>119</v>
      </c>
      <c r="C444" s="43" t="s">
        <v>281</v>
      </c>
      <c r="D444" s="43" t="s">
        <v>280</v>
      </c>
      <c r="E444" s="43">
        <f>4</f>
        <v>4</v>
      </c>
      <c r="F444" s="22">
        <v>1.5780000000000001</v>
      </c>
      <c r="G444" s="43" t="s">
        <v>0</v>
      </c>
      <c r="H444" s="43">
        <v>4400</v>
      </c>
      <c r="I444" s="43">
        <v>16</v>
      </c>
      <c r="J444" s="43" t="s">
        <v>2</v>
      </c>
      <c r="K444" s="43"/>
      <c r="L444" s="43"/>
      <c r="M444" s="43"/>
      <c r="N444" s="43"/>
      <c r="O444" s="43"/>
      <c r="P444" s="43"/>
      <c r="Q444" s="43"/>
      <c r="R444" s="43"/>
      <c r="S444" s="43" t="s">
        <v>202</v>
      </c>
      <c r="T444" s="43" t="s">
        <v>202</v>
      </c>
      <c r="U444" s="39">
        <v>40</v>
      </c>
    </row>
    <row r="445" spans="1:21" ht="31.5" x14ac:dyDescent="0.25">
      <c r="A445" s="38" t="str">
        <f t="shared" si="31"/>
        <v>Км14.1</v>
      </c>
      <c r="B445" s="43">
        <v>124</v>
      </c>
      <c r="C445" s="43" t="s">
        <v>190</v>
      </c>
      <c r="D445" s="43" t="s">
        <v>282</v>
      </c>
      <c r="E445" s="43">
        <f>29+29+27+1+32+16</f>
        <v>134</v>
      </c>
      <c r="F445" s="22">
        <v>0.39500000000000002</v>
      </c>
      <c r="G445" s="43" t="s">
        <v>0</v>
      </c>
      <c r="H445" s="43">
        <f>420*4+150</f>
        <v>1830</v>
      </c>
      <c r="I445" s="43">
        <v>8</v>
      </c>
      <c r="J445" s="43" t="s">
        <v>1</v>
      </c>
      <c r="K445" s="43"/>
      <c r="L445" s="43"/>
      <c r="M445" s="43"/>
      <c r="N445" s="43"/>
      <c r="O445" s="43"/>
      <c r="P445" s="43"/>
      <c r="Q445" s="43"/>
      <c r="R445" s="43"/>
      <c r="S445" s="43" t="s">
        <v>202</v>
      </c>
      <c r="T445" s="43" t="s">
        <v>202</v>
      </c>
      <c r="U445" s="39">
        <v>10</v>
      </c>
    </row>
    <row r="446" spans="1:21" ht="31.5" x14ac:dyDescent="0.25">
      <c r="A446" s="38" t="str">
        <f t="shared" si="31"/>
        <v>Км14.1</v>
      </c>
      <c r="B446" s="43">
        <v>113</v>
      </c>
      <c r="C446" s="43" t="s">
        <v>188</v>
      </c>
      <c r="D446" s="43" t="s">
        <v>270</v>
      </c>
      <c r="E446" s="43">
        <v>4</v>
      </c>
      <c r="F446" s="22">
        <v>2.4660000000000002</v>
      </c>
      <c r="G446" s="43"/>
      <c r="H446" s="43">
        <v>1430</v>
      </c>
      <c r="I446" s="43">
        <v>20</v>
      </c>
      <c r="J446" s="43" t="s">
        <v>2</v>
      </c>
      <c r="K446" s="43"/>
      <c r="L446" s="43"/>
      <c r="M446" s="43"/>
      <c r="N446" s="43"/>
      <c r="O446" s="43"/>
      <c r="P446" s="43"/>
      <c r="Q446" s="43"/>
      <c r="R446" s="43"/>
      <c r="S446" s="43" t="s">
        <v>202</v>
      </c>
      <c r="T446" s="43" t="s">
        <v>202</v>
      </c>
      <c r="U446" s="39">
        <v>80</v>
      </c>
    </row>
    <row r="447" spans="1:21" ht="31.5" x14ac:dyDescent="0.25">
      <c r="A447" s="38" t="str">
        <f t="shared" si="31"/>
        <v>Км14.1</v>
      </c>
      <c r="B447" s="43">
        <v>120</v>
      </c>
      <c r="C447" s="43" t="s">
        <v>188</v>
      </c>
      <c r="D447" s="43" t="s">
        <v>270</v>
      </c>
      <c r="E447" s="43">
        <v>4</v>
      </c>
      <c r="F447" s="22">
        <v>1.5780000000000001</v>
      </c>
      <c r="G447" s="43" t="s">
        <v>0</v>
      </c>
      <c r="H447" s="43">
        <v>2630</v>
      </c>
      <c r="I447" s="43">
        <v>16</v>
      </c>
      <c r="J447" s="43" t="s">
        <v>2</v>
      </c>
      <c r="K447" s="43"/>
      <c r="L447" s="43"/>
      <c r="M447" s="43"/>
      <c r="N447" s="43"/>
      <c r="O447" s="43"/>
      <c r="P447" s="43"/>
      <c r="Q447" s="43"/>
      <c r="R447" s="43"/>
      <c r="S447" s="43" t="s">
        <v>202</v>
      </c>
      <c r="T447" s="43" t="s">
        <v>202</v>
      </c>
      <c r="U447" s="39">
        <v>40</v>
      </c>
    </row>
    <row r="448" spans="1:21" ht="15.75" x14ac:dyDescent="0.25">
      <c r="A448" s="38" t="str">
        <f t="shared" si="31"/>
        <v>Км14.1</v>
      </c>
      <c r="B448" s="43"/>
      <c r="C448" s="28" t="s">
        <v>195</v>
      </c>
      <c r="D448" s="28" t="s">
        <v>196</v>
      </c>
      <c r="E448" s="28">
        <f>(1.5*1.5*0.25)+(0.7*0.7*4.57)</f>
        <v>2.8017999999999996</v>
      </c>
      <c r="F448" s="22" t="s">
        <v>4</v>
      </c>
      <c r="G448" s="43" t="s">
        <v>3</v>
      </c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39"/>
    </row>
    <row r="449" spans="1:21" ht="15.75" x14ac:dyDescent="0.25">
      <c r="A449" s="38" t="str">
        <f t="shared" si="31"/>
        <v>Км14.1</v>
      </c>
      <c r="B449" s="43"/>
      <c r="C449" s="28" t="s">
        <v>195</v>
      </c>
      <c r="D449" s="28" t="s">
        <v>197</v>
      </c>
      <c r="E449" s="28">
        <f>(11.6*0.6*6)+(0.5*0.5*17.15)</f>
        <v>46.047499999999999</v>
      </c>
      <c r="F449" s="22" t="s">
        <v>4</v>
      </c>
      <c r="G449" s="43" t="s">
        <v>3</v>
      </c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39"/>
    </row>
    <row r="450" spans="1:21" ht="15.75" x14ac:dyDescent="0.25">
      <c r="A450" s="38" t="str">
        <f t="shared" si="31"/>
        <v>Км14.1</v>
      </c>
      <c r="B450" s="30"/>
      <c r="C450" s="30" t="s">
        <v>198</v>
      </c>
      <c r="D450" s="30" t="s">
        <v>199</v>
      </c>
      <c r="E450" s="30">
        <v>4</v>
      </c>
      <c r="F450" s="22">
        <v>94.2</v>
      </c>
      <c r="G450" s="43"/>
      <c r="H450" s="43"/>
      <c r="I450" s="43"/>
      <c r="J450" s="43"/>
      <c r="K450" s="22">
        <v>14400</v>
      </c>
      <c r="L450" s="43" t="s">
        <v>23</v>
      </c>
      <c r="M450" s="43" t="s">
        <v>22</v>
      </c>
      <c r="N450" s="43"/>
      <c r="O450" s="43" t="s">
        <v>24</v>
      </c>
      <c r="P450" s="43"/>
      <c r="Q450" s="43"/>
      <c r="R450" s="43"/>
      <c r="S450" s="43"/>
      <c r="T450" s="43"/>
      <c r="U450" s="39"/>
    </row>
    <row r="451" spans="1:21" ht="15.75" x14ac:dyDescent="0.25">
      <c r="A451" s="38" t="str">
        <f t="shared" si="31"/>
        <v>Км14.1</v>
      </c>
      <c r="B451" s="37" t="s">
        <v>310</v>
      </c>
      <c r="C451" s="37" t="s">
        <v>311</v>
      </c>
      <c r="D451" s="37" t="str">
        <f>C451</f>
        <v>Каркас Кр1</v>
      </c>
      <c r="E451" s="37">
        <v>50</v>
      </c>
      <c r="F451" s="22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39"/>
    </row>
    <row r="452" spans="1:21" ht="15.75" x14ac:dyDescent="0.2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</row>
    <row r="453" spans="1:21" ht="15.75" x14ac:dyDescent="0.2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</row>
    <row r="454" spans="1:21" ht="15.75" x14ac:dyDescent="0.2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</row>
    <row r="455" spans="1:21" ht="15.75" x14ac:dyDescent="0.2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</row>
    <row r="456" spans="1:21" ht="15.75" x14ac:dyDescent="0.25">
      <c r="A456" s="34" t="s">
        <v>310</v>
      </c>
      <c r="B456" s="35" t="str">
        <f>A456</f>
        <v>Кр1</v>
      </c>
      <c r="C456" s="35" t="s">
        <v>311</v>
      </c>
      <c r="D456" s="35" t="str">
        <f>C456</f>
        <v>Каркас Кр1</v>
      </c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6"/>
    </row>
    <row r="457" spans="1:21" ht="31.5" x14ac:dyDescent="0.25">
      <c r="A457" s="38" t="str">
        <f>A456</f>
        <v>Кр1</v>
      </c>
      <c r="B457" s="43">
        <v>100</v>
      </c>
      <c r="C457" s="43" t="s">
        <v>279</v>
      </c>
      <c r="D457" s="43" t="s">
        <v>280</v>
      </c>
      <c r="E457" s="43">
        <f>4</f>
        <v>4</v>
      </c>
      <c r="F457" s="22">
        <v>2.4660000000000002</v>
      </c>
      <c r="G457" s="43" t="s">
        <v>0</v>
      </c>
      <c r="H457" s="43">
        <v>4060</v>
      </c>
      <c r="I457" s="43">
        <v>20</v>
      </c>
      <c r="J457" s="43" t="s">
        <v>2</v>
      </c>
      <c r="K457" s="43"/>
      <c r="L457" s="43"/>
      <c r="M457" s="43"/>
      <c r="N457" s="43"/>
      <c r="O457" s="43"/>
      <c r="P457" s="43"/>
      <c r="Q457" s="43"/>
      <c r="R457" s="43"/>
      <c r="S457" s="43" t="s">
        <v>202</v>
      </c>
      <c r="T457" s="43" t="s">
        <v>202</v>
      </c>
      <c r="U457" s="39">
        <v>80</v>
      </c>
    </row>
    <row r="458" spans="1:21" ht="31.5" x14ac:dyDescent="0.25">
      <c r="A458" s="38" t="str">
        <f t="shared" ref="A458:A461" si="32">A457</f>
        <v>Кр1</v>
      </c>
      <c r="B458" s="43">
        <v>102</v>
      </c>
      <c r="C458" s="43" t="s">
        <v>281</v>
      </c>
      <c r="D458" s="43" t="s">
        <v>280</v>
      </c>
      <c r="E458" s="43">
        <f>4</f>
        <v>4</v>
      </c>
      <c r="F458" s="22">
        <v>1.5780000000000001</v>
      </c>
      <c r="G458" s="43" t="s">
        <v>0</v>
      </c>
      <c r="H458" s="43">
        <v>4400</v>
      </c>
      <c r="I458" s="43">
        <v>16</v>
      </c>
      <c r="J458" s="43" t="s">
        <v>2</v>
      </c>
      <c r="K458" s="43"/>
      <c r="L458" s="43"/>
      <c r="M458" s="43"/>
      <c r="N458" s="43"/>
      <c r="O458" s="43"/>
      <c r="P458" s="43"/>
      <c r="Q458" s="43"/>
      <c r="R458" s="43"/>
      <c r="S458" s="43" t="s">
        <v>202</v>
      </c>
      <c r="T458" s="43" t="s">
        <v>202</v>
      </c>
      <c r="U458" s="39">
        <v>40</v>
      </c>
    </row>
    <row r="459" spans="1:21" ht="31.5" x14ac:dyDescent="0.25">
      <c r="A459" s="38" t="str">
        <f t="shared" si="32"/>
        <v>Кр1</v>
      </c>
      <c r="B459" s="43">
        <v>103</v>
      </c>
      <c r="C459" s="43" t="s">
        <v>190</v>
      </c>
      <c r="D459" s="43" t="s">
        <v>282</v>
      </c>
      <c r="E459" s="43">
        <f>29+29+27+1+32+16</f>
        <v>134</v>
      </c>
      <c r="F459" s="22">
        <v>0.39500000000000002</v>
      </c>
      <c r="G459" s="43" t="s">
        <v>0</v>
      </c>
      <c r="H459" s="43">
        <f>420*4+150</f>
        <v>1830</v>
      </c>
      <c r="I459" s="43">
        <v>8</v>
      </c>
      <c r="J459" s="43" t="s">
        <v>1</v>
      </c>
      <c r="K459" s="43"/>
      <c r="L459" s="43"/>
      <c r="M459" s="43"/>
      <c r="N459" s="43"/>
      <c r="O459" s="43"/>
      <c r="P459" s="43"/>
      <c r="Q459" s="43"/>
      <c r="R459" s="43"/>
      <c r="S459" s="43" t="s">
        <v>202</v>
      </c>
      <c r="T459" s="43" t="s">
        <v>202</v>
      </c>
      <c r="U459" s="39">
        <v>10</v>
      </c>
    </row>
    <row r="460" spans="1:21" ht="31.5" x14ac:dyDescent="0.25">
      <c r="A460" s="38" t="str">
        <f t="shared" si="32"/>
        <v>Кр1</v>
      </c>
      <c r="B460" s="43">
        <v>23</v>
      </c>
      <c r="C460" s="43" t="s">
        <v>188</v>
      </c>
      <c r="D460" s="43" t="s">
        <v>270</v>
      </c>
      <c r="E460" s="43">
        <v>4</v>
      </c>
      <c r="F460" s="22">
        <v>2.4660000000000002</v>
      </c>
      <c r="G460" s="43"/>
      <c r="H460" s="43">
        <v>1430</v>
      </c>
      <c r="I460" s="43">
        <v>20</v>
      </c>
      <c r="J460" s="43" t="s">
        <v>2</v>
      </c>
      <c r="K460" s="43"/>
      <c r="L460" s="43"/>
      <c r="M460" s="43"/>
      <c r="N460" s="43"/>
      <c r="O460" s="43"/>
      <c r="P460" s="43"/>
      <c r="Q460" s="43"/>
      <c r="R460" s="43"/>
      <c r="S460" s="43" t="s">
        <v>202</v>
      </c>
      <c r="T460" s="43" t="s">
        <v>202</v>
      </c>
      <c r="U460" s="39">
        <v>80</v>
      </c>
    </row>
    <row r="461" spans="1:21" ht="32.25" thickBot="1" x14ac:dyDescent="0.3">
      <c r="A461" s="40" t="str">
        <f t="shared" si="32"/>
        <v>Кр1</v>
      </c>
      <c r="B461" s="41">
        <v>25</v>
      </c>
      <c r="C461" s="41" t="s">
        <v>188</v>
      </c>
      <c r="D461" s="41" t="s">
        <v>270</v>
      </c>
      <c r="E461" s="41">
        <v>4</v>
      </c>
      <c r="F461" s="29">
        <v>1.5780000000000001</v>
      </c>
      <c r="G461" s="41" t="s">
        <v>0</v>
      </c>
      <c r="H461" s="41">
        <v>2630</v>
      </c>
      <c r="I461" s="41">
        <v>16</v>
      </c>
      <c r="J461" s="41" t="s">
        <v>2</v>
      </c>
      <c r="K461" s="41"/>
      <c r="L461" s="41"/>
      <c r="M461" s="41"/>
      <c r="N461" s="41"/>
      <c r="O461" s="41"/>
      <c r="P461" s="41"/>
      <c r="Q461" s="41"/>
      <c r="R461" s="41"/>
      <c r="S461" s="41" t="s">
        <v>202</v>
      </c>
      <c r="T461" s="41" t="s">
        <v>202</v>
      </c>
      <c r="U461" s="42">
        <v>40</v>
      </c>
    </row>
  </sheetData>
  <dataConsolidate/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61 H2:Q2 K1 R1:S1 S2:U2">
    <cfRule type="containsText" dxfId="93" priority="2" stopIfTrue="1" operator="containsText" text="С ЛИСТА">
      <formula>NOT(ISERROR(SEARCH("С ЛИСТА",A1)))</formula>
    </cfRule>
    <cfRule type="containsText" dxfId="92" priority="3" stopIfTrue="1" operator="containsText" text="ИЗ ФАЙЛА">
      <formula>NOT(ISERROR(SEARCH("ИЗ ФАЙЛА",A1)))</formula>
    </cfRule>
    <cfRule type="containsText" dxfId="91" priority="4" stopIfTrue="1" operator="containsText" text="!!!">
      <formula>NOT(ISERROR(SEARCH("!!!",A1)))</formula>
    </cfRule>
    <cfRule type="containsText" dxfId="90" priority="5" stopIfTrue="1" operator="containsText" text=" Изделия ">
      <formula>NOT(ISERROR(SEARCH(" Изделия ",A1)))</formula>
    </cfRule>
    <cfRule type="containsText" dxfId="89" priority="6" stopIfTrue="1" operator="containsText" text=" Прокат ">
      <formula>NOT(ISERROR(SEARCH(" Прокат ",A1)))</formula>
    </cfRule>
    <cfRule type="containsText" dxfId="88" priority="7" stopIfTrue="1" operator="containsText" text=" Сборочные единицы ">
      <formula>NOT(ISERROR(SEARCH(" Сборочные единицы ",A1)))</formula>
    </cfRule>
    <cfRule type="containsText" dxfId="87" priority="8" stopIfTrue="1" operator="containsText" text=" Материалы ">
      <formula>NOT(ISERROR(SEARCH(" Материалы ",A1)))</formula>
    </cfRule>
    <cfRule type="containsText" dxfId="86" priority="9" stopIfTrue="1" operator="containsText" text=", на ">
      <formula>NOT(ISERROR(SEARCH(", на ",A1)))</formula>
    </cfRule>
    <cfRule type="containsText" dxfId="85" priority="10" stopIfTrue="1" operator="containsText" text="шт.)">
      <formula>NOT(ISERROR(SEARCH("шт.)",A1)))</formula>
    </cfRule>
  </conditionalFormatting>
  <conditionalFormatting sqref="A1:U1048576">
    <cfRule type="expression" dxfId="84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00">
        <x14:dataValidation type="list" errorStyle="warning" allowBlank="1" showInputMessage="1" showErrorMessage="1">
          <x14:formula1>
            <xm:f>'!System'!$AO$1:$AO$6</xm:f>
          </x14:formula1>
          <xm:sqref>G3:G461</xm:sqref>
        </x14:dataValidation>
        <x14:dataValidation type="list" allowBlank="1" showInputMessage="1" showErrorMessage="1">
          <x14:formula1>
            <xm:f>'!System'!$U$1:$AC$1</xm:f>
          </x14:formula1>
          <xm:sqref>J3:J461</xm:sqref>
        </x14:dataValidation>
        <x14:dataValidation type="list" allowBlank="1" showInputMessage="1" showErrorMessage="1">
          <x14:formula1>
            <xm:f>'!System'!$A$1:$S$1</xm:f>
          </x14:formula1>
          <xm:sqref>L3:L461</xm:sqref>
        </x14:dataValidation>
        <x14:dataValidation type="list" allowBlank="1" showInputMessage="1" showErrorMessage="1">
          <x14:formula1>
            <xm:f>'!System'!$AD$1:$AN$1</xm:f>
          </x14:formula1>
          <xm:sqref>O3:O461</xm:sqref>
        </x14:dataValidation>
        <x14:dataValidation type="list" allowBlank="1" showInputMessage="1" showErrorMessage="1">
          <x14:formula1>
            <xm:f>'!System'!$AP$1:$AP$5</xm:f>
          </x14:formula1>
          <xm:sqref>P3:P461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'!System'!$U$2:$U$17</xm:f>
          </x14:formula1>
          <xm:sqref>I22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'!System'!$V$2:$V$16</xm:f>
          </x14:formula1>
          <xm:sqref>I26</xm:sqref>
        </x14:dataValidation>
        <x14:dataValidation type="list" allowBlank="1" showInputMessage="1" showErrorMessage="1">
          <x14:formula1>
            <xm:f>'!System'!$V$2:$V$16</xm:f>
          </x14:formula1>
          <xm:sqref>I27</xm:sqref>
        </x14:dataValidation>
        <x14:dataValidation type="list" allowBlank="1" showInputMessage="1" showErrorMessage="1">
          <x14:formula1>
            <xm:f>'!System'!$V$2:$V$16</xm:f>
          </x14:formula1>
          <xm:sqref>I28</xm:sqref>
        </x14:dataValidation>
        <x14:dataValidation type="list" allowBlank="1" showInputMessage="1" showErrorMessage="1">
          <x14:formula1>
            <xm:f>'!System'!$V$2:$V$16</xm:f>
          </x14:formula1>
          <xm:sqref>I29</xm:sqref>
        </x14:dataValidation>
        <x14:dataValidation type="list" allowBlank="1" showInputMessage="1" showErrorMessage="1">
          <x14:formula1>
            <xm:f>'!System'!$U$2:$U$17</xm:f>
          </x14:formula1>
          <xm:sqref>I30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  <x14:dataValidation type="list" allowBlank="1" showInputMessage="1" showErrorMessage="1">
          <x14:formula1>
            <xm:f>'!System'!$U$2:$U$17</xm:f>
          </x14:formula1>
          <xm:sqref>I32</xm:sqref>
        </x14:dataValidation>
        <x14:dataValidation type="list" allowBlank="1" showInputMessage="1" showErrorMessage="1">
          <x14:formula1>
            <xm:f>'!System'!$V$2:$V$16</xm:f>
          </x14:formula1>
          <xm:sqref>I33</xm:sqref>
        </x14:dataValidation>
        <x14:dataValidation type="list" allowBlank="1" showInputMessage="1" showErrorMessage="1">
          <x14:formula1>
            <xm:f>'!System'!$U$2:$U$17</xm:f>
          </x14:formula1>
          <xm:sqref>I34</xm:sqref>
        </x14:dataValidation>
        <x14:dataValidation type="list" allowBlank="1" showInputMessage="1" showErrorMessage="1">
          <x14:formula1>
            <xm:f>'!System'!$U$2:$U$17</xm:f>
          </x14:formula1>
          <xm:sqref>I35</xm:sqref>
        </x14:dataValidation>
        <x14:dataValidation type="list" allowBlank="1" showInputMessage="1" showErrorMessage="1">
          <x14:formula1>
            <xm:f>'!System'!$Q$3:$Q$15</xm:f>
          </x14:formula1>
          <xm:sqref>M36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'!System'!$U$2:$U$17</xm:f>
          </x14:formula1>
          <xm:sqref>I40</xm:sqref>
        </x14:dataValidation>
        <x14:dataValidation type="list" allowBlank="1" showInputMessage="1" showErrorMessage="1">
          <x14:formula1>
            <xm:f>'!System'!$U$2:$U$17</xm:f>
          </x14:formula1>
          <xm:sqref>I41</xm:sqref>
        </x14:dataValidation>
        <x14:dataValidation type="list" allowBlank="1" showInputMessage="1" showErrorMessage="1">
          <x14:formula1>
            <xm:f>'!System'!$V$2:$V$16</xm:f>
          </x14:formula1>
          <xm:sqref>I42</xm:sqref>
        </x14:dataValidation>
        <x14:dataValidation type="list" allowBlank="1" showInputMessage="1" showErrorMessage="1">
          <x14:formula1>
            <xm:f>'!System'!$V$2:$V$16</xm:f>
          </x14:formula1>
          <xm:sqref>I43</xm:sqref>
        </x14:dataValidation>
        <x14:dataValidation type="list" allowBlank="1" showInputMessage="1" showErrorMessage="1">
          <x14:formula1>
            <xm:f>'!System'!$U$2:$U$17</xm:f>
          </x14:formula1>
          <xm:sqref>I44</xm:sqref>
        </x14:dataValidation>
        <x14:dataValidation type="list" allowBlank="1" showInputMessage="1" showErrorMessage="1">
          <x14:formula1>
            <xm:f>'!System'!$U$2:$U$17</xm:f>
          </x14:formula1>
          <xm:sqref>I45</xm:sqref>
        </x14:dataValidation>
        <x14:dataValidation type="list" allowBlank="1" showInputMessage="1" showErrorMessage="1">
          <x14:formula1>
            <xm:f>'!System'!$U$2:$U$17</xm:f>
          </x14:formula1>
          <xm:sqref>I46</xm:sqref>
        </x14:dataValidation>
        <x14:dataValidation type="list" allowBlank="1" showInputMessage="1" showErrorMessage="1">
          <x14:formula1>
            <xm:f>'!System'!$V$2:$V$16</xm:f>
          </x14:formula1>
          <xm:sqref>I47</xm:sqref>
        </x14:dataValidation>
        <x14:dataValidation type="list" allowBlank="1" showInputMessage="1" showErrorMessage="1">
          <x14:formula1>
            <xm:f>'!System'!$Q$3:$Q$15</xm:f>
          </x14:formula1>
          <xm:sqref>M50</xm:sqref>
        </x14:dataValidation>
        <x14:dataValidation type="list" allowBlank="1" showInputMessage="1" showErrorMessage="1">
          <x14:formula1>
            <xm:f>'!System'!$U$2:$U$17</xm:f>
          </x14:formula1>
          <xm:sqref>I54</xm:sqref>
        </x14:dataValidation>
        <x14:dataValidation type="list" allowBlank="1" showInputMessage="1" showErrorMessage="1">
          <x14:formula1>
            <xm:f>'!System'!$V$2:$V$16</xm:f>
          </x14:formula1>
          <xm:sqref>I55</xm:sqref>
        </x14:dataValidation>
        <x14:dataValidation type="list" allowBlank="1" showInputMessage="1" showErrorMessage="1">
          <x14:formula1>
            <xm:f>'!System'!$U$2:$U$17</xm:f>
          </x14:formula1>
          <xm:sqref>I56</xm:sqref>
        </x14:dataValidation>
        <x14:dataValidation type="list" allowBlank="1" showInputMessage="1" showErrorMessage="1">
          <x14:formula1>
            <xm:f>'!System'!$Q$3:$Q$15</xm:f>
          </x14:formula1>
          <xm:sqref>M59</xm:sqref>
        </x14:dataValidation>
        <x14:dataValidation type="list" allowBlank="1" showInputMessage="1" showErrorMessage="1">
          <x14:formula1>
            <xm:f>'!System'!$U$2:$U$17</xm:f>
          </x14:formula1>
          <xm:sqref>I64</xm:sqref>
        </x14:dataValidation>
        <x14:dataValidation type="list" allowBlank="1" showInputMessage="1" showErrorMessage="1">
          <x14:formula1>
            <xm:f>'!System'!$U$2:$U$17</xm:f>
          </x14:formula1>
          <xm:sqref>I65</xm:sqref>
        </x14:dataValidation>
        <x14:dataValidation type="list" allowBlank="1" showInputMessage="1" showErrorMessage="1">
          <x14:formula1>
            <xm:f>'!System'!$V$2:$V$16</xm:f>
          </x14:formula1>
          <xm:sqref>I66</xm:sqref>
        </x14:dataValidation>
        <x14:dataValidation type="list" allowBlank="1" showInputMessage="1" showErrorMessage="1">
          <x14:formula1>
            <xm:f>'!System'!$V$2:$V$16</xm:f>
          </x14:formula1>
          <xm:sqref>I67</xm:sqref>
        </x14:dataValidation>
        <x14:dataValidation type="list" allowBlank="1" showInputMessage="1" showErrorMessage="1">
          <x14:formula1>
            <xm:f>'!System'!$U$2:$U$17</xm:f>
          </x14:formula1>
          <xm:sqref>I68</xm:sqref>
        </x14:dataValidation>
        <x14:dataValidation type="list" allowBlank="1" showInputMessage="1" showErrorMessage="1">
          <x14:formula1>
            <xm:f>'!System'!$U$2:$U$17</xm:f>
          </x14:formula1>
          <xm:sqref>I69</xm:sqref>
        </x14:dataValidation>
        <x14:dataValidation type="list" allowBlank="1" showInputMessage="1" showErrorMessage="1">
          <x14:formula1>
            <xm:f>'!System'!$V$2:$V$16</xm:f>
          </x14:formula1>
          <xm:sqref>I70</xm:sqref>
        </x14:dataValidation>
        <x14:dataValidation type="list" allowBlank="1" showInputMessage="1" showErrorMessage="1">
          <x14:formula1>
            <xm:f>'!System'!$Q$3:$Q$15</xm:f>
          </x14:formula1>
          <xm:sqref>M72</xm:sqref>
        </x14:dataValidation>
        <x14:dataValidation type="list" allowBlank="1" showInputMessage="1" showErrorMessage="1">
          <x14:formula1>
            <xm:f>'!System'!$U$2:$U$17</xm:f>
          </x14:formula1>
          <xm:sqref>I75</xm:sqref>
        </x14:dataValidation>
        <x14:dataValidation type="list" allowBlank="1" showInputMessage="1" showErrorMessage="1">
          <x14:formula1>
            <xm:f>'!System'!$U$2:$U$17</xm:f>
          </x14:formula1>
          <xm:sqref>I76</xm:sqref>
        </x14:dataValidation>
        <x14:dataValidation type="list" allowBlank="1" showInputMessage="1" showErrorMessage="1">
          <x14:formula1>
            <xm:f>'!System'!$V$2:$V$16</xm:f>
          </x14:formula1>
          <xm:sqref>I77</xm:sqref>
        </x14:dataValidation>
        <x14:dataValidation type="list" allowBlank="1" showInputMessage="1" showErrorMessage="1">
          <x14:formula1>
            <xm:f>'!System'!$V$2:$V$16</xm:f>
          </x14:formula1>
          <xm:sqref>I78</xm:sqref>
        </x14:dataValidation>
        <x14:dataValidation type="list" allowBlank="1" showInputMessage="1" showErrorMessage="1">
          <x14:formula1>
            <xm:f>'!System'!$U$2:$U$17</xm:f>
          </x14:formula1>
          <xm:sqref>I79</xm:sqref>
        </x14:dataValidation>
        <x14:dataValidation type="list" allowBlank="1" showInputMessage="1" showErrorMessage="1">
          <x14:formula1>
            <xm:f>'!System'!$U$2:$U$17</xm:f>
          </x14:formula1>
          <xm:sqref>I80</xm:sqref>
        </x14:dataValidation>
        <x14:dataValidation type="list" allowBlank="1" showInputMessage="1" showErrorMessage="1">
          <x14:formula1>
            <xm:f>'!System'!$U$2:$U$17</xm:f>
          </x14:formula1>
          <xm:sqref>I81</xm:sqref>
        </x14:dataValidation>
        <x14:dataValidation type="list" allowBlank="1" showInputMessage="1" showErrorMessage="1">
          <x14:formula1>
            <xm:f>'!System'!$U$2:$U$17</xm:f>
          </x14:formula1>
          <xm:sqref>I82</xm:sqref>
        </x14:dataValidation>
        <x14:dataValidation type="list" allowBlank="1" showInputMessage="1" showErrorMessage="1">
          <x14:formula1>
            <xm:f>'!System'!$U$2:$U$17</xm:f>
          </x14:formula1>
          <xm:sqref>I83</xm:sqref>
        </x14:dataValidation>
        <x14:dataValidation type="list" allowBlank="1" showInputMessage="1" showErrorMessage="1">
          <x14:formula1>
            <xm:f>'!System'!$U$2:$U$17</xm:f>
          </x14:formula1>
          <xm:sqref>I84</xm:sqref>
        </x14:dataValidation>
        <x14:dataValidation type="list" allowBlank="1" showInputMessage="1" showErrorMessage="1">
          <x14:formula1>
            <xm:f>'!System'!$V$2:$V$16</xm:f>
          </x14:formula1>
          <xm:sqref>I85</xm:sqref>
        </x14:dataValidation>
        <x14:dataValidation type="list" allowBlank="1" showInputMessage="1" showErrorMessage="1">
          <x14:formula1>
            <xm:f>'!System'!$Q$3:$Q$15</xm:f>
          </x14:formula1>
          <xm:sqref>M88</xm:sqref>
        </x14:dataValidation>
        <x14:dataValidation type="list" allowBlank="1" showInputMessage="1" showErrorMessage="1">
          <x14:formula1>
            <xm:f>'!System'!$U$2:$U$17</xm:f>
          </x14:formula1>
          <xm:sqref>I94</xm:sqref>
        </x14:dataValidation>
        <x14:dataValidation type="list" allowBlank="1" showInputMessage="1" showErrorMessage="1">
          <x14:formula1>
            <xm:f>'!System'!$V$2:$V$16</xm:f>
          </x14:formula1>
          <xm:sqref>I95</xm:sqref>
        </x14:dataValidation>
        <x14:dataValidation type="list" allowBlank="1" showInputMessage="1" showErrorMessage="1">
          <x14:formula1>
            <xm:f>'!System'!$U$2:$U$17</xm:f>
          </x14:formula1>
          <xm:sqref>I96</xm:sqref>
        </x14:dataValidation>
        <x14:dataValidation type="list" allowBlank="1" showInputMessage="1" showErrorMessage="1">
          <x14:formula1>
            <xm:f>'!System'!$U$2:$U$17</xm:f>
          </x14:formula1>
          <xm:sqref>I97</xm:sqref>
        </x14:dataValidation>
        <x14:dataValidation type="list" allowBlank="1" showInputMessage="1" showErrorMessage="1">
          <x14:formula1>
            <xm:f>'!System'!$U$2:$U$17</xm:f>
          </x14:formula1>
          <xm:sqref>I98</xm:sqref>
        </x14:dataValidation>
        <x14:dataValidation type="list" allowBlank="1" showInputMessage="1" showErrorMessage="1">
          <x14:formula1>
            <xm:f>'!System'!$U$2:$U$17</xm:f>
          </x14:formula1>
          <xm:sqref>I99</xm:sqref>
        </x14:dataValidation>
        <x14:dataValidation type="list" allowBlank="1" showInputMessage="1" showErrorMessage="1">
          <x14:formula1>
            <xm:f>'!System'!$Q$3:$Q$15</xm:f>
          </x14:formula1>
          <xm:sqref>M102</xm:sqref>
        </x14:dataValidation>
        <x14:dataValidation type="list" allowBlank="1" showInputMessage="1" showErrorMessage="1">
          <x14:formula1>
            <xm:f>'!System'!$U$2:$U$17</xm:f>
          </x14:formula1>
          <xm:sqref>I106</xm:sqref>
        </x14:dataValidation>
        <x14:dataValidation type="list" allowBlank="1" showInputMessage="1" showErrorMessage="1">
          <x14:formula1>
            <xm:f>'!System'!$V$2:$V$16</xm:f>
          </x14:formula1>
          <xm:sqref>I107</xm:sqref>
        </x14:dataValidation>
        <x14:dataValidation type="list" allowBlank="1" showInputMessage="1" showErrorMessage="1">
          <x14:formula1>
            <xm:f>'!System'!$U$2:$U$17</xm:f>
          </x14:formula1>
          <xm:sqref>I108</xm:sqref>
        </x14:dataValidation>
        <x14:dataValidation type="list" allowBlank="1" showInputMessage="1" showErrorMessage="1">
          <x14:formula1>
            <xm:f>'!System'!$U$2:$U$17</xm:f>
          </x14:formula1>
          <xm:sqref>I109</xm:sqref>
        </x14:dataValidation>
        <x14:dataValidation type="list" allowBlank="1" showInputMessage="1" showErrorMessage="1">
          <x14:formula1>
            <xm:f>'!System'!$U$2:$U$17</xm:f>
          </x14:formula1>
          <xm:sqref>I110</xm:sqref>
        </x14:dataValidation>
        <x14:dataValidation type="list" allowBlank="1" showInputMessage="1" showErrorMessage="1">
          <x14:formula1>
            <xm:f>'!System'!$U$2:$U$17</xm:f>
          </x14:formula1>
          <xm:sqref>I111</xm:sqref>
        </x14:dataValidation>
        <x14:dataValidation type="list" allowBlank="1" showInputMessage="1" showErrorMessage="1">
          <x14:formula1>
            <xm:f>'!System'!$Q$3:$Q$15</xm:f>
          </x14:formula1>
          <xm:sqref>M114</xm:sqref>
        </x14:dataValidation>
        <x14:dataValidation type="list" allowBlank="1" showInputMessage="1" showErrorMessage="1">
          <x14:formula1>
            <xm:f>'!System'!$U$2:$U$17</xm:f>
          </x14:formula1>
          <xm:sqref>I118</xm:sqref>
        </x14:dataValidation>
        <x14:dataValidation type="list" allowBlank="1" showInputMessage="1" showErrorMessage="1">
          <x14:formula1>
            <xm:f>'!System'!$V$2:$V$16</xm:f>
          </x14:formula1>
          <xm:sqref>I119</xm:sqref>
        </x14:dataValidation>
        <x14:dataValidation type="list" allowBlank="1" showInputMessage="1" showErrorMessage="1">
          <x14:formula1>
            <xm:f>'!System'!$U$2:$U$17</xm:f>
          </x14:formula1>
          <xm:sqref>I120</xm:sqref>
        </x14:dataValidation>
        <x14:dataValidation type="list" allowBlank="1" showInputMessage="1" showErrorMessage="1">
          <x14:formula1>
            <xm:f>'!System'!$U$2:$U$17</xm:f>
          </x14:formula1>
          <xm:sqref>I121</xm:sqref>
        </x14:dataValidation>
        <x14:dataValidation type="list" allowBlank="1" showInputMessage="1" showErrorMessage="1">
          <x14:formula1>
            <xm:f>'!System'!$U$2:$U$17</xm:f>
          </x14:formula1>
          <xm:sqref>I122</xm:sqref>
        </x14:dataValidation>
        <x14:dataValidation type="list" allowBlank="1" showInputMessage="1" showErrorMessage="1">
          <x14:formula1>
            <xm:f>'!System'!$U$2:$U$17</xm:f>
          </x14:formula1>
          <xm:sqref>I123</xm:sqref>
        </x14:dataValidation>
        <x14:dataValidation type="list" allowBlank="1" showInputMessage="1" showErrorMessage="1">
          <x14:formula1>
            <xm:f>'!System'!$Q$3:$Q$15</xm:f>
          </x14:formula1>
          <xm:sqref>M126</xm:sqref>
        </x14:dataValidation>
        <x14:dataValidation type="list" allowBlank="1" showInputMessage="1" showErrorMessage="1">
          <x14:formula1>
            <xm:f>'!System'!$U$2:$U$17</xm:f>
          </x14:formula1>
          <xm:sqref>I130</xm:sqref>
        </x14:dataValidation>
        <x14:dataValidation type="list" allowBlank="1" showInputMessage="1" showErrorMessage="1">
          <x14:formula1>
            <xm:f>'!System'!$U$2:$U$17</xm:f>
          </x14:formula1>
          <xm:sqref>I131</xm:sqref>
        </x14:dataValidation>
        <x14:dataValidation type="list" allowBlank="1" showInputMessage="1" showErrorMessage="1">
          <x14:formula1>
            <xm:f>'!System'!$V$2:$V$16</xm:f>
          </x14:formula1>
          <xm:sqref>I132</xm:sqref>
        </x14:dataValidation>
        <x14:dataValidation type="list" allowBlank="1" showInputMessage="1" showErrorMessage="1">
          <x14:formula1>
            <xm:f>'!System'!$V$2:$V$16</xm:f>
          </x14:formula1>
          <xm:sqref>I133</xm:sqref>
        </x14:dataValidation>
        <x14:dataValidation type="list" allowBlank="1" showInputMessage="1" showErrorMessage="1">
          <x14:formula1>
            <xm:f>'!System'!$U$2:$U$17</xm:f>
          </x14:formula1>
          <xm:sqref>I134</xm:sqref>
        </x14:dataValidation>
        <x14:dataValidation type="list" allowBlank="1" showInputMessage="1" showErrorMessage="1">
          <x14:formula1>
            <xm:f>'!System'!$U$2:$U$17</xm:f>
          </x14:formula1>
          <xm:sqref>I135</xm:sqref>
        </x14:dataValidation>
        <x14:dataValidation type="list" allowBlank="1" showInputMessage="1" showErrorMessage="1">
          <x14:formula1>
            <xm:f>'!System'!$U$2:$U$17</xm:f>
          </x14:formula1>
          <xm:sqref>I136</xm:sqref>
        </x14:dataValidation>
        <x14:dataValidation type="list" allowBlank="1" showInputMessage="1" showErrorMessage="1">
          <x14:formula1>
            <xm:f>'!System'!$U$2:$U$17</xm:f>
          </x14:formula1>
          <xm:sqref>I137</xm:sqref>
        </x14:dataValidation>
        <x14:dataValidation type="list" allowBlank="1" showInputMessage="1" showErrorMessage="1">
          <x14:formula1>
            <xm:f>'!System'!$V$2:$V$16</xm:f>
          </x14:formula1>
          <xm:sqref>I138</xm:sqref>
        </x14:dataValidation>
        <x14:dataValidation type="list" allowBlank="1" showInputMessage="1" showErrorMessage="1">
          <x14:formula1>
            <xm:f>'!System'!$Q$3:$Q$15</xm:f>
          </x14:formula1>
          <xm:sqref>M141</xm:sqref>
        </x14:dataValidation>
        <x14:dataValidation type="list" allowBlank="1" showInputMessage="1" showErrorMessage="1">
          <x14:formula1>
            <xm:f>'!System'!$U$2:$U$17</xm:f>
          </x14:formula1>
          <xm:sqref>I145</xm:sqref>
        </x14:dataValidation>
        <x14:dataValidation type="list" allowBlank="1" showInputMessage="1" showErrorMessage="1">
          <x14:formula1>
            <xm:f>'!System'!$U$2:$U$17</xm:f>
          </x14:formula1>
          <xm:sqref>I146</xm:sqref>
        </x14:dataValidation>
        <x14:dataValidation type="list" allowBlank="1" showInputMessage="1" showErrorMessage="1">
          <x14:formula1>
            <xm:f>'!System'!$V$2:$V$16</xm:f>
          </x14:formula1>
          <xm:sqref>I147</xm:sqref>
        </x14:dataValidation>
        <x14:dataValidation type="list" allowBlank="1" showInputMessage="1" showErrorMessage="1">
          <x14:formula1>
            <xm:f>'!System'!$V$2:$V$16</xm:f>
          </x14:formula1>
          <xm:sqref>I148</xm:sqref>
        </x14:dataValidation>
        <x14:dataValidation type="list" allowBlank="1" showInputMessage="1" showErrorMessage="1">
          <x14:formula1>
            <xm:f>'!System'!$U$2:$U$17</xm:f>
          </x14:formula1>
          <xm:sqref>I149</xm:sqref>
        </x14:dataValidation>
        <x14:dataValidation type="list" allowBlank="1" showInputMessage="1" showErrorMessage="1">
          <x14:formula1>
            <xm:f>'!System'!$U$2:$U$17</xm:f>
          </x14:formula1>
          <xm:sqref>I150</xm:sqref>
        </x14:dataValidation>
        <x14:dataValidation type="list" allowBlank="1" showInputMessage="1" showErrorMessage="1">
          <x14:formula1>
            <xm:f>'!System'!$U$2:$U$17</xm:f>
          </x14:formula1>
          <xm:sqref>I151</xm:sqref>
        </x14:dataValidation>
        <x14:dataValidation type="list" allowBlank="1" showInputMessage="1" showErrorMessage="1">
          <x14:formula1>
            <xm:f>'!System'!$U$2:$U$17</xm:f>
          </x14:formula1>
          <xm:sqref>I152</xm:sqref>
        </x14:dataValidation>
        <x14:dataValidation type="list" allowBlank="1" showInputMessage="1" showErrorMessage="1">
          <x14:formula1>
            <xm:f>'!System'!$U$2:$U$17</xm:f>
          </x14:formula1>
          <xm:sqref>I153</xm:sqref>
        </x14:dataValidation>
        <x14:dataValidation type="list" allowBlank="1" showInputMessage="1" showErrorMessage="1">
          <x14:formula1>
            <xm:f>'!System'!$U$2:$U$17</xm:f>
          </x14:formula1>
          <xm:sqref>I154</xm:sqref>
        </x14:dataValidation>
        <x14:dataValidation type="list" allowBlank="1" showInputMessage="1" showErrorMessage="1">
          <x14:formula1>
            <xm:f>'!System'!$V$2:$V$16</xm:f>
          </x14:formula1>
          <xm:sqref>I155</xm:sqref>
        </x14:dataValidation>
        <x14:dataValidation type="list" allowBlank="1" showInputMessage="1" showErrorMessage="1">
          <x14:formula1>
            <xm:f>'!System'!$V$2:$V$16</xm:f>
          </x14:formula1>
          <xm:sqref>I156</xm:sqref>
        </x14:dataValidation>
        <x14:dataValidation type="list" allowBlank="1" showInputMessage="1" showErrorMessage="1">
          <x14:formula1>
            <xm:f>'!System'!$Q$3:$Q$15</xm:f>
          </x14:formula1>
          <xm:sqref>M159</xm:sqref>
        </x14:dataValidation>
        <x14:dataValidation type="list" allowBlank="1" showInputMessage="1" showErrorMessage="1">
          <x14:formula1>
            <xm:f>'!System'!$U$2:$U$17</xm:f>
          </x14:formula1>
          <xm:sqref>I163</xm:sqref>
        </x14:dataValidation>
        <x14:dataValidation type="list" allowBlank="1" showInputMessage="1" showErrorMessage="1">
          <x14:formula1>
            <xm:f>'!System'!$U$2:$U$17</xm:f>
          </x14:formula1>
          <xm:sqref>I164</xm:sqref>
        </x14:dataValidation>
        <x14:dataValidation type="list" allowBlank="1" showInputMessage="1" showErrorMessage="1">
          <x14:formula1>
            <xm:f>'!System'!$V$2:$V$16</xm:f>
          </x14:formula1>
          <xm:sqref>I165</xm:sqref>
        </x14:dataValidation>
        <x14:dataValidation type="list" allowBlank="1" showInputMessage="1" showErrorMessage="1">
          <x14:formula1>
            <xm:f>'!System'!$V$2:$V$16</xm:f>
          </x14:formula1>
          <xm:sqref>I166</xm:sqref>
        </x14:dataValidation>
        <x14:dataValidation type="list" allowBlank="1" showInputMessage="1" showErrorMessage="1">
          <x14:formula1>
            <xm:f>'!System'!$U$2:$U$17</xm:f>
          </x14:formula1>
          <xm:sqref>I167</xm:sqref>
        </x14:dataValidation>
        <x14:dataValidation type="list" allowBlank="1" showInputMessage="1" showErrorMessage="1">
          <x14:formula1>
            <xm:f>'!System'!$U$2:$U$17</xm:f>
          </x14:formula1>
          <xm:sqref>I168</xm:sqref>
        </x14:dataValidation>
        <x14:dataValidation type="list" allowBlank="1" showInputMessage="1" showErrorMessage="1">
          <x14:formula1>
            <xm:f>'!System'!$U$2:$U$17</xm:f>
          </x14:formula1>
          <xm:sqref>I169</xm:sqref>
        </x14:dataValidation>
        <x14:dataValidation type="list" allowBlank="1" showInputMessage="1" showErrorMessage="1">
          <x14:formula1>
            <xm:f>'!System'!$U$2:$U$17</xm:f>
          </x14:formula1>
          <xm:sqref>I170</xm:sqref>
        </x14:dataValidation>
        <x14:dataValidation type="list" allowBlank="1" showInputMessage="1" showErrorMessage="1">
          <x14:formula1>
            <xm:f>'!System'!$U$2:$U$17</xm:f>
          </x14:formula1>
          <xm:sqref>I171</xm:sqref>
        </x14:dataValidation>
        <x14:dataValidation type="list" allowBlank="1" showInputMessage="1" showErrorMessage="1">
          <x14:formula1>
            <xm:f>'!System'!$U$2:$U$17</xm:f>
          </x14:formula1>
          <xm:sqref>I172</xm:sqref>
        </x14:dataValidation>
        <x14:dataValidation type="list" allowBlank="1" showInputMessage="1" showErrorMessage="1">
          <x14:formula1>
            <xm:f>'!System'!$V$2:$V$16</xm:f>
          </x14:formula1>
          <xm:sqref>I173</xm:sqref>
        </x14:dataValidation>
        <x14:dataValidation type="list" allowBlank="1" showInputMessage="1" showErrorMessage="1">
          <x14:formula1>
            <xm:f>'!System'!$V$2:$V$16</xm:f>
          </x14:formula1>
          <xm:sqref>I174</xm:sqref>
        </x14:dataValidation>
        <x14:dataValidation type="list" allowBlank="1" showInputMessage="1" showErrorMessage="1">
          <x14:formula1>
            <xm:f>'!System'!$Q$3:$Q$15</xm:f>
          </x14:formula1>
          <xm:sqref>M177</xm:sqref>
        </x14:dataValidation>
        <x14:dataValidation type="list" allowBlank="1" showInputMessage="1" showErrorMessage="1">
          <x14:formula1>
            <xm:f>'!System'!$U$2:$U$17</xm:f>
          </x14:formula1>
          <xm:sqref>I182</xm:sqref>
        </x14:dataValidation>
        <x14:dataValidation type="list" allowBlank="1" showInputMessage="1" showErrorMessage="1">
          <x14:formula1>
            <xm:f>'!System'!$U$2:$U$17</xm:f>
          </x14:formula1>
          <xm:sqref>I183</xm:sqref>
        </x14:dataValidation>
        <x14:dataValidation type="list" allowBlank="1" showInputMessage="1" showErrorMessage="1">
          <x14:formula1>
            <xm:f>'!System'!$U$2:$U$17</xm:f>
          </x14:formula1>
          <xm:sqref>I184</xm:sqref>
        </x14:dataValidation>
        <x14:dataValidation type="list" allowBlank="1" showInputMessage="1" showErrorMessage="1">
          <x14:formula1>
            <xm:f>'!System'!$U$2:$U$17</xm:f>
          </x14:formula1>
          <xm:sqref>I185</xm:sqref>
        </x14:dataValidation>
        <x14:dataValidation type="list" allowBlank="1" showInputMessage="1" showErrorMessage="1">
          <x14:formula1>
            <xm:f>'!System'!$U$2:$U$17</xm:f>
          </x14:formula1>
          <xm:sqref>I186</xm:sqref>
        </x14:dataValidation>
        <x14:dataValidation type="list" allowBlank="1" showInputMessage="1" showErrorMessage="1">
          <x14:formula1>
            <xm:f>'!System'!$U$2:$U$17</xm:f>
          </x14:formula1>
          <xm:sqref>I187</xm:sqref>
        </x14:dataValidation>
        <x14:dataValidation type="list" allowBlank="1" showInputMessage="1" showErrorMessage="1">
          <x14:formula1>
            <xm:f>'!System'!$V$2:$V$16</xm:f>
          </x14:formula1>
          <xm:sqref>I188</xm:sqref>
        </x14:dataValidation>
        <x14:dataValidation type="list" allowBlank="1" showInputMessage="1" showErrorMessage="1">
          <x14:formula1>
            <xm:f>'!System'!$Q$3:$Q$15</xm:f>
          </x14:formula1>
          <xm:sqref>M191</xm:sqref>
        </x14:dataValidation>
        <x14:dataValidation type="list" allowBlank="1" showInputMessage="1" showErrorMessage="1">
          <x14:formula1>
            <xm:f>'!System'!$U$2:$U$17</xm:f>
          </x14:formula1>
          <xm:sqref>I195</xm:sqref>
        </x14:dataValidation>
        <x14:dataValidation type="list" allowBlank="1" showInputMessage="1" showErrorMessage="1">
          <x14:formula1>
            <xm:f>'!System'!$V$2:$V$16</xm:f>
          </x14:formula1>
          <xm:sqref>I196</xm:sqref>
        </x14:dataValidation>
        <x14:dataValidation type="list" allowBlank="1" showInputMessage="1" showErrorMessage="1">
          <x14:formula1>
            <xm:f>'!System'!$U$2:$U$17</xm:f>
          </x14:formula1>
          <xm:sqref>I197</xm:sqref>
        </x14:dataValidation>
        <x14:dataValidation type="list" allowBlank="1" showInputMessage="1" showErrorMessage="1">
          <x14:formula1>
            <xm:f>'!System'!$U$2:$U$17</xm:f>
          </x14:formula1>
          <xm:sqref>I198</xm:sqref>
        </x14:dataValidation>
        <x14:dataValidation type="list" allowBlank="1" showInputMessage="1" showErrorMessage="1">
          <x14:formula1>
            <xm:f>'!System'!$U$2:$U$17</xm:f>
          </x14:formula1>
          <xm:sqref>I199</xm:sqref>
        </x14:dataValidation>
        <x14:dataValidation type="list" allowBlank="1" showInputMessage="1" showErrorMessage="1">
          <x14:formula1>
            <xm:f>'!System'!$U$2:$U$17</xm:f>
          </x14:formula1>
          <xm:sqref>I200</xm:sqref>
        </x14:dataValidation>
        <x14:dataValidation type="list" allowBlank="1" showInputMessage="1" showErrorMessage="1">
          <x14:formula1>
            <xm:f>'!System'!$Q$3:$Q$15</xm:f>
          </x14:formula1>
          <xm:sqref>M203</xm:sqref>
        </x14:dataValidation>
        <x14:dataValidation type="list" allowBlank="1" showInputMessage="1" showErrorMessage="1">
          <x14:formula1>
            <xm:f>'!System'!$U$2:$U$17</xm:f>
          </x14:formula1>
          <xm:sqref>I209</xm:sqref>
        </x14:dataValidation>
        <x14:dataValidation type="list" allowBlank="1" showInputMessage="1" showErrorMessage="1">
          <x14:formula1>
            <xm:f>'!System'!$V$2:$V$16</xm:f>
          </x14:formula1>
          <xm:sqref>I210</xm:sqref>
        </x14:dataValidation>
        <x14:dataValidation type="list" allowBlank="1" showInputMessage="1" showErrorMessage="1">
          <x14:formula1>
            <xm:f>'!System'!$U$2:$U$17</xm:f>
          </x14:formula1>
          <xm:sqref>I211</xm:sqref>
        </x14:dataValidation>
        <x14:dataValidation type="list" allowBlank="1" showInputMessage="1" showErrorMessage="1">
          <x14:formula1>
            <xm:f>'!System'!$U$2:$U$17</xm:f>
          </x14:formula1>
          <xm:sqref>I212</xm:sqref>
        </x14:dataValidation>
        <x14:dataValidation type="list" allowBlank="1" showInputMessage="1" showErrorMessage="1">
          <x14:formula1>
            <xm:f>'!System'!$U$2:$U$17</xm:f>
          </x14:formula1>
          <xm:sqref>I213</xm:sqref>
        </x14:dataValidation>
        <x14:dataValidation type="list" allowBlank="1" showInputMessage="1" showErrorMessage="1">
          <x14:formula1>
            <xm:f>'!System'!$U$2:$U$17</xm:f>
          </x14:formula1>
          <xm:sqref>I214</xm:sqref>
        </x14:dataValidation>
        <x14:dataValidation type="list" allowBlank="1" showInputMessage="1" showErrorMessage="1">
          <x14:formula1>
            <xm:f>'!System'!$U$2:$U$17</xm:f>
          </x14:formula1>
          <xm:sqref>I215</xm:sqref>
        </x14:dataValidation>
        <x14:dataValidation type="list" allowBlank="1" showInputMessage="1" showErrorMessage="1">
          <x14:formula1>
            <xm:f>'!System'!$U$2:$U$17</xm:f>
          </x14:formula1>
          <xm:sqref>I216</xm:sqref>
        </x14:dataValidation>
        <x14:dataValidation type="list" allowBlank="1" showInputMessage="1" showErrorMessage="1">
          <x14:formula1>
            <xm:f>'!System'!$Q$3:$Q$15</xm:f>
          </x14:formula1>
          <xm:sqref>M219</xm:sqref>
        </x14:dataValidation>
        <x14:dataValidation type="list" allowBlank="1" showInputMessage="1" showErrorMessage="1">
          <x14:formula1>
            <xm:f>'!System'!$U$2:$U$17</xm:f>
          </x14:formula1>
          <xm:sqref>I223</xm:sqref>
        </x14:dataValidation>
        <x14:dataValidation type="list" allowBlank="1" showInputMessage="1" showErrorMessage="1">
          <x14:formula1>
            <xm:f>'!System'!$V$2:$V$16</xm:f>
          </x14:formula1>
          <xm:sqref>I224</xm:sqref>
        </x14:dataValidation>
        <x14:dataValidation type="list" allowBlank="1" showInputMessage="1" showErrorMessage="1">
          <x14:formula1>
            <xm:f>'!System'!$U$2:$U$17</xm:f>
          </x14:formula1>
          <xm:sqref>I225</xm:sqref>
        </x14:dataValidation>
        <x14:dataValidation type="list" allowBlank="1" showInputMessage="1" showErrorMessage="1">
          <x14:formula1>
            <xm:f>'!System'!$U$2:$U$17</xm:f>
          </x14:formula1>
          <xm:sqref>I226</xm:sqref>
        </x14:dataValidation>
        <x14:dataValidation type="list" allowBlank="1" showInputMessage="1" showErrorMessage="1">
          <x14:formula1>
            <xm:f>'!System'!$U$2:$U$17</xm:f>
          </x14:formula1>
          <xm:sqref>I227</xm:sqref>
        </x14:dataValidation>
        <x14:dataValidation type="list" allowBlank="1" showInputMessage="1" showErrorMessage="1">
          <x14:formula1>
            <xm:f>'!System'!$U$2:$U$17</xm:f>
          </x14:formula1>
          <xm:sqref>I228</xm:sqref>
        </x14:dataValidation>
        <x14:dataValidation type="list" allowBlank="1" showInputMessage="1" showErrorMessage="1">
          <x14:formula1>
            <xm:f>'!System'!$U$2:$U$17</xm:f>
          </x14:formula1>
          <xm:sqref>I229</xm:sqref>
        </x14:dataValidation>
        <x14:dataValidation type="list" allowBlank="1" showInputMessage="1" showErrorMessage="1">
          <x14:formula1>
            <xm:f>'!System'!$U$2:$U$17</xm:f>
          </x14:formula1>
          <xm:sqref>I230</xm:sqref>
        </x14:dataValidation>
        <x14:dataValidation type="list" allowBlank="1" showInputMessage="1" showErrorMessage="1">
          <x14:formula1>
            <xm:f>'!System'!$U$2:$U$17</xm:f>
          </x14:formula1>
          <xm:sqref>I231</xm:sqref>
        </x14:dataValidation>
        <x14:dataValidation type="list" allowBlank="1" showInputMessage="1" showErrorMessage="1">
          <x14:formula1>
            <xm:f>'!System'!$U$2:$U$17</xm:f>
          </x14:formula1>
          <xm:sqref>I232</xm:sqref>
        </x14:dataValidation>
        <x14:dataValidation type="list" allowBlank="1" showInputMessage="1" showErrorMessage="1">
          <x14:formula1>
            <xm:f>'!System'!$P$3:$P$15</xm:f>
          </x14:formula1>
          <xm:sqref>M235</xm:sqref>
        </x14:dataValidation>
        <x14:dataValidation type="list" allowBlank="1" showInputMessage="1" showErrorMessage="1">
          <x14:formula1>
            <xm:f>'!System'!$U$2:$U$17</xm:f>
          </x14:formula1>
          <xm:sqref>I238</xm:sqref>
        </x14:dataValidation>
        <x14:dataValidation type="list" allowBlank="1" showInputMessage="1" showErrorMessage="1">
          <x14:formula1>
            <xm:f>'!System'!$V$2:$V$16</xm:f>
          </x14:formula1>
          <xm:sqref>I239</xm:sqref>
        </x14:dataValidation>
        <x14:dataValidation type="list" allowBlank="1" showInputMessage="1" showErrorMessage="1">
          <x14:formula1>
            <xm:f>'!System'!$U$2:$U$17</xm:f>
          </x14:formula1>
          <xm:sqref>I240</xm:sqref>
        </x14:dataValidation>
        <x14:dataValidation type="list" allowBlank="1" showInputMessage="1" showErrorMessage="1">
          <x14:formula1>
            <xm:f>'!System'!$U$2:$U$17</xm:f>
          </x14:formula1>
          <xm:sqref>I241</xm:sqref>
        </x14:dataValidation>
        <x14:dataValidation type="list" allowBlank="1" showInputMessage="1" showErrorMessage="1">
          <x14:formula1>
            <xm:f>'!System'!$U$2:$U$17</xm:f>
          </x14:formula1>
          <xm:sqref>I242</xm:sqref>
        </x14:dataValidation>
        <x14:dataValidation type="list" allowBlank="1" showInputMessage="1" showErrorMessage="1">
          <x14:formula1>
            <xm:f>'!System'!$U$2:$U$17</xm:f>
          </x14:formula1>
          <xm:sqref>I243</xm:sqref>
        </x14:dataValidation>
        <x14:dataValidation type="list" allowBlank="1" showInputMessage="1" showErrorMessage="1">
          <x14:formula1>
            <xm:f>'!System'!$U$2:$U$17</xm:f>
          </x14:formula1>
          <xm:sqref>I244</xm:sqref>
        </x14:dataValidation>
        <x14:dataValidation type="list" allowBlank="1" showInputMessage="1" showErrorMessage="1">
          <x14:formula1>
            <xm:f>'!System'!$Q$3:$Q$15</xm:f>
          </x14:formula1>
          <xm:sqref>M247</xm:sqref>
        </x14:dataValidation>
        <x14:dataValidation type="list" allowBlank="1" showInputMessage="1" showErrorMessage="1">
          <x14:formula1>
            <xm:f>'!System'!$U$2:$U$17</xm:f>
          </x14:formula1>
          <xm:sqref>I250</xm:sqref>
        </x14:dataValidation>
        <x14:dataValidation type="list" allowBlank="1" showInputMessage="1" showErrorMessage="1">
          <x14:formula1>
            <xm:f>'!System'!$V$2:$V$16</xm:f>
          </x14:formula1>
          <xm:sqref>I251</xm:sqref>
        </x14:dataValidation>
        <x14:dataValidation type="list" allowBlank="1" showInputMessage="1" showErrorMessage="1">
          <x14:formula1>
            <xm:f>'!System'!$U$2:$U$17</xm:f>
          </x14:formula1>
          <xm:sqref>I252</xm:sqref>
        </x14:dataValidation>
        <x14:dataValidation type="list" allowBlank="1" showInputMessage="1" showErrorMessage="1">
          <x14:formula1>
            <xm:f>'!System'!$U$2:$U$17</xm:f>
          </x14:formula1>
          <xm:sqref>I253</xm:sqref>
        </x14:dataValidation>
        <x14:dataValidation type="list" allowBlank="1" showInputMessage="1" showErrorMessage="1">
          <x14:formula1>
            <xm:f>'!System'!$U$2:$U$17</xm:f>
          </x14:formula1>
          <xm:sqref>I254</xm:sqref>
        </x14:dataValidation>
        <x14:dataValidation type="list" allowBlank="1" showInputMessage="1" showErrorMessage="1">
          <x14:formula1>
            <xm:f>'!System'!$U$2:$U$17</xm:f>
          </x14:formula1>
          <xm:sqref>I255</xm:sqref>
        </x14:dataValidation>
        <x14:dataValidation type="list" allowBlank="1" showInputMessage="1" showErrorMessage="1">
          <x14:formula1>
            <xm:f>'!System'!$U$2:$U$17</xm:f>
          </x14:formula1>
          <xm:sqref>I256</xm:sqref>
        </x14:dataValidation>
        <x14:dataValidation type="list" allowBlank="1" showInputMessage="1" showErrorMessage="1">
          <x14:formula1>
            <xm:f>'!System'!$Q$3:$Q$15</xm:f>
          </x14:formula1>
          <xm:sqref>M259</xm:sqref>
        </x14:dataValidation>
        <x14:dataValidation type="list" allowBlank="1" showInputMessage="1" showErrorMessage="1">
          <x14:formula1>
            <xm:f>'!System'!$U$2:$U$17</xm:f>
          </x14:formula1>
          <xm:sqref>I262</xm:sqref>
        </x14:dataValidation>
        <x14:dataValidation type="list" allowBlank="1" showInputMessage="1" showErrorMessage="1">
          <x14:formula1>
            <xm:f>'!System'!$V$2:$V$16</xm:f>
          </x14:formula1>
          <xm:sqref>I263</xm:sqref>
        </x14:dataValidation>
        <x14:dataValidation type="list" allowBlank="1" showInputMessage="1" showErrorMessage="1">
          <x14:formula1>
            <xm:f>'!System'!$U$2:$U$17</xm:f>
          </x14:formula1>
          <xm:sqref>I264</xm:sqref>
        </x14:dataValidation>
        <x14:dataValidation type="list" allowBlank="1" showInputMessage="1" showErrorMessage="1">
          <x14:formula1>
            <xm:f>'!System'!$U$2:$U$17</xm:f>
          </x14:formula1>
          <xm:sqref>I265</xm:sqref>
        </x14:dataValidation>
        <x14:dataValidation type="list" allowBlank="1" showInputMessage="1" showErrorMessage="1">
          <x14:formula1>
            <xm:f>'!System'!$U$2:$U$17</xm:f>
          </x14:formula1>
          <xm:sqref>I266</xm:sqref>
        </x14:dataValidation>
        <x14:dataValidation type="list" allowBlank="1" showInputMessage="1" showErrorMessage="1">
          <x14:formula1>
            <xm:f>'!System'!$U$2:$U$17</xm:f>
          </x14:formula1>
          <xm:sqref>I267</xm:sqref>
        </x14:dataValidation>
        <x14:dataValidation type="list" allowBlank="1" showInputMessage="1" showErrorMessage="1">
          <x14:formula1>
            <xm:f>'!System'!$U$2:$U$17</xm:f>
          </x14:formula1>
          <xm:sqref>I268</xm:sqref>
        </x14:dataValidation>
        <x14:dataValidation type="list" allowBlank="1" showInputMessage="1" showErrorMessage="1">
          <x14:formula1>
            <xm:f>'!System'!$Q$3:$Q$15</xm:f>
          </x14:formula1>
          <xm:sqref>M271</xm:sqref>
        </x14:dataValidation>
        <x14:dataValidation type="list" allowBlank="1" showInputMessage="1" showErrorMessage="1">
          <x14:formula1>
            <xm:f>'!System'!$U$2:$U$17</xm:f>
          </x14:formula1>
          <xm:sqref>I274</xm:sqref>
        </x14:dataValidation>
        <x14:dataValidation type="list" allowBlank="1" showInputMessage="1" showErrorMessage="1">
          <x14:formula1>
            <xm:f>'!System'!$V$2:$V$16</xm:f>
          </x14:formula1>
          <xm:sqref>I275</xm:sqref>
        </x14:dataValidation>
        <x14:dataValidation type="list" allowBlank="1" showInputMessage="1" showErrorMessage="1">
          <x14:formula1>
            <xm:f>'!System'!$U$2:$U$17</xm:f>
          </x14:formula1>
          <xm:sqref>I276</xm:sqref>
        </x14:dataValidation>
        <x14:dataValidation type="list" allowBlank="1" showInputMessage="1" showErrorMessage="1">
          <x14:formula1>
            <xm:f>'!System'!$U$2:$U$17</xm:f>
          </x14:formula1>
          <xm:sqref>I277</xm:sqref>
        </x14:dataValidation>
        <x14:dataValidation type="list" allowBlank="1" showInputMessage="1" showErrorMessage="1">
          <x14:formula1>
            <xm:f>'!System'!$U$2:$U$17</xm:f>
          </x14:formula1>
          <xm:sqref>I278</xm:sqref>
        </x14:dataValidation>
        <x14:dataValidation type="list" allowBlank="1" showInputMessage="1" showErrorMessage="1">
          <x14:formula1>
            <xm:f>'!System'!$U$2:$U$17</xm:f>
          </x14:formula1>
          <xm:sqref>I279</xm:sqref>
        </x14:dataValidation>
        <x14:dataValidation type="list" allowBlank="1" showInputMessage="1" showErrorMessage="1">
          <x14:formula1>
            <xm:f>'!System'!$U$2:$U$17</xm:f>
          </x14:formula1>
          <xm:sqref>I280</xm:sqref>
        </x14:dataValidation>
        <x14:dataValidation type="list" allowBlank="1" showInputMessage="1" showErrorMessage="1">
          <x14:formula1>
            <xm:f>'!System'!$U$2:$U$17</xm:f>
          </x14:formula1>
          <xm:sqref>I281</xm:sqref>
        </x14:dataValidation>
        <x14:dataValidation type="list" allowBlank="1" showInputMessage="1" showErrorMessage="1">
          <x14:formula1>
            <xm:f>'!System'!$Q$3:$Q$15</xm:f>
          </x14:formula1>
          <xm:sqref>M284</xm:sqref>
        </x14:dataValidation>
        <x14:dataValidation type="list" allowBlank="1" showInputMessage="1" showErrorMessage="1">
          <x14:formula1>
            <xm:f>'!System'!$U$2:$U$17</xm:f>
          </x14:formula1>
          <xm:sqref>I288</xm:sqref>
        </x14:dataValidation>
        <x14:dataValidation type="list" allowBlank="1" showInputMessage="1" showErrorMessage="1">
          <x14:formula1>
            <xm:f>'!System'!$V$2:$V$16</xm:f>
          </x14:formula1>
          <xm:sqref>I289</xm:sqref>
        </x14:dataValidation>
        <x14:dataValidation type="list" allowBlank="1" showInputMessage="1" showErrorMessage="1">
          <x14:formula1>
            <xm:f>'!System'!$U$2:$U$17</xm:f>
          </x14:formula1>
          <xm:sqref>I290</xm:sqref>
        </x14:dataValidation>
        <x14:dataValidation type="list" allowBlank="1" showInputMessage="1" showErrorMessage="1">
          <x14:formula1>
            <xm:f>'!System'!$U$2:$U$17</xm:f>
          </x14:formula1>
          <xm:sqref>I291</xm:sqref>
        </x14:dataValidation>
        <x14:dataValidation type="list" allowBlank="1" showInputMessage="1" showErrorMessage="1">
          <x14:formula1>
            <xm:f>'!System'!$U$2:$U$17</xm:f>
          </x14:formula1>
          <xm:sqref>I292</xm:sqref>
        </x14:dataValidation>
        <x14:dataValidation type="list" allowBlank="1" showInputMessage="1" showErrorMessage="1">
          <x14:formula1>
            <xm:f>'!System'!$U$2:$U$17</xm:f>
          </x14:formula1>
          <xm:sqref>I293</xm:sqref>
        </x14:dataValidation>
        <x14:dataValidation type="list" allowBlank="1" showInputMessage="1" showErrorMessage="1">
          <x14:formula1>
            <xm:f>'!System'!$Q$3:$Q$15</xm:f>
          </x14:formula1>
          <xm:sqref>M296</xm:sqref>
        </x14:dataValidation>
        <x14:dataValidation type="list" allowBlank="1" showInputMessage="1" showErrorMessage="1">
          <x14:formula1>
            <xm:f>'!System'!$U$2:$U$17</xm:f>
          </x14:formula1>
          <xm:sqref>I300</xm:sqref>
        </x14:dataValidation>
        <x14:dataValidation type="list" allowBlank="1" showInputMessage="1" showErrorMessage="1">
          <x14:formula1>
            <xm:f>'!System'!$V$2:$V$16</xm:f>
          </x14:formula1>
          <xm:sqref>I301</xm:sqref>
        </x14:dataValidation>
        <x14:dataValidation type="list" allowBlank="1" showInputMessage="1" showErrorMessage="1">
          <x14:formula1>
            <xm:f>'!System'!$U$2:$U$17</xm:f>
          </x14:formula1>
          <xm:sqref>I302</xm:sqref>
        </x14:dataValidation>
        <x14:dataValidation type="list" allowBlank="1" showInputMessage="1" showErrorMessage="1">
          <x14:formula1>
            <xm:f>'!System'!$U$2:$U$17</xm:f>
          </x14:formula1>
          <xm:sqref>I303</xm:sqref>
        </x14:dataValidation>
        <x14:dataValidation type="list" allowBlank="1" showInputMessage="1" showErrorMessage="1">
          <x14:formula1>
            <xm:f>'!System'!$U$2:$U$17</xm:f>
          </x14:formula1>
          <xm:sqref>I304</xm:sqref>
        </x14:dataValidation>
        <x14:dataValidation type="list" allowBlank="1" showInputMessage="1" showErrorMessage="1">
          <x14:formula1>
            <xm:f>'!System'!$U$2:$U$17</xm:f>
          </x14:formula1>
          <xm:sqref>I305</xm:sqref>
        </x14:dataValidation>
        <x14:dataValidation type="list" allowBlank="1" showInputMessage="1" showErrorMessage="1">
          <x14:formula1>
            <xm:f>'!System'!$Q$3:$Q$15</xm:f>
          </x14:formula1>
          <xm:sqref>M308</xm:sqref>
        </x14:dataValidation>
        <x14:dataValidation type="list" allowBlank="1" showInputMessage="1" showErrorMessage="1">
          <x14:formula1>
            <xm:f>'!System'!$U$2:$U$17</xm:f>
          </x14:formula1>
          <xm:sqref>I313</xm:sqref>
        </x14:dataValidation>
        <x14:dataValidation type="list" allowBlank="1" showInputMessage="1" showErrorMessage="1">
          <x14:formula1>
            <xm:f>'!System'!$V$2:$V$16</xm:f>
          </x14:formula1>
          <xm:sqref>I314</xm:sqref>
        </x14:dataValidation>
        <x14:dataValidation type="list" allowBlank="1" showInputMessage="1" showErrorMessage="1">
          <x14:formula1>
            <xm:f>'!System'!$U$2:$U$17</xm:f>
          </x14:formula1>
          <xm:sqref>I315</xm:sqref>
        </x14:dataValidation>
        <x14:dataValidation type="list" allowBlank="1" showInputMessage="1" showErrorMessage="1">
          <x14:formula1>
            <xm:f>'!System'!$U$2:$U$17</xm:f>
          </x14:formula1>
          <xm:sqref>I316</xm:sqref>
        </x14:dataValidation>
        <x14:dataValidation type="list" allowBlank="1" showInputMessage="1" showErrorMessage="1">
          <x14:formula1>
            <xm:f>'!System'!$U$2:$U$17</xm:f>
          </x14:formula1>
          <xm:sqref>I317</xm:sqref>
        </x14:dataValidation>
        <x14:dataValidation type="list" allowBlank="1" showInputMessage="1" showErrorMessage="1">
          <x14:formula1>
            <xm:f>'!System'!$Q$3:$Q$15</xm:f>
          </x14:formula1>
          <xm:sqref>M320</xm:sqref>
        </x14:dataValidation>
        <x14:dataValidation type="list" allowBlank="1" showInputMessage="1" showErrorMessage="1">
          <x14:formula1>
            <xm:f>'!System'!$U$2:$U$17</xm:f>
          </x14:formula1>
          <xm:sqref>I324</xm:sqref>
        </x14:dataValidation>
        <x14:dataValidation type="list" allowBlank="1" showInputMessage="1" showErrorMessage="1">
          <x14:formula1>
            <xm:f>'!System'!$V$2:$V$16</xm:f>
          </x14:formula1>
          <xm:sqref>I325</xm:sqref>
        </x14:dataValidation>
        <x14:dataValidation type="list" allowBlank="1" showInputMessage="1" showErrorMessage="1">
          <x14:formula1>
            <xm:f>'!System'!$U$2:$U$17</xm:f>
          </x14:formula1>
          <xm:sqref>I326</xm:sqref>
        </x14:dataValidation>
        <x14:dataValidation type="list" allowBlank="1" showInputMessage="1" showErrorMessage="1">
          <x14:formula1>
            <xm:f>'!System'!$U$2:$U$17</xm:f>
          </x14:formula1>
          <xm:sqref>I327</xm:sqref>
        </x14:dataValidation>
        <x14:dataValidation type="list" allowBlank="1" showInputMessage="1" showErrorMessage="1">
          <x14:formula1>
            <xm:f>'!System'!$U$2:$U$17</xm:f>
          </x14:formula1>
          <xm:sqref>I328</xm:sqref>
        </x14:dataValidation>
        <x14:dataValidation type="list" allowBlank="1" showInputMessage="1" showErrorMessage="1">
          <x14:formula1>
            <xm:f>'!System'!$U$2:$U$17</xm:f>
          </x14:formula1>
          <xm:sqref>I329</xm:sqref>
        </x14:dataValidation>
        <x14:dataValidation type="list" allowBlank="1" showInputMessage="1" showErrorMessage="1">
          <x14:formula1>
            <xm:f>'!System'!$U$2:$U$17</xm:f>
          </x14:formula1>
          <xm:sqref>I330</xm:sqref>
        </x14:dataValidation>
        <x14:dataValidation type="list" allowBlank="1" showInputMessage="1" showErrorMessage="1">
          <x14:formula1>
            <xm:f>'!System'!$U$2:$U$17</xm:f>
          </x14:formula1>
          <xm:sqref>I331</xm:sqref>
        </x14:dataValidation>
        <x14:dataValidation type="list" allowBlank="1" showInputMessage="1" showErrorMessage="1">
          <x14:formula1>
            <xm:f>'!System'!$U$2:$U$17</xm:f>
          </x14:formula1>
          <xm:sqref>I332</xm:sqref>
        </x14:dataValidation>
        <x14:dataValidation type="list" allowBlank="1" showInputMessage="1" showErrorMessage="1">
          <x14:formula1>
            <xm:f>'!System'!$U$2:$U$17</xm:f>
          </x14:formula1>
          <xm:sqref>I333</xm:sqref>
        </x14:dataValidation>
        <x14:dataValidation type="list" allowBlank="1" showInputMessage="1" showErrorMessage="1">
          <x14:formula1>
            <xm:f>'!System'!$Q$3:$Q$15</xm:f>
          </x14:formula1>
          <xm:sqref>M336</xm:sqref>
        </x14:dataValidation>
        <x14:dataValidation type="list" allowBlank="1" showInputMessage="1" showErrorMessage="1">
          <x14:formula1>
            <xm:f>'!System'!$U$2:$U$17</xm:f>
          </x14:formula1>
          <xm:sqref>I340</xm:sqref>
        </x14:dataValidation>
        <x14:dataValidation type="list" allowBlank="1" showInputMessage="1" showErrorMessage="1">
          <x14:formula1>
            <xm:f>'!System'!$V$2:$V$16</xm:f>
          </x14:formula1>
          <xm:sqref>I341</xm:sqref>
        </x14:dataValidation>
        <x14:dataValidation type="list" allowBlank="1" showInputMessage="1" showErrorMessage="1">
          <x14:formula1>
            <xm:f>'!System'!$U$2:$U$17</xm:f>
          </x14:formula1>
          <xm:sqref>I342</xm:sqref>
        </x14:dataValidation>
        <x14:dataValidation type="list" allowBlank="1" showInputMessage="1" showErrorMessage="1">
          <x14:formula1>
            <xm:f>'!System'!$U$2:$U$17</xm:f>
          </x14:formula1>
          <xm:sqref>I343</xm:sqref>
        </x14:dataValidation>
        <x14:dataValidation type="list" allowBlank="1" showInputMessage="1" showErrorMessage="1">
          <x14:formula1>
            <xm:f>'!System'!$U$2:$U$17</xm:f>
          </x14:formula1>
          <xm:sqref>I344</xm:sqref>
        </x14:dataValidation>
        <x14:dataValidation type="list" allowBlank="1" showInputMessage="1" showErrorMessage="1">
          <x14:formula1>
            <xm:f>'!System'!$U$2:$U$17</xm:f>
          </x14:formula1>
          <xm:sqref>I345</xm:sqref>
        </x14:dataValidation>
        <x14:dataValidation type="list" allowBlank="1" showInputMessage="1" showErrorMessage="1">
          <x14:formula1>
            <xm:f>'!System'!$U$2:$U$17</xm:f>
          </x14:formula1>
          <xm:sqref>I346</xm:sqref>
        </x14:dataValidation>
        <x14:dataValidation type="list" allowBlank="1" showInputMessage="1" showErrorMessage="1">
          <x14:formula1>
            <xm:f>'!System'!$U$2:$U$17</xm:f>
          </x14:formula1>
          <xm:sqref>I347</xm:sqref>
        </x14:dataValidation>
        <x14:dataValidation type="list" allowBlank="1" showInputMessage="1" showErrorMessage="1">
          <x14:formula1>
            <xm:f>'!System'!$U$2:$U$17</xm:f>
          </x14:formula1>
          <xm:sqref>I348</xm:sqref>
        </x14:dataValidation>
        <x14:dataValidation type="list" allowBlank="1" showInputMessage="1" showErrorMessage="1">
          <x14:formula1>
            <xm:f>'!System'!$Q$3:$Q$15</xm:f>
          </x14:formula1>
          <xm:sqref>M351</xm:sqref>
        </x14:dataValidation>
        <x14:dataValidation type="list" allowBlank="1" showInputMessage="1" showErrorMessage="1">
          <x14:formula1>
            <xm:f>'!System'!$U$2:$U$17</xm:f>
          </x14:formula1>
          <xm:sqref>I355</xm:sqref>
        </x14:dataValidation>
        <x14:dataValidation type="list" allowBlank="1" showInputMessage="1" showErrorMessage="1">
          <x14:formula1>
            <xm:f>'!System'!$V$2:$V$16</xm:f>
          </x14:formula1>
          <xm:sqref>I356</xm:sqref>
        </x14:dataValidation>
        <x14:dataValidation type="list" allowBlank="1" showInputMessage="1" showErrorMessage="1">
          <x14:formula1>
            <xm:f>'!System'!$V$2:$V$16</xm:f>
          </x14:formula1>
          <xm:sqref>I357</xm:sqref>
        </x14:dataValidation>
        <x14:dataValidation type="list" allowBlank="1" showInputMessage="1" showErrorMessage="1">
          <x14:formula1>
            <xm:f>'!System'!$U$2:$U$17</xm:f>
          </x14:formula1>
          <xm:sqref>I358</xm:sqref>
        </x14:dataValidation>
        <x14:dataValidation type="list" allowBlank="1" showInputMessage="1" showErrorMessage="1">
          <x14:formula1>
            <xm:f>'!System'!$U$2:$U$17</xm:f>
          </x14:formula1>
          <xm:sqref>I359</xm:sqref>
        </x14:dataValidation>
        <x14:dataValidation type="list" allowBlank="1" showInputMessage="1" showErrorMessage="1">
          <x14:formula1>
            <xm:f>'!System'!$U$2:$U$17</xm:f>
          </x14:formula1>
          <xm:sqref>I360</xm:sqref>
        </x14:dataValidation>
        <x14:dataValidation type="list" allowBlank="1" showInputMessage="1" showErrorMessage="1">
          <x14:formula1>
            <xm:f>'!System'!$U$2:$U$17</xm:f>
          </x14:formula1>
          <xm:sqref>I361</xm:sqref>
        </x14:dataValidation>
        <x14:dataValidation type="list" allowBlank="1" showInputMessage="1" showErrorMessage="1">
          <x14:formula1>
            <xm:f>'!System'!$V$2:$V$16</xm:f>
          </x14:formula1>
          <xm:sqref>I362</xm:sqref>
        </x14:dataValidation>
        <x14:dataValidation type="list" allowBlank="1" showInputMessage="1" showErrorMessage="1">
          <x14:formula1>
            <xm:f>'!System'!$U$2:$U$17</xm:f>
          </x14:formula1>
          <xm:sqref>I363</xm:sqref>
        </x14:dataValidation>
        <x14:dataValidation type="list" allowBlank="1" showInputMessage="1" showErrorMessage="1">
          <x14:formula1>
            <xm:f>'!System'!$U$2:$U$17</xm:f>
          </x14:formula1>
          <xm:sqref>I364</xm:sqref>
        </x14:dataValidation>
        <x14:dataValidation type="list" allowBlank="1" showInputMessage="1" showErrorMessage="1">
          <x14:formula1>
            <xm:f>'!System'!$Q$3:$Q$15</xm:f>
          </x14:formula1>
          <xm:sqref>M367</xm:sqref>
        </x14:dataValidation>
        <x14:dataValidation type="list" allowBlank="1" showInputMessage="1" showErrorMessage="1">
          <x14:formula1>
            <xm:f>'!System'!$U$2:$U$17</xm:f>
          </x14:formula1>
          <xm:sqref>I371</xm:sqref>
        </x14:dataValidation>
        <x14:dataValidation type="list" allowBlank="1" showInputMessage="1" showErrorMessage="1">
          <x14:formula1>
            <xm:f>'!System'!$V$2:$V$16</xm:f>
          </x14:formula1>
          <xm:sqref>I372</xm:sqref>
        </x14:dataValidation>
        <x14:dataValidation type="list" allowBlank="1" showInputMessage="1" showErrorMessage="1">
          <x14:formula1>
            <xm:f>'!System'!$V$2:$V$16</xm:f>
          </x14:formula1>
          <xm:sqref>I373</xm:sqref>
        </x14:dataValidation>
        <x14:dataValidation type="list" allowBlank="1" showInputMessage="1" showErrorMessage="1">
          <x14:formula1>
            <xm:f>'!System'!$U$2:$U$17</xm:f>
          </x14:formula1>
          <xm:sqref>I374</xm:sqref>
        </x14:dataValidation>
        <x14:dataValidation type="list" allowBlank="1" showInputMessage="1" showErrorMessage="1">
          <x14:formula1>
            <xm:f>'!System'!$U$2:$U$17</xm:f>
          </x14:formula1>
          <xm:sqref>I375</xm:sqref>
        </x14:dataValidation>
        <x14:dataValidation type="list" allowBlank="1" showInputMessage="1" showErrorMessage="1">
          <x14:formula1>
            <xm:f>'!System'!$U$2:$U$17</xm:f>
          </x14:formula1>
          <xm:sqref>I376</xm:sqref>
        </x14:dataValidation>
        <x14:dataValidation type="list" allowBlank="1" showInputMessage="1" showErrorMessage="1">
          <x14:formula1>
            <xm:f>'!System'!$U$2:$U$17</xm:f>
          </x14:formula1>
          <xm:sqref>I377</xm:sqref>
        </x14:dataValidation>
        <x14:dataValidation type="list" allowBlank="1" showInputMessage="1" showErrorMessage="1">
          <x14:formula1>
            <xm:f>'!System'!$V$2:$V$16</xm:f>
          </x14:formula1>
          <xm:sqref>I378</xm:sqref>
        </x14:dataValidation>
        <x14:dataValidation type="list" allowBlank="1" showInputMessage="1" showErrorMessage="1">
          <x14:formula1>
            <xm:f>'!System'!$U$2:$U$17</xm:f>
          </x14:formula1>
          <xm:sqref>I379</xm:sqref>
        </x14:dataValidation>
        <x14:dataValidation type="list" allowBlank="1" showInputMessage="1" showErrorMessage="1">
          <x14:formula1>
            <xm:f>'!System'!$U$2:$U$17</xm:f>
          </x14:formula1>
          <xm:sqref>I380</xm:sqref>
        </x14:dataValidation>
        <x14:dataValidation type="list" allowBlank="1" showInputMessage="1" showErrorMessage="1">
          <x14:formula1>
            <xm:f>'!System'!$Q$3:$Q$15</xm:f>
          </x14:formula1>
          <xm:sqref>M383</xm:sqref>
        </x14:dataValidation>
        <x14:dataValidation type="list" allowBlank="1" showInputMessage="1" showErrorMessage="1">
          <x14:formula1>
            <xm:f>'!System'!$U$2:$U$17</xm:f>
          </x14:formula1>
          <xm:sqref>I386</xm:sqref>
        </x14:dataValidation>
        <x14:dataValidation type="list" allowBlank="1" showInputMessage="1" showErrorMessage="1">
          <x14:formula1>
            <xm:f>'!System'!$V$2:$V$16</xm:f>
          </x14:formula1>
          <xm:sqref>I387</xm:sqref>
        </x14:dataValidation>
        <x14:dataValidation type="list" allowBlank="1" showInputMessage="1" showErrorMessage="1">
          <x14:formula1>
            <xm:f>'!System'!$U$2:$U$17</xm:f>
          </x14:formula1>
          <xm:sqref>I388</xm:sqref>
        </x14:dataValidation>
        <x14:dataValidation type="list" allowBlank="1" showInputMessage="1" showErrorMessage="1">
          <x14:formula1>
            <xm:f>'!System'!$U$2:$U$17</xm:f>
          </x14:formula1>
          <xm:sqref>I389</xm:sqref>
        </x14:dataValidation>
        <x14:dataValidation type="list" allowBlank="1" showInputMessage="1" showErrorMessage="1">
          <x14:formula1>
            <xm:f>'!System'!$U$2:$U$17</xm:f>
          </x14:formula1>
          <xm:sqref>I390</xm:sqref>
        </x14:dataValidation>
        <x14:dataValidation type="list" allowBlank="1" showInputMessage="1" showErrorMessage="1">
          <x14:formula1>
            <xm:f>'!System'!$Q$3:$Q$15</xm:f>
          </x14:formula1>
          <xm:sqref>M393</xm:sqref>
        </x14:dataValidation>
        <x14:dataValidation type="list" allowBlank="1" showInputMessage="1" showErrorMessage="1">
          <x14:formula1>
            <xm:f>'!System'!$U$2:$U$17</xm:f>
          </x14:formula1>
          <xm:sqref>I397</xm:sqref>
        </x14:dataValidation>
        <x14:dataValidation type="list" allowBlank="1" showInputMessage="1" showErrorMessage="1">
          <x14:formula1>
            <xm:f>'!System'!$U$2:$U$17</xm:f>
          </x14:formula1>
          <xm:sqref>I398</xm:sqref>
        </x14:dataValidation>
        <x14:dataValidation type="list" allowBlank="1" showInputMessage="1" showErrorMessage="1">
          <x14:formula1>
            <xm:f>'!System'!$V$2:$V$16</xm:f>
          </x14:formula1>
          <xm:sqref>I399</xm:sqref>
        </x14:dataValidation>
        <x14:dataValidation type="list" allowBlank="1" showInputMessage="1" showErrorMessage="1">
          <x14:formula1>
            <xm:f>'!System'!$V$2:$V$16</xm:f>
          </x14:formula1>
          <xm:sqref>I400</xm:sqref>
        </x14:dataValidation>
        <x14:dataValidation type="list" allowBlank="1" showInputMessage="1" showErrorMessage="1">
          <x14:formula1>
            <xm:f>'!System'!$U$2:$U$17</xm:f>
          </x14:formula1>
          <xm:sqref>I401</xm:sqref>
        </x14:dataValidation>
        <x14:dataValidation type="list" allowBlank="1" showInputMessage="1" showErrorMessage="1">
          <x14:formula1>
            <xm:f>'!System'!$U$2:$U$17</xm:f>
          </x14:formula1>
          <xm:sqref>I402</xm:sqref>
        </x14:dataValidation>
        <x14:dataValidation type="list" allowBlank="1" showInputMessage="1" showErrorMessage="1">
          <x14:formula1>
            <xm:f>'!System'!$U$2:$U$17</xm:f>
          </x14:formula1>
          <xm:sqref>I403</xm:sqref>
        </x14:dataValidation>
        <x14:dataValidation type="list" allowBlank="1" showInputMessage="1" showErrorMessage="1">
          <x14:formula1>
            <xm:f>'!System'!$V$2:$V$16</xm:f>
          </x14:formula1>
          <xm:sqref>I404</xm:sqref>
        </x14:dataValidation>
        <x14:dataValidation type="list" allowBlank="1" showInputMessage="1" showErrorMessage="1">
          <x14:formula1>
            <xm:f>'!System'!$Q$3:$Q$15</xm:f>
          </x14:formula1>
          <xm:sqref>M407</xm:sqref>
        </x14:dataValidation>
        <x14:dataValidation type="list" allowBlank="1" showInputMessage="1" showErrorMessage="1">
          <x14:formula1>
            <xm:f>'!System'!$U$2:$U$17</xm:f>
          </x14:formula1>
          <xm:sqref>I411</xm:sqref>
        </x14:dataValidation>
        <x14:dataValidation type="list" allowBlank="1" showInputMessage="1" showErrorMessage="1">
          <x14:formula1>
            <xm:f>'!System'!$V$2:$V$16</xm:f>
          </x14:formula1>
          <xm:sqref>I412</xm:sqref>
        </x14:dataValidation>
        <x14:dataValidation type="list" allowBlank="1" showInputMessage="1" showErrorMessage="1">
          <x14:formula1>
            <xm:f>'!System'!$U$2:$U$17</xm:f>
          </x14:formula1>
          <xm:sqref>I413</xm:sqref>
        </x14:dataValidation>
        <x14:dataValidation type="list" allowBlank="1" showInputMessage="1" showErrorMessage="1">
          <x14:formula1>
            <xm:f>'!System'!$Q$3:$Q$15</xm:f>
          </x14:formula1>
          <xm:sqref>M416</xm:sqref>
        </x14:dataValidation>
        <x14:dataValidation type="list" allowBlank="1" showInputMessage="1" showErrorMessage="1">
          <x14:formula1>
            <xm:f>'!System'!$U$2:$U$17</xm:f>
          </x14:formula1>
          <xm:sqref>I419</xm:sqref>
        </x14:dataValidation>
        <x14:dataValidation type="list" allowBlank="1" showInputMessage="1" showErrorMessage="1">
          <x14:formula1>
            <xm:f>'!System'!$U$2:$U$17</xm:f>
          </x14:formula1>
          <xm:sqref>I420</xm:sqref>
        </x14:dataValidation>
        <x14:dataValidation type="list" allowBlank="1" showInputMessage="1" showErrorMessage="1">
          <x14:formula1>
            <xm:f>'!System'!$U$2:$U$17</xm:f>
          </x14:formula1>
          <xm:sqref>I421</xm:sqref>
        </x14:dataValidation>
        <x14:dataValidation type="list" allowBlank="1" showInputMessage="1" showErrorMessage="1">
          <x14:formula1>
            <xm:f>'!System'!$V$2:$V$16</xm:f>
          </x14:formula1>
          <xm:sqref>I422</xm:sqref>
        </x14:dataValidation>
        <x14:dataValidation type="list" allowBlank="1" showInputMessage="1" showErrorMessage="1">
          <x14:formula1>
            <xm:f>'!System'!$V$2:$V$16</xm:f>
          </x14:formula1>
          <xm:sqref>I423</xm:sqref>
        </x14:dataValidation>
        <x14:dataValidation type="list" allowBlank="1" showInputMessage="1" showErrorMessage="1">
          <x14:formula1>
            <xm:f>'!System'!$U$2:$U$17</xm:f>
          </x14:formula1>
          <xm:sqref>I424</xm:sqref>
        </x14:dataValidation>
        <x14:dataValidation type="list" allowBlank="1" showInputMessage="1" showErrorMessage="1">
          <x14:formula1>
            <xm:f>'!System'!$U$2:$U$17</xm:f>
          </x14:formula1>
          <xm:sqref>I425</xm:sqref>
        </x14:dataValidation>
        <x14:dataValidation type="list" allowBlank="1" showInputMessage="1" showErrorMessage="1">
          <x14:formula1>
            <xm:f>'!System'!$U$2:$U$17</xm:f>
          </x14:formula1>
          <xm:sqref>I426</xm:sqref>
        </x14:dataValidation>
        <x14:dataValidation type="list" allowBlank="1" showInputMessage="1" showErrorMessage="1">
          <x14:formula1>
            <xm:f>'!System'!$V$2:$V$16</xm:f>
          </x14:formula1>
          <xm:sqref>I427</xm:sqref>
        </x14:dataValidation>
        <x14:dataValidation type="list" allowBlank="1" showInputMessage="1" showErrorMessage="1">
          <x14:formula1>
            <xm:f>'!System'!$U$2:$U$17</xm:f>
          </x14:formula1>
          <xm:sqref>I432</xm:sqref>
        </x14:dataValidation>
        <x14:dataValidation type="list" allowBlank="1" showInputMessage="1" showErrorMessage="1">
          <x14:formula1>
            <xm:f>'!System'!$U$2:$U$17</xm:f>
          </x14:formula1>
          <xm:sqref>I433</xm:sqref>
        </x14:dataValidation>
        <x14:dataValidation type="list" allowBlank="1" showInputMessage="1" showErrorMessage="1">
          <x14:formula1>
            <xm:f>'!System'!$U$2:$U$17</xm:f>
          </x14:formula1>
          <xm:sqref>I434</xm:sqref>
        </x14:dataValidation>
        <x14:dataValidation type="list" allowBlank="1" showInputMessage="1" showErrorMessage="1">
          <x14:formula1>
            <xm:f>'!System'!$U$2:$U$17</xm:f>
          </x14:formula1>
          <xm:sqref>I435</xm:sqref>
        </x14:dataValidation>
        <x14:dataValidation type="list" allowBlank="1" showInputMessage="1" showErrorMessage="1">
          <x14:formula1>
            <xm:f>'!System'!$U$2:$U$17</xm:f>
          </x14:formula1>
          <xm:sqref>I436</xm:sqref>
        </x14:dataValidation>
        <x14:dataValidation type="list" allowBlank="1" showInputMessage="1" showErrorMessage="1">
          <x14:formula1>
            <xm:f>'!System'!$U$2:$U$17</xm:f>
          </x14:formula1>
          <xm:sqref>I437</xm:sqref>
        </x14:dataValidation>
        <x14:dataValidation type="list" allowBlank="1" showInputMessage="1" showErrorMessage="1">
          <x14:formula1>
            <xm:f>'!System'!$V$2:$V$16</xm:f>
          </x14:formula1>
          <xm:sqref>I438</xm:sqref>
        </x14:dataValidation>
        <x14:dataValidation type="list" allowBlank="1" showInputMessage="1" showErrorMessage="1">
          <x14:formula1>
            <xm:f>'!System'!$V$2:$V$16</xm:f>
          </x14:formula1>
          <xm:sqref>I439</xm:sqref>
        </x14:dataValidation>
        <x14:dataValidation type="list" allowBlank="1" showInputMessage="1" showErrorMessage="1">
          <x14:formula1>
            <xm:f>'!System'!$V$2:$V$16</xm:f>
          </x14:formula1>
          <xm:sqref>I440</xm:sqref>
        </x14:dataValidation>
        <x14:dataValidation type="list" allowBlank="1" showInputMessage="1" showErrorMessage="1">
          <x14:formula1>
            <xm:f>'!System'!$V$2:$V$16</xm:f>
          </x14:formula1>
          <xm:sqref>I441</xm:sqref>
        </x14:dataValidation>
        <x14:dataValidation type="list" allowBlank="1" showInputMessage="1" showErrorMessage="1">
          <x14:formula1>
            <xm:f>'!System'!$U$2:$U$17</xm:f>
          </x14:formula1>
          <xm:sqref>I442</xm:sqref>
        </x14:dataValidation>
        <x14:dataValidation type="list" allowBlank="1" showInputMessage="1" showErrorMessage="1">
          <x14:formula1>
            <xm:f>'!System'!$U$2:$U$17</xm:f>
          </x14:formula1>
          <xm:sqref>I443</xm:sqref>
        </x14:dataValidation>
        <x14:dataValidation type="list" allowBlank="1" showInputMessage="1" showErrorMessage="1">
          <x14:formula1>
            <xm:f>'!System'!$U$2:$U$17</xm:f>
          </x14:formula1>
          <xm:sqref>I444</xm:sqref>
        </x14:dataValidation>
        <x14:dataValidation type="list" allowBlank="1" showInputMessage="1" showErrorMessage="1">
          <x14:formula1>
            <xm:f>'!System'!$V$2:$V$16</xm:f>
          </x14:formula1>
          <xm:sqref>I445</xm:sqref>
        </x14:dataValidation>
        <x14:dataValidation type="list" allowBlank="1" showInputMessage="1" showErrorMessage="1">
          <x14:formula1>
            <xm:f>'!System'!$U$2:$U$17</xm:f>
          </x14:formula1>
          <xm:sqref>I446</xm:sqref>
        </x14:dataValidation>
        <x14:dataValidation type="list" allowBlank="1" showInputMessage="1" showErrorMessage="1">
          <x14:formula1>
            <xm:f>'!System'!$U$2:$U$17</xm:f>
          </x14:formula1>
          <xm:sqref>I447</xm:sqref>
        </x14:dataValidation>
        <x14:dataValidation type="list" allowBlank="1" showInputMessage="1" showErrorMessage="1">
          <x14:formula1>
            <xm:f>'!System'!$Q$3:$Q$15</xm:f>
          </x14:formula1>
          <xm:sqref>M450</xm:sqref>
        </x14:dataValidation>
        <x14:dataValidation type="list" allowBlank="1" showInputMessage="1" showErrorMessage="1">
          <x14:formula1>
            <xm:f>'!System'!$U$2:$U$17</xm:f>
          </x14:formula1>
          <xm:sqref>I457</xm:sqref>
        </x14:dataValidation>
        <x14:dataValidation type="list" allowBlank="1" showInputMessage="1" showErrorMessage="1">
          <x14:formula1>
            <xm:f>'!System'!$U$2:$U$17</xm:f>
          </x14:formula1>
          <xm:sqref>I458</xm:sqref>
        </x14:dataValidation>
        <x14:dataValidation type="list" allowBlank="1" showInputMessage="1" showErrorMessage="1">
          <x14:formula1>
            <xm:f>'!System'!$V$2:$V$16</xm:f>
          </x14:formula1>
          <xm:sqref>I459</xm:sqref>
        </x14:dataValidation>
        <x14:dataValidation type="list" allowBlank="1" showInputMessage="1" showErrorMessage="1">
          <x14:formula1>
            <xm:f>'!System'!$U$2:$U$17</xm:f>
          </x14:formula1>
          <xm:sqref>I460</xm:sqref>
        </x14:dataValidation>
        <x14:dataValidation type="list" allowBlank="1" showInputMessage="1" showErrorMessage="1">
          <x14:formula1>
            <xm:f>'!System'!$U$2:$U$17</xm:f>
          </x14:formula1>
          <xm:sqref>I461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AR34"/>
  <sheetViews>
    <sheetView topLeftCell="A1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44" ht="63" x14ac:dyDescent="0.25">
      <c r="A2" s="134"/>
      <c r="B2" s="136"/>
      <c r="C2" s="136"/>
      <c r="D2" s="136"/>
      <c r="E2" s="136"/>
      <c r="F2" s="136"/>
      <c r="G2" s="136"/>
      <c r="H2" s="43" t="s">
        <v>170</v>
      </c>
      <c r="I2" s="43" t="s">
        <v>171</v>
      </c>
      <c r="J2" s="43" t="s">
        <v>172</v>
      </c>
      <c r="K2" s="43" t="s">
        <v>173</v>
      </c>
      <c r="L2" s="43" t="s">
        <v>174</v>
      </c>
      <c r="M2" s="43" t="s">
        <v>175</v>
      </c>
      <c r="N2" s="43" t="s">
        <v>176</v>
      </c>
      <c r="O2" s="43" t="s">
        <v>177</v>
      </c>
      <c r="P2" s="43" t="s">
        <v>178</v>
      </c>
      <c r="Q2" s="43" t="s">
        <v>179</v>
      </c>
      <c r="R2" s="136"/>
      <c r="S2" s="43" t="s">
        <v>180</v>
      </c>
      <c r="T2" s="43" t="s">
        <v>181</v>
      </c>
      <c r="U2" s="39" t="s">
        <v>182</v>
      </c>
    </row>
    <row r="3" spans="1:44" ht="15.75" x14ac:dyDescent="0.25">
      <c r="A3" s="21" t="str">
        <f>B7</f>
        <v>Км1.3</v>
      </c>
      <c r="B3" s="22" t="s">
        <v>183</v>
      </c>
      <c r="C3" s="22" t="s">
        <v>184</v>
      </c>
      <c r="D3" s="22" t="s">
        <v>185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44" ht="16.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44" ht="16.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44" ht="16.5" x14ac:dyDescent="0.25">
      <c r="A6" s="21" t="s">
        <v>183</v>
      </c>
      <c r="B6" s="22" t="s">
        <v>183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44" ht="15.75" x14ac:dyDescent="0.25">
      <c r="A7" s="25" t="str">
        <f>B7</f>
        <v>Км1.3</v>
      </c>
      <c r="B7" s="26" t="s">
        <v>186</v>
      </c>
      <c r="C7" s="26"/>
      <c r="D7" s="26" t="s">
        <v>187</v>
      </c>
      <c r="E7" s="26">
        <v>1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7"/>
    </row>
    <row r="8" spans="1:44" ht="15.75" x14ac:dyDescent="0.25">
      <c r="A8" s="38" t="str">
        <f>A7</f>
        <v>Км1.3</v>
      </c>
      <c r="B8" s="43">
        <v>1</v>
      </c>
      <c r="C8" s="43" t="s">
        <v>188</v>
      </c>
      <c r="D8" s="43" t="s">
        <v>189</v>
      </c>
      <c r="E8" s="43">
        <v>4</v>
      </c>
      <c r="F8" s="22">
        <v>2.984</v>
      </c>
      <c r="G8" s="43"/>
      <c r="H8" s="43">
        <v>5070</v>
      </c>
      <c r="I8" s="43">
        <v>22</v>
      </c>
      <c r="J8" s="43" t="s">
        <v>2</v>
      </c>
      <c r="K8" s="43"/>
      <c r="L8" s="43"/>
      <c r="M8" s="43"/>
      <c r="N8" s="43"/>
      <c r="O8" s="43"/>
      <c r="P8" s="43"/>
      <c r="Q8" s="43"/>
      <c r="R8" s="43"/>
      <c r="S8" s="43">
        <v>800</v>
      </c>
      <c r="T8" s="43">
        <v>960</v>
      </c>
      <c r="U8" s="39">
        <v>88</v>
      </c>
      <c r="AP8">
        <v>650</v>
      </c>
      <c r="AQ8">
        <v>780</v>
      </c>
      <c r="AR8">
        <v>30</v>
      </c>
    </row>
    <row r="9" spans="1:44" ht="15.75" x14ac:dyDescent="0.25">
      <c r="A9" s="38" t="str">
        <f>A8</f>
        <v>Км1.3</v>
      </c>
      <c r="B9" s="43">
        <v>2</v>
      </c>
      <c r="C9" s="43" t="s">
        <v>190</v>
      </c>
      <c r="D9" s="43" t="s">
        <v>191</v>
      </c>
      <c r="E9" s="43">
        <f>38+34+(29*5)+30</f>
        <v>247</v>
      </c>
      <c r="F9" s="22">
        <v>0.39500000000000002</v>
      </c>
      <c r="G9" s="43" t="s">
        <v>0</v>
      </c>
      <c r="H9" s="43">
        <f>420*4+150</f>
        <v>1830</v>
      </c>
      <c r="I9" s="43">
        <v>8</v>
      </c>
      <c r="J9" s="43" t="s">
        <v>1</v>
      </c>
      <c r="K9" s="43"/>
      <c r="L9" s="43"/>
      <c r="M9" s="43"/>
      <c r="N9" s="43"/>
      <c r="O9" s="43"/>
      <c r="P9" s="43"/>
      <c r="Q9" s="43"/>
      <c r="R9" s="43"/>
      <c r="S9" s="43">
        <v>200</v>
      </c>
      <c r="T9" s="43">
        <v>250</v>
      </c>
      <c r="U9" s="39">
        <v>10</v>
      </c>
    </row>
    <row r="10" spans="1:44" ht="15.75" x14ac:dyDescent="0.25">
      <c r="A10" s="38" t="str">
        <f>A9</f>
        <v>Км1.3</v>
      </c>
      <c r="B10" s="43">
        <v>3</v>
      </c>
      <c r="C10" s="43" t="s">
        <v>188</v>
      </c>
      <c r="D10" s="43" t="s">
        <v>192</v>
      </c>
      <c r="E10" s="43">
        <v>4</v>
      </c>
      <c r="F10" s="22">
        <v>2.4660000000000002</v>
      </c>
      <c r="G10" s="43"/>
      <c r="H10" s="43">
        <v>4500</v>
      </c>
      <c r="I10" s="43">
        <v>20</v>
      </c>
      <c r="J10" s="43" t="s">
        <v>2</v>
      </c>
      <c r="K10" s="43"/>
      <c r="L10" s="43"/>
      <c r="M10" s="43"/>
      <c r="N10" s="43"/>
      <c r="O10" s="43"/>
      <c r="P10" s="43"/>
      <c r="Q10" s="43"/>
      <c r="R10" s="43"/>
      <c r="S10" s="43">
        <v>725</v>
      </c>
      <c r="T10" s="43">
        <v>870</v>
      </c>
      <c r="U10" s="39">
        <v>80</v>
      </c>
      <c r="AP10">
        <v>970</v>
      </c>
      <c r="AQ10">
        <v>1165</v>
      </c>
      <c r="AR10">
        <v>45</v>
      </c>
    </row>
    <row r="11" spans="1:44" ht="15.75" x14ac:dyDescent="0.25">
      <c r="A11" s="38" t="str">
        <f>A10</f>
        <v>Км1.3</v>
      </c>
      <c r="B11" s="43">
        <v>4</v>
      </c>
      <c r="C11" s="43" t="s">
        <v>188</v>
      </c>
      <c r="D11" s="43" t="s">
        <v>193</v>
      </c>
      <c r="E11" s="43">
        <f>4*5</f>
        <v>20</v>
      </c>
      <c r="F11" s="22">
        <v>2.4660000000000002</v>
      </c>
      <c r="G11" s="43"/>
      <c r="H11" s="43">
        <v>4050</v>
      </c>
      <c r="I11" s="43">
        <v>20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725</v>
      </c>
      <c r="T11" s="43">
        <v>870</v>
      </c>
      <c r="U11" s="39">
        <v>80</v>
      </c>
    </row>
    <row r="12" spans="1:44" ht="15.75" x14ac:dyDescent="0.25">
      <c r="A12" s="38" t="str">
        <f>A11</f>
        <v>Км1.3</v>
      </c>
      <c r="B12" s="43">
        <v>23</v>
      </c>
      <c r="C12" s="43" t="s">
        <v>188</v>
      </c>
      <c r="D12" s="43" t="s">
        <v>194</v>
      </c>
      <c r="E12" s="43">
        <v>4</v>
      </c>
      <c r="F12" s="22">
        <v>2.4660000000000002</v>
      </c>
      <c r="G12" s="43"/>
      <c r="H12" s="43">
        <v>2720</v>
      </c>
      <c r="I12" s="43">
        <v>20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725</v>
      </c>
      <c r="T12" s="43">
        <v>870</v>
      </c>
      <c r="U12" s="39">
        <v>80</v>
      </c>
    </row>
    <row r="13" spans="1:44" ht="15.75" x14ac:dyDescent="0.25">
      <c r="A13" s="38" t="str">
        <f t="shared" ref="A13:A15" si="0">A12</f>
        <v>Км1.3</v>
      </c>
      <c r="B13" s="43"/>
      <c r="C13" s="28" t="s">
        <v>195</v>
      </c>
      <c r="D13" s="28" t="s">
        <v>196</v>
      </c>
      <c r="E13" s="28">
        <f>4.82*0.5*0.5</f>
        <v>1.2050000000000001</v>
      </c>
      <c r="F13" s="22" t="s">
        <v>4</v>
      </c>
      <c r="G13" s="43" t="s">
        <v>3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39"/>
      <c r="AP13">
        <v>865</v>
      </c>
      <c r="AQ13">
        <v>1035</v>
      </c>
      <c r="AR13">
        <v>40</v>
      </c>
    </row>
    <row r="14" spans="1:44" ht="15.75" x14ac:dyDescent="0.25">
      <c r="A14" s="38" t="str">
        <f t="shared" si="0"/>
        <v>Км1.3</v>
      </c>
      <c r="B14" s="43"/>
      <c r="C14" s="28" t="s">
        <v>195</v>
      </c>
      <c r="D14" s="28" t="s">
        <v>197</v>
      </c>
      <c r="E14" s="28">
        <f>26.97*0.5*0.5</f>
        <v>6.7424999999999997</v>
      </c>
      <c r="F14" s="22" t="s">
        <v>4</v>
      </c>
      <c r="G14" s="43" t="s">
        <v>3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39"/>
      <c r="AP14">
        <v>970</v>
      </c>
      <c r="AQ14">
        <v>1165</v>
      </c>
      <c r="AR14">
        <v>45</v>
      </c>
    </row>
    <row r="15" spans="1:44" ht="15.75" x14ac:dyDescent="0.25">
      <c r="A15" s="38" t="str">
        <f t="shared" si="0"/>
        <v>Км1.3</v>
      </c>
      <c r="B15" s="30"/>
      <c r="C15" s="30" t="s">
        <v>198</v>
      </c>
      <c r="D15" s="30" t="s">
        <v>199</v>
      </c>
      <c r="E15" s="30">
        <v>4</v>
      </c>
      <c r="F15" s="22">
        <f>0.012*0.12*0.12*7850</f>
        <v>1.3564799999999997</v>
      </c>
      <c r="G15" s="43"/>
      <c r="H15" s="43"/>
      <c r="I15" s="43"/>
      <c r="J15" s="43"/>
      <c r="K15" s="43">
        <f>120*120</f>
        <v>14400</v>
      </c>
      <c r="L15" s="43" t="s">
        <v>23</v>
      </c>
      <c r="M15" s="32">
        <f>--12</f>
        <v>12</v>
      </c>
      <c r="N15" s="43"/>
      <c r="O15" s="43" t="s">
        <v>24</v>
      </c>
      <c r="P15" s="43"/>
      <c r="Q15" s="43"/>
      <c r="R15" s="43"/>
      <c r="S15" s="43"/>
      <c r="T15" s="43"/>
      <c r="U15" s="39"/>
      <c r="AP15">
        <v>865</v>
      </c>
      <c r="AQ15">
        <v>1035</v>
      </c>
      <c r="AR15">
        <v>40</v>
      </c>
    </row>
    <row r="16" spans="1:44" ht="15.75" x14ac:dyDescent="0.25">
      <c r="A16" s="38" t="str">
        <f>A15</f>
        <v>Км1.3</v>
      </c>
      <c r="B16" s="43"/>
      <c r="C16" s="43" t="s">
        <v>198</v>
      </c>
      <c r="D16" s="43" t="s">
        <v>199</v>
      </c>
      <c r="E16" s="43">
        <v>4</v>
      </c>
      <c r="F16" s="43">
        <f>0.012*0.12*0.12*7850</f>
        <v>1.3564799999999997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39"/>
      <c r="AP16">
        <v>970</v>
      </c>
      <c r="AQ16">
        <v>1165</v>
      </c>
      <c r="AR16">
        <v>45</v>
      </c>
    </row>
    <row r="17" spans="1:21" ht="16.5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 ht="16.5" x14ac:dyDescent="0.25">
      <c r="A18" s="21" t="s">
        <v>183</v>
      </c>
      <c r="B18" s="22" t="s">
        <v>183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3"/>
    </row>
    <row r="19" spans="1:21" ht="31.5" x14ac:dyDescent="0.25">
      <c r="A19" s="25" t="str">
        <f>B19</f>
        <v>Км12.2</v>
      </c>
      <c r="B19" s="26" t="s">
        <v>200</v>
      </c>
      <c r="C19" s="26"/>
      <c r="D19" s="26" t="s">
        <v>201</v>
      </c>
      <c r="E19" s="26">
        <v>1</v>
      </c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7"/>
    </row>
    <row r="20" spans="1:21" ht="31.5" x14ac:dyDescent="0.25">
      <c r="A20" s="38" t="str">
        <f>A19</f>
        <v>Км12.2</v>
      </c>
      <c r="B20" s="43">
        <v>20</v>
      </c>
      <c r="C20" s="43" t="s">
        <v>188</v>
      </c>
      <c r="D20" s="43" t="s">
        <v>189</v>
      </c>
      <c r="E20" s="43">
        <v>4</v>
      </c>
      <c r="F20" s="22">
        <v>2.4660000000000002</v>
      </c>
      <c r="G20" s="43"/>
      <c r="H20" s="43">
        <v>5070</v>
      </c>
      <c r="I20" s="43">
        <v>20</v>
      </c>
      <c r="J20" s="43" t="s">
        <v>2</v>
      </c>
      <c r="K20" s="43"/>
      <c r="L20" s="43"/>
      <c r="M20" s="43"/>
      <c r="N20" s="43"/>
      <c r="O20" s="43"/>
      <c r="P20" s="43"/>
      <c r="Q20" s="43"/>
      <c r="R20" s="43"/>
      <c r="S20" s="43" t="s">
        <v>202</v>
      </c>
      <c r="T20" s="43" t="s">
        <v>202</v>
      </c>
      <c r="U20" s="39">
        <v>80</v>
      </c>
    </row>
    <row r="21" spans="1:21" ht="31.5" x14ac:dyDescent="0.25">
      <c r="A21" s="38" t="str">
        <f>A20</f>
        <v>Км12.2</v>
      </c>
      <c r="B21" s="43">
        <v>9</v>
      </c>
      <c r="C21" s="43" t="s">
        <v>188</v>
      </c>
      <c r="D21" s="43" t="s">
        <v>189</v>
      </c>
      <c r="E21" s="43">
        <v>4</v>
      </c>
      <c r="F21" s="22">
        <v>1.208</v>
      </c>
      <c r="G21" s="43" t="s">
        <v>0</v>
      </c>
      <c r="H21" s="43">
        <v>5870</v>
      </c>
      <c r="I21" s="43">
        <v>14</v>
      </c>
      <c r="J21" s="43" t="s">
        <v>2</v>
      </c>
      <c r="K21" s="43"/>
      <c r="L21" s="43"/>
      <c r="M21" s="43"/>
      <c r="N21" s="43"/>
      <c r="O21" s="43"/>
      <c r="P21" s="43"/>
      <c r="Q21" s="43"/>
      <c r="R21" s="43"/>
      <c r="S21" s="43" t="s">
        <v>202</v>
      </c>
      <c r="T21" s="43" t="s">
        <v>202</v>
      </c>
      <c r="U21" s="39">
        <v>35</v>
      </c>
    </row>
    <row r="22" spans="1:21" ht="31.5" x14ac:dyDescent="0.25">
      <c r="A22" s="38" t="str">
        <f>A20</f>
        <v>Км12.2</v>
      </c>
      <c r="B22" s="43">
        <v>13</v>
      </c>
      <c r="C22" s="43" t="s">
        <v>190</v>
      </c>
      <c r="D22" s="43" t="s">
        <v>203</v>
      </c>
      <c r="E22" s="43">
        <f>38+34+(29*5)+30</f>
        <v>247</v>
      </c>
      <c r="F22" s="22">
        <v>0.39500000000000002</v>
      </c>
      <c r="G22" s="43" t="s">
        <v>0</v>
      </c>
      <c r="H22" s="43">
        <f>520*4+150</f>
        <v>2230</v>
      </c>
      <c r="I22" s="43">
        <v>8</v>
      </c>
      <c r="J22" s="43" t="s">
        <v>1</v>
      </c>
      <c r="K22" s="43"/>
      <c r="L22" s="43"/>
      <c r="M22" s="43"/>
      <c r="N22" s="43"/>
      <c r="O22" s="43"/>
      <c r="P22" s="43"/>
      <c r="Q22" s="43"/>
      <c r="R22" s="43"/>
      <c r="S22" s="43" t="s">
        <v>202</v>
      </c>
      <c r="T22" s="43" t="s">
        <v>202</v>
      </c>
      <c r="U22" s="39">
        <v>10</v>
      </c>
    </row>
    <row r="23" spans="1:21" ht="31.5" x14ac:dyDescent="0.25">
      <c r="A23" s="38" t="str">
        <f>A21</f>
        <v>Км12.2</v>
      </c>
      <c r="B23" s="43">
        <v>14</v>
      </c>
      <c r="C23" s="43" t="s">
        <v>190</v>
      </c>
      <c r="D23" s="43" t="s">
        <v>203</v>
      </c>
      <c r="E23" s="43">
        <f>38+34+(29*5)+30</f>
        <v>247</v>
      </c>
      <c r="F23" s="22">
        <v>0.39500000000000002</v>
      </c>
      <c r="G23" s="43" t="s">
        <v>0</v>
      </c>
      <c r="H23" s="43">
        <f>370*4+150</f>
        <v>1630</v>
      </c>
      <c r="I23" s="43">
        <v>8</v>
      </c>
      <c r="J23" s="43" t="s">
        <v>1</v>
      </c>
      <c r="K23" s="43"/>
      <c r="L23" s="43"/>
      <c r="M23" s="43"/>
      <c r="N23" s="43"/>
      <c r="O23" s="43"/>
      <c r="P23" s="43"/>
      <c r="Q23" s="43"/>
      <c r="R23" s="43"/>
      <c r="S23" s="43" t="s">
        <v>202</v>
      </c>
      <c r="T23" s="43" t="s">
        <v>202</v>
      </c>
      <c r="U23" s="39">
        <v>10</v>
      </c>
    </row>
    <row r="24" spans="1:21" ht="31.5" x14ac:dyDescent="0.25">
      <c r="A24" s="38" t="str">
        <f>A21</f>
        <v>Км12.2</v>
      </c>
      <c r="B24" s="43">
        <v>12</v>
      </c>
      <c r="C24" s="43" t="s">
        <v>188</v>
      </c>
      <c r="D24" s="43" t="s">
        <v>192</v>
      </c>
      <c r="E24" s="43">
        <v>4</v>
      </c>
      <c r="F24" s="22">
        <v>1.5780000000000001</v>
      </c>
      <c r="G24" s="43" t="s">
        <v>0</v>
      </c>
      <c r="H24" s="43">
        <v>5970</v>
      </c>
      <c r="I24" s="43">
        <v>16</v>
      </c>
      <c r="J24" s="43" t="s">
        <v>2</v>
      </c>
      <c r="K24" s="43"/>
      <c r="L24" s="43"/>
      <c r="M24" s="43"/>
      <c r="N24" s="43"/>
      <c r="O24" s="43"/>
      <c r="P24" s="43"/>
      <c r="Q24" s="43"/>
      <c r="R24" s="43"/>
      <c r="S24" s="43" t="s">
        <v>202</v>
      </c>
      <c r="T24" s="43" t="s">
        <v>202</v>
      </c>
      <c r="U24" s="39">
        <v>40</v>
      </c>
    </row>
    <row r="25" spans="1:21" ht="31.5" x14ac:dyDescent="0.25">
      <c r="A25" s="38" t="str">
        <f>A22</f>
        <v>Км12.2</v>
      </c>
      <c r="B25" s="43">
        <v>3</v>
      </c>
      <c r="C25" s="43" t="s">
        <v>188</v>
      </c>
      <c r="D25" s="43" t="s">
        <v>204</v>
      </c>
      <c r="E25" s="43">
        <v>4</v>
      </c>
      <c r="F25" s="22">
        <v>2.4660000000000002</v>
      </c>
      <c r="G25" s="43"/>
      <c r="H25" s="43">
        <v>4500</v>
      </c>
      <c r="I25" s="43">
        <v>20</v>
      </c>
      <c r="J25" s="43" t="s">
        <v>2</v>
      </c>
      <c r="K25" s="43"/>
      <c r="L25" s="43"/>
      <c r="M25" s="43"/>
      <c r="N25" s="43"/>
      <c r="O25" s="43"/>
      <c r="P25" s="43"/>
      <c r="Q25" s="43"/>
      <c r="R25" s="43"/>
      <c r="S25" s="43" t="s">
        <v>202</v>
      </c>
      <c r="T25" s="43" t="s">
        <v>202</v>
      </c>
      <c r="U25" s="39">
        <v>80</v>
      </c>
    </row>
    <row r="26" spans="1:21" ht="31.5" x14ac:dyDescent="0.25">
      <c r="A26" s="38" t="str">
        <f>A23</f>
        <v>Км12.2</v>
      </c>
      <c r="B26" s="43">
        <v>15</v>
      </c>
      <c r="C26" s="43" t="s">
        <v>188</v>
      </c>
      <c r="D26" s="43" t="s">
        <v>205</v>
      </c>
      <c r="E26" s="43">
        <v>4</v>
      </c>
      <c r="F26" s="22">
        <v>1.5780000000000001</v>
      </c>
      <c r="G26" s="43" t="s">
        <v>0</v>
      </c>
      <c r="H26" s="43">
        <v>4870</v>
      </c>
      <c r="I26" s="43">
        <v>16</v>
      </c>
      <c r="J26" s="43" t="s">
        <v>2</v>
      </c>
      <c r="K26" s="43"/>
      <c r="L26" s="43"/>
      <c r="M26" s="43"/>
      <c r="N26" s="43"/>
      <c r="O26" s="43"/>
      <c r="P26" s="43"/>
      <c r="Q26" s="43"/>
      <c r="R26" s="43"/>
      <c r="S26" s="43" t="s">
        <v>202</v>
      </c>
      <c r="T26" s="43" t="s">
        <v>202</v>
      </c>
      <c r="U26" s="39">
        <v>40</v>
      </c>
    </row>
    <row r="27" spans="1:21" ht="31.5" x14ac:dyDescent="0.25">
      <c r="A27" s="38" t="str">
        <f>A24</f>
        <v>Км12.2</v>
      </c>
      <c r="B27" s="43">
        <v>16</v>
      </c>
      <c r="C27" s="43" t="s">
        <v>188</v>
      </c>
      <c r="D27" s="43" t="s">
        <v>206</v>
      </c>
      <c r="E27" s="43">
        <v>4</v>
      </c>
      <c r="F27" s="22">
        <v>2.4660000000000002</v>
      </c>
      <c r="G27" s="43"/>
      <c r="H27" s="43">
        <v>4060</v>
      </c>
      <c r="I27" s="43">
        <v>20</v>
      </c>
      <c r="J27" s="43" t="s">
        <v>2</v>
      </c>
      <c r="K27" s="43"/>
      <c r="L27" s="43"/>
      <c r="M27" s="43"/>
      <c r="N27" s="43"/>
      <c r="O27" s="43"/>
      <c r="P27" s="43"/>
      <c r="Q27" s="43"/>
      <c r="R27" s="43"/>
      <c r="S27" s="43" t="s">
        <v>202</v>
      </c>
      <c r="T27" s="43" t="s">
        <v>202</v>
      </c>
      <c r="U27" s="39">
        <v>80</v>
      </c>
    </row>
    <row r="28" spans="1:21" ht="31.5" x14ac:dyDescent="0.25">
      <c r="A28" s="38" t="str">
        <f>A25</f>
        <v>Км12.2</v>
      </c>
      <c r="B28" s="43">
        <v>17</v>
      </c>
      <c r="C28" s="43" t="s">
        <v>188</v>
      </c>
      <c r="D28" s="43" t="s">
        <v>206</v>
      </c>
      <c r="E28" s="43">
        <v>4</v>
      </c>
      <c r="F28" s="22">
        <v>1.5780000000000001</v>
      </c>
      <c r="G28" s="43"/>
      <c r="H28" s="43">
        <v>4400</v>
      </c>
      <c r="I28" s="43">
        <v>16</v>
      </c>
      <c r="J28" s="43" t="s">
        <v>2</v>
      </c>
      <c r="K28" s="43"/>
      <c r="L28" s="43"/>
      <c r="M28" s="43"/>
      <c r="N28" s="43"/>
      <c r="O28" s="43"/>
      <c r="P28" s="43"/>
      <c r="Q28" s="43"/>
      <c r="R28" s="43"/>
      <c r="S28" s="43" t="s">
        <v>202</v>
      </c>
      <c r="T28" s="43" t="s">
        <v>202</v>
      </c>
      <c r="U28" s="39">
        <v>40</v>
      </c>
    </row>
    <row r="29" spans="1:21" ht="31.5" x14ac:dyDescent="0.25">
      <c r="A29" s="38" t="str">
        <f>A25</f>
        <v>Км12.2</v>
      </c>
      <c r="B29" s="43">
        <v>4</v>
      </c>
      <c r="C29" s="43" t="s">
        <v>188</v>
      </c>
      <c r="D29" s="43" t="s">
        <v>207</v>
      </c>
      <c r="E29" s="43">
        <v>4</v>
      </c>
      <c r="F29" s="22">
        <v>2.4660000000000002</v>
      </c>
      <c r="G29" s="43"/>
      <c r="H29" s="43">
        <v>4050</v>
      </c>
      <c r="I29" s="43">
        <v>20</v>
      </c>
      <c r="J29" s="43" t="s">
        <v>2</v>
      </c>
      <c r="K29" s="43"/>
      <c r="L29" s="43"/>
      <c r="M29" s="43"/>
      <c r="N29" s="43"/>
      <c r="O29" s="43"/>
      <c r="P29" s="43"/>
      <c r="Q29" s="43"/>
      <c r="R29" s="43"/>
      <c r="S29" s="43" t="s">
        <v>202</v>
      </c>
      <c r="T29" s="43" t="s">
        <v>202</v>
      </c>
      <c r="U29" s="39">
        <v>80</v>
      </c>
    </row>
    <row r="30" spans="1:21" ht="31.5" x14ac:dyDescent="0.25">
      <c r="A30" s="38" t="str">
        <f>A28</f>
        <v>Км12.2</v>
      </c>
      <c r="B30" s="43">
        <v>23</v>
      </c>
      <c r="C30" s="43" t="s">
        <v>188</v>
      </c>
      <c r="D30" s="43" t="s">
        <v>194</v>
      </c>
      <c r="E30" s="43">
        <v>4</v>
      </c>
      <c r="F30" s="22">
        <v>2.4660000000000002</v>
      </c>
      <c r="G30" s="43"/>
      <c r="H30" s="43">
        <v>2720</v>
      </c>
      <c r="I30" s="43">
        <v>20</v>
      </c>
      <c r="J30" s="43" t="s">
        <v>2</v>
      </c>
      <c r="K30" s="43"/>
      <c r="L30" s="43"/>
      <c r="M30" s="43"/>
      <c r="N30" s="43"/>
      <c r="O30" s="43"/>
      <c r="P30" s="43"/>
      <c r="Q30" s="43"/>
      <c r="R30" s="43"/>
      <c r="S30" s="43" t="s">
        <v>202</v>
      </c>
      <c r="T30" s="43" t="s">
        <v>202</v>
      </c>
      <c r="U30" s="39">
        <v>80</v>
      </c>
    </row>
    <row r="31" spans="1:21" ht="31.5" x14ac:dyDescent="0.25">
      <c r="A31" s="38" t="str">
        <f>A29</f>
        <v>Км12.2</v>
      </c>
      <c r="B31" s="43">
        <v>2</v>
      </c>
      <c r="C31" s="43" t="s">
        <v>190</v>
      </c>
      <c r="D31" s="43" t="s">
        <v>191</v>
      </c>
      <c r="E31" s="43">
        <f>29+29+29+40</f>
        <v>127</v>
      </c>
      <c r="F31" s="22">
        <v>0.39500000000000002</v>
      </c>
      <c r="G31" s="43" t="s">
        <v>0</v>
      </c>
      <c r="H31" s="43">
        <f>420*4+150</f>
        <v>1830</v>
      </c>
      <c r="I31" s="43">
        <v>8</v>
      </c>
      <c r="J31" s="43" t="s">
        <v>1</v>
      </c>
      <c r="K31" s="43"/>
      <c r="L31" s="43"/>
      <c r="M31" s="43"/>
      <c r="N31" s="43"/>
      <c r="O31" s="43"/>
      <c r="P31" s="43"/>
      <c r="Q31" s="43"/>
      <c r="R31" s="43"/>
      <c r="S31" s="43" t="s">
        <v>202</v>
      </c>
      <c r="T31" s="43" t="s">
        <v>202</v>
      </c>
      <c r="U31" s="39">
        <v>10</v>
      </c>
    </row>
    <row r="32" spans="1:21" ht="15.75" x14ac:dyDescent="0.25">
      <c r="A32" s="38" t="str">
        <f t="shared" ref="A32:A34" si="1">A31</f>
        <v>Км12.2</v>
      </c>
      <c r="B32" s="43"/>
      <c r="C32" s="28" t="s">
        <v>195</v>
      </c>
      <c r="D32" s="28" t="s">
        <v>196</v>
      </c>
      <c r="E32" s="28">
        <f>(0.25*1.5*1.5)+(0.6*0.6*4.57)</f>
        <v>2.2077</v>
      </c>
      <c r="F32" s="22" t="s">
        <v>4</v>
      </c>
      <c r="G32" s="43" t="s">
        <v>3</v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39"/>
    </row>
    <row r="33" spans="1:21" ht="15.75" x14ac:dyDescent="0.25">
      <c r="A33" s="38" t="str">
        <f t="shared" si="1"/>
        <v>Км12.2</v>
      </c>
      <c r="B33" s="43"/>
      <c r="C33" s="28" t="s">
        <v>195</v>
      </c>
      <c r="D33" s="28" t="s">
        <v>197</v>
      </c>
      <c r="E33" s="28">
        <f>(0.6*0.6*11.85)+(0.5*0.5*15.12)</f>
        <v>8.0459999999999994</v>
      </c>
      <c r="F33" s="22" t="s">
        <v>4</v>
      </c>
      <c r="G33" s="43" t="s">
        <v>3</v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39"/>
    </row>
    <row r="34" spans="1:21" ht="16.5" thickBot="1" x14ac:dyDescent="0.3">
      <c r="A34" s="40" t="str">
        <f t="shared" si="1"/>
        <v>Км12.2</v>
      </c>
      <c r="B34" s="31"/>
      <c r="C34" s="31" t="s">
        <v>198</v>
      </c>
      <c r="D34" s="31" t="s">
        <v>199</v>
      </c>
      <c r="E34" s="31">
        <v>4</v>
      </c>
      <c r="F34" s="29">
        <f>0.012*0.12*0.12*7850</f>
        <v>1.3564799999999997</v>
      </c>
      <c r="G34" s="41"/>
      <c r="H34" s="41"/>
      <c r="I34" s="41"/>
      <c r="J34" s="41"/>
      <c r="K34" s="41">
        <f>120*120</f>
        <v>14400</v>
      </c>
      <c r="L34" s="41" t="s">
        <v>23</v>
      </c>
      <c r="M34" s="33">
        <f>--12</f>
        <v>12</v>
      </c>
      <c r="N34" s="41"/>
      <c r="O34" s="41" t="s">
        <v>24</v>
      </c>
      <c r="P34" s="41"/>
      <c r="Q34" s="41"/>
      <c r="R34" s="41"/>
      <c r="S34" s="41"/>
      <c r="T34" s="41"/>
      <c r="U34" s="42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34 H2:Q2 K1 R1:S1 S2:U2">
    <cfRule type="containsText" dxfId="83" priority="2" stopIfTrue="1" operator="containsText" text="С ЛИСТА">
      <formula>NOT(ISERROR(SEARCH("С ЛИСТА",A1)))</formula>
    </cfRule>
    <cfRule type="containsText" dxfId="82" priority="3" stopIfTrue="1" operator="containsText" text="ИЗ ФАЙЛА">
      <formula>NOT(ISERROR(SEARCH("ИЗ ФАЙЛА",A1)))</formula>
    </cfRule>
    <cfRule type="containsText" dxfId="81" priority="4" stopIfTrue="1" operator="containsText" text="!!!">
      <formula>NOT(ISERROR(SEARCH("!!!",A1)))</formula>
    </cfRule>
    <cfRule type="containsText" dxfId="80" priority="5" stopIfTrue="1" operator="containsText" text=" Изделия ">
      <formula>NOT(ISERROR(SEARCH(" Изделия ",A1)))</formula>
    </cfRule>
    <cfRule type="containsText" dxfId="79" priority="6" stopIfTrue="1" operator="containsText" text=" Прокат ">
      <formula>NOT(ISERROR(SEARCH(" Прокат ",A1)))</formula>
    </cfRule>
    <cfRule type="containsText" dxfId="78" priority="7" stopIfTrue="1" operator="containsText" text=" Сборочные единицы ">
      <formula>NOT(ISERROR(SEARCH(" Сборочные единицы ",A1)))</formula>
    </cfRule>
    <cfRule type="containsText" dxfId="77" priority="8" stopIfTrue="1" operator="containsText" text=" Материалы ">
      <formula>NOT(ISERROR(SEARCH(" Материалы ",A1)))</formula>
    </cfRule>
    <cfRule type="containsText" dxfId="76" priority="9" stopIfTrue="1" operator="containsText" text=", на ">
      <formula>NOT(ISERROR(SEARCH(", на ",A1)))</formula>
    </cfRule>
    <cfRule type="containsText" dxfId="75" priority="10" stopIfTrue="1" operator="containsText" text="шт.)">
      <formula>NOT(ISERROR(SEARCH("шт.)",A1)))</formula>
    </cfRule>
  </conditionalFormatting>
  <conditionalFormatting sqref="A1:U1048576">
    <cfRule type="expression" dxfId="74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errorStyle="warning" allowBlank="1" showInputMessage="1" showErrorMessage="1">
          <x14:formula1>
            <xm:f>'!System'!$AO$1:$AO$6</xm:f>
          </x14:formula1>
          <xm:sqref>G3:G34</xm:sqref>
        </x14:dataValidation>
        <x14:dataValidation type="list" allowBlank="1" showInputMessage="1" showErrorMessage="1">
          <x14:formula1>
            <xm:f>'!System'!$U$1:$AC$1</xm:f>
          </x14:formula1>
          <xm:sqref>J3:J34</xm:sqref>
        </x14:dataValidation>
        <x14:dataValidation type="list" allowBlank="1" showInputMessage="1" showErrorMessage="1">
          <x14:formula1>
            <xm:f>'!System'!$A$1:$S$1</xm:f>
          </x14:formula1>
          <xm:sqref>L3:L34</xm:sqref>
        </x14:dataValidation>
        <x14:dataValidation type="list" allowBlank="1" showInputMessage="1" showErrorMessage="1">
          <x14:formula1>
            <xm:f>'!System'!$AD$1:$AN$1</xm:f>
          </x14:formula1>
          <xm:sqref>O3:O34</xm:sqref>
        </x14:dataValidation>
        <x14:dataValidation type="list" allowBlank="1" showInputMessage="1" showErrorMessage="1">
          <x14:formula1>
            <xm:f>'!System'!$AP$1:$AP$5</xm:f>
          </x14:formula1>
          <xm:sqref>P3:P34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'!System'!$Q$3:$Q$15</xm:f>
          </x14:formula1>
          <xm:sqref>M15</xm:sqref>
        </x14:dataValidation>
        <x14:dataValidation type="list" allowBlank="1" showInputMessage="1" showErrorMessage="1">
          <x14:formula1>
            <xm:f>'!System'!$U$2:$U$17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'!System'!$V$2:$V$16</xm:f>
          </x14:formula1>
          <xm:sqref>I22</xm:sqref>
        </x14:dataValidation>
        <x14:dataValidation type="list" allowBlank="1" showInputMessage="1" showErrorMessage="1">
          <x14:formula1>
            <xm:f>'!System'!$V$2:$V$16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'!System'!$U$2:$U$17</xm:f>
          </x14:formula1>
          <xm:sqref>I27</xm:sqref>
        </x14:dataValidation>
        <x14:dataValidation type="list" allowBlank="1" showInputMessage="1" showErrorMessage="1">
          <x14:formula1>
            <xm:f>'!System'!$U$2:$U$17</xm:f>
          </x14:formula1>
          <xm:sqref>I28</xm:sqref>
        </x14:dataValidation>
        <x14:dataValidation type="list" allowBlank="1" showInputMessage="1" showErrorMessage="1">
          <x14:formula1>
            <xm:f>'!System'!$U$2:$U$17</xm:f>
          </x14:formula1>
          <xm:sqref>I29</xm:sqref>
        </x14:dataValidation>
        <x14:dataValidation type="list" allowBlank="1" showInputMessage="1" showErrorMessage="1">
          <x14:formula1>
            <xm:f>'!System'!$U$2:$U$17</xm:f>
          </x14:formula1>
          <xm:sqref>I30</xm:sqref>
        </x14:dataValidation>
        <x14:dataValidation type="list" allowBlank="1" showInputMessage="1" showErrorMessage="1">
          <x14:formula1>
            <xm:f>'!System'!$V$2:$V$16</xm:f>
          </x14:formula1>
          <xm:sqref>I31</xm:sqref>
        </x14:dataValidation>
        <x14:dataValidation type="list" allowBlank="1" showInputMessage="1" showErrorMessage="1">
          <x14:formula1>
            <xm:f>'!System'!$Q$3:$Q$15</xm:f>
          </x14:formula1>
          <xm:sqref>M34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32"/>
  <sheetViews>
    <sheetView topLeftCell="A19" workbookViewId="0">
      <selection activeCell="G11" sqref="G11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3" t="s">
        <v>170</v>
      </c>
      <c r="I2" s="43" t="s">
        <v>171</v>
      </c>
      <c r="J2" s="43" t="s">
        <v>172</v>
      </c>
      <c r="K2" s="43" t="s">
        <v>173</v>
      </c>
      <c r="L2" s="43" t="s">
        <v>174</v>
      </c>
      <c r="M2" s="43" t="s">
        <v>175</v>
      </c>
      <c r="N2" s="43" t="s">
        <v>176</v>
      </c>
      <c r="O2" s="43" t="s">
        <v>177</v>
      </c>
      <c r="P2" s="43" t="s">
        <v>178</v>
      </c>
      <c r="Q2" s="43" t="s">
        <v>179</v>
      </c>
      <c r="R2" s="136"/>
      <c r="S2" s="43" t="s">
        <v>180</v>
      </c>
      <c r="T2" s="43" t="s">
        <v>181</v>
      </c>
      <c r="U2" s="39" t="s">
        <v>182</v>
      </c>
    </row>
    <row r="3" spans="1:21" ht="16.5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 ht="16.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1" ht="15.75" x14ac:dyDescent="0.25">
      <c r="A5" s="34" t="s">
        <v>310</v>
      </c>
      <c r="B5" s="35" t="str">
        <f>A5</f>
        <v>Кр1</v>
      </c>
      <c r="C5" s="35" t="s">
        <v>2701</v>
      </c>
      <c r="D5" s="35" t="s">
        <v>311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21" ht="31.5" x14ac:dyDescent="0.25">
      <c r="A6" s="38" t="str">
        <f>A5</f>
        <v>Кр1</v>
      </c>
      <c r="B6" s="43">
        <v>18</v>
      </c>
      <c r="C6" s="43" t="s">
        <v>190</v>
      </c>
      <c r="D6" s="43" t="s">
        <v>2702</v>
      </c>
      <c r="E6" s="43">
        <v>9</v>
      </c>
      <c r="F6" s="22">
        <v>0.39500000000000002</v>
      </c>
      <c r="G6" s="43"/>
      <c r="H6" s="43">
        <v>210</v>
      </c>
      <c r="I6" s="43">
        <v>8</v>
      </c>
      <c r="J6" s="43" t="s">
        <v>1</v>
      </c>
      <c r="K6" s="43"/>
      <c r="L6" s="43"/>
      <c r="M6" s="43"/>
      <c r="N6" s="43"/>
      <c r="O6" s="43"/>
      <c r="P6" s="43"/>
      <c r="Q6" s="43"/>
      <c r="R6" s="43"/>
      <c r="S6" s="43" t="s">
        <v>202</v>
      </c>
      <c r="T6" s="43" t="s">
        <v>202</v>
      </c>
      <c r="U6" s="39">
        <v>10</v>
      </c>
    </row>
    <row r="7" spans="1:21" ht="31.5" x14ac:dyDescent="0.25">
      <c r="A7" s="38" t="str">
        <f>A5</f>
        <v>Кр1</v>
      </c>
      <c r="B7" s="43">
        <v>17</v>
      </c>
      <c r="C7" s="43" t="s">
        <v>190</v>
      </c>
      <c r="D7" s="43" t="s">
        <v>2703</v>
      </c>
      <c r="E7" s="43">
        <v>2</v>
      </c>
      <c r="F7" s="22">
        <v>0.39500000000000002</v>
      </c>
      <c r="G7" s="43"/>
      <c r="H7" s="43">
        <v>1280</v>
      </c>
      <c r="I7" s="43">
        <v>8</v>
      </c>
      <c r="J7" s="43" t="s">
        <v>1</v>
      </c>
      <c r="K7" s="43"/>
      <c r="L7" s="43"/>
      <c r="M7" s="43"/>
      <c r="N7" s="43"/>
      <c r="O7" s="43"/>
      <c r="P7" s="43"/>
      <c r="Q7" s="43"/>
      <c r="R7" s="43"/>
      <c r="S7" s="43" t="s">
        <v>202</v>
      </c>
      <c r="T7" s="43" t="s">
        <v>202</v>
      </c>
      <c r="U7" s="39">
        <v>10</v>
      </c>
    </row>
    <row r="8" spans="1:21" ht="16.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</row>
    <row r="9" spans="1:21" ht="16.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 ht="15.75" x14ac:dyDescent="0.25">
      <c r="A10" s="34" t="s">
        <v>2704</v>
      </c>
      <c r="B10" s="35" t="str">
        <f>A10</f>
        <v>Кп1</v>
      </c>
      <c r="C10" s="35" t="s">
        <v>2701</v>
      </c>
      <c r="D10" s="35" t="s">
        <v>2705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6"/>
    </row>
    <row r="11" spans="1:21" ht="31.5" x14ac:dyDescent="0.25">
      <c r="A11" s="38" t="str">
        <f>A10</f>
        <v>Кп1</v>
      </c>
      <c r="B11" s="43">
        <v>20</v>
      </c>
      <c r="C11" s="43" t="s">
        <v>190</v>
      </c>
      <c r="D11" s="43" t="s">
        <v>2702</v>
      </c>
      <c r="E11" s="43">
        <v>19</v>
      </c>
      <c r="F11" s="22">
        <v>0.61699999999999999</v>
      </c>
      <c r="G11" s="43"/>
      <c r="H11" s="43">
        <v>210</v>
      </c>
      <c r="I11" s="43">
        <v>10</v>
      </c>
      <c r="J11" s="43" t="s">
        <v>1</v>
      </c>
      <c r="K11" s="43"/>
      <c r="L11" s="43"/>
      <c r="M11" s="43"/>
      <c r="N11" s="43"/>
      <c r="O11" s="43"/>
      <c r="P11" s="43"/>
      <c r="Q11" s="43"/>
      <c r="R11" s="43"/>
      <c r="S11" s="43" t="s">
        <v>202</v>
      </c>
      <c r="T11" s="43" t="s">
        <v>202</v>
      </c>
      <c r="U11" s="39">
        <v>12.5</v>
      </c>
    </row>
    <row r="12" spans="1:21" ht="31.5" x14ac:dyDescent="0.25">
      <c r="A12" s="38" t="str">
        <f>A10</f>
        <v>Кп1</v>
      </c>
      <c r="B12" s="43">
        <v>19</v>
      </c>
      <c r="C12" s="43" t="s">
        <v>190</v>
      </c>
      <c r="D12" s="43" t="s">
        <v>2703</v>
      </c>
      <c r="E12" s="43">
        <v>2</v>
      </c>
      <c r="F12" s="22">
        <v>0.39500000000000002</v>
      </c>
      <c r="G12" s="43"/>
      <c r="H12" s="43">
        <v>1220</v>
      </c>
      <c r="I12" s="43">
        <v>8</v>
      </c>
      <c r="J12" s="43" t="s">
        <v>1</v>
      </c>
      <c r="K12" s="43"/>
      <c r="L12" s="43"/>
      <c r="M12" s="43"/>
      <c r="N12" s="43"/>
      <c r="O12" s="43"/>
      <c r="P12" s="43"/>
      <c r="Q12" s="43"/>
      <c r="R12" s="43"/>
      <c r="S12" s="43" t="s">
        <v>202</v>
      </c>
      <c r="T12" s="43" t="s">
        <v>202</v>
      </c>
      <c r="U12" s="39">
        <v>10</v>
      </c>
    </row>
    <row r="13" spans="1:21" ht="16.5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1" ht="16.5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</row>
    <row r="15" spans="1:21" ht="15.75" x14ac:dyDescent="0.25">
      <c r="A15" s="34" t="s">
        <v>2706</v>
      </c>
      <c r="B15" s="35" t="str">
        <f>A15</f>
        <v>Кп2</v>
      </c>
      <c r="C15" s="35" t="s">
        <v>2701</v>
      </c>
      <c r="D15" s="35" t="s">
        <v>2707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6"/>
    </row>
    <row r="16" spans="1:21" ht="31.5" x14ac:dyDescent="0.25">
      <c r="A16" s="38" t="str">
        <f>A15</f>
        <v>Кп2</v>
      </c>
      <c r="B16" s="43">
        <v>20</v>
      </c>
      <c r="C16" s="43" t="s">
        <v>190</v>
      </c>
      <c r="D16" s="43" t="s">
        <v>2702</v>
      </c>
      <c r="E16" s="43">
        <v>5</v>
      </c>
      <c r="F16" s="22">
        <v>0.61699999999999999</v>
      </c>
      <c r="G16" s="43"/>
      <c r="H16" s="43">
        <v>210</v>
      </c>
      <c r="I16" s="43">
        <v>10</v>
      </c>
      <c r="J16" s="43" t="s">
        <v>1</v>
      </c>
      <c r="K16" s="43"/>
      <c r="L16" s="43"/>
      <c r="M16" s="43"/>
      <c r="N16" s="43"/>
      <c r="O16" s="43"/>
      <c r="P16" s="43"/>
      <c r="Q16" s="43"/>
      <c r="R16" s="43"/>
      <c r="S16" s="43" t="s">
        <v>202</v>
      </c>
      <c r="T16" s="43" t="s">
        <v>202</v>
      </c>
      <c r="U16" s="39">
        <v>12.5</v>
      </c>
    </row>
    <row r="17" spans="1:21" ht="31.5" x14ac:dyDescent="0.25">
      <c r="A17" s="38" t="str">
        <f>A15</f>
        <v>Кп2</v>
      </c>
      <c r="B17" s="43">
        <v>21</v>
      </c>
      <c r="C17" s="43" t="s">
        <v>190</v>
      </c>
      <c r="D17" s="43" t="s">
        <v>2703</v>
      </c>
      <c r="E17" s="43">
        <v>2</v>
      </c>
      <c r="F17" s="22">
        <v>0.39500000000000002</v>
      </c>
      <c r="G17" s="43"/>
      <c r="H17" s="43">
        <v>310</v>
      </c>
      <c r="I17" s="43">
        <v>8</v>
      </c>
      <c r="J17" s="43" t="s">
        <v>1</v>
      </c>
      <c r="K17" s="43"/>
      <c r="L17" s="43"/>
      <c r="M17" s="43"/>
      <c r="N17" s="43"/>
      <c r="O17" s="43"/>
      <c r="P17" s="43"/>
      <c r="Q17" s="43"/>
      <c r="R17" s="43"/>
      <c r="S17" s="43" t="s">
        <v>202</v>
      </c>
      <c r="T17" s="43" t="s">
        <v>202</v>
      </c>
      <c r="U17" s="39">
        <v>10</v>
      </c>
    </row>
    <row r="18" spans="1:21" ht="16.5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6.5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</row>
    <row r="20" spans="1:21" ht="15.75" x14ac:dyDescent="0.25">
      <c r="A20" s="34" t="s">
        <v>2708</v>
      </c>
      <c r="B20" s="35" t="str">
        <f>A20</f>
        <v>Кп3</v>
      </c>
      <c r="C20" s="35" t="s">
        <v>2701</v>
      </c>
      <c r="D20" s="35" t="s">
        <v>2709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6"/>
    </row>
    <row r="21" spans="1:21" ht="31.5" x14ac:dyDescent="0.25">
      <c r="A21" s="38" t="str">
        <f>A20</f>
        <v>Кп3</v>
      </c>
      <c r="B21" s="43">
        <v>20</v>
      </c>
      <c r="C21" s="43" t="s">
        <v>190</v>
      </c>
      <c r="D21" s="43" t="s">
        <v>2702</v>
      </c>
      <c r="E21" s="43">
        <v>21</v>
      </c>
      <c r="F21" s="22">
        <v>0.61699999999999999</v>
      </c>
      <c r="G21" s="43"/>
      <c r="H21" s="43">
        <v>210</v>
      </c>
      <c r="I21" s="43">
        <v>10</v>
      </c>
      <c r="J21" s="43" t="s">
        <v>1</v>
      </c>
      <c r="K21" s="43"/>
      <c r="L21" s="43"/>
      <c r="M21" s="43"/>
      <c r="N21" s="43"/>
      <c r="O21" s="43"/>
      <c r="P21" s="43"/>
      <c r="Q21" s="43"/>
      <c r="R21" s="43"/>
      <c r="S21" s="43" t="s">
        <v>202</v>
      </c>
      <c r="T21" s="43" t="s">
        <v>202</v>
      </c>
      <c r="U21" s="39">
        <v>12.5</v>
      </c>
    </row>
    <row r="22" spans="1:21" ht="31.5" x14ac:dyDescent="0.25">
      <c r="A22" s="38" t="str">
        <f>A20</f>
        <v>Кп3</v>
      </c>
      <c r="B22" s="43">
        <v>22</v>
      </c>
      <c r="C22" s="43" t="s">
        <v>190</v>
      </c>
      <c r="D22" s="43" t="s">
        <v>2703</v>
      </c>
      <c r="E22" s="43">
        <v>2</v>
      </c>
      <c r="F22" s="22">
        <v>0.39500000000000002</v>
      </c>
      <c r="G22" s="43"/>
      <c r="H22" s="43">
        <v>1350</v>
      </c>
      <c r="I22" s="43">
        <v>8</v>
      </c>
      <c r="J22" s="43" t="s">
        <v>1</v>
      </c>
      <c r="K22" s="43"/>
      <c r="L22" s="43"/>
      <c r="M22" s="43"/>
      <c r="N22" s="43"/>
      <c r="O22" s="43"/>
      <c r="P22" s="43"/>
      <c r="Q22" s="43"/>
      <c r="R22" s="43"/>
      <c r="S22" s="43" t="s">
        <v>202</v>
      </c>
      <c r="T22" s="43" t="s">
        <v>202</v>
      </c>
      <c r="U22" s="39">
        <v>10</v>
      </c>
    </row>
    <row r="23" spans="1:21" ht="16.5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</row>
    <row r="24" spans="1:21" ht="16.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x14ac:dyDescent="0.25">
      <c r="A25" s="34" t="s">
        <v>2710</v>
      </c>
      <c r="B25" s="35" t="str">
        <f>A25</f>
        <v>Кп4</v>
      </c>
      <c r="C25" s="35" t="s">
        <v>2701</v>
      </c>
      <c r="D25" s="35" t="s">
        <v>2711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6"/>
    </row>
    <row r="26" spans="1:21" ht="31.5" x14ac:dyDescent="0.25">
      <c r="A26" s="38" t="str">
        <f>A25</f>
        <v>Кп4</v>
      </c>
      <c r="B26" s="43">
        <v>20</v>
      </c>
      <c r="C26" s="43" t="s">
        <v>190</v>
      </c>
      <c r="D26" s="43" t="s">
        <v>2702</v>
      </c>
      <c r="E26" s="43">
        <v>25</v>
      </c>
      <c r="F26" s="22">
        <v>0.61699999999999999</v>
      </c>
      <c r="G26" s="43"/>
      <c r="H26" s="43">
        <v>210</v>
      </c>
      <c r="I26" s="43">
        <v>10</v>
      </c>
      <c r="J26" s="43" t="s">
        <v>1</v>
      </c>
      <c r="K26" s="43"/>
      <c r="L26" s="43"/>
      <c r="M26" s="43"/>
      <c r="N26" s="43"/>
      <c r="O26" s="43"/>
      <c r="P26" s="43"/>
      <c r="Q26" s="43"/>
      <c r="R26" s="43"/>
      <c r="S26" s="43" t="s">
        <v>202</v>
      </c>
      <c r="T26" s="43" t="s">
        <v>202</v>
      </c>
      <c r="U26" s="39">
        <v>12.5</v>
      </c>
    </row>
    <row r="27" spans="1:21" ht="31.5" x14ac:dyDescent="0.25">
      <c r="A27" s="38" t="str">
        <f>A25</f>
        <v>Кп4</v>
      </c>
      <c r="B27" s="43">
        <v>22</v>
      </c>
      <c r="C27" s="43" t="s">
        <v>190</v>
      </c>
      <c r="D27" s="43" t="s">
        <v>2703</v>
      </c>
      <c r="E27" s="43">
        <v>2</v>
      </c>
      <c r="F27" s="22">
        <v>0.39500000000000002</v>
      </c>
      <c r="G27" s="43"/>
      <c r="H27" s="43">
        <v>1490</v>
      </c>
      <c r="I27" s="43">
        <v>8</v>
      </c>
      <c r="J27" s="43" t="s">
        <v>1</v>
      </c>
      <c r="K27" s="43"/>
      <c r="L27" s="43"/>
      <c r="M27" s="43"/>
      <c r="N27" s="43"/>
      <c r="O27" s="43"/>
      <c r="P27" s="43"/>
      <c r="Q27" s="43"/>
      <c r="R27" s="43"/>
      <c r="S27" s="43" t="s">
        <v>202</v>
      </c>
      <c r="T27" s="43" t="s">
        <v>202</v>
      </c>
      <c r="U27" s="39">
        <v>10</v>
      </c>
    </row>
    <row r="28" spans="1:21" ht="16.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6.5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 ht="15.75" x14ac:dyDescent="0.25">
      <c r="A30" s="34" t="s">
        <v>2712</v>
      </c>
      <c r="B30" s="35" t="str">
        <f>A30</f>
        <v>Кп5</v>
      </c>
      <c r="C30" s="35" t="s">
        <v>2701</v>
      </c>
      <c r="D30" s="35" t="s">
        <v>2713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6"/>
    </row>
    <row r="31" spans="1:21" ht="31.5" x14ac:dyDescent="0.25">
      <c r="A31" s="38" t="str">
        <f>A30</f>
        <v>Кп5</v>
      </c>
      <c r="B31" s="43">
        <v>20</v>
      </c>
      <c r="C31" s="43" t="s">
        <v>190</v>
      </c>
      <c r="D31" s="43" t="s">
        <v>2702</v>
      </c>
      <c r="E31" s="43">
        <v>6</v>
      </c>
      <c r="F31" s="22">
        <v>0.61699999999999999</v>
      </c>
      <c r="G31" s="43"/>
      <c r="H31" s="43">
        <v>210</v>
      </c>
      <c r="I31" s="43">
        <v>10</v>
      </c>
      <c r="J31" s="43" t="s">
        <v>1</v>
      </c>
      <c r="K31" s="43"/>
      <c r="L31" s="43"/>
      <c r="M31" s="43"/>
      <c r="N31" s="43"/>
      <c r="O31" s="43"/>
      <c r="P31" s="43"/>
      <c r="Q31" s="43"/>
      <c r="R31" s="43"/>
      <c r="S31" s="43" t="s">
        <v>202</v>
      </c>
      <c r="T31" s="43" t="s">
        <v>202</v>
      </c>
      <c r="U31" s="39">
        <v>12.5</v>
      </c>
    </row>
    <row r="32" spans="1:21" ht="32.25" thickBot="1" x14ac:dyDescent="0.3">
      <c r="A32" s="40" t="str">
        <f>A30</f>
        <v>Кп5</v>
      </c>
      <c r="B32" s="41">
        <v>22</v>
      </c>
      <c r="C32" s="41" t="s">
        <v>190</v>
      </c>
      <c r="D32" s="41" t="s">
        <v>2703</v>
      </c>
      <c r="E32" s="41">
        <v>2</v>
      </c>
      <c r="F32" s="29">
        <v>0.39500000000000002</v>
      </c>
      <c r="G32" s="41"/>
      <c r="H32" s="41">
        <v>350</v>
      </c>
      <c r="I32" s="41">
        <v>8</v>
      </c>
      <c r="J32" s="41" t="s">
        <v>1</v>
      </c>
      <c r="K32" s="41"/>
      <c r="L32" s="41"/>
      <c r="M32" s="41"/>
      <c r="N32" s="41"/>
      <c r="O32" s="41"/>
      <c r="P32" s="41"/>
      <c r="Q32" s="41"/>
      <c r="R32" s="41"/>
      <c r="S32" s="41" t="s">
        <v>202</v>
      </c>
      <c r="T32" s="41" t="s">
        <v>202</v>
      </c>
      <c r="U32" s="42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32 H2:Q2 K1 R1:S1 S2:U2">
    <cfRule type="containsText" dxfId="73" priority="2" stopIfTrue="1" operator="containsText" text="С ЛИСТА">
      <formula>NOT(ISERROR(SEARCH("С ЛИСТА",A1)))</formula>
    </cfRule>
    <cfRule type="containsText" dxfId="72" priority="3" stopIfTrue="1" operator="containsText" text="ИЗ ФАЙЛА">
      <formula>NOT(ISERROR(SEARCH("ИЗ ФАЙЛА",A1)))</formula>
    </cfRule>
    <cfRule type="containsText" dxfId="71" priority="4" stopIfTrue="1" operator="containsText" text="!!!">
      <formula>NOT(ISERROR(SEARCH("!!!",A1)))</formula>
    </cfRule>
    <cfRule type="containsText" dxfId="70" priority="5" stopIfTrue="1" operator="containsText" text=" Изделия ">
      <formula>NOT(ISERROR(SEARCH(" Изделия ",A1)))</formula>
    </cfRule>
    <cfRule type="containsText" dxfId="69" priority="6" stopIfTrue="1" operator="containsText" text=" Прокат ">
      <formula>NOT(ISERROR(SEARCH(" Прокат ",A1)))</formula>
    </cfRule>
    <cfRule type="containsText" dxfId="68" priority="7" stopIfTrue="1" operator="containsText" text=" Сборочные единицы ">
      <formula>NOT(ISERROR(SEARCH(" Сборочные единицы ",A1)))</formula>
    </cfRule>
    <cfRule type="containsText" dxfId="67" priority="8" stopIfTrue="1" operator="containsText" text=" Материалы ">
      <formula>NOT(ISERROR(SEARCH(" Материалы ",A1)))</formula>
    </cfRule>
    <cfRule type="containsText" dxfId="66" priority="9" stopIfTrue="1" operator="containsText" text=", на ">
      <formula>NOT(ISERROR(SEARCH(", на ",A1)))</formula>
    </cfRule>
    <cfRule type="containsText" dxfId="65" priority="10" stopIfTrue="1" operator="containsText" text="шт.)">
      <formula>NOT(ISERROR(SEARCH("шт.)",A1)))</formula>
    </cfRule>
  </conditionalFormatting>
  <conditionalFormatting sqref="A1:U1048576">
    <cfRule type="expression" dxfId="64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I31:I32 I26:I27 I21:I22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P3:P32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O3:O32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L3:L32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J3:J32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ДА\prog\YandexDisk\Работа\material-specification\tmpimport\[706Спец (Пм1.1).xlsm]!System'!#REF!</xm:f>
          </x14:formula1>
          <xm:sqref>G3:G32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33"/>
  <sheetViews>
    <sheetView workbookViewId="0">
      <selection sqref="A1:C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6" t="s">
        <v>130</v>
      </c>
      <c r="B1" s="16" t="s">
        <v>131</v>
      </c>
      <c r="C1" s="16" t="s">
        <v>132</v>
      </c>
    </row>
    <row r="2" spans="1:3" ht="30" x14ac:dyDescent="0.25">
      <c r="A2" s="17" t="s">
        <v>66</v>
      </c>
      <c r="B2" s="17" t="s">
        <v>91</v>
      </c>
      <c r="C2" s="17" t="s">
        <v>62</v>
      </c>
    </row>
    <row r="3" spans="1:3" ht="30" x14ac:dyDescent="0.25">
      <c r="A3" s="17" t="s">
        <v>67</v>
      </c>
      <c r="B3" s="17" t="s">
        <v>91</v>
      </c>
      <c r="C3" s="17" t="s">
        <v>68</v>
      </c>
    </row>
    <row r="4" spans="1:3" x14ac:dyDescent="0.25">
      <c r="A4" s="17"/>
      <c r="B4" s="17"/>
      <c r="C4" s="17"/>
    </row>
    <row r="5" spans="1:3" x14ac:dyDescent="0.25">
      <c r="A5" s="17" t="s">
        <v>34</v>
      </c>
      <c r="B5" s="17" t="s">
        <v>35</v>
      </c>
      <c r="C5" s="17" t="s">
        <v>102</v>
      </c>
    </row>
    <row r="6" spans="1:3" x14ac:dyDescent="0.25">
      <c r="A6" s="17" t="s">
        <v>69</v>
      </c>
      <c r="B6" s="17" t="s">
        <v>32</v>
      </c>
      <c r="C6" s="17" t="str">
        <f t="shared" ref="C6" si="0">A6</f>
        <v>!!П1</v>
      </c>
    </row>
    <row r="7" spans="1:3" x14ac:dyDescent="0.25">
      <c r="A7" s="17" t="s">
        <v>70</v>
      </c>
      <c r="B7" s="17" t="s">
        <v>41</v>
      </c>
      <c r="C7" s="17" t="s">
        <v>107</v>
      </c>
    </row>
    <row r="8" spans="1:3" x14ac:dyDescent="0.25">
      <c r="A8" s="17" t="s">
        <v>71</v>
      </c>
      <c r="B8" s="17" t="s">
        <v>39</v>
      </c>
      <c r="C8" s="17" t="s">
        <v>101</v>
      </c>
    </row>
    <row r="9" spans="1:3" x14ac:dyDescent="0.25">
      <c r="A9" s="17" t="s">
        <v>72</v>
      </c>
      <c r="B9" s="17" t="s">
        <v>41</v>
      </c>
      <c r="C9" s="17" t="s">
        <v>99</v>
      </c>
    </row>
    <row r="10" spans="1:3" x14ac:dyDescent="0.25">
      <c r="A10" s="17" t="s">
        <v>73</v>
      </c>
      <c r="B10" s="17" t="s">
        <v>74</v>
      </c>
      <c r="C10" s="17" t="s">
        <v>100</v>
      </c>
    </row>
    <row r="11" spans="1:3" x14ac:dyDescent="0.25">
      <c r="A11" s="17" t="s">
        <v>38</v>
      </c>
      <c r="B11" s="17" t="s">
        <v>39</v>
      </c>
      <c r="C11" s="17" t="s">
        <v>101</v>
      </c>
    </row>
    <row r="12" spans="1:3" x14ac:dyDescent="0.25">
      <c r="A12" s="17" t="s">
        <v>75</v>
      </c>
      <c r="B12" s="17" t="s">
        <v>41</v>
      </c>
      <c r="C12" s="17" t="s">
        <v>105</v>
      </c>
    </row>
    <row r="13" spans="1:3" x14ac:dyDescent="0.25">
      <c r="A13" s="17" t="s">
        <v>43</v>
      </c>
      <c r="B13" s="17" t="s">
        <v>41</v>
      </c>
      <c r="C13" s="17" t="s">
        <v>106</v>
      </c>
    </row>
    <row r="14" spans="1:3" x14ac:dyDescent="0.25">
      <c r="A14" s="17" t="s">
        <v>76</v>
      </c>
      <c r="B14" s="17" t="s">
        <v>77</v>
      </c>
      <c r="C14" s="17" t="s">
        <v>104</v>
      </c>
    </row>
    <row r="15" spans="1:3" x14ac:dyDescent="0.25">
      <c r="A15" s="17" t="s">
        <v>40</v>
      </c>
      <c r="B15" s="17" t="s">
        <v>41</v>
      </c>
      <c r="C15" s="17" t="s">
        <v>108</v>
      </c>
    </row>
    <row r="16" spans="1:3" x14ac:dyDescent="0.25">
      <c r="A16" s="17" t="s">
        <v>78</v>
      </c>
      <c r="B16" s="17" t="s">
        <v>74</v>
      </c>
      <c r="C16" s="17" t="s">
        <v>103</v>
      </c>
    </row>
    <row r="17" spans="1:3" x14ac:dyDescent="0.25">
      <c r="A17" s="17" t="s">
        <v>79</v>
      </c>
      <c r="B17" s="17" t="s">
        <v>77</v>
      </c>
      <c r="C17" s="17" t="s">
        <v>109</v>
      </c>
    </row>
    <row r="18" spans="1:3" x14ac:dyDescent="0.25">
      <c r="A18" s="17" t="s">
        <v>42</v>
      </c>
      <c r="B18" s="17" t="s">
        <v>39</v>
      </c>
      <c r="C18" s="17" t="s">
        <v>110</v>
      </c>
    </row>
    <row r="19" spans="1:3" x14ac:dyDescent="0.25">
      <c r="A19" s="17" t="s">
        <v>80</v>
      </c>
      <c r="B19" s="17" t="s">
        <v>77</v>
      </c>
      <c r="C19" s="17" t="s">
        <v>111</v>
      </c>
    </row>
    <row r="20" spans="1:3" x14ac:dyDescent="0.25">
      <c r="A20" s="17" t="s">
        <v>81</v>
      </c>
      <c r="B20" s="17" t="s">
        <v>41</v>
      </c>
      <c r="C20" s="17" t="s">
        <v>112</v>
      </c>
    </row>
    <row r="21" spans="1:3" ht="30" x14ac:dyDescent="0.25">
      <c r="A21" s="17" t="s">
        <v>82</v>
      </c>
      <c r="B21" s="17" t="s">
        <v>37</v>
      </c>
      <c r="C21" s="17" t="s">
        <v>113</v>
      </c>
    </row>
    <row r="22" spans="1:3" x14ac:dyDescent="0.25">
      <c r="A22" s="17" t="s">
        <v>83</v>
      </c>
      <c r="B22" s="17" t="s">
        <v>39</v>
      </c>
      <c r="C22" s="17" t="s">
        <v>110</v>
      </c>
    </row>
    <row r="23" spans="1:3" x14ac:dyDescent="0.25">
      <c r="A23" s="17" t="s">
        <v>84</v>
      </c>
      <c r="B23" s="17" t="s">
        <v>37</v>
      </c>
      <c r="C23" s="17" t="s">
        <v>114</v>
      </c>
    </row>
    <row r="24" spans="1:3" x14ac:dyDescent="0.25">
      <c r="A24" s="17" t="s">
        <v>40</v>
      </c>
      <c r="B24" s="17" t="s">
        <v>39</v>
      </c>
      <c r="C24" s="17" t="s">
        <v>108</v>
      </c>
    </row>
    <row r="25" spans="1:3" x14ac:dyDescent="0.25">
      <c r="A25" s="17" t="s">
        <v>85</v>
      </c>
      <c r="B25" s="17" t="s">
        <v>77</v>
      </c>
      <c r="C25" s="17" t="s">
        <v>111</v>
      </c>
    </row>
    <row r="26" spans="1:3" x14ac:dyDescent="0.25">
      <c r="A26" s="17" t="s">
        <v>86</v>
      </c>
      <c r="B26" s="17" t="s">
        <v>74</v>
      </c>
      <c r="C26" s="17" t="s">
        <v>100</v>
      </c>
    </row>
    <row r="27" spans="1:3" x14ac:dyDescent="0.25">
      <c r="A27" s="17" t="s">
        <v>87</v>
      </c>
      <c r="B27" s="17" t="s">
        <v>77</v>
      </c>
      <c r="C27" s="17" t="s">
        <v>111</v>
      </c>
    </row>
    <row r="28" spans="1:3" x14ac:dyDescent="0.25">
      <c r="A28" s="17" t="s">
        <v>36</v>
      </c>
      <c r="B28" s="17" t="s">
        <v>32</v>
      </c>
      <c r="C28" s="17" t="s">
        <v>93</v>
      </c>
    </row>
    <row r="29" spans="1:3" x14ac:dyDescent="0.25">
      <c r="A29" s="17" t="s">
        <v>88</v>
      </c>
      <c r="B29" s="17" t="s">
        <v>32</v>
      </c>
      <c r="C29" s="17" t="s">
        <v>94</v>
      </c>
    </row>
    <row r="30" spans="1:3" x14ac:dyDescent="0.25">
      <c r="A30" s="17" t="s">
        <v>89</v>
      </c>
      <c r="B30" s="17" t="s">
        <v>32</v>
      </c>
      <c r="C30" s="17" t="s">
        <v>95</v>
      </c>
    </row>
    <row r="31" spans="1:3" x14ac:dyDescent="0.25">
      <c r="A31" s="17" t="s">
        <v>90</v>
      </c>
      <c r="B31" s="17" t="s">
        <v>32</v>
      </c>
      <c r="C31" s="17" t="s">
        <v>96</v>
      </c>
    </row>
    <row r="32" spans="1:3" x14ac:dyDescent="0.25">
      <c r="A32" s="17" t="s">
        <v>71</v>
      </c>
      <c r="B32" s="17" t="s">
        <v>97</v>
      </c>
      <c r="C32" s="17" t="s">
        <v>101</v>
      </c>
    </row>
    <row r="33" spans="1:3" x14ac:dyDescent="0.25">
      <c r="A33" s="17" t="s">
        <v>98</v>
      </c>
      <c r="B33" s="17" t="s">
        <v>97</v>
      </c>
      <c r="C33" s="17" t="s">
        <v>115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8" tint="0.499984740745262"/>
  </sheetPr>
  <dimension ref="A1:U13"/>
  <sheetViews>
    <sheetView workbookViewId="0">
      <selection activeCell="F11" sqref="F11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33" t="s">
        <v>159</v>
      </c>
      <c r="B1" s="135" t="s">
        <v>160</v>
      </c>
      <c r="C1" s="135" t="s">
        <v>161</v>
      </c>
      <c r="D1" s="135" t="s">
        <v>162</v>
      </c>
      <c r="E1" s="135" t="s">
        <v>163</v>
      </c>
      <c r="F1" s="135" t="s">
        <v>164</v>
      </c>
      <c r="G1" s="135" t="s">
        <v>165</v>
      </c>
      <c r="H1" s="140" t="s">
        <v>166</v>
      </c>
      <c r="I1" s="141"/>
      <c r="J1" s="148"/>
      <c r="K1" s="140" t="s">
        <v>167</v>
      </c>
      <c r="L1" s="141"/>
      <c r="M1" s="141"/>
      <c r="N1" s="141"/>
      <c r="O1" s="141"/>
      <c r="P1" s="141"/>
      <c r="Q1" s="148"/>
      <c r="R1" s="135" t="s">
        <v>168</v>
      </c>
      <c r="S1" s="140" t="s">
        <v>169</v>
      </c>
      <c r="T1" s="141"/>
      <c r="U1" s="149"/>
    </row>
    <row r="2" spans="1:21" ht="63" x14ac:dyDescent="0.25">
      <c r="A2" s="134"/>
      <c r="B2" s="136"/>
      <c r="C2" s="136"/>
      <c r="D2" s="136"/>
      <c r="E2" s="136"/>
      <c r="F2" s="136"/>
      <c r="G2" s="136"/>
      <c r="H2" s="46" t="s">
        <v>170</v>
      </c>
      <c r="I2" s="46" t="s">
        <v>171</v>
      </c>
      <c r="J2" s="46" t="s">
        <v>172</v>
      </c>
      <c r="K2" s="46" t="s">
        <v>173</v>
      </c>
      <c r="L2" s="46" t="s">
        <v>174</v>
      </c>
      <c r="M2" s="46" t="s">
        <v>175</v>
      </c>
      <c r="N2" s="46" t="s">
        <v>176</v>
      </c>
      <c r="O2" s="46" t="s">
        <v>177</v>
      </c>
      <c r="P2" s="46" t="s">
        <v>178</v>
      </c>
      <c r="Q2" s="46" t="s">
        <v>179</v>
      </c>
      <c r="R2" s="136"/>
      <c r="S2" s="46" t="s">
        <v>180</v>
      </c>
      <c r="T2" s="46" t="s">
        <v>181</v>
      </c>
      <c r="U2" s="48" t="s">
        <v>182</v>
      </c>
    </row>
    <row r="3" spans="1:21" ht="15.75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 ht="15.7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1" ht="31.5" x14ac:dyDescent="0.25">
      <c r="A5" s="34" t="s">
        <v>310</v>
      </c>
      <c r="B5" s="35" t="s">
        <v>310</v>
      </c>
      <c r="C5" s="35" t="s">
        <v>2701</v>
      </c>
      <c r="D5" s="35" t="s">
        <v>2751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21" ht="31.5" x14ac:dyDescent="0.25">
      <c r="A6" s="45" t="s">
        <v>310</v>
      </c>
      <c r="B6" s="46">
        <v>1</v>
      </c>
      <c r="C6" s="46" t="s">
        <v>190</v>
      </c>
      <c r="D6" s="46" t="s">
        <v>2702</v>
      </c>
      <c r="E6" s="46">
        <v>9</v>
      </c>
      <c r="F6" s="22">
        <v>0.39500000000000002</v>
      </c>
      <c r="G6" s="46"/>
      <c r="H6" s="46">
        <v>245</v>
      </c>
      <c r="I6" s="46">
        <v>8</v>
      </c>
      <c r="J6" s="46" t="s">
        <v>1</v>
      </c>
      <c r="K6" s="46"/>
      <c r="L6" s="46"/>
      <c r="M6" s="46"/>
      <c r="N6" s="46"/>
      <c r="O6" s="46"/>
      <c r="P6" s="46"/>
      <c r="Q6" s="46"/>
      <c r="R6" s="46"/>
      <c r="S6" s="46" t="s">
        <v>202</v>
      </c>
      <c r="T6" s="46" t="s">
        <v>202</v>
      </c>
      <c r="U6" s="48">
        <v>10</v>
      </c>
    </row>
    <row r="7" spans="1:21" ht="31.5" x14ac:dyDescent="0.25">
      <c r="A7" s="45" t="s">
        <v>310</v>
      </c>
      <c r="B7" s="46">
        <v>2</v>
      </c>
      <c r="C7" s="46" t="s">
        <v>190</v>
      </c>
      <c r="D7" s="46" t="s">
        <v>2703</v>
      </c>
      <c r="E7" s="46">
        <v>2</v>
      </c>
      <c r="F7" s="22">
        <v>0.39500000000000002</v>
      </c>
      <c r="G7" s="46"/>
      <c r="H7" s="46">
        <v>1280</v>
      </c>
      <c r="I7" s="46">
        <v>8</v>
      </c>
      <c r="J7" s="46" t="s">
        <v>1</v>
      </c>
      <c r="K7" s="46"/>
      <c r="L7" s="46"/>
      <c r="M7" s="46"/>
      <c r="N7" s="46"/>
      <c r="O7" s="46"/>
      <c r="P7" s="46"/>
      <c r="Q7" s="46"/>
      <c r="R7" s="46"/>
      <c r="S7" s="46" t="s">
        <v>202</v>
      </c>
      <c r="T7" s="46" t="s">
        <v>202</v>
      </c>
      <c r="U7" s="48">
        <v>10</v>
      </c>
    </row>
    <row r="8" spans="1:21" ht="15.7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</row>
    <row r="9" spans="1:21" ht="15.7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 ht="15.75" x14ac:dyDescent="0.25">
      <c r="A10" s="34" t="s">
        <v>2752</v>
      </c>
      <c r="B10" s="35" t="s">
        <v>2752</v>
      </c>
      <c r="C10" s="35" t="s">
        <v>2701</v>
      </c>
      <c r="D10" s="35" t="s">
        <v>2753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6"/>
    </row>
    <row r="11" spans="1:21" ht="15.75" x14ac:dyDescent="0.25">
      <c r="A11" s="45" t="s">
        <v>2752</v>
      </c>
      <c r="B11" s="46">
        <v>1</v>
      </c>
      <c r="C11" s="46" t="s">
        <v>198</v>
      </c>
      <c r="D11" s="46" t="s">
        <v>2754</v>
      </c>
      <c r="E11" s="46">
        <v>1</v>
      </c>
      <c r="F11" s="22">
        <v>78.5</v>
      </c>
      <c r="G11" s="46"/>
      <c r="H11" s="46"/>
      <c r="I11" s="46"/>
      <c r="J11" s="46"/>
      <c r="K11" s="22">
        <v>62500</v>
      </c>
      <c r="L11" s="46" t="s">
        <v>23</v>
      </c>
      <c r="M11" s="46" t="s">
        <v>21</v>
      </c>
      <c r="N11" s="46"/>
      <c r="O11" s="46" t="s">
        <v>6</v>
      </c>
      <c r="P11" s="46"/>
      <c r="Q11" s="46"/>
      <c r="R11" s="46"/>
      <c r="S11" s="46"/>
      <c r="T11" s="46"/>
      <c r="U11" s="48"/>
    </row>
    <row r="12" spans="1:21" ht="15.75" x14ac:dyDescent="0.25">
      <c r="A12" s="45" t="s">
        <v>2752</v>
      </c>
      <c r="B12" s="46">
        <v>2</v>
      </c>
      <c r="C12" s="46" t="s">
        <v>2755</v>
      </c>
      <c r="D12" s="46"/>
      <c r="E12" s="46">
        <v>1</v>
      </c>
      <c r="F12" s="22">
        <v>11.73</v>
      </c>
      <c r="G12" s="46"/>
      <c r="H12" s="46"/>
      <c r="I12" s="46"/>
      <c r="J12" s="46"/>
      <c r="K12" s="46">
        <v>455</v>
      </c>
      <c r="L12" s="46" t="s">
        <v>1878</v>
      </c>
      <c r="M12" s="46" t="s">
        <v>1922</v>
      </c>
      <c r="N12" s="46"/>
      <c r="O12" s="46" t="s">
        <v>6</v>
      </c>
      <c r="P12" s="46"/>
      <c r="Q12" s="46"/>
      <c r="R12" s="46"/>
      <c r="S12" s="46"/>
      <c r="T12" s="46"/>
      <c r="U12" s="48"/>
    </row>
    <row r="13" spans="1:21" ht="32.25" thickBot="1" x14ac:dyDescent="0.3">
      <c r="A13" s="40" t="s">
        <v>2752</v>
      </c>
      <c r="B13" s="41">
        <v>3</v>
      </c>
      <c r="C13" s="41" t="s">
        <v>190</v>
      </c>
      <c r="D13" s="41" t="s">
        <v>2703</v>
      </c>
      <c r="E13" s="41">
        <v>4</v>
      </c>
      <c r="F13" s="29">
        <v>0.39500000000000002</v>
      </c>
      <c r="G13" s="41"/>
      <c r="H13" s="41">
        <v>250</v>
      </c>
      <c r="I13" s="41">
        <v>8</v>
      </c>
      <c r="J13" s="41" t="s">
        <v>1</v>
      </c>
      <c r="K13" s="41"/>
      <c r="L13" s="41"/>
      <c r="M13" s="41"/>
      <c r="N13" s="41"/>
      <c r="O13" s="41"/>
      <c r="P13" s="41"/>
      <c r="Q13" s="41"/>
      <c r="R13" s="41"/>
      <c r="S13" s="41" t="s">
        <v>202</v>
      </c>
      <c r="T13" s="41" t="s">
        <v>202</v>
      </c>
      <c r="U13" s="42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U1048576">
    <cfRule type="expression" dxfId="63" priority="1">
      <formula>ISERROR(A1)</formula>
    </cfRule>
  </conditionalFormatting>
  <conditionalFormatting sqref="A1:H1 A3:U13 H2:Q2 K1 R1:S1 S2:U2">
    <cfRule type="containsText" dxfId="62" priority="2" stopIfTrue="1" operator="containsText" text="С ЛИСТА">
      <formula>NOT(ISERROR(SEARCH("С ЛИСТА",A1)))</formula>
    </cfRule>
    <cfRule type="containsText" dxfId="61" priority="3" stopIfTrue="1" operator="containsText" text="ИЗ ФАЙЛА">
      <formula>NOT(ISERROR(SEARCH("ИЗ ФАЙЛА",A1)))</formula>
    </cfRule>
    <cfRule type="containsText" dxfId="60" priority="4" stopIfTrue="1" operator="containsText" text="!!!">
      <formula>NOT(ISERROR(SEARCH("!!!",A1)))</formula>
    </cfRule>
    <cfRule type="containsText" dxfId="59" priority="5" stopIfTrue="1" operator="containsText" text=" Изделия ">
      <formula>NOT(ISERROR(SEARCH(" Изделия ",A1)))</formula>
    </cfRule>
    <cfRule type="containsText" dxfId="58" priority="6" stopIfTrue="1" operator="containsText" text=" Прокат ">
      <formula>NOT(ISERROR(SEARCH(" Прокат ",A1)))</formula>
    </cfRule>
    <cfRule type="containsText" dxfId="57" priority="7" stopIfTrue="1" operator="containsText" text=" Сборочные единицы ">
      <formula>NOT(ISERROR(SEARCH(" Сборочные единицы ",A1)))</formula>
    </cfRule>
    <cfRule type="containsText" dxfId="56" priority="8" stopIfTrue="1" operator="containsText" text=" Материалы ">
      <formula>NOT(ISERROR(SEARCH(" Материалы ",A1)))</formula>
    </cfRule>
    <cfRule type="containsText" dxfId="55" priority="9" stopIfTrue="1" operator="containsText" text=", на ">
      <formula>NOT(ISERROR(SEARCH(", на ",A1)))</formula>
    </cfRule>
    <cfRule type="containsText" dxfId="54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I13 I6:I7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M12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M11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P3:P13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O3:O13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L3:L13</xm:sqref>
        </x14:dataValidation>
        <x14:dataValidation type="list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J3:J13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ДА\prog\YandexDisk\Работа\material-specification\tmpimport\[706Спец-Пс(Поликлиника).xlsm]!System'!#REF!</xm:f>
          </x14:formula1>
          <xm:sqref>G3:G13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  <pageSetUpPr fitToPage="1"/>
  </sheetPr>
  <dimension ref="A1:AP27"/>
  <sheetViews>
    <sheetView workbookViewId="0">
      <selection activeCell="A10" sqref="A10"/>
    </sheetView>
  </sheetViews>
  <sheetFormatPr defaultRowHeight="15" x14ac:dyDescent="0.25"/>
  <cols>
    <col min="3" max="3" width="9" customWidth="1"/>
    <col min="12" max="12" width="8.28515625" customWidth="1"/>
    <col min="19" max="19" width="10.42578125" customWidth="1"/>
    <col min="20" max="20" width="18.42578125" customWidth="1"/>
    <col min="28" max="28" width="13.42578125" customWidth="1"/>
    <col min="29" max="29" width="14.85546875" customWidth="1"/>
    <col min="32" max="32" width="9.28515625" customWidth="1"/>
    <col min="34" max="34" width="8.5703125" customWidth="1"/>
    <col min="36" max="36" width="10.140625" customWidth="1"/>
  </cols>
  <sheetData>
    <row r="1" spans="1:42" ht="19.5" thickBot="1" x14ac:dyDescent="0.35">
      <c r="A1" s="150" t="s">
        <v>2756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T1" s="151" t="s">
        <v>2757</v>
      </c>
      <c r="U1" s="151"/>
      <c r="V1" s="151"/>
      <c r="W1" s="151"/>
      <c r="X1" s="151"/>
      <c r="Y1" s="151"/>
      <c r="Z1" s="151"/>
      <c r="AA1" s="151"/>
      <c r="AB1" s="151"/>
      <c r="AC1" s="49"/>
      <c r="AG1">
        <f>AG5*5</f>
        <v>70.000000000000014</v>
      </c>
    </row>
    <row r="2" spans="1:42" ht="91.5" thickTop="1" thickBot="1" x14ac:dyDescent="0.3">
      <c r="A2" s="50" t="s">
        <v>2714</v>
      </c>
      <c r="B2" s="51" t="s">
        <v>2758</v>
      </c>
      <c r="C2" s="50" t="s">
        <v>2759</v>
      </c>
      <c r="D2" s="50" t="s">
        <v>2760</v>
      </c>
      <c r="E2" s="50" t="s">
        <v>2761</v>
      </c>
      <c r="F2" s="50" t="s">
        <v>2762</v>
      </c>
      <c r="G2" s="50" t="s">
        <v>2763</v>
      </c>
      <c r="H2" s="50" t="s">
        <v>2764</v>
      </c>
      <c r="I2" s="50" t="s">
        <v>2765</v>
      </c>
      <c r="J2" s="50" t="s">
        <v>2766</v>
      </c>
      <c r="K2" s="50" t="s">
        <v>2767</v>
      </c>
      <c r="L2" s="50" t="s">
        <v>2768</v>
      </c>
      <c r="M2" s="50" t="s">
        <v>2769</v>
      </c>
      <c r="N2" s="50" t="s">
        <v>2770</v>
      </c>
      <c r="O2" s="50" t="s">
        <v>2771</v>
      </c>
      <c r="P2" s="50" t="s">
        <v>2772</v>
      </c>
      <c r="S2" s="52" t="s">
        <v>2773</v>
      </c>
      <c r="T2" s="52" t="s">
        <v>162</v>
      </c>
      <c r="U2" s="53" t="s">
        <v>2774</v>
      </c>
      <c r="V2" s="53" t="s">
        <v>2775</v>
      </c>
      <c r="W2" s="54" t="s">
        <v>2776</v>
      </c>
      <c r="X2" s="53" t="s">
        <v>2777</v>
      </c>
      <c r="Y2" s="54" t="s">
        <v>2778</v>
      </c>
      <c r="Z2" s="54" t="s">
        <v>2779</v>
      </c>
      <c r="AA2" s="55"/>
      <c r="AB2" s="56" t="s">
        <v>2780</v>
      </c>
      <c r="AC2" s="57" t="s">
        <v>2781</v>
      </c>
      <c r="AD2" s="54" t="s">
        <v>2779</v>
      </c>
      <c r="AF2" s="58" t="s">
        <v>2782</v>
      </c>
      <c r="AG2" s="59" t="s">
        <v>2783</v>
      </c>
      <c r="AH2" s="58" t="s">
        <v>2784</v>
      </c>
      <c r="AI2" s="57" t="s">
        <v>2785</v>
      </c>
      <c r="AJ2" s="50" t="s">
        <v>2786</v>
      </c>
      <c r="AK2" s="50" t="s">
        <v>2787</v>
      </c>
      <c r="AL2" s="50" t="s">
        <v>2788</v>
      </c>
      <c r="AM2" s="50" t="s">
        <v>2789</v>
      </c>
      <c r="AN2" s="50" t="s">
        <v>2790</v>
      </c>
      <c r="AO2" s="50" t="s">
        <v>2791</v>
      </c>
    </row>
    <row r="3" spans="1:42" ht="16.5" thickTop="1" thickBot="1" x14ac:dyDescent="0.3">
      <c r="A3" s="60" t="s">
        <v>2792</v>
      </c>
      <c r="B3" s="61">
        <v>4520</v>
      </c>
      <c r="C3" s="62">
        <v>1150</v>
      </c>
      <c r="D3" s="62">
        <v>200</v>
      </c>
      <c r="E3" s="62">
        <v>800</v>
      </c>
      <c r="F3" s="62">
        <v>300</v>
      </c>
      <c r="G3" s="63">
        <f t="shared" ref="G3:G25" si="0">E3-F3-D3</f>
        <v>300</v>
      </c>
      <c r="H3" s="62">
        <v>300</v>
      </c>
      <c r="I3" s="64">
        <v>12</v>
      </c>
      <c r="J3" s="64">
        <v>200</v>
      </c>
      <c r="K3" s="64">
        <v>12</v>
      </c>
      <c r="L3" s="64">
        <v>200</v>
      </c>
      <c r="M3" s="64">
        <v>12</v>
      </c>
      <c r="N3" s="64">
        <v>200</v>
      </c>
      <c r="O3" s="64">
        <v>12</v>
      </c>
      <c r="P3" s="64">
        <v>200</v>
      </c>
      <c r="S3" s="65">
        <v>1</v>
      </c>
      <c r="T3" s="66" t="s">
        <v>2793</v>
      </c>
      <c r="U3" s="67">
        <v>0.6</v>
      </c>
      <c r="V3" s="67">
        <v>1.1299999999999999</v>
      </c>
      <c r="W3" s="68">
        <f>B3/1000</f>
        <v>4.5199999999999996</v>
      </c>
      <c r="X3" s="68">
        <f>E3/1000</f>
        <v>0.8</v>
      </c>
      <c r="Y3" s="67">
        <v>0.9</v>
      </c>
      <c r="Z3" s="69">
        <f>(((U3*2+W3)*(U3*2+X3)+(V3*2+W3)*(V3*2+X3)+SQRT((U3*2+W3)*(U3*2+X3)*(V3*2+W3)*(V3*2+X3)))*Y3/3)*S3</f>
        <v>14.277825940521261</v>
      </c>
      <c r="AA3" s="69"/>
      <c r="AB3">
        <f>(AD3+AG3+AI3)*S3</f>
        <v>1.6272000000000002</v>
      </c>
      <c r="AC3" s="70">
        <f>Z3-AB3</f>
        <v>12.650625940521261</v>
      </c>
      <c r="AD3">
        <f>B3*E3*H3*0.000000001+(Y3-H3/1000)*(D3/1000)*B3/1000</f>
        <v>1.6272000000000002</v>
      </c>
      <c r="AE3" t="s">
        <v>2794</v>
      </c>
      <c r="AF3" s="71">
        <v>0</v>
      </c>
      <c r="AG3">
        <f>AF3*B3/1000</f>
        <v>0</v>
      </c>
      <c r="AH3" s="71">
        <v>0</v>
      </c>
      <c r="AI3">
        <f>AH3*B3/1000</f>
        <v>0</v>
      </c>
      <c r="AJ3">
        <f>(C3/1000*2)*S3</f>
        <v>2.2999999999999998</v>
      </c>
      <c r="AK3">
        <f t="shared" ref="AK3:AK12" si="1">((D3/1000*C3/1000*0.02)+(E3/1000*H3/1000*0.02))*S3</f>
        <v>9.3999999999999986E-3</v>
      </c>
      <c r="AL3">
        <f>(ROUNDUP(C3/300, 0))*S3</f>
        <v>4</v>
      </c>
      <c r="AM3">
        <f t="shared" ref="AM3:AM12" si="2">AL3</f>
        <v>4</v>
      </c>
      <c r="AN3">
        <v>0</v>
      </c>
      <c r="AO3">
        <f>((B3*E3/1000000+H3*(B3*2+E3*2)/1000000)+(Y3*B3)*2/1000)*S3</f>
        <v>14.943999999999999</v>
      </c>
      <c r="AP3">
        <f>AO3+AO4+AO5</f>
        <v>414.024</v>
      </c>
    </row>
    <row r="4" spans="1:42" ht="16.5" thickTop="1" thickBot="1" x14ac:dyDescent="0.3">
      <c r="A4" s="60" t="s">
        <v>2795</v>
      </c>
      <c r="B4" s="72">
        <v>3000</v>
      </c>
      <c r="C4" s="73">
        <v>2700</v>
      </c>
      <c r="D4" s="73">
        <v>200</v>
      </c>
      <c r="E4" s="73">
        <v>2800</v>
      </c>
      <c r="F4" s="73">
        <v>300</v>
      </c>
      <c r="G4" s="63">
        <f t="shared" si="0"/>
        <v>2300</v>
      </c>
      <c r="H4" s="73">
        <v>300</v>
      </c>
      <c r="I4" s="64">
        <v>12</v>
      </c>
      <c r="J4" s="64">
        <v>200</v>
      </c>
      <c r="K4" s="64">
        <v>14</v>
      </c>
      <c r="L4" s="64">
        <v>100</v>
      </c>
      <c r="M4" s="64">
        <v>16</v>
      </c>
      <c r="N4" s="64">
        <v>100</v>
      </c>
      <c r="O4" s="64">
        <v>12</v>
      </c>
      <c r="P4" s="64">
        <v>200</v>
      </c>
      <c r="S4" s="65">
        <v>1</v>
      </c>
      <c r="T4" s="66"/>
      <c r="U4" s="67">
        <f>U3</f>
        <v>0.6</v>
      </c>
      <c r="V4" s="67">
        <v>1.93</v>
      </c>
      <c r="W4" s="68">
        <f t="shared" ref="W4:W26" si="3">B4/1000</f>
        <v>3</v>
      </c>
      <c r="X4" s="68">
        <f t="shared" ref="X4:X26" si="4">E4/1000</f>
        <v>2.8</v>
      </c>
      <c r="Y4" s="67">
        <v>2.2999999999999998</v>
      </c>
      <c r="Z4" s="69">
        <f t="shared" ref="Z4:Z25" si="5">(((U4*2+W4)*(U4*2+X4)+(V4*2+W4)*(V4*2+X4)+SQRT((U4*2+W4)*(U4*2+X4)*(V4*2+W4)*(V4*2+X4)))*Y4/3)*S4</f>
        <v>69.147447681667586</v>
      </c>
      <c r="AA4" s="69"/>
      <c r="AB4">
        <f t="shared" ref="AB4:AB25" si="6">(AD4+AG4+AI4)*S4</f>
        <v>3.7199999999999998</v>
      </c>
      <c r="AC4" s="70">
        <f t="shared" ref="AC4:AC25" si="7">Z4-AB4</f>
        <v>65.427447681667587</v>
      </c>
      <c r="AD4">
        <f t="shared" ref="AD4:AD25" si="8">B4*E4*H4*0.000000001+(Y4-H4/1000)*(D4/1000)*B4/1000</f>
        <v>3.7199999999999998</v>
      </c>
      <c r="AF4" s="71">
        <v>0</v>
      </c>
      <c r="AG4">
        <f t="shared" ref="AG4:AG25" si="9">AF4*B4/1000</f>
        <v>0</v>
      </c>
      <c r="AH4" s="71">
        <v>0</v>
      </c>
      <c r="AI4">
        <f t="shared" ref="AI4:AI25" si="10">AH4*B4/1000</f>
        <v>0</v>
      </c>
      <c r="AJ4">
        <f t="shared" ref="AJ4:AJ25" si="11">(C4/1000*2)*S4</f>
        <v>5.4</v>
      </c>
      <c r="AK4">
        <f t="shared" si="1"/>
        <v>2.76E-2</v>
      </c>
      <c r="AL4">
        <f t="shared" ref="AL4:AL25" si="12">(ROUNDUP(C4/300, 0))*S4</f>
        <v>9</v>
      </c>
      <c r="AM4">
        <f t="shared" si="2"/>
        <v>9</v>
      </c>
      <c r="AN4">
        <v>0</v>
      </c>
      <c r="AO4">
        <f t="shared" ref="AO4:AO25" si="13">((B4*E4/1000000+H4*(B4*2+E4*2)/1000000)+(Y4*B4)*2/1000)*S4</f>
        <v>25.68</v>
      </c>
    </row>
    <row r="5" spans="1:42" ht="16.5" thickTop="1" thickBot="1" x14ac:dyDescent="0.3">
      <c r="A5" s="60" t="s">
        <v>2796</v>
      </c>
      <c r="B5" s="72">
        <v>10000</v>
      </c>
      <c r="C5" s="73">
        <v>2700</v>
      </c>
      <c r="D5" s="73">
        <v>200</v>
      </c>
      <c r="E5" s="73">
        <v>2800</v>
      </c>
      <c r="F5" s="73">
        <v>300</v>
      </c>
      <c r="G5" s="63">
        <f t="shared" si="0"/>
        <v>2300</v>
      </c>
      <c r="H5" s="73">
        <v>300</v>
      </c>
      <c r="I5" s="64">
        <v>12</v>
      </c>
      <c r="J5" s="64">
        <v>200</v>
      </c>
      <c r="K5" s="64">
        <v>14</v>
      </c>
      <c r="L5" s="64">
        <v>100</v>
      </c>
      <c r="M5" s="64">
        <v>16</v>
      </c>
      <c r="N5" s="64">
        <v>100</v>
      </c>
      <c r="O5" s="64">
        <v>12</v>
      </c>
      <c r="P5" s="64">
        <v>200</v>
      </c>
      <c r="S5" s="65">
        <v>5</v>
      </c>
      <c r="U5" s="67">
        <f t="shared" ref="U5:U25" si="14">U4</f>
        <v>0.6</v>
      </c>
      <c r="V5" s="67">
        <v>1.57</v>
      </c>
      <c r="W5" s="68">
        <f t="shared" si="3"/>
        <v>10</v>
      </c>
      <c r="X5" s="68">
        <f t="shared" si="4"/>
        <v>2.8</v>
      </c>
      <c r="Y5" s="67">
        <v>1.95</v>
      </c>
      <c r="Z5" s="69">
        <f t="shared" si="5"/>
        <v>591.44994975267616</v>
      </c>
      <c r="AA5" s="69"/>
      <c r="AB5">
        <f t="shared" si="6"/>
        <v>196</v>
      </c>
      <c r="AC5" s="70">
        <f t="shared" si="7"/>
        <v>395.44994975267616</v>
      </c>
      <c r="AD5">
        <f t="shared" si="8"/>
        <v>11.7</v>
      </c>
      <c r="AF5" s="71">
        <v>0.28000000000000003</v>
      </c>
      <c r="AG5">
        <f>(AF5*B5/1000)*S5</f>
        <v>14.000000000000002</v>
      </c>
      <c r="AH5" s="71">
        <v>0.27</v>
      </c>
      <c r="AI5">
        <f>(AH5*B5/1000)*S5</f>
        <v>13.5</v>
      </c>
      <c r="AJ5">
        <f t="shared" si="11"/>
        <v>27</v>
      </c>
      <c r="AK5">
        <f t="shared" si="1"/>
        <v>0.13800000000000001</v>
      </c>
      <c r="AL5">
        <f t="shared" si="12"/>
        <v>45</v>
      </c>
      <c r="AM5">
        <f t="shared" si="2"/>
        <v>45</v>
      </c>
      <c r="AN5">
        <f>(ROUNDUP(B5/2000,0)*D5/1000)*S5</f>
        <v>5</v>
      </c>
      <c r="AO5">
        <f t="shared" si="13"/>
        <v>373.40000000000003</v>
      </c>
    </row>
    <row r="6" spans="1:42" ht="16.5" thickTop="1" thickBot="1" x14ac:dyDescent="0.3">
      <c r="A6" s="60" t="s">
        <v>2797</v>
      </c>
      <c r="B6" s="72">
        <v>3200</v>
      </c>
      <c r="C6" s="73">
        <v>2700</v>
      </c>
      <c r="D6" s="73">
        <v>200</v>
      </c>
      <c r="E6" s="73">
        <v>2800</v>
      </c>
      <c r="F6" s="73">
        <v>300</v>
      </c>
      <c r="G6" s="63">
        <f t="shared" si="0"/>
        <v>2300</v>
      </c>
      <c r="H6" s="73">
        <v>300</v>
      </c>
      <c r="I6" s="64">
        <v>12</v>
      </c>
      <c r="J6" s="64">
        <v>200</v>
      </c>
      <c r="K6" s="64">
        <v>14</v>
      </c>
      <c r="L6" s="64">
        <v>100</v>
      </c>
      <c r="M6" s="64">
        <v>16</v>
      </c>
      <c r="N6" s="64">
        <v>100</v>
      </c>
      <c r="O6" s="64">
        <v>12</v>
      </c>
      <c r="P6" s="64">
        <v>200</v>
      </c>
      <c r="S6" s="65">
        <v>1</v>
      </c>
      <c r="U6" s="67">
        <f t="shared" si="14"/>
        <v>0.6</v>
      </c>
      <c r="V6" s="67">
        <v>1.71</v>
      </c>
      <c r="W6" s="68">
        <f t="shared" si="3"/>
        <v>3.2</v>
      </c>
      <c r="X6" s="68">
        <f t="shared" si="4"/>
        <v>2.8</v>
      </c>
      <c r="Y6" s="67">
        <v>2.2000000000000002</v>
      </c>
      <c r="Z6" s="69">
        <f t="shared" si="5"/>
        <v>62.84427510492511</v>
      </c>
      <c r="AA6" s="69"/>
      <c r="AB6">
        <f t="shared" si="6"/>
        <v>3.9040000000000004</v>
      </c>
      <c r="AC6" s="70">
        <f t="shared" si="7"/>
        <v>58.940275104925107</v>
      </c>
      <c r="AD6">
        <f t="shared" si="8"/>
        <v>3.9040000000000004</v>
      </c>
      <c r="AF6" s="71">
        <v>0</v>
      </c>
      <c r="AG6">
        <f t="shared" si="9"/>
        <v>0</v>
      </c>
      <c r="AH6" s="71">
        <v>0</v>
      </c>
      <c r="AI6">
        <f t="shared" si="10"/>
        <v>0</v>
      </c>
      <c r="AJ6">
        <f t="shared" si="11"/>
        <v>5.4</v>
      </c>
      <c r="AK6">
        <f t="shared" si="1"/>
        <v>2.76E-2</v>
      </c>
      <c r="AL6">
        <f t="shared" si="12"/>
        <v>9</v>
      </c>
      <c r="AM6">
        <f t="shared" si="2"/>
        <v>9</v>
      </c>
      <c r="AN6">
        <v>0</v>
      </c>
      <c r="AO6">
        <f t="shared" si="13"/>
        <v>26.64</v>
      </c>
      <c r="AP6">
        <f>AO6+AO7+AO8+AO9+AO10</f>
        <v>272.22605000000004</v>
      </c>
    </row>
    <row r="7" spans="1:42" ht="16.5" thickTop="1" thickBot="1" x14ac:dyDescent="0.3">
      <c r="A7" s="60" t="s">
        <v>2798</v>
      </c>
      <c r="B7" s="61">
        <v>5680</v>
      </c>
      <c r="C7" s="62">
        <v>1150</v>
      </c>
      <c r="D7" s="62">
        <v>200</v>
      </c>
      <c r="E7" s="62">
        <v>800</v>
      </c>
      <c r="F7" s="62">
        <v>300</v>
      </c>
      <c r="G7" s="63">
        <f t="shared" si="0"/>
        <v>300</v>
      </c>
      <c r="H7" s="62">
        <v>300</v>
      </c>
      <c r="I7" s="64">
        <v>12</v>
      </c>
      <c r="J7" s="64">
        <v>200</v>
      </c>
      <c r="K7" s="64">
        <v>12</v>
      </c>
      <c r="L7" s="64">
        <v>200</v>
      </c>
      <c r="M7" s="64">
        <v>12</v>
      </c>
      <c r="N7" s="64">
        <v>200</v>
      </c>
      <c r="O7" s="64">
        <v>12</v>
      </c>
      <c r="P7" s="64">
        <v>200</v>
      </c>
      <c r="S7" s="65">
        <v>1</v>
      </c>
      <c r="U7" s="67">
        <f t="shared" si="14"/>
        <v>0.6</v>
      </c>
      <c r="V7" s="67">
        <v>1.4550000000000001</v>
      </c>
      <c r="W7" s="68">
        <f t="shared" si="3"/>
        <v>5.68</v>
      </c>
      <c r="X7" s="68">
        <f t="shared" si="4"/>
        <v>0.8</v>
      </c>
      <c r="Y7" s="67">
        <v>1.68</v>
      </c>
      <c r="Z7" s="69">
        <f t="shared" si="5"/>
        <v>37.279018085566321</v>
      </c>
      <c r="AA7" s="69"/>
      <c r="AB7">
        <f t="shared" si="6"/>
        <v>2.9308800000000002</v>
      </c>
      <c r="AC7" s="70">
        <f t="shared" si="7"/>
        <v>34.348138085566319</v>
      </c>
      <c r="AD7">
        <f t="shared" si="8"/>
        <v>2.9308800000000002</v>
      </c>
      <c r="AF7" s="71">
        <v>0</v>
      </c>
      <c r="AG7">
        <f t="shared" si="9"/>
        <v>0</v>
      </c>
      <c r="AH7" s="71">
        <v>0</v>
      </c>
      <c r="AI7">
        <f t="shared" si="10"/>
        <v>0</v>
      </c>
      <c r="AJ7">
        <f t="shared" si="11"/>
        <v>2.2999999999999998</v>
      </c>
      <c r="AK7">
        <f t="shared" si="1"/>
        <v>9.3999999999999986E-3</v>
      </c>
      <c r="AL7">
        <f t="shared" si="12"/>
        <v>4</v>
      </c>
      <c r="AM7">
        <f t="shared" si="2"/>
        <v>4</v>
      </c>
      <c r="AN7">
        <v>0</v>
      </c>
      <c r="AO7">
        <f t="shared" si="13"/>
        <v>27.516799999999996</v>
      </c>
    </row>
    <row r="8" spans="1:42" ht="16.5" thickTop="1" thickBot="1" x14ac:dyDescent="0.3">
      <c r="A8" s="60" t="s">
        <v>2799</v>
      </c>
      <c r="B8" s="72">
        <v>9245</v>
      </c>
      <c r="C8" s="73">
        <v>1100</v>
      </c>
      <c r="D8" s="73">
        <v>150</v>
      </c>
      <c r="E8" s="73">
        <v>750</v>
      </c>
      <c r="F8" s="73">
        <v>300</v>
      </c>
      <c r="G8" s="63">
        <f t="shared" si="0"/>
        <v>300</v>
      </c>
      <c r="H8" s="73">
        <v>200</v>
      </c>
      <c r="I8" s="64">
        <v>10</v>
      </c>
      <c r="J8" s="64">
        <v>200</v>
      </c>
      <c r="K8" s="64">
        <v>10</v>
      </c>
      <c r="L8" s="64">
        <v>200</v>
      </c>
      <c r="M8" s="64">
        <v>10</v>
      </c>
      <c r="N8" s="64">
        <v>200</v>
      </c>
      <c r="O8" s="64">
        <v>10</v>
      </c>
      <c r="P8" s="64">
        <v>200</v>
      </c>
      <c r="S8" s="65">
        <v>1</v>
      </c>
      <c r="U8" s="67">
        <f t="shared" si="14"/>
        <v>0.6</v>
      </c>
      <c r="V8" s="67">
        <v>2.34</v>
      </c>
      <c r="W8" s="68">
        <f t="shared" si="3"/>
        <v>9.2449999999999992</v>
      </c>
      <c r="X8" s="68">
        <f t="shared" si="4"/>
        <v>0.75</v>
      </c>
      <c r="Y8" s="67">
        <v>3.21</v>
      </c>
      <c r="Z8" s="69">
        <f t="shared" si="5"/>
        <v>144.68980673827335</v>
      </c>
      <c r="AA8" s="69"/>
      <c r="AB8">
        <f t="shared" si="6"/>
        <v>5.5608674999999996</v>
      </c>
      <c r="AC8" s="70">
        <f t="shared" si="7"/>
        <v>139.12893923827335</v>
      </c>
      <c r="AD8">
        <f t="shared" si="8"/>
        <v>5.5608674999999996</v>
      </c>
      <c r="AF8" s="71">
        <v>0</v>
      </c>
      <c r="AG8">
        <f t="shared" si="9"/>
        <v>0</v>
      </c>
      <c r="AH8" s="71">
        <v>0</v>
      </c>
      <c r="AI8">
        <f t="shared" si="10"/>
        <v>0</v>
      </c>
      <c r="AJ8">
        <f t="shared" si="11"/>
        <v>2.2000000000000002</v>
      </c>
      <c r="AK8">
        <f t="shared" si="1"/>
        <v>6.3E-3</v>
      </c>
      <c r="AL8">
        <f t="shared" si="12"/>
        <v>4</v>
      </c>
      <c r="AM8">
        <f t="shared" si="2"/>
        <v>4</v>
      </c>
      <c r="AN8">
        <v>0</v>
      </c>
      <c r="AO8">
        <f t="shared" si="13"/>
        <v>70.284649999999999</v>
      </c>
    </row>
    <row r="9" spans="1:42" ht="16.5" thickTop="1" thickBot="1" x14ac:dyDescent="0.3">
      <c r="A9" s="60" t="s">
        <v>2800</v>
      </c>
      <c r="B9" s="72">
        <v>7400</v>
      </c>
      <c r="C9" s="73">
        <v>1600</v>
      </c>
      <c r="D9" s="73">
        <v>150</v>
      </c>
      <c r="E9" s="73">
        <v>1100</v>
      </c>
      <c r="F9" s="73">
        <v>300</v>
      </c>
      <c r="G9" s="63">
        <f t="shared" si="0"/>
        <v>650</v>
      </c>
      <c r="H9" s="73">
        <v>200</v>
      </c>
      <c r="I9" s="64">
        <v>10</v>
      </c>
      <c r="J9" s="64">
        <v>200</v>
      </c>
      <c r="K9" s="64">
        <v>10</v>
      </c>
      <c r="L9" s="64">
        <v>200</v>
      </c>
      <c r="M9" s="64">
        <v>10</v>
      </c>
      <c r="N9" s="64">
        <v>200</v>
      </c>
      <c r="O9" s="64">
        <v>10</v>
      </c>
      <c r="P9" s="64">
        <v>200</v>
      </c>
      <c r="S9" s="65">
        <v>1</v>
      </c>
      <c r="T9" s="44"/>
      <c r="U9" s="67">
        <f t="shared" si="14"/>
        <v>0.6</v>
      </c>
      <c r="V9" s="67">
        <v>2.78</v>
      </c>
      <c r="W9" s="68">
        <f t="shared" si="3"/>
        <v>7.4</v>
      </c>
      <c r="X9" s="68">
        <f t="shared" si="4"/>
        <v>1.1000000000000001</v>
      </c>
      <c r="Y9" s="67">
        <v>3.6</v>
      </c>
      <c r="Z9" s="69">
        <f t="shared" si="5"/>
        <v>176.89545757236428</v>
      </c>
      <c r="AA9" s="69"/>
      <c r="AB9">
        <f t="shared" si="6"/>
        <v>5.4020000000000001</v>
      </c>
      <c r="AC9" s="70">
        <f t="shared" si="7"/>
        <v>171.49345757236429</v>
      </c>
      <c r="AD9">
        <f t="shared" si="8"/>
        <v>5.4020000000000001</v>
      </c>
      <c r="AF9" s="71">
        <v>0</v>
      </c>
      <c r="AG9">
        <f t="shared" si="9"/>
        <v>0</v>
      </c>
      <c r="AH9" s="71">
        <v>0</v>
      </c>
      <c r="AI9">
        <f t="shared" si="10"/>
        <v>0</v>
      </c>
      <c r="AJ9">
        <f t="shared" si="11"/>
        <v>3.2</v>
      </c>
      <c r="AK9">
        <f t="shared" si="1"/>
        <v>9.1999999999999998E-3</v>
      </c>
      <c r="AL9">
        <f t="shared" si="12"/>
        <v>6</v>
      </c>
      <c r="AM9">
        <f t="shared" si="2"/>
        <v>6</v>
      </c>
      <c r="AN9">
        <v>0</v>
      </c>
      <c r="AO9">
        <f t="shared" si="13"/>
        <v>64.820000000000007</v>
      </c>
    </row>
    <row r="10" spans="1:42" ht="16.5" thickTop="1" thickBot="1" x14ac:dyDescent="0.3">
      <c r="A10" s="60" t="s">
        <v>2801</v>
      </c>
      <c r="B10" s="72">
        <v>10830</v>
      </c>
      <c r="C10" s="73">
        <v>1600</v>
      </c>
      <c r="D10" s="73">
        <v>150</v>
      </c>
      <c r="E10" s="73">
        <v>1100</v>
      </c>
      <c r="F10" s="73">
        <v>300</v>
      </c>
      <c r="G10" s="63">
        <f t="shared" si="0"/>
        <v>650</v>
      </c>
      <c r="H10" s="73">
        <v>200</v>
      </c>
      <c r="I10" s="64">
        <v>10</v>
      </c>
      <c r="J10" s="64">
        <v>200</v>
      </c>
      <c r="K10" s="64">
        <v>10</v>
      </c>
      <c r="L10" s="64">
        <v>200</v>
      </c>
      <c r="M10" s="64">
        <v>10</v>
      </c>
      <c r="N10" s="64">
        <v>200</v>
      </c>
      <c r="O10" s="64">
        <v>10</v>
      </c>
      <c r="P10" s="64">
        <v>200</v>
      </c>
      <c r="S10" s="65">
        <v>1</v>
      </c>
      <c r="T10" s="74"/>
      <c r="U10" s="67">
        <f t="shared" si="14"/>
        <v>0.6</v>
      </c>
      <c r="V10" s="67">
        <v>2.2599999999999998</v>
      </c>
      <c r="W10" s="68">
        <f t="shared" si="3"/>
        <v>10.83</v>
      </c>
      <c r="X10" s="68">
        <f t="shared" si="4"/>
        <v>1.1000000000000001</v>
      </c>
      <c r="Y10" s="67">
        <v>3.06</v>
      </c>
      <c r="Z10" s="69">
        <f t="shared" si="5"/>
        <v>166.04797452515817</v>
      </c>
      <c r="AA10" s="69"/>
      <c r="AB10">
        <f t="shared" si="6"/>
        <v>7.02867</v>
      </c>
      <c r="AC10" s="70">
        <f t="shared" si="7"/>
        <v>159.01930452515816</v>
      </c>
      <c r="AD10">
        <f t="shared" si="8"/>
        <v>7.02867</v>
      </c>
      <c r="AF10" s="71">
        <v>0</v>
      </c>
      <c r="AG10">
        <f t="shared" si="9"/>
        <v>0</v>
      </c>
      <c r="AH10" s="71">
        <v>0</v>
      </c>
      <c r="AI10">
        <f t="shared" si="10"/>
        <v>0</v>
      </c>
      <c r="AJ10">
        <f t="shared" si="11"/>
        <v>3.2</v>
      </c>
      <c r="AK10">
        <f t="shared" si="1"/>
        <v>9.1999999999999998E-3</v>
      </c>
      <c r="AL10">
        <f t="shared" si="12"/>
        <v>6</v>
      </c>
      <c r="AM10">
        <f t="shared" si="2"/>
        <v>6</v>
      </c>
      <c r="AN10">
        <v>0</v>
      </c>
      <c r="AO10">
        <f t="shared" si="13"/>
        <v>82.964600000000004</v>
      </c>
    </row>
    <row r="11" spans="1:42" ht="16.5" thickTop="1" thickBot="1" x14ac:dyDescent="0.3">
      <c r="A11" s="60" t="s">
        <v>2802</v>
      </c>
      <c r="B11" s="61">
        <v>7470</v>
      </c>
      <c r="C11" s="62">
        <v>1400</v>
      </c>
      <c r="D11" s="62">
        <v>200</v>
      </c>
      <c r="E11" s="62">
        <v>1100</v>
      </c>
      <c r="F11" s="62">
        <v>300</v>
      </c>
      <c r="G11" s="63">
        <f t="shared" si="0"/>
        <v>600</v>
      </c>
      <c r="H11" s="62">
        <v>300</v>
      </c>
      <c r="I11" s="64">
        <v>10</v>
      </c>
      <c r="J11" s="64">
        <v>200</v>
      </c>
      <c r="K11" s="64">
        <v>10</v>
      </c>
      <c r="L11" s="64">
        <v>200</v>
      </c>
      <c r="M11" s="64">
        <v>10</v>
      </c>
      <c r="N11" s="64">
        <v>200</v>
      </c>
      <c r="O11" s="64">
        <v>10</v>
      </c>
      <c r="P11" s="64">
        <v>200</v>
      </c>
      <c r="S11" s="65">
        <v>2</v>
      </c>
      <c r="U11" s="67">
        <f t="shared" si="14"/>
        <v>0.6</v>
      </c>
      <c r="V11" s="67">
        <v>2.42</v>
      </c>
      <c r="W11" s="68">
        <f t="shared" si="3"/>
        <v>7.47</v>
      </c>
      <c r="X11" s="68">
        <f t="shared" si="4"/>
        <v>1.1000000000000001</v>
      </c>
      <c r="Y11" s="67">
        <v>3.37</v>
      </c>
      <c r="Z11" s="69">
        <f t="shared" si="5"/>
        <v>294.86973562590669</v>
      </c>
      <c r="AA11" s="69"/>
      <c r="AB11">
        <f t="shared" si="6"/>
        <v>14.103360000000002</v>
      </c>
      <c r="AC11" s="70">
        <f t="shared" si="7"/>
        <v>280.76637562590668</v>
      </c>
      <c r="AD11">
        <f t="shared" si="8"/>
        <v>7.0516800000000011</v>
      </c>
      <c r="AF11" s="71">
        <v>0</v>
      </c>
      <c r="AG11">
        <f t="shared" si="9"/>
        <v>0</v>
      </c>
      <c r="AH11" s="71">
        <v>0</v>
      </c>
      <c r="AI11">
        <f t="shared" si="10"/>
        <v>0</v>
      </c>
      <c r="AJ11">
        <f t="shared" si="11"/>
        <v>5.6</v>
      </c>
      <c r="AK11">
        <f t="shared" si="1"/>
        <v>2.4400000000000005E-2</v>
      </c>
      <c r="AL11">
        <f t="shared" si="12"/>
        <v>10</v>
      </c>
      <c r="AM11">
        <f t="shared" si="2"/>
        <v>10</v>
      </c>
      <c r="AN11">
        <v>0</v>
      </c>
      <c r="AO11">
        <f t="shared" si="13"/>
        <v>127.4136</v>
      </c>
      <c r="AP11">
        <f>AO11+AO12+AO13</f>
        <v>357.33760000000001</v>
      </c>
    </row>
    <row r="12" spans="1:42" ht="16.5" thickTop="1" thickBot="1" x14ac:dyDescent="0.3">
      <c r="A12" s="60" t="s">
        <v>2803</v>
      </c>
      <c r="B12" s="72">
        <v>12000</v>
      </c>
      <c r="C12" s="73">
        <v>1600</v>
      </c>
      <c r="D12" s="73">
        <v>200</v>
      </c>
      <c r="E12" s="73">
        <v>1600</v>
      </c>
      <c r="F12" s="73">
        <v>300</v>
      </c>
      <c r="G12" s="63">
        <f t="shared" si="0"/>
        <v>1100</v>
      </c>
      <c r="H12" s="73">
        <v>300</v>
      </c>
      <c r="I12" s="64">
        <v>10</v>
      </c>
      <c r="J12" s="64">
        <v>200</v>
      </c>
      <c r="K12" s="64">
        <v>12</v>
      </c>
      <c r="L12" s="64">
        <v>200</v>
      </c>
      <c r="M12" s="64">
        <v>10</v>
      </c>
      <c r="N12" s="64">
        <v>200</v>
      </c>
      <c r="O12" s="64">
        <v>10</v>
      </c>
      <c r="P12" s="64">
        <v>200</v>
      </c>
      <c r="S12" s="65">
        <v>1</v>
      </c>
      <c r="U12" s="67">
        <f t="shared" si="14"/>
        <v>0.6</v>
      </c>
      <c r="V12" s="67">
        <v>2.58</v>
      </c>
      <c r="W12" s="68">
        <f t="shared" si="3"/>
        <v>12</v>
      </c>
      <c r="X12" s="68">
        <f t="shared" si="4"/>
        <v>1.6</v>
      </c>
      <c r="Y12" s="67">
        <v>3.69</v>
      </c>
      <c r="Z12" s="69">
        <f t="shared" si="5"/>
        <v>268.68118374586874</v>
      </c>
      <c r="AA12" s="69"/>
      <c r="AB12">
        <f t="shared" si="6"/>
        <v>13.896000000000001</v>
      </c>
      <c r="AC12" s="70">
        <f t="shared" si="7"/>
        <v>254.78518374586872</v>
      </c>
      <c r="AD12">
        <f t="shared" si="8"/>
        <v>13.896000000000001</v>
      </c>
      <c r="AF12" s="71">
        <v>0</v>
      </c>
      <c r="AG12">
        <f t="shared" si="9"/>
        <v>0</v>
      </c>
      <c r="AH12" s="71">
        <v>0</v>
      </c>
      <c r="AI12">
        <f t="shared" si="10"/>
        <v>0</v>
      </c>
      <c r="AJ12">
        <f t="shared" si="11"/>
        <v>3.2</v>
      </c>
      <c r="AK12">
        <f t="shared" si="1"/>
        <v>1.6E-2</v>
      </c>
      <c r="AL12">
        <f t="shared" si="12"/>
        <v>6</v>
      </c>
      <c r="AM12">
        <f t="shared" si="2"/>
        <v>6</v>
      </c>
      <c r="AN12">
        <f t="shared" ref="AN12:AN25" si="15">ROUNDUP(B12/2000,0)*D12/1000</f>
        <v>1.2</v>
      </c>
      <c r="AO12">
        <f t="shared" si="13"/>
        <v>115.92</v>
      </c>
    </row>
    <row r="13" spans="1:42" ht="16.5" thickTop="1" thickBot="1" x14ac:dyDescent="0.3">
      <c r="A13" s="60" t="s">
        <v>2804</v>
      </c>
      <c r="B13" s="72">
        <v>11800</v>
      </c>
      <c r="C13" s="73">
        <v>1600</v>
      </c>
      <c r="D13" s="73">
        <v>200</v>
      </c>
      <c r="E13" s="73">
        <v>1600</v>
      </c>
      <c r="F13" s="73">
        <v>300</v>
      </c>
      <c r="G13" s="63">
        <f t="shared" si="0"/>
        <v>1100</v>
      </c>
      <c r="H13" s="73">
        <v>300</v>
      </c>
      <c r="I13" s="64">
        <v>10</v>
      </c>
      <c r="J13" s="64">
        <v>200</v>
      </c>
      <c r="K13" s="64">
        <v>12</v>
      </c>
      <c r="L13" s="64">
        <v>200</v>
      </c>
      <c r="M13" s="64">
        <v>10</v>
      </c>
      <c r="N13" s="64">
        <v>200</v>
      </c>
      <c r="O13" s="64">
        <v>10</v>
      </c>
      <c r="P13" s="64">
        <v>200</v>
      </c>
      <c r="S13" s="65">
        <v>1</v>
      </c>
      <c r="U13" s="67">
        <f t="shared" si="14"/>
        <v>0.6</v>
      </c>
      <c r="V13" s="67">
        <v>2.58</v>
      </c>
      <c r="W13" s="68">
        <f t="shared" si="3"/>
        <v>11.8</v>
      </c>
      <c r="X13" s="68">
        <f t="shared" si="4"/>
        <v>1.6</v>
      </c>
      <c r="Y13" s="67">
        <v>3.69</v>
      </c>
      <c r="Z13" s="69">
        <f t="shared" si="5"/>
        <v>265.24982139521757</v>
      </c>
      <c r="AA13" s="69"/>
      <c r="AB13">
        <f t="shared" si="6"/>
        <v>13.664400000000001</v>
      </c>
      <c r="AC13" s="70">
        <f t="shared" si="7"/>
        <v>251.58542139521757</v>
      </c>
      <c r="AD13">
        <f t="shared" si="8"/>
        <v>13.664400000000001</v>
      </c>
      <c r="AF13" s="71">
        <v>0</v>
      </c>
      <c r="AG13">
        <f t="shared" si="9"/>
        <v>0</v>
      </c>
      <c r="AH13" s="71">
        <v>0</v>
      </c>
      <c r="AI13">
        <f t="shared" si="10"/>
        <v>0</v>
      </c>
      <c r="AJ13">
        <f t="shared" si="11"/>
        <v>3.2</v>
      </c>
      <c r="AK13">
        <f>((D13/1000*C13/1000*0.02)+(E13/1000*H13/1000*0.02))*S13</f>
        <v>1.6E-2</v>
      </c>
      <c r="AL13">
        <f t="shared" si="12"/>
        <v>6</v>
      </c>
      <c r="AM13">
        <f>AL13</f>
        <v>6</v>
      </c>
      <c r="AN13">
        <f t="shared" si="15"/>
        <v>1.2</v>
      </c>
      <c r="AO13">
        <f t="shared" si="13"/>
        <v>114.004</v>
      </c>
    </row>
    <row r="14" spans="1:42" ht="16.5" thickTop="1" thickBot="1" x14ac:dyDescent="0.3">
      <c r="A14" s="75" t="s">
        <v>2805</v>
      </c>
      <c r="B14" s="73">
        <v>6000</v>
      </c>
      <c r="C14" s="73">
        <v>1100</v>
      </c>
      <c r="D14" s="73">
        <v>150</v>
      </c>
      <c r="E14" s="73">
        <v>750</v>
      </c>
      <c r="F14" s="73">
        <v>300</v>
      </c>
      <c r="G14" s="76">
        <f t="shared" si="0"/>
        <v>300</v>
      </c>
      <c r="H14" s="73">
        <v>200</v>
      </c>
      <c r="I14" s="77">
        <v>10</v>
      </c>
      <c r="J14" s="77">
        <v>200</v>
      </c>
      <c r="K14" s="77">
        <v>10</v>
      </c>
      <c r="L14" s="77">
        <v>200</v>
      </c>
      <c r="M14" s="77">
        <v>10</v>
      </c>
      <c r="N14" s="77">
        <v>200</v>
      </c>
      <c r="O14" s="77">
        <v>10</v>
      </c>
      <c r="P14" s="77">
        <v>200</v>
      </c>
      <c r="S14" s="78">
        <v>1</v>
      </c>
      <c r="T14" s="79"/>
      <c r="U14" s="80">
        <f t="shared" si="14"/>
        <v>0.6</v>
      </c>
      <c r="V14" s="80">
        <v>1.33</v>
      </c>
      <c r="W14" s="81">
        <f t="shared" si="3"/>
        <v>6</v>
      </c>
      <c r="X14" s="81">
        <f t="shared" si="4"/>
        <v>0.75</v>
      </c>
      <c r="Y14" s="80">
        <v>1.24</v>
      </c>
      <c r="Z14" s="82">
        <f t="shared" si="5"/>
        <v>26.425460254186657</v>
      </c>
      <c r="AA14" s="82"/>
      <c r="AB14" s="79">
        <f t="shared" si="6"/>
        <v>1.8360000000000001</v>
      </c>
      <c r="AC14" s="83">
        <f t="shared" si="7"/>
        <v>24.589460254186658</v>
      </c>
      <c r="AD14" s="79">
        <f t="shared" si="8"/>
        <v>1.8360000000000001</v>
      </c>
      <c r="AE14" s="79"/>
      <c r="AF14" s="84">
        <v>0</v>
      </c>
      <c r="AG14" s="79">
        <f t="shared" si="9"/>
        <v>0</v>
      </c>
      <c r="AH14" s="84">
        <v>0</v>
      </c>
      <c r="AI14" s="79">
        <f t="shared" si="10"/>
        <v>0</v>
      </c>
      <c r="AJ14" s="79">
        <f t="shared" si="11"/>
        <v>2.2000000000000002</v>
      </c>
      <c r="AK14" s="79">
        <f>((D14/1000*C14/1000*0.02)+(E14/1000*H14/1000*0.02))*S14</f>
        <v>6.3E-3</v>
      </c>
      <c r="AL14" s="79">
        <f t="shared" si="12"/>
        <v>4</v>
      </c>
      <c r="AM14" s="79">
        <f>AL14</f>
        <v>4</v>
      </c>
      <c r="AN14" s="79">
        <f t="shared" si="15"/>
        <v>0.45</v>
      </c>
      <c r="AO14" s="79">
        <f t="shared" si="13"/>
        <v>22.080000000000002</v>
      </c>
      <c r="AP14" s="79"/>
    </row>
    <row r="15" spans="1:42" ht="16.5" thickTop="1" thickBot="1" x14ac:dyDescent="0.3">
      <c r="A15" s="85" t="s">
        <v>2806</v>
      </c>
      <c r="B15" s="73">
        <v>8100</v>
      </c>
      <c r="C15" s="73">
        <v>1300</v>
      </c>
      <c r="D15" s="73">
        <v>150</v>
      </c>
      <c r="E15" s="73">
        <v>750</v>
      </c>
      <c r="F15" s="73">
        <v>300</v>
      </c>
      <c r="G15" s="76">
        <f t="shared" si="0"/>
        <v>300</v>
      </c>
      <c r="H15" s="73">
        <v>200</v>
      </c>
      <c r="I15" s="77">
        <v>10</v>
      </c>
      <c r="J15" s="77">
        <v>200</v>
      </c>
      <c r="K15" s="77">
        <v>10</v>
      </c>
      <c r="L15" s="77">
        <v>200</v>
      </c>
      <c r="M15" s="77">
        <v>10</v>
      </c>
      <c r="N15" s="77">
        <v>200</v>
      </c>
      <c r="O15" s="77">
        <v>10</v>
      </c>
      <c r="P15" s="77">
        <v>200</v>
      </c>
      <c r="S15" s="65">
        <v>1</v>
      </c>
      <c r="U15" s="67">
        <f t="shared" si="14"/>
        <v>0.6</v>
      </c>
      <c r="V15" s="67">
        <v>1.37</v>
      </c>
      <c r="W15" s="68">
        <f t="shared" si="3"/>
        <v>8.1</v>
      </c>
      <c r="X15" s="68">
        <f t="shared" si="4"/>
        <v>0.75</v>
      </c>
      <c r="Y15" s="67">
        <v>1.32</v>
      </c>
      <c r="Z15" s="69">
        <f t="shared" si="5"/>
        <v>36.150247660495701</v>
      </c>
      <c r="AA15" s="69"/>
      <c r="AB15">
        <f t="shared" si="6"/>
        <v>2.5758000000000001</v>
      </c>
      <c r="AC15" s="70">
        <f t="shared" si="7"/>
        <v>33.5744476604957</v>
      </c>
      <c r="AD15">
        <f t="shared" si="8"/>
        <v>2.5758000000000001</v>
      </c>
      <c r="AF15" s="71">
        <v>0</v>
      </c>
      <c r="AG15">
        <f t="shared" si="9"/>
        <v>0</v>
      </c>
      <c r="AH15" s="71">
        <v>0</v>
      </c>
      <c r="AI15">
        <f t="shared" si="10"/>
        <v>0</v>
      </c>
      <c r="AJ15">
        <f t="shared" si="11"/>
        <v>2.6</v>
      </c>
      <c r="AK15">
        <f>((D15/1000*C15/1000*0.02)+(E15/1000*H15/1000*0.02))*S15</f>
        <v>6.8999999999999999E-3</v>
      </c>
      <c r="AL15">
        <f t="shared" si="12"/>
        <v>5</v>
      </c>
      <c r="AM15">
        <f>AL15</f>
        <v>5</v>
      </c>
      <c r="AN15">
        <f t="shared" si="15"/>
        <v>0.75</v>
      </c>
      <c r="AO15">
        <f t="shared" si="13"/>
        <v>30.999000000000002</v>
      </c>
    </row>
    <row r="16" spans="1:42" ht="15.75" thickBot="1" x14ac:dyDescent="0.3">
      <c r="A16" s="86" t="s">
        <v>2807</v>
      </c>
      <c r="B16" s="73">
        <v>4020</v>
      </c>
      <c r="C16" s="73">
        <v>950</v>
      </c>
      <c r="D16" s="73">
        <v>150</v>
      </c>
      <c r="E16" s="73">
        <v>750</v>
      </c>
      <c r="F16" s="73">
        <v>300</v>
      </c>
      <c r="G16" s="76">
        <f t="shared" si="0"/>
        <v>300</v>
      </c>
      <c r="H16" s="73">
        <v>200</v>
      </c>
      <c r="I16" s="77">
        <v>10</v>
      </c>
      <c r="J16" s="77">
        <v>200</v>
      </c>
      <c r="K16" s="77">
        <v>10</v>
      </c>
      <c r="L16" s="77">
        <v>200</v>
      </c>
      <c r="M16" s="77">
        <v>10</v>
      </c>
      <c r="N16" s="77">
        <v>200</v>
      </c>
      <c r="O16" s="77">
        <v>10</v>
      </c>
      <c r="P16" s="77">
        <v>200</v>
      </c>
      <c r="S16" s="78">
        <v>1</v>
      </c>
      <c r="T16" s="79"/>
      <c r="U16" s="80">
        <f>U15</f>
        <v>0.6</v>
      </c>
      <c r="V16" s="80">
        <v>1.96</v>
      </c>
      <c r="W16" s="81">
        <f t="shared" si="3"/>
        <v>4.0199999999999996</v>
      </c>
      <c r="X16" s="81">
        <f t="shared" si="4"/>
        <v>0.75</v>
      </c>
      <c r="Y16" s="80">
        <v>2.4700000000000002</v>
      </c>
      <c r="Z16" s="82">
        <f t="shared" si="5"/>
        <v>54.905213182334187</v>
      </c>
      <c r="AA16" s="82"/>
      <c r="AB16" s="79">
        <f t="shared" si="6"/>
        <v>1.9718100000000001</v>
      </c>
      <c r="AC16" s="83">
        <f t="shared" si="7"/>
        <v>52.933403182334189</v>
      </c>
      <c r="AD16" s="79">
        <f t="shared" si="8"/>
        <v>1.9718100000000001</v>
      </c>
      <c r="AE16" s="79"/>
      <c r="AF16" s="84">
        <v>0</v>
      </c>
      <c r="AG16" s="79">
        <f t="shared" si="9"/>
        <v>0</v>
      </c>
      <c r="AH16" s="84">
        <v>0</v>
      </c>
      <c r="AI16" s="79">
        <f t="shared" si="10"/>
        <v>0</v>
      </c>
      <c r="AJ16" s="79">
        <f t="shared" si="11"/>
        <v>1.9</v>
      </c>
      <c r="AK16" s="79">
        <f t="shared" ref="AK16:AK25" si="16">((D16/1000*C16/1000*0.02)+(E16/1000*H16/1000*0.02))*S16</f>
        <v>5.8499999999999993E-3</v>
      </c>
      <c r="AL16" s="79">
        <f t="shared" si="12"/>
        <v>4</v>
      </c>
      <c r="AM16" s="79">
        <f t="shared" ref="AM16:AM25" si="17">AL16</f>
        <v>4</v>
      </c>
      <c r="AN16" s="79">
        <f t="shared" si="15"/>
        <v>0.45</v>
      </c>
      <c r="AO16" s="79">
        <f t="shared" si="13"/>
        <v>24.781800000000004</v>
      </c>
      <c r="AP16" s="79"/>
    </row>
    <row r="17" spans="1:42" ht="15.75" thickBot="1" x14ac:dyDescent="0.3">
      <c r="A17" s="87" t="s">
        <v>2808</v>
      </c>
      <c r="B17" s="73">
        <v>8000</v>
      </c>
      <c r="C17" s="73">
        <v>950</v>
      </c>
      <c r="D17" s="73">
        <v>150</v>
      </c>
      <c r="E17" s="73">
        <v>750</v>
      </c>
      <c r="F17" s="73">
        <v>300</v>
      </c>
      <c r="G17" s="76">
        <f t="shared" si="0"/>
        <v>300</v>
      </c>
      <c r="H17" s="73">
        <v>200</v>
      </c>
      <c r="I17" s="77">
        <v>10</v>
      </c>
      <c r="J17" s="77">
        <v>200</v>
      </c>
      <c r="K17" s="77">
        <v>10</v>
      </c>
      <c r="L17" s="77">
        <v>200</v>
      </c>
      <c r="M17" s="77">
        <v>10</v>
      </c>
      <c r="N17" s="77">
        <v>200</v>
      </c>
      <c r="O17" s="77">
        <v>10</v>
      </c>
      <c r="P17" s="77">
        <v>200</v>
      </c>
      <c r="S17" s="88">
        <v>1</v>
      </c>
      <c r="T17" s="74"/>
      <c r="U17" s="89">
        <f t="shared" si="14"/>
        <v>0.6</v>
      </c>
      <c r="V17" s="89">
        <v>1.96</v>
      </c>
      <c r="W17" s="90">
        <f t="shared" si="3"/>
        <v>8</v>
      </c>
      <c r="X17" s="90">
        <f t="shared" si="4"/>
        <v>0.75</v>
      </c>
      <c r="Y17" s="89">
        <v>2.4700000000000002</v>
      </c>
      <c r="Z17" s="91">
        <f t="shared" si="5"/>
        <v>86.621176389841153</v>
      </c>
      <c r="AA17" s="91"/>
      <c r="AB17" s="74">
        <f t="shared" si="6"/>
        <v>3.9239999999999999</v>
      </c>
      <c r="AC17" s="92">
        <f t="shared" si="7"/>
        <v>82.697176389841147</v>
      </c>
      <c r="AD17" s="74">
        <f t="shared" si="8"/>
        <v>3.9239999999999999</v>
      </c>
      <c r="AE17" s="74"/>
      <c r="AF17" s="93">
        <v>0</v>
      </c>
      <c r="AG17" s="74">
        <f t="shared" si="9"/>
        <v>0</v>
      </c>
      <c r="AH17" s="93">
        <v>0</v>
      </c>
      <c r="AI17" s="74">
        <f t="shared" si="10"/>
        <v>0</v>
      </c>
      <c r="AJ17" s="74">
        <f t="shared" si="11"/>
        <v>1.9</v>
      </c>
      <c r="AK17" s="74">
        <f t="shared" si="16"/>
        <v>5.8499999999999993E-3</v>
      </c>
      <c r="AL17" s="74">
        <f t="shared" si="12"/>
        <v>4</v>
      </c>
      <c r="AM17" s="74">
        <f t="shared" si="17"/>
        <v>4</v>
      </c>
      <c r="AN17" s="74">
        <f t="shared" si="15"/>
        <v>0.6</v>
      </c>
      <c r="AO17" s="74">
        <f t="shared" si="13"/>
        <v>49.02</v>
      </c>
      <c r="AP17" s="74"/>
    </row>
    <row r="18" spans="1:42" x14ac:dyDescent="0.25">
      <c r="A18" s="94" t="s">
        <v>2809</v>
      </c>
      <c r="B18" s="95">
        <v>6000</v>
      </c>
      <c r="C18" s="95">
        <v>2000</v>
      </c>
      <c r="D18" s="95">
        <v>400</v>
      </c>
      <c r="E18" s="95">
        <v>1000</v>
      </c>
      <c r="F18" s="95">
        <v>300</v>
      </c>
      <c r="G18" s="96">
        <f t="shared" si="0"/>
        <v>300</v>
      </c>
      <c r="H18" s="95">
        <v>300</v>
      </c>
      <c r="I18" s="65">
        <v>10</v>
      </c>
      <c r="J18" s="65">
        <v>200</v>
      </c>
      <c r="K18" s="65">
        <v>10</v>
      </c>
      <c r="L18" s="65">
        <v>200</v>
      </c>
      <c r="M18" s="65">
        <v>10</v>
      </c>
      <c r="N18" s="65">
        <v>200</v>
      </c>
      <c r="O18" s="65">
        <v>10</v>
      </c>
      <c r="P18" s="65">
        <v>200</v>
      </c>
      <c r="S18" s="65">
        <v>1</v>
      </c>
      <c r="U18" s="67">
        <f t="shared" si="14"/>
        <v>0.6</v>
      </c>
      <c r="V18" s="67">
        <v>1.31</v>
      </c>
      <c r="W18" s="68">
        <f t="shared" si="3"/>
        <v>6</v>
      </c>
      <c r="X18" s="68">
        <f t="shared" si="4"/>
        <v>1</v>
      </c>
      <c r="Y18" s="67">
        <v>1.2</v>
      </c>
      <c r="Z18" s="69">
        <f t="shared" si="5"/>
        <v>27.710702784028243</v>
      </c>
      <c r="AA18" s="69"/>
      <c r="AB18" s="44">
        <f t="shared" si="6"/>
        <v>3.96</v>
      </c>
      <c r="AC18" s="97">
        <f t="shared" si="7"/>
        <v>23.750702784028242</v>
      </c>
      <c r="AD18" s="98">
        <f t="shared" si="8"/>
        <v>3.96</v>
      </c>
      <c r="AF18" s="71">
        <v>0</v>
      </c>
      <c r="AG18" s="98">
        <f t="shared" si="9"/>
        <v>0</v>
      </c>
      <c r="AH18" s="71">
        <v>0</v>
      </c>
      <c r="AI18" s="98">
        <f t="shared" si="10"/>
        <v>0</v>
      </c>
      <c r="AJ18">
        <f t="shared" si="11"/>
        <v>4</v>
      </c>
      <c r="AK18">
        <f t="shared" si="16"/>
        <v>2.1999999999999999E-2</v>
      </c>
      <c r="AL18">
        <f t="shared" si="12"/>
        <v>7</v>
      </c>
      <c r="AM18">
        <f t="shared" si="17"/>
        <v>7</v>
      </c>
      <c r="AN18">
        <f t="shared" si="15"/>
        <v>1.2</v>
      </c>
      <c r="AO18" s="44">
        <f t="shared" si="13"/>
        <v>24.6</v>
      </c>
    </row>
    <row r="19" spans="1:42" x14ac:dyDescent="0.25">
      <c r="A19" s="94" t="s">
        <v>2810</v>
      </c>
      <c r="B19" s="95">
        <v>8460</v>
      </c>
      <c r="C19" s="95">
        <v>2850</v>
      </c>
      <c r="D19" s="95">
        <v>400</v>
      </c>
      <c r="E19" s="95">
        <v>1900</v>
      </c>
      <c r="F19" s="95">
        <v>300</v>
      </c>
      <c r="G19" s="96">
        <f t="shared" si="0"/>
        <v>1200</v>
      </c>
      <c r="H19" s="95">
        <v>300</v>
      </c>
      <c r="I19" s="65">
        <v>10</v>
      </c>
      <c r="J19" s="65">
        <v>200</v>
      </c>
      <c r="K19" s="65">
        <v>10</v>
      </c>
      <c r="L19" s="65">
        <v>200</v>
      </c>
      <c r="M19" s="65">
        <v>10</v>
      </c>
      <c r="N19" s="65">
        <v>200</v>
      </c>
      <c r="O19" s="65">
        <v>10</v>
      </c>
      <c r="P19" s="65">
        <v>200</v>
      </c>
      <c r="S19" s="65">
        <v>1</v>
      </c>
      <c r="U19" s="67">
        <f t="shared" si="14"/>
        <v>0.6</v>
      </c>
      <c r="V19" s="67">
        <v>1.44</v>
      </c>
      <c r="W19" s="68">
        <f t="shared" si="3"/>
        <v>8.4600000000000009</v>
      </c>
      <c r="X19" s="68">
        <f t="shared" si="4"/>
        <v>1.9</v>
      </c>
      <c r="Y19" s="67">
        <v>1.45</v>
      </c>
      <c r="Z19" s="69">
        <f t="shared" si="5"/>
        <v>60.146249012823766</v>
      </c>
      <c r="AA19" s="69"/>
      <c r="AB19" s="44">
        <f t="shared" si="6"/>
        <v>8.7138000000000009</v>
      </c>
      <c r="AC19" s="97">
        <f t="shared" si="7"/>
        <v>51.432449012823767</v>
      </c>
      <c r="AD19" s="98">
        <f t="shared" si="8"/>
        <v>8.7138000000000009</v>
      </c>
      <c r="AF19" s="71">
        <v>0</v>
      </c>
      <c r="AG19" s="98">
        <f t="shared" si="9"/>
        <v>0</v>
      </c>
      <c r="AH19" s="71">
        <v>0</v>
      </c>
      <c r="AI19" s="98">
        <f t="shared" si="10"/>
        <v>0</v>
      </c>
      <c r="AJ19">
        <f t="shared" si="11"/>
        <v>5.7</v>
      </c>
      <c r="AK19">
        <f t="shared" si="16"/>
        <v>3.4199999999999994E-2</v>
      </c>
      <c r="AL19">
        <f t="shared" si="12"/>
        <v>10</v>
      </c>
      <c r="AM19">
        <f t="shared" si="17"/>
        <v>10</v>
      </c>
      <c r="AN19">
        <f t="shared" si="15"/>
        <v>2</v>
      </c>
      <c r="AO19" s="44">
        <f t="shared" si="13"/>
        <v>46.823999999999998</v>
      </c>
    </row>
    <row r="20" spans="1:42" x14ac:dyDescent="0.25">
      <c r="A20" s="94" t="s">
        <v>2811</v>
      </c>
      <c r="B20" s="95">
        <v>9300</v>
      </c>
      <c r="C20" s="95">
        <v>2850</v>
      </c>
      <c r="D20" s="95">
        <v>400</v>
      </c>
      <c r="E20" s="95">
        <v>2100</v>
      </c>
      <c r="F20" s="95">
        <v>300</v>
      </c>
      <c r="G20" s="96">
        <f t="shared" si="0"/>
        <v>1400</v>
      </c>
      <c r="H20" s="95">
        <v>300</v>
      </c>
      <c r="I20" s="65">
        <v>10</v>
      </c>
      <c r="J20" s="65">
        <v>200</v>
      </c>
      <c r="K20" s="65">
        <v>10</v>
      </c>
      <c r="L20" s="65">
        <v>200</v>
      </c>
      <c r="M20" s="65">
        <v>10</v>
      </c>
      <c r="N20" s="65">
        <v>200</v>
      </c>
      <c r="O20" s="65">
        <v>10</v>
      </c>
      <c r="P20" s="65">
        <v>200</v>
      </c>
      <c r="S20" s="65">
        <v>1</v>
      </c>
      <c r="U20" s="67">
        <f t="shared" si="14"/>
        <v>0.6</v>
      </c>
      <c r="V20" s="67">
        <v>1.75</v>
      </c>
      <c r="W20" s="68">
        <f t="shared" si="3"/>
        <v>9.3000000000000007</v>
      </c>
      <c r="X20" s="68">
        <f t="shared" si="4"/>
        <v>2.1</v>
      </c>
      <c r="Y20" s="67">
        <v>2.0499999999999998</v>
      </c>
      <c r="Z20" s="69">
        <f t="shared" si="5"/>
        <v>106.71401678607658</v>
      </c>
      <c r="AA20" s="69"/>
      <c r="AB20" s="44">
        <f t="shared" si="6"/>
        <v>12.369</v>
      </c>
      <c r="AC20" s="97">
        <f t="shared" si="7"/>
        <v>94.345016786076584</v>
      </c>
      <c r="AD20" s="98">
        <f t="shared" si="8"/>
        <v>12.369</v>
      </c>
      <c r="AF20" s="71">
        <v>0</v>
      </c>
      <c r="AG20" s="98">
        <f t="shared" si="9"/>
        <v>0</v>
      </c>
      <c r="AH20" s="71">
        <v>0</v>
      </c>
      <c r="AI20" s="98">
        <f t="shared" si="10"/>
        <v>0</v>
      </c>
      <c r="AJ20">
        <f t="shared" si="11"/>
        <v>5.7</v>
      </c>
      <c r="AK20">
        <f t="shared" si="16"/>
        <v>3.5400000000000001E-2</v>
      </c>
      <c r="AL20">
        <f t="shared" si="12"/>
        <v>10</v>
      </c>
      <c r="AM20">
        <f t="shared" si="17"/>
        <v>10</v>
      </c>
      <c r="AN20">
        <f t="shared" si="15"/>
        <v>2</v>
      </c>
      <c r="AO20" s="44">
        <f t="shared" si="13"/>
        <v>64.5</v>
      </c>
    </row>
    <row r="21" spans="1:42" x14ac:dyDescent="0.25">
      <c r="A21" s="94" t="s">
        <v>2812</v>
      </c>
      <c r="B21" s="95">
        <v>9800</v>
      </c>
      <c r="C21" s="95">
        <v>2850</v>
      </c>
      <c r="D21" s="95">
        <v>400</v>
      </c>
      <c r="E21" s="95">
        <v>2100</v>
      </c>
      <c r="F21" s="95">
        <v>300</v>
      </c>
      <c r="G21" s="96">
        <f t="shared" si="0"/>
        <v>1400</v>
      </c>
      <c r="H21" s="95">
        <v>300</v>
      </c>
      <c r="I21" s="65">
        <v>10</v>
      </c>
      <c r="J21" s="65">
        <v>200</v>
      </c>
      <c r="K21" s="65">
        <v>10</v>
      </c>
      <c r="L21" s="65">
        <v>200</v>
      </c>
      <c r="M21" s="65">
        <v>10</v>
      </c>
      <c r="N21" s="65">
        <v>200</v>
      </c>
      <c r="O21" s="65">
        <v>10</v>
      </c>
      <c r="P21" s="65">
        <v>200</v>
      </c>
      <c r="S21" s="65">
        <v>1</v>
      </c>
      <c r="U21" s="67">
        <f t="shared" si="14"/>
        <v>0.6</v>
      </c>
      <c r="V21" s="67">
        <v>1.75</v>
      </c>
      <c r="W21" s="68">
        <f t="shared" si="3"/>
        <v>9.8000000000000007</v>
      </c>
      <c r="X21" s="68">
        <f t="shared" si="4"/>
        <v>2.1</v>
      </c>
      <c r="Y21" s="67">
        <v>2.0499999999999998</v>
      </c>
      <c r="Z21" s="69">
        <f t="shared" si="5"/>
        <v>111.2305294012903</v>
      </c>
      <c r="AA21" s="69"/>
      <c r="AB21" s="44">
        <f t="shared" si="6"/>
        <v>13.034000000000001</v>
      </c>
      <c r="AC21" s="97">
        <f t="shared" si="7"/>
        <v>98.196529401290292</v>
      </c>
      <c r="AD21" s="98">
        <f t="shared" si="8"/>
        <v>13.034000000000001</v>
      </c>
      <c r="AF21" s="71">
        <v>0</v>
      </c>
      <c r="AG21" s="98">
        <f t="shared" si="9"/>
        <v>0</v>
      </c>
      <c r="AH21" s="71">
        <v>0</v>
      </c>
      <c r="AI21" s="98">
        <f t="shared" si="10"/>
        <v>0</v>
      </c>
      <c r="AJ21">
        <f t="shared" si="11"/>
        <v>5.7</v>
      </c>
      <c r="AK21">
        <f t="shared" si="16"/>
        <v>3.5400000000000001E-2</v>
      </c>
      <c r="AL21">
        <f t="shared" si="12"/>
        <v>10</v>
      </c>
      <c r="AM21">
        <f t="shared" si="17"/>
        <v>10</v>
      </c>
      <c r="AN21">
        <f t="shared" si="15"/>
        <v>2</v>
      </c>
      <c r="AO21" s="44">
        <f t="shared" si="13"/>
        <v>67.900000000000006</v>
      </c>
    </row>
    <row r="22" spans="1:42" x14ac:dyDescent="0.25">
      <c r="A22" s="94" t="s">
        <v>2813</v>
      </c>
      <c r="B22" s="95">
        <v>3300</v>
      </c>
      <c r="C22" s="95">
        <v>2850</v>
      </c>
      <c r="D22" s="95">
        <v>400</v>
      </c>
      <c r="E22" s="95">
        <v>2100</v>
      </c>
      <c r="F22" s="95">
        <v>300</v>
      </c>
      <c r="G22" s="96">
        <f t="shared" si="0"/>
        <v>1400</v>
      </c>
      <c r="H22" s="95">
        <v>300</v>
      </c>
      <c r="I22" s="65">
        <v>10</v>
      </c>
      <c r="J22" s="65">
        <v>200</v>
      </c>
      <c r="K22" s="65">
        <v>10</v>
      </c>
      <c r="L22" s="65">
        <v>200</v>
      </c>
      <c r="M22" s="65">
        <v>10</v>
      </c>
      <c r="N22" s="65">
        <v>200</v>
      </c>
      <c r="O22" s="65">
        <v>10</v>
      </c>
      <c r="P22" s="65">
        <v>200</v>
      </c>
      <c r="S22" s="65">
        <v>1</v>
      </c>
      <c r="U22" s="67">
        <f t="shared" si="14"/>
        <v>0.6</v>
      </c>
      <c r="V22" s="67">
        <v>1.75</v>
      </c>
      <c r="W22" s="68">
        <f t="shared" si="3"/>
        <v>3.3</v>
      </c>
      <c r="X22" s="68">
        <f t="shared" si="4"/>
        <v>2.1</v>
      </c>
      <c r="Y22" s="67">
        <v>2.0499999999999998</v>
      </c>
      <c r="Z22" s="69">
        <f t="shared" si="5"/>
        <v>52.418494252872541</v>
      </c>
      <c r="AA22" s="69"/>
      <c r="AB22" s="44">
        <f t="shared" si="6"/>
        <v>4.3890000000000002</v>
      </c>
      <c r="AC22" s="97">
        <f t="shared" si="7"/>
        <v>48.029494252872539</v>
      </c>
      <c r="AD22" s="98">
        <f t="shared" si="8"/>
        <v>4.3890000000000002</v>
      </c>
      <c r="AF22" s="71">
        <v>0</v>
      </c>
      <c r="AG22" s="98">
        <f t="shared" si="9"/>
        <v>0</v>
      </c>
      <c r="AH22" s="71">
        <v>0</v>
      </c>
      <c r="AI22" s="98">
        <f t="shared" si="10"/>
        <v>0</v>
      </c>
      <c r="AJ22">
        <f t="shared" si="11"/>
        <v>5.7</v>
      </c>
      <c r="AK22">
        <f t="shared" si="16"/>
        <v>3.5400000000000001E-2</v>
      </c>
      <c r="AL22">
        <f t="shared" si="12"/>
        <v>10</v>
      </c>
      <c r="AM22">
        <f t="shared" si="17"/>
        <v>10</v>
      </c>
      <c r="AN22">
        <f t="shared" si="15"/>
        <v>0.8</v>
      </c>
      <c r="AO22" s="44">
        <f t="shared" si="13"/>
        <v>23.699999999999996</v>
      </c>
    </row>
    <row r="23" spans="1:42" x14ac:dyDescent="0.25">
      <c r="A23" s="94" t="s">
        <v>2814</v>
      </c>
      <c r="B23" s="95">
        <v>3300</v>
      </c>
      <c r="C23" s="95">
        <v>1780</v>
      </c>
      <c r="D23" s="95">
        <v>400</v>
      </c>
      <c r="E23" s="95">
        <v>1000</v>
      </c>
      <c r="F23" s="95">
        <v>300</v>
      </c>
      <c r="G23" s="96">
        <f t="shared" si="0"/>
        <v>300</v>
      </c>
      <c r="H23" s="95">
        <v>300</v>
      </c>
      <c r="I23" s="65">
        <v>10</v>
      </c>
      <c r="J23" s="65">
        <v>200</v>
      </c>
      <c r="K23" s="65">
        <v>10</v>
      </c>
      <c r="L23" s="65">
        <v>200</v>
      </c>
      <c r="M23" s="65">
        <v>10</v>
      </c>
      <c r="N23" s="65">
        <v>200</v>
      </c>
      <c r="O23" s="65">
        <v>10</v>
      </c>
      <c r="P23" s="65">
        <v>200</v>
      </c>
      <c r="S23" s="65">
        <v>1</v>
      </c>
      <c r="U23" s="67">
        <f t="shared" si="14"/>
        <v>0.6</v>
      </c>
      <c r="V23" s="67">
        <v>1.66</v>
      </c>
      <c r="W23" s="68">
        <f t="shared" si="3"/>
        <v>3.3</v>
      </c>
      <c r="X23" s="68">
        <f t="shared" si="4"/>
        <v>1</v>
      </c>
      <c r="Y23" s="67">
        <v>1.88</v>
      </c>
      <c r="Z23" s="69">
        <f t="shared" si="5"/>
        <v>34.670141391317216</v>
      </c>
      <c r="AA23" s="69"/>
      <c r="AB23" s="44">
        <f t="shared" si="6"/>
        <v>3.0756000000000001</v>
      </c>
      <c r="AC23" s="97">
        <f t="shared" si="7"/>
        <v>31.594541391317215</v>
      </c>
      <c r="AD23" s="98">
        <f t="shared" si="8"/>
        <v>3.0756000000000001</v>
      </c>
      <c r="AF23" s="71">
        <v>0</v>
      </c>
      <c r="AG23" s="98">
        <f t="shared" si="9"/>
        <v>0</v>
      </c>
      <c r="AH23" s="71">
        <v>0</v>
      </c>
      <c r="AI23" s="98">
        <f t="shared" si="10"/>
        <v>0</v>
      </c>
      <c r="AJ23">
        <f t="shared" si="11"/>
        <v>3.56</v>
      </c>
      <c r="AK23">
        <f t="shared" si="16"/>
        <v>2.0240000000000001E-2</v>
      </c>
      <c r="AL23">
        <f t="shared" si="12"/>
        <v>6</v>
      </c>
      <c r="AM23">
        <f t="shared" si="17"/>
        <v>6</v>
      </c>
      <c r="AN23">
        <f t="shared" si="15"/>
        <v>0.8</v>
      </c>
      <c r="AO23" s="44">
        <f t="shared" si="13"/>
        <v>18.288</v>
      </c>
    </row>
    <row r="24" spans="1:42" x14ac:dyDescent="0.25">
      <c r="A24" s="94" t="s">
        <v>2815</v>
      </c>
      <c r="B24" s="95">
        <v>3300</v>
      </c>
      <c r="C24" s="95">
        <v>1780</v>
      </c>
      <c r="D24" s="95">
        <v>400</v>
      </c>
      <c r="E24" s="95">
        <v>1000</v>
      </c>
      <c r="F24" s="95">
        <v>300</v>
      </c>
      <c r="G24" s="96">
        <f t="shared" si="0"/>
        <v>300</v>
      </c>
      <c r="H24" s="95">
        <v>300</v>
      </c>
      <c r="I24" s="65">
        <v>10</v>
      </c>
      <c r="J24" s="65">
        <v>200</v>
      </c>
      <c r="K24" s="65">
        <v>10</v>
      </c>
      <c r="L24" s="65">
        <v>200</v>
      </c>
      <c r="M24" s="65">
        <v>10</v>
      </c>
      <c r="N24" s="65">
        <v>200</v>
      </c>
      <c r="O24" s="65">
        <v>10</v>
      </c>
      <c r="P24" s="65">
        <v>200</v>
      </c>
      <c r="S24" s="65">
        <v>1</v>
      </c>
      <c r="U24" s="67">
        <f t="shared" si="14"/>
        <v>0.6</v>
      </c>
      <c r="V24" s="67">
        <v>1.89</v>
      </c>
      <c r="W24" s="68">
        <f t="shared" si="3"/>
        <v>3.3</v>
      </c>
      <c r="X24" s="68">
        <f t="shared" si="4"/>
        <v>1</v>
      </c>
      <c r="Y24" s="67">
        <v>2.33</v>
      </c>
      <c r="Z24" s="69">
        <f t="shared" si="5"/>
        <v>48.189441612002462</v>
      </c>
      <c r="AA24" s="69"/>
      <c r="AB24" s="44">
        <f t="shared" si="6"/>
        <v>3.6696000000000004</v>
      </c>
      <c r="AC24" s="97">
        <f t="shared" si="7"/>
        <v>44.519841612002459</v>
      </c>
      <c r="AD24" s="98">
        <f t="shared" si="8"/>
        <v>3.6696000000000004</v>
      </c>
      <c r="AF24" s="71">
        <v>0</v>
      </c>
      <c r="AG24" s="98">
        <f t="shared" si="9"/>
        <v>0</v>
      </c>
      <c r="AH24" s="71">
        <v>0</v>
      </c>
      <c r="AI24" s="98">
        <f t="shared" si="10"/>
        <v>0</v>
      </c>
      <c r="AJ24">
        <f t="shared" si="11"/>
        <v>3.56</v>
      </c>
      <c r="AK24">
        <f t="shared" si="16"/>
        <v>2.0240000000000001E-2</v>
      </c>
      <c r="AL24">
        <f t="shared" si="12"/>
        <v>6</v>
      </c>
      <c r="AM24">
        <f t="shared" si="17"/>
        <v>6</v>
      </c>
      <c r="AN24">
        <f t="shared" si="15"/>
        <v>0.8</v>
      </c>
      <c r="AO24" s="44">
        <f t="shared" si="13"/>
        <v>21.257999999999999</v>
      </c>
    </row>
    <row r="25" spans="1:42" x14ac:dyDescent="0.25">
      <c r="A25" s="94" t="s">
        <v>2816</v>
      </c>
      <c r="B25" s="95">
        <v>3520</v>
      </c>
      <c r="C25" s="95">
        <v>2000</v>
      </c>
      <c r="D25" s="95">
        <v>400</v>
      </c>
      <c r="E25" s="95">
        <v>1000</v>
      </c>
      <c r="F25" s="95">
        <v>300</v>
      </c>
      <c r="G25" s="96">
        <f t="shared" si="0"/>
        <v>300</v>
      </c>
      <c r="H25" s="95">
        <v>300</v>
      </c>
      <c r="I25" s="65">
        <v>10</v>
      </c>
      <c r="J25" s="65">
        <v>200</v>
      </c>
      <c r="K25" s="65">
        <v>10</v>
      </c>
      <c r="L25" s="65">
        <v>200</v>
      </c>
      <c r="M25" s="65">
        <v>10</v>
      </c>
      <c r="N25" s="65">
        <v>200</v>
      </c>
      <c r="O25" s="65">
        <v>10</v>
      </c>
      <c r="P25" s="65">
        <v>200</v>
      </c>
      <c r="S25" s="88">
        <v>1</v>
      </c>
      <c r="T25" s="74"/>
      <c r="U25" s="89">
        <f t="shared" si="14"/>
        <v>0.6</v>
      </c>
      <c r="V25" s="89">
        <v>2.23</v>
      </c>
      <c r="W25" s="90">
        <f t="shared" si="3"/>
        <v>3.52</v>
      </c>
      <c r="X25" s="90">
        <f t="shared" si="4"/>
        <v>1</v>
      </c>
      <c r="Y25" s="89">
        <v>3</v>
      </c>
      <c r="Z25" s="91">
        <f t="shared" si="5"/>
        <v>75.225417931785628</v>
      </c>
      <c r="AA25" s="91"/>
      <c r="AB25" s="74">
        <f t="shared" si="6"/>
        <v>4.8576000000000006</v>
      </c>
      <c r="AC25" s="92">
        <f t="shared" si="7"/>
        <v>70.367817931785623</v>
      </c>
      <c r="AD25" s="74">
        <f t="shared" si="8"/>
        <v>4.8576000000000006</v>
      </c>
      <c r="AE25" s="74"/>
      <c r="AF25" s="93">
        <v>0</v>
      </c>
      <c r="AG25" s="74">
        <f t="shared" si="9"/>
        <v>0</v>
      </c>
      <c r="AH25" s="93">
        <v>0</v>
      </c>
      <c r="AI25" s="74">
        <f t="shared" si="10"/>
        <v>0</v>
      </c>
      <c r="AJ25" s="74">
        <f t="shared" si="11"/>
        <v>4</v>
      </c>
      <c r="AK25" s="74">
        <f t="shared" si="16"/>
        <v>2.1999999999999999E-2</v>
      </c>
      <c r="AL25" s="74">
        <f t="shared" si="12"/>
        <v>7</v>
      </c>
      <c r="AM25" s="74">
        <f t="shared" si="17"/>
        <v>7</v>
      </c>
      <c r="AN25" s="74">
        <f t="shared" si="15"/>
        <v>0.8</v>
      </c>
      <c r="AO25" s="74">
        <f t="shared" si="13"/>
        <v>27.352</v>
      </c>
      <c r="AP25" s="74"/>
    </row>
    <row r="26" spans="1:42" x14ac:dyDescent="0.25">
      <c r="A26" s="94"/>
      <c r="B26" s="95"/>
      <c r="C26" s="95"/>
      <c r="D26" s="95"/>
      <c r="E26" s="95"/>
      <c r="F26" s="95"/>
      <c r="G26" s="96"/>
      <c r="H26" s="95"/>
      <c r="I26" s="65"/>
      <c r="J26" s="65"/>
      <c r="K26" s="65"/>
      <c r="L26" s="65"/>
      <c r="M26" s="65"/>
      <c r="N26" s="65"/>
      <c r="O26" s="65"/>
      <c r="P26" s="65"/>
      <c r="S26" s="65"/>
      <c r="U26" s="67"/>
      <c r="V26" s="67"/>
      <c r="W26" s="68">
        <f t="shared" si="3"/>
        <v>0</v>
      </c>
      <c r="X26" s="68">
        <f t="shared" si="4"/>
        <v>0</v>
      </c>
      <c r="Y26" s="67"/>
      <c r="Z26" s="69"/>
      <c r="AA26" s="69"/>
      <c r="AC26" s="70"/>
      <c r="AF26" s="71"/>
      <c r="AH26" s="71"/>
    </row>
    <row r="27" spans="1:42" x14ac:dyDescent="0.25">
      <c r="T27" s="99" t="s">
        <v>2817</v>
      </c>
      <c r="Z27" s="100">
        <f>SUM(Z3:Z13)</f>
        <v>2091.4324961681455</v>
      </c>
      <c r="AA27" s="100"/>
      <c r="AB27" s="100">
        <f>SUM(AB3:AB13)</f>
        <v>267.8373775</v>
      </c>
      <c r="AC27" s="101">
        <f>Z27-AB27</f>
        <v>1823.5951186681455</v>
      </c>
      <c r="AD27" s="102">
        <f>SUM(AD3:AD14)</f>
        <v>78.321697499999999</v>
      </c>
      <c r="AE27" s="103">
        <f>SUM(B3:B13)/1000*(0.18+0.28+0.4)</f>
        <v>73.224699999999999</v>
      </c>
      <c r="AJ27" s="104">
        <f>SUM(AJ3:AJ14)</f>
        <v>65.200000000000017</v>
      </c>
      <c r="AK27" s="104">
        <f>SUM(AK3:AK14)</f>
        <v>0.2994</v>
      </c>
      <c r="AL27" s="100">
        <f>SUM(AL3:AL14)</f>
        <v>113</v>
      </c>
      <c r="AM27" s="100">
        <f>SUM(AM3:AM14)</f>
        <v>113</v>
      </c>
      <c r="AN27" s="100">
        <f>SUM(AN3:AN13)</f>
        <v>7.4</v>
      </c>
    </row>
  </sheetData>
  <mergeCells count="2">
    <mergeCell ref="A1:M1"/>
    <mergeCell ref="T1:AB1"/>
  </mergeCells>
  <pageMargins left="0.70866141732283472" right="0.70866141732283472" top="0.74803149606299213" bottom="0.74803149606299213" header="0.31496062992125984" footer="0.31496062992125984"/>
  <pageSetup paperSize="9" scale="37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G80"/>
  <sheetViews>
    <sheetView workbookViewId="0">
      <selection activeCell="H3" sqref="H3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138</v>
      </c>
    </row>
    <row r="2" spans="1:7" x14ac:dyDescent="0.25">
      <c r="A2" t="s">
        <v>139</v>
      </c>
      <c r="B2" t="s">
        <v>140</v>
      </c>
      <c r="C2" t="s">
        <v>141</v>
      </c>
      <c r="D2" t="s">
        <v>142</v>
      </c>
      <c r="E2" t="s">
        <v>143</v>
      </c>
      <c r="F2" t="s">
        <v>144</v>
      </c>
      <c r="G2" t="s">
        <v>145</v>
      </c>
    </row>
    <row r="3" spans="1:7" x14ac:dyDescent="0.25">
      <c r="A3" t="s">
        <v>146</v>
      </c>
      <c r="B3">
        <v>1</v>
      </c>
      <c r="C3">
        <v>300</v>
      </c>
      <c r="D3" t="s">
        <v>64</v>
      </c>
      <c r="E3" t="s">
        <v>64</v>
      </c>
      <c r="F3">
        <v>0.1</v>
      </c>
      <c r="G3" t="s">
        <v>64</v>
      </c>
    </row>
    <row r="4" spans="1:7" x14ac:dyDescent="0.25">
      <c r="A4" t="s">
        <v>146</v>
      </c>
      <c r="B4">
        <v>1</v>
      </c>
      <c r="C4">
        <v>300</v>
      </c>
      <c r="D4" t="s">
        <v>64</v>
      </c>
      <c r="E4" t="s">
        <v>64</v>
      </c>
      <c r="F4">
        <v>0.15</v>
      </c>
      <c r="G4" t="s">
        <v>64</v>
      </c>
    </row>
    <row r="5" spans="1:7" x14ac:dyDescent="0.25">
      <c r="A5" t="s">
        <v>146</v>
      </c>
      <c r="B5">
        <v>1</v>
      </c>
      <c r="C5">
        <v>300</v>
      </c>
      <c r="D5" t="s">
        <v>64</v>
      </c>
      <c r="E5" t="s">
        <v>64</v>
      </c>
      <c r="F5">
        <v>0.6</v>
      </c>
      <c r="G5" t="s">
        <v>64</v>
      </c>
    </row>
    <row r="6" spans="1:7" x14ac:dyDescent="0.25">
      <c r="A6" t="s">
        <v>146</v>
      </c>
      <c r="B6">
        <v>1</v>
      </c>
      <c r="C6">
        <v>300</v>
      </c>
      <c r="D6" t="s">
        <v>64</v>
      </c>
      <c r="E6" t="s">
        <v>64</v>
      </c>
      <c r="F6">
        <v>0.28999999999999998</v>
      </c>
      <c r="G6" t="s">
        <v>64</v>
      </c>
    </row>
    <row r="7" spans="1:7" x14ac:dyDescent="0.25">
      <c r="A7" t="s">
        <v>146</v>
      </c>
      <c r="B7">
        <v>1</v>
      </c>
      <c r="C7">
        <v>300</v>
      </c>
      <c r="D7" t="s">
        <v>64</v>
      </c>
      <c r="E7" t="s">
        <v>64</v>
      </c>
      <c r="F7">
        <v>0.35</v>
      </c>
      <c r="G7" t="s">
        <v>64</v>
      </c>
    </row>
    <row r="8" spans="1:7" x14ac:dyDescent="0.25">
      <c r="A8" t="s">
        <v>146</v>
      </c>
      <c r="B8">
        <v>1</v>
      </c>
      <c r="C8">
        <v>300</v>
      </c>
      <c r="D8" t="s">
        <v>64</v>
      </c>
      <c r="E8" t="s">
        <v>64</v>
      </c>
      <c r="F8">
        <v>0.18</v>
      </c>
      <c r="G8" t="s">
        <v>64</v>
      </c>
    </row>
    <row r="9" spans="1:7" x14ac:dyDescent="0.25">
      <c r="A9" t="s">
        <v>146</v>
      </c>
      <c r="B9">
        <v>1</v>
      </c>
      <c r="C9">
        <v>250</v>
      </c>
      <c r="D9">
        <v>116.08</v>
      </c>
      <c r="E9">
        <v>45400</v>
      </c>
      <c r="F9">
        <v>29.02</v>
      </c>
      <c r="G9">
        <v>118.02</v>
      </c>
    </row>
    <row r="10" spans="1:7" x14ac:dyDescent="0.25">
      <c r="A10" t="s">
        <v>146</v>
      </c>
      <c r="B10">
        <v>1</v>
      </c>
      <c r="C10">
        <v>250</v>
      </c>
      <c r="D10">
        <v>287.52</v>
      </c>
      <c r="E10">
        <v>87300</v>
      </c>
      <c r="F10">
        <v>71.88</v>
      </c>
      <c r="G10">
        <v>288.45</v>
      </c>
    </row>
    <row r="11" spans="1:7" x14ac:dyDescent="0.25">
      <c r="A11" t="s">
        <v>146</v>
      </c>
      <c r="B11">
        <v>1</v>
      </c>
      <c r="C11">
        <v>250</v>
      </c>
      <c r="D11">
        <v>1927.08</v>
      </c>
      <c r="E11">
        <v>259119.6</v>
      </c>
      <c r="F11">
        <v>481.81</v>
      </c>
      <c r="G11">
        <v>1961.64</v>
      </c>
    </row>
    <row r="12" spans="1:7" x14ac:dyDescent="0.25">
      <c r="A12" t="s">
        <v>147</v>
      </c>
      <c r="B12">
        <v>1</v>
      </c>
      <c r="C12">
        <v>250</v>
      </c>
      <c r="D12">
        <v>7.28</v>
      </c>
      <c r="E12">
        <v>10900</v>
      </c>
      <c r="F12">
        <v>1.82</v>
      </c>
      <c r="G12">
        <v>7.28</v>
      </c>
    </row>
    <row r="13" spans="1:7" x14ac:dyDescent="0.25">
      <c r="A13" t="s">
        <v>148</v>
      </c>
      <c r="B13">
        <v>1</v>
      </c>
      <c r="C13">
        <v>300</v>
      </c>
      <c r="D13" t="s">
        <v>64</v>
      </c>
      <c r="E13" t="s">
        <v>64</v>
      </c>
      <c r="F13">
        <v>1.24</v>
      </c>
      <c r="G13" t="s">
        <v>64</v>
      </c>
    </row>
    <row r="14" spans="1:7" x14ac:dyDescent="0.25">
      <c r="A14" t="s">
        <v>148</v>
      </c>
      <c r="B14">
        <v>1</v>
      </c>
      <c r="C14">
        <v>300</v>
      </c>
      <c r="D14" t="s">
        <v>64</v>
      </c>
      <c r="E14" t="s">
        <v>64</v>
      </c>
      <c r="F14">
        <v>1.51</v>
      </c>
      <c r="G14" t="s">
        <v>64</v>
      </c>
    </row>
    <row r="15" spans="1:7" x14ac:dyDescent="0.25">
      <c r="A15" t="s">
        <v>148</v>
      </c>
      <c r="B15">
        <v>1</v>
      </c>
      <c r="C15">
        <v>300</v>
      </c>
      <c r="D15" t="s">
        <v>64</v>
      </c>
      <c r="E15" t="s">
        <v>64</v>
      </c>
      <c r="F15">
        <v>3.02</v>
      </c>
      <c r="G15" t="s">
        <v>64</v>
      </c>
    </row>
    <row r="16" spans="1:7" x14ac:dyDescent="0.25">
      <c r="A16" t="s">
        <v>148</v>
      </c>
      <c r="B16">
        <v>1</v>
      </c>
      <c r="C16">
        <v>300</v>
      </c>
      <c r="D16" t="s">
        <v>64</v>
      </c>
      <c r="E16" t="s">
        <v>64</v>
      </c>
      <c r="F16">
        <v>2.59</v>
      </c>
      <c r="G16" t="s">
        <v>64</v>
      </c>
    </row>
    <row r="17" spans="1:7" x14ac:dyDescent="0.25">
      <c r="A17" t="s">
        <v>148</v>
      </c>
      <c r="B17">
        <v>1</v>
      </c>
      <c r="C17">
        <v>300</v>
      </c>
      <c r="D17" t="s">
        <v>64</v>
      </c>
      <c r="E17" t="s">
        <v>64</v>
      </c>
      <c r="F17">
        <v>2.09</v>
      </c>
      <c r="G17" t="s">
        <v>64</v>
      </c>
    </row>
    <row r="18" spans="1:7" x14ac:dyDescent="0.25">
      <c r="A18" t="s">
        <v>148</v>
      </c>
      <c r="B18">
        <v>1</v>
      </c>
      <c r="C18">
        <v>300</v>
      </c>
      <c r="D18" t="s">
        <v>64</v>
      </c>
      <c r="E18" t="s">
        <v>64</v>
      </c>
      <c r="F18">
        <v>0.41</v>
      </c>
      <c r="G18" t="s">
        <v>64</v>
      </c>
    </row>
    <row r="19" spans="1:7" x14ac:dyDescent="0.25">
      <c r="A19" t="s">
        <v>148</v>
      </c>
      <c r="B19">
        <v>1</v>
      </c>
      <c r="C19">
        <v>300</v>
      </c>
      <c r="D19" t="s">
        <v>64</v>
      </c>
      <c r="E19" t="s">
        <v>64</v>
      </c>
      <c r="F19">
        <v>0.33</v>
      </c>
      <c r="G19" t="s">
        <v>64</v>
      </c>
    </row>
    <row r="20" spans="1:7" x14ac:dyDescent="0.25">
      <c r="A20" t="s">
        <v>148</v>
      </c>
      <c r="B20">
        <v>1</v>
      </c>
      <c r="C20">
        <v>300</v>
      </c>
      <c r="D20" t="s">
        <v>64</v>
      </c>
      <c r="E20" t="s">
        <v>64</v>
      </c>
      <c r="F20">
        <v>0.55000000000000004</v>
      </c>
      <c r="G20" t="s">
        <v>64</v>
      </c>
    </row>
    <row r="21" spans="1:7" x14ac:dyDescent="0.25">
      <c r="A21" t="s">
        <v>148</v>
      </c>
      <c r="B21">
        <v>1</v>
      </c>
      <c r="C21">
        <v>300</v>
      </c>
      <c r="D21" t="s">
        <v>64</v>
      </c>
      <c r="E21" t="s">
        <v>64</v>
      </c>
      <c r="F21">
        <v>0.42</v>
      </c>
      <c r="G21" t="s">
        <v>64</v>
      </c>
    </row>
    <row r="22" spans="1:7" x14ac:dyDescent="0.25">
      <c r="A22" t="s">
        <v>148</v>
      </c>
      <c r="B22">
        <v>1</v>
      </c>
      <c r="C22">
        <v>300</v>
      </c>
      <c r="D22" t="s">
        <v>64</v>
      </c>
      <c r="E22" t="s">
        <v>64</v>
      </c>
      <c r="F22">
        <v>1.37</v>
      </c>
      <c r="G22" t="s">
        <v>64</v>
      </c>
    </row>
    <row r="23" spans="1:7" x14ac:dyDescent="0.25">
      <c r="A23" t="s">
        <v>148</v>
      </c>
      <c r="B23">
        <v>1</v>
      </c>
      <c r="C23">
        <v>300</v>
      </c>
      <c r="D23" t="s">
        <v>64</v>
      </c>
      <c r="E23" t="s">
        <v>64</v>
      </c>
      <c r="F23">
        <v>0.41</v>
      </c>
      <c r="G23" t="s">
        <v>64</v>
      </c>
    </row>
    <row r="24" spans="1:7" x14ac:dyDescent="0.25">
      <c r="A24" t="s">
        <v>148</v>
      </c>
      <c r="B24">
        <v>1</v>
      </c>
      <c r="C24">
        <v>300</v>
      </c>
      <c r="D24" t="s">
        <v>64</v>
      </c>
      <c r="E24" t="s">
        <v>64</v>
      </c>
      <c r="F24">
        <v>1.28</v>
      </c>
      <c r="G24" t="s">
        <v>64</v>
      </c>
    </row>
    <row r="25" spans="1:7" x14ac:dyDescent="0.25">
      <c r="A25" t="s">
        <v>148</v>
      </c>
      <c r="B25">
        <v>1</v>
      </c>
      <c r="C25">
        <v>300</v>
      </c>
      <c r="D25" t="s">
        <v>64</v>
      </c>
      <c r="E25" t="s">
        <v>64</v>
      </c>
      <c r="F25">
        <v>0.22</v>
      </c>
      <c r="G25" t="s">
        <v>64</v>
      </c>
    </row>
    <row r="26" spans="1:7" x14ac:dyDescent="0.25">
      <c r="A26" t="s">
        <v>148</v>
      </c>
      <c r="B26">
        <v>1</v>
      </c>
      <c r="C26">
        <v>300</v>
      </c>
      <c r="D26" t="s">
        <v>64</v>
      </c>
      <c r="E26" t="s">
        <v>64</v>
      </c>
      <c r="F26">
        <v>0.41</v>
      </c>
      <c r="G26" t="s">
        <v>64</v>
      </c>
    </row>
    <row r="27" spans="1:7" x14ac:dyDescent="0.25">
      <c r="A27" t="s">
        <v>148</v>
      </c>
      <c r="B27">
        <v>1</v>
      </c>
      <c r="C27">
        <v>300</v>
      </c>
      <c r="D27" t="s">
        <v>64</v>
      </c>
      <c r="E27" t="s">
        <v>64</v>
      </c>
      <c r="F27">
        <v>2.64</v>
      </c>
      <c r="G27" t="s">
        <v>64</v>
      </c>
    </row>
    <row r="28" spans="1:7" x14ac:dyDescent="0.25">
      <c r="A28" t="s">
        <v>148</v>
      </c>
      <c r="B28">
        <v>1</v>
      </c>
      <c r="C28">
        <v>200</v>
      </c>
      <c r="D28" t="s">
        <v>64</v>
      </c>
      <c r="E28" t="s">
        <v>64</v>
      </c>
      <c r="F28">
        <v>0.95</v>
      </c>
      <c r="G28" t="s">
        <v>64</v>
      </c>
    </row>
    <row r="29" spans="1:7" x14ac:dyDescent="0.25">
      <c r="A29" t="s">
        <v>148</v>
      </c>
      <c r="B29">
        <v>1</v>
      </c>
      <c r="C29">
        <v>200</v>
      </c>
      <c r="D29" t="s">
        <v>64</v>
      </c>
      <c r="E29" t="s">
        <v>64</v>
      </c>
      <c r="F29">
        <v>0.93</v>
      </c>
      <c r="G29" t="s">
        <v>64</v>
      </c>
    </row>
    <row r="30" spans="1:7" x14ac:dyDescent="0.25">
      <c r="A30" t="s">
        <v>148</v>
      </c>
      <c r="B30">
        <v>1</v>
      </c>
      <c r="C30">
        <v>200</v>
      </c>
      <c r="D30" t="s">
        <v>64</v>
      </c>
      <c r="E30" t="s">
        <v>64</v>
      </c>
      <c r="F30">
        <v>0.95</v>
      </c>
      <c r="G30" t="s">
        <v>64</v>
      </c>
    </row>
    <row r="31" spans="1:7" x14ac:dyDescent="0.25">
      <c r="A31" t="s">
        <v>148</v>
      </c>
      <c r="B31">
        <v>1</v>
      </c>
      <c r="C31">
        <v>200</v>
      </c>
      <c r="D31" t="s">
        <v>64</v>
      </c>
      <c r="E31" t="s">
        <v>64</v>
      </c>
      <c r="F31">
        <v>1.1200000000000001</v>
      </c>
      <c r="G31" t="s">
        <v>64</v>
      </c>
    </row>
    <row r="32" spans="1:7" x14ac:dyDescent="0.25">
      <c r="A32" t="s">
        <v>148</v>
      </c>
      <c r="B32">
        <v>1</v>
      </c>
      <c r="C32">
        <v>200</v>
      </c>
      <c r="D32" t="s">
        <v>64</v>
      </c>
      <c r="E32" t="s">
        <v>64</v>
      </c>
      <c r="F32">
        <v>1.1299999999999999</v>
      </c>
      <c r="G32" t="s">
        <v>64</v>
      </c>
    </row>
    <row r="33" spans="1:7" x14ac:dyDescent="0.25">
      <c r="A33" t="s">
        <v>148</v>
      </c>
      <c r="B33">
        <v>1</v>
      </c>
      <c r="C33">
        <v>200</v>
      </c>
      <c r="D33" t="s">
        <v>64</v>
      </c>
      <c r="E33" t="s">
        <v>64</v>
      </c>
      <c r="F33">
        <v>1.1200000000000001</v>
      </c>
      <c r="G33" t="s">
        <v>64</v>
      </c>
    </row>
    <row r="34" spans="1:7" x14ac:dyDescent="0.25">
      <c r="A34" t="s">
        <v>148</v>
      </c>
      <c r="B34">
        <v>1</v>
      </c>
      <c r="C34">
        <v>250</v>
      </c>
      <c r="D34">
        <v>1143.05</v>
      </c>
      <c r="E34">
        <v>176200.5</v>
      </c>
      <c r="F34">
        <v>285.76</v>
      </c>
      <c r="G34">
        <v>1163.8599999999999</v>
      </c>
    </row>
    <row r="35" spans="1:7" x14ac:dyDescent="0.25">
      <c r="A35" t="s">
        <v>148</v>
      </c>
      <c r="B35">
        <v>1</v>
      </c>
      <c r="C35">
        <v>250</v>
      </c>
      <c r="D35">
        <v>1194.27</v>
      </c>
      <c r="E35">
        <v>346300.3</v>
      </c>
      <c r="F35">
        <v>298.64</v>
      </c>
      <c r="G35">
        <v>1235.8499999999999</v>
      </c>
    </row>
    <row r="36" spans="1:7" x14ac:dyDescent="0.25">
      <c r="A36" t="s">
        <v>149</v>
      </c>
      <c r="B36">
        <v>1</v>
      </c>
      <c r="C36">
        <v>250</v>
      </c>
      <c r="D36">
        <v>1761.97</v>
      </c>
      <c r="E36">
        <v>303960</v>
      </c>
      <c r="F36">
        <v>440.49</v>
      </c>
      <c r="G36">
        <v>2271.33</v>
      </c>
    </row>
    <row r="37" spans="1:7" x14ac:dyDescent="0.25">
      <c r="A37" t="s">
        <v>150</v>
      </c>
      <c r="B37">
        <v>1</v>
      </c>
      <c r="C37">
        <v>300</v>
      </c>
      <c r="D37" t="s">
        <v>64</v>
      </c>
      <c r="E37" t="s">
        <v>64</v>
      </c>
      <c r="F37">
        <v>0.06</v>
      </c>
      <c r="G37" t="s">
        <v>64</v>
      </c>
    </row>
    <row r="38" spans="1:7" x14ac:dyDescent="0.25">
      <c r="A38" t="s">
        <v>150</v>
      </c>
      <c r="B38">
        <v>1</v>
      </c>
      <c r="C38">
        <v>100</v>
      </c>
      <c r="D38">
        <v>1.31</v>
      </c>
      <c r="E38">
        <v>7340</v>
      </c>
      <c r="F38">
        <v>0.13</v>
      </c>
      <c r="G38">
        <v>1.31</v>
      </c>
    </row>
    <row r="39" spans="1:7" x14ac:dyDescent="0.25">
      <c r="A39" t="s">
        <v>150</v>
      </c>
      <c r="B39">
        <v>1</v>
      </c>
      <c r="C39">
        <v>250</v>
      </c>
      <c r="D39">
        <v>153.36000000000001</v>
      </c>
      <c r="E39">
        <v>55000</v>
      </c>
      <c r="F39">
        <v>38.340000000000003</v>
      </c>
      <c r="G39">
        <v>156.41</v>
      </c>
    </row>
    <row r="40" spans="1:7" x14ac:dyDescent="0.25">
      <c r="A40" t="s">
        <v>150</v>
      </c>
      <c r="B40">
        <v>1</v>
      </c>
      <c r="C40">
        <v>250</v>
      </c>
      <c r="D40">
        <v>1629.54</v>
      </c>
      <c r="E40">
        <v>333700</v>
      </c>
      <c r="F40">
        <v>407.44</v>
      </c>
      <c r="G40">
        <v>1705.67</v>
      </c>
    </row>
    <row r="41" spans="1:7" x14ac:dyDescent="0.25">
      <c r="A41" t="s">
        <v>151</v>
      </c>
      <c r="B41">
        <v>1</v>
      </c>
      <c r="C41">
        <v>250</v>
      </c>
      <c r="D41">
        <v>53.66</v>
      </c>
      <c r="E41">
        <v>31400</v>
      </c>
      <c r="F41">
        <v>13.41</v>
      </c>
      <c r="G41">
        <v>55.2</v>
      </c>
    </row>
    <row r="42" spans="1:7" x14ac:dyDescent="0.25">
      <c r="A42" t="s">
        <v>151</v>
      </c>
      <c r="B42">
        <v>1</v>
      </c>
      <c r="C42">
        <v>250</v>
      </c>
      <c r="D42">
        <v>1715.2</v>
      </c>
      <c r="E42">
        <v>317400</v>
      </c>
      <c r="F42">
        <v>428.8</v>
      </c>
      <c r="G42">
        <v>2217.33</v>
      </c>
    </row>
    <row r="43" spans="1:7" x14ac:dyDescent="0.25">
      <c r="A43" t="s">
        <v>152</v>
      </c>
      <c r="B43">
        <v>1</v>
      </c>
      <c r="C43">
        <v>100</v>
      </c>
      <c r="D43">
        <v>0.96</v>
      </c>
      <c r="E43">
        <v>5160</v>
      </c>
      <c r="F43">
        <v>0.1</v>
      </c>
      <c r="G43">
        <v>0.96</v>
      </c>
    </row>
    <row r="44" spans="1:7" x14ac:dyDescent="0.25">
      <c r="A44" t="s">
        <v>152</v>
      </c>
      <c r="B44">
        <v>1</v>
      </c>
      <c r="C44">
        <v>250</v>
      </c>
      <c r="D44">
        <v>32.1</v>
      </c>
      <c r="E44">
        <v>23504.2</v>
      </c>
      <c r="F44">
        <v>8.02</v>
      </c>
      <c r="G44">
        <v>33.72</v>
      </c>
    </row>
    <row r="45" spans="1:7" x14ac:dyDescent="0.25">
      <c r="A45" t="s">
        <v>152</v>
      </c>
      <c r="B45">
        <v>1</v>
      </c>
      <c r="C45">
        <v>250</v>
      </c>
      <c r="D45">
        <v>1725.53</v>
      </c>
      <c r="E45">
        <v>307100</v>
      </c>
      <c r="F45">
        <v>431.43</v>
      </c>
      <c r="G45">
        <v>2234.79</v>
      </c>
    </row>
    <row r="46" spans="1:7" x14ac:dyDescent="0.25">
      <c r="A46" t="s">
        <v>153</v>
      </c>
      <c r="B46">
        <v>1</v>
      </c>
      <c r="C46">
        <v>300</v>
      </c>
      <c r="D46" t="s">
        <v>64</v>
      </c>
      <c r="E46" t="s">
        <v>64</v>
      </c>
      <c r="F46">
        <v>0.14000000000000001</v>
      </c>
      <c r="G46" t="s">
        <v>64</v>
      </c>
    </row>
    <row r="47" spans="1:7" x14ac:dyDescent="0.25">
      <c r="A47" t="s">
        <v>153</v>
      </c>
      <c r="B47">
        <v>1</v>
      </c>
      <c r="C47">
        <v>300</v>
      </c>
      <c r="D47" t="s">
        <v>64</v>
      </c>
      <c r="E47" t="s">
        <v>64</v>
      </c>
      <c r="F47">
        <v>0.35</v>
      </c>
      <c r="G47" t="s">
        <v>64</v>
      </c>
    </row>
    <row r="48" spans="1:7" x14ac:dyDescent="0.25">
      <c r="A48" t="s">
        <v>153</v>
      </c>
      <c r="B48">
        <v>1</v>
      </c>
      <c r="C48">
        <v>300</v>
      </c>
      <c r="D48" t="s">
        <v>64</v>
      </c>
      <c r="E48" t="s">
        <v>64</v>
      </c>
      <c r="F48">
        <v>0.1</v>
      </c>
      <c r="G48" t="s">
        <v>64</v>
      </c>
    </row>
    <row r="49" spans="1:7" x14ac:dyDescent="0.25">
      <c r="A49" t="s">
        <v>153</v>
      </c>
      <c r="B49">
        <v>1</v>
      </c>
      <c r="C49">
        <v>300</v>
      </c>
      <c r="D49" t="s">
        <v>64</v>
      </c>
      <c r="E49" t="s">
        <v>64</v>
      </c>
      <c r="F49">
        <v>0.26</v>
      </c>
      <c r="G49" t="s">
        <v>64</v>
      </c>
    </row>
    <row r="50" spans="1:7" x14ac:dyDescent="0.25">
      <c r="A50" t="s">
        <v>153</v>
      </c>
      <c r="B50">
        <v>1</v>
      </c>
      <c r="C50">
        <v>300</v>
      </c>
      <c r="D50" t="s">
        <v>64</v>
      </c>
      <c r="E50" t="s">
        <v>64</v>
      </c>
      <c r="F50">
        <v>0.44</v>
      </c>
      <c r="G50" t="s">
        <v>64</v>
      </c>
    </row>
    <row r="51" spans="1:7" x14ac:dyDescent="0.25">
      <c r="A51" t="s">
        <v>153</v>
      </c>
      <c r="B51">
        <v>1</v>
      </c>
      <c r="C51">
        <v>300</v>
      </c>
      <c r="D51" t="s">
        <v>64</v>
      </c>
      <c r="E51" t="s">
        <v>64</v>
      </c>
      <c r="F51">
        <v>0.45</v>
      </c>
      <c r="G51" t="s">
        <v>64</v>
      </c>
    </row>
    <row r="52" spans="1:7" x14ac:dyDescent="0.25">
      <c r="A52" t="s">
        <v>153</v>
      </c>
      <c r="B52">
        <v>1</v>
      </c>
      <c r="C52">
        <v>300</v>
      </c>
      <c r="D52" t="s">
        <v>64</v>
      </c>
      <c r="E52" t="s">
        <v>64</v>
      </c>
      <c r="F52">
        <v>0.45</v>
      </c>
      <c r="G52" t="s">
        <v>64</v>
      </c>
    </row>
    <row r="53" spans="1:7" x14ac:dyDescent="0.25">
      <c r="A53" t="s">
        <v>153</v>
      </c>
      <c r="B53">
        <v>1</v>
      </c>
      <c r="C53">
        <v>300</v>
      </c>
      <c r="D53" t="s">
        <v>64</v>
      </c>
      <c r="E53" t="s">
        <v>64</v>
      </c>
      <c r="F53">
        <v>1.23</v>
      </c>
      <c r="G53" t="s">
        <v>64</v>
      </c>
    </row>
    <row r="54" spans="1:7" x14ac:dyDescent="0.25">
      <c r="A54" t="s">
        <v>153</v>
      </c>
      <c r="B54">
        <v>1</v>
      </c>
      <c r="C54">
        <v>300</v>
      </c>
      <c r="D54" t="s">
        <v>64</v>
      </c>
      <c r="E54" t="s">
        <v>64</v>
      </c>
      <c r="F54">
        <v>0.11</v>
      </c>
      <c r="G54" t="s">
        <v>64</v>
      </c>
    </row>
    <row r="55" spans="1:7" x14ac:dyDescent="0.25">
      <c r="A55" t="s">
        <v>153</v>
      </c>
      <c r="B55">
        <v>1</v>
      </c>
      <c r="C55">
        <v>300</v>
      </c>
      <c r="D55" t="s">
        <v>64</v>
      </c>
      <c r="E55" t="s">
        <v>64</v>
      </c>
      <c r="F55">
        <v>0.11</v>
      </c>
      <c r="G55" t="s">
        <v>64</v>
      </c>
    </row>
    <row r="56" spans="1:7" x14ac:dyDescent="0.25">
      <c r="A56" t="s">
        <v>153</v>
      </c>
      <c r="B56">
        <v>1</v>
      </c>
      <c r="C56">
        <v>300</v>
      </c>
      <c r="D56" t="s">
        <v>64</v>
      </c>
      <c r="E56" t="s">
        <v>64</v>
      </c>
      <c r="F56">
        <v>0.13</v>
      </c>
      <c r="G56" t="s">
        <v>64</v>
      </c>
    </row>
    <row r="57" spans="1:7" x14ac:dyDescent="0.25">
      <c r="A57" t="s">
        <v>153</v>
      </c>
      <c r="B57">
        <v>1</v>
      </c>
      <c r="C57">
        <v>250</v>
      </c>
      <c r="D57">
        <v>77.34</v>
      </c>
      <c r="E57">
        <v>38000</v>
      </c>
      <c r="F57">
        <v>19.329999999999998</v>
      </c>
      <c r="G57">
        <v>81.25</v>
      </c>
    </row>
    <row r="58" spans="1:7" x14ac:dyDescent="0.25">
      <c r="A58" t="s">
        <v>153</v>
      </c>
      <c r="B58">
        <v>1</v>
      </c>
      <c r="C58">
        <v>250</v>
      </c>
      <c r="D58">
        <v>77.349999999999994</v>
      </c>
      <c r="E58">
        <v>38000</v>
      </c>
      <c r="F58">
        <v>19.34</v>
      </c>
      <c r="G58">
        <v>81.25</v>
      </c>
    </row>
    <row r="59" spans="1:7" x14ac:dyDescent="0.25">
      <c r="A59" t="s">
        <v>153</v>
      </c>
      <c r="B59">
        <v>1</v>
      </c>
      <c r="C59">
        <v>250</v>
      </c>
      <c r="D59">
        <v>98.91</v>
      </c>
      <c r="E59">
        <v>46600</v>
      </c>
      <c r="F59">
        <v>24.73</v>
      </c>
      <c r="G59">
        <v>103.8</v>
      </c>
    </row>
    <row r="60" spans="1:7" x14ac:dyDescent="0.25">
      <c r="A60" t="s">
        <v>153</v>
      </c>
      <c r="B60">
        <v>1</v>
      </c>
      <c r="C60">
        <v>250</v>
      </c>
      <c r="D60">
        <v>134.26</v>
      </c>
      <c r="E60">
        <v>47600</v>
      </c>
      <c r="F60">
        <v>34.17</v>
      </c>
      <c r="G60">
        <v>141.25</v>
      </c>
    </row>
    <row r="61" spans="1:7" x14ac:dyDescent="0.25">
      <c r="A61" t="s">
        <v>153</v>
      </c>
      <c r="B61">
        <v>1</v>
      </c>
      <c r="C61">
        <v>250</v>
      </c>
      <c r="D61">
        <v>155.65</v>
      </c>
      <c r="E61">
        <v>52000</v>
      </c>
      <c r="F61">
        <v>39.22</v>
      </c>
      <c r="G61">
        <v>161.85</v>
      </c>
    </row>
    <row r="62" spans="1:7" x14ac:dyDescent="0.25">
      <c r="A62" t="s">
        <v>153</v>
      </c>
      <c r="B62">
        <v>1</v>
      </c>
      <c r="C62">
        <v>250</v>
      </c>
      <c r="D62">
        <v>370.47</v>
      </c>
      <c r="E62">
        <v>92200</v>
      </c>
      <c r="F62">
        <v>92.62</v>
      </c>
      <c r="G62">
        <v>387.91</v>
      </c>
    </row>
    <row r="63" spans="1:7" x14ac:dyDescent="0.25">
      <c r="A63" t="s">
        <v>153</v>
      </c>
      <c r="B63">
        <v>1</v>
      </c>
      <c r="C63">
        <v>250</v>
      </c>
      <c r="D63">
        <v>887.41</v>
      </c>
      <c r="E63">
        <v>217400</v>
      </c>
      <c r="F63">
        <v>221.85</v>
      </c>
      <c r="G63">
        <v>933.32</v>
      </c>
    </row>
    <row r="64" spans="1:7" x14ac:dyDescent="0.25">
      <c r="A64" t="s">
        <v>154</v>
      </c>
      <c r="B64">
        <v>1</v>
      </c>
      <c r="C64">
        <v>250</v>
      </c>
      <c r="D64">
        <v>629.87</v>
      </c>
      <c r="E64">
        <v>132000</v>
      </c>
      <c r="F64">
        <v>157.47</v>
      </c>
      <c r="G64">
        <v>649.79</v>
      </c>
    </row>
    <row r="65" spans="1:7" x14ac:dyDescent="0.25">
      <c r="A65" t="s">
        <v>154</v>
      </c>
      <c r="B65">
        <v>1</v>
      </c>
      <c r="C65">
        <v>250</v>
      </c>
      <c r="D65">
        <v>1170.57</v>
      </c>
      <c r="E65">
        <v>222400</v>
      </c>
      <c r="F65">
        <v>292.64</v>
      </c>
      <c r="G65">
        <v>1222.99</v>
      </c>
    </row>
    <row r="66" spans="1:7" x14ac:dyDescent="0.25">
      <c r="A66" t="s">
        <v>2696</v>
      </c>
      <c r="B66">
        <v>1</v>
      </c>
      <c r="C66">
        <v>250</v>
      </c>
      <c r="D66">
        <v>8.75</v>
      </c>
      <c r="E66">
        <v>12600</v>
      </c>
      <c r="F66">
        <v>2.2200000000000002</v>
      </c>
      <c r="G66">
        <v>9.8000000000000007</v>
      </c>
    </row>
    <row r="67" spans="1:7" x14ac:dyDescent="0.25">
      <c r="A67" t="s">
        <v>2696</v>
      </c>
      <c r="B67">
        <v>1</v>
      </c>
      <c r="C67">
        <v>250</v>
      </c>
      <c r="D67">
        <v>8.75</v>
      </c>
      <c r="E67">
        <v>12600</v>
      </c>
      <c r="F67">
        <v>2.2200000000000002</v>
      </c>
      <c r="G67">
        <v>9.8000000000000007</v>
      </c>
    </row>
    <row r="68" spans="1:7" x14ac:dyDescent="0.25">
      <c r="A68" t="s">
        <v>2697</v>
      </c>
      <c r="B68">
        <v>1</v>
      </c>
      <c r="C68">
        <v>250</v>
      </c>
      <c r="D68">
        <v>9.8000000000000007</v>
      </c>
      <c r="E68">
        <v>12600</v>
      </c>
      <c r="F68">
        <v>2.4500000000000002</v>
      </c>
      <c r="G68">
        <v>9.8000000000000007</v>
      </c>
    </row>
    <row r="69" spans="1:7" x14ac:dyDescent="0.25">
      <c r="A69" t="s">
        <v>2697</v>
      </c>
      <c r="B69">
        <v>1</v>
      </c>
      <c r="C69">
        <v>250</v>
      </c>
      <c r="D69">
        <v>9.8000000000000007</v>
      </c>
      <c r="E69">
        <v>12600</v>
      </c>
      <c r="F69">
        <v>2.4500000000000002</v>
      </c>
      <c r="G69">
        <v>9.8000000000000007</v>
      </c>
    </row>
    <row r="70" spans="1:7" x14ac:dyDescent="0.25">
      <c r="A70" t="s">
        <v>2698</v>
      </c>
      <c r="B70">
        <v>1</v>
      </c>
      <c r="C70">
        <v>150</v>
      </c>
      <c r="D70">
        <v>1.26</v>
      </c>
      <c r="E70">
        <v>4640</v>
      </c>
      <c r="F70">
        <v>0.19</v>
      </c>
      <c r="G70">
        <v>1.26</v>
      </c>
    </row>
    <row r="71" spans="1:7" x14ac:dyDescent="0.25">
      <c r="A71" t="s">
        <v>2698</v>
      </c>
      <c r="B71">
        <v>1</v>
      </c>
      <c r="C71">
        <v>150</v>
      </c>
      <c r="D71">
        <v>1.26</v>
      </c>
      <c r="E71">
        <v>4640</v>
      </c>
      <c r="F71">
        <v>0.19</v>
      </c>
      <c r="G71">
        <v>1.26</v>
      </c>
    </row>
    <row r="72" spans="1:7" x14ac:dyDescent="0.25">
      <c r="A72" t="s">
        <v>155</v>
      </c>
      <c r="B72">
        <v>1</v>
      </c>
      <c r="C72">
        <v>250</v>
      </c>
      <c r="D72">
        <v>1221.3599999999999</v>
      </c>
      <c r="E72">
        <v>212000</v>
      </c>
      <c r="F72">
        <v>305.33999999999997</v>
      </c>
      <c r="G72">
        <v>1288.75</v>
      </c>
    </row>
    <row r="73" spans="1:7" x14ac:dyDescent="0.25">
      <c r="A73" t="s">
        <v>156</v>
      </c>
      <c r="B73">
        <v>1</v>
      </c>
      <c r="C73">
        <v>250</v>
      </c>
      <c r="D73" t="s">
        <v>64</v>
      </c>
      <c r="E73" t="s">
        <v>64</v>
      </c>
      <c r="F73">
        <v>0.77</v>
      </c>
      <c r="G73" t="s">
        <v>64</v>
      </c>
    </row>
    <row r="74" spans="1:7" x14ac:dyDescent="0.25">
      <c r="A74" t="s">
        <v>156</v>
      </c>
      <c r="B74">
        <v>1</v>
      </c>
      <c r="C74">
        <v>250</v>
      </c>
      <c r="D74" t="s">
        <v>64</v>
      </c>
      <c r="E74" t="s">
        <v>64</v>
      </c>
      <c r="F74">
        <v>0.77</v>
      </c>
      <c r="G74" t="s">
        <v>64</v>
      </c>
    </row>
    <row r="75" spans="1:7" x14ac:dyDescent="0.25">
      <c r="A75" t="s">
        <v>156</v>
      </c>
      <c r="B75">
        <v>1</v>
      </c>
      <c r="C75">
        <v>250</v>
      </c>
      <c r="D75" t="s">
        <v>64</v>
      </c>
      <c r="E75" t="s">
        <v>64</v>
      </c>
      <c r="F75">
        <v>0.77</v>
      </c>
      <c r="G75" t="s">
        <v>64</v>
      </c>
    </row>
    <row r="76" spans="1:7" x14ac:dyDescent="0.25">
      <c r="A76" t="s">
        <v>156</v>
      </c>
      <c r="B76">
        <v>1</v>
      </c>
      <c r="C76">
        <v>500</v>
      </c>
      <c r="D76">
        <v>13.73</v>
      </c>
      <c r="E76">
        <v>14900</v>
      </c>
      <c r="F76">
        <v>6.87</v>
      </c>
      <c r="G76">
        <v>13.73</v>
      </c>
    </row>
    <row r="77" spans="1:7" x14ac:dyDescent="0.25">
      <c r="A77" t="s">
        <v>156</v>
      </c>
      <c r="B77">
        <v>1</v>
      </c>
      <c r="C77">
        <v>500</v>
      </c>
      <c r="D77">
        <v>13.73</v>
      </c>
      <c r="E77">
        <v>14900</v>
      </c>
      <c r="F77">
        <v>6.87</v>
      </c>
      <c r="G77">
        <v>13.73</v>
      </c>
    </row>
    <row r="78" spans="1:7" x14ac:dyDescent="0.25">
      <c r="A78" t="s">
        <v>156</v>
      </c>
      <c r="B78">
        <v>1</v>
      </c>
      <c r="C78">
        <v>500</v>
      </c>
      <c r="D78">
        <v>13.73</v>
      </c>
      <c r="E78">
        <v>14900</v>
      </c>
      <c r="F78">
        <v>6.87</v>
      </c>
      <c r="G78">
        <v>13.73</v>
      </c>
    </row>
    <row r="79" spans="1:7" x14ac:dyDescent="0.25">
      <c r="A79" t="s">
        <v>156</v>
      </c>
      <c r="B79">
        <v>1</v>
      </c>
      <c r="C79">
        <v>1000</v>
      </c>
      <c r="D79">
        <v>2505</v>
      </c>
      <c r="E79">
        <v>235762.4</v>
      </c>
      <c r="F79">
        <v>2505</v>
      </c>
      <c r="G79">
        <v>2505</v>
      </c>
    </row>
    <row r="80" spans="1:7" x14ac:dyDescent="0.25">
      <c r="D80" t="s">
        <v>2699</v>
      </c>
      <c r="G80" t="s">
        <v>2700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314</v>
      </c>
      <c r="B1" t="s">
        <v>7</v>
      </c>
      <c r="C1" t="s">
        <v>1451</v>
      </c>
      <c r="D1" t="s">
        <v>1878</v>
      </c>
      <c r="E1" t="s">
        <v>2012</v>
      </c>
      <c r="F1" t="s">
        <v>2051</v>
      </c>
      <c r="G1" t="s">
        <v>2213</v>
      </c>
      <c r="H1" t="s">
        <v>2231</v>
      </c>
      <c r="I1" t="s">
        <v>2262</v>
      </c>
      <c r="J1" t="s">
        <v>2292</v>
      </c>
      <c r="K1" t="s">
        <v>2309</v>
      </c>
      <c r="L1" t="s">
        <v>2317</v>
      </c>
      <c r="M1" t="s">
        <v>2439</v>
      </c>
      <c r="N1" t="s">
        <v>2502</v>
      </c>
      <c r="O1" t="s">
        <v>2617</v>
      </c>
      <c r="P1" t="s">
        <v>5</v>
      </c>
      <c r="Q1" t="s">
        <v>23</v>
      </c>
      <c r="R1" t="s">
        <v>2635</v>
      </c>
      <c r="U1" t="s">
        <v>2</v>
      </c>
      <c r="V1" t="s">
        <v>1</v>
      </c>
      <c r="W1" t="s">
        <v>2676</v>
      </c>
      <c r="X1" t="s">
        <v>2677</v>
      </c>
      <c r="Y1" t="s">
        <v>2678</v>
      </c>
      <c r="Z1" t="s">
        <v>2679</v>
      </c>
      <c r="AA1" t="s">
        <v>2680</v>
      </c>
      <c r="AB1" t="s">
        <v>2681</v>
      </c>
      <c r="AD1" t="s">
        <v>24</v>
      </c>
      <c r="AE1" t="s">
        <v>6</v>
      </c>
      <c r="AF1" t="s">
        <v>25</v>
      </c>
      <c r="AG1" t="s">
        <v>2683</v>
      </c>
      <c r="AH1" t="s">
        <v>26</v>
      </c>
      <c r="AI1" t="s">
        <v>2684</v>
      </c>
      <c r="AJ1" t="s">
        <v>2685</v>
      </c>
      <c r="AK1" t="s">
        <v>2687</v>
      </c>
      <c r="AO1" t="s">
        <v>0</v>
      </c>
      <c r="AP1" t="s">
        <v>4</v>
      </c>
    </row>
    <row r="2" spans="1:42" x14ac:dyDescent="0.25">
      <c r="A2" t="s">
        <v>315</v>
      </c>
      <c r="B2" t="s">
        <v>315</v>
      </c>
      <c r="F2" t="s">
        <v>2052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2682</v>
      </c>
      <c r="AE2" t="s">
        <v>2682</v>
      </c>
      <c r="AF2" t="s">
        <v>2682</v>
      </c>
      <c r="AG2" t="s">
        <v>2682</v>
      </c>
      <c r="AH2" t="s">
        <v>2682</v>
      </c>
      <c r="AI2" t="s">
        <v>2682</v>
      </c>
      <c r="AJ2" t="s">
        <v>2686</v>
      </c>
      <c r="AK2" t="s">
        <v>2688</v>
      </c>
      <c r="AO2" t="s">
        <v>27</v>
      </c>
      <c r="AP2" t="s">
        <v>28</v>
      </c>
    </row>
    <row r="3" spans="1:42" x14ac:dyDescent="0.25">
      <c r="A3" t="s">
        <v>316</v>
      </c>
      <c r="B3" t="s">
        <v>1120</v>
      </c>
      <c r="C3" t="s">
        <v>1452</v>
      </c>
      <c r="D3" t="s">
        <v>514</v>
      </c>
      <c r="E3" t="s">
        <v>316</v>
      </c>
      <c r="F3" t="s">
        <v>2053</v>
      </c>
      <c r="G3" t="s">
        <v>2214</v>
      </c>
      <c r="H3" t="s">
        <v>2232</v>
      </c>
      <c r="I3" t="s">
        <v>2263</v>
      </c>
      <c r="J3" t="s">
        <v>2293</v>
      </c>
      <c r="K3" t="s">
        <v>2310</v>
      </c>
      <c r="L3" t="s">
        <v>2318</v>
      </c>
      <c r="M3" t="s">
        <v>2440</v>
      </c>
      <c r="N3" t="s">
        <v>2503</v>
      </c>
      <c r="O3" t="s">
        <v>2618</v>
      </c>
      <c r="P3" t="s">
        <v>18</v>
      </c>
      <c r="Q3" t="s">
        <v>18</v>
      </c>
      <c r="R3" t="s">
        <v>2636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2689</v>
      </c>
      <c r="AP3" t="s">
        <v>29</v>
      </c>
    </row>
    <row r="4" spans="1:42" x14ac:dyDescent="0.25">
      <c r="A4" t="s">
        <v>317</v>
      </c>
      <c r="B4" t="s">
        <v>1121</v>
      </c>
      <c r="C4" t="s">
        <v>1453</v>
      </c>
      <c r="D4" t="s">
        <v>516</v>
      </c>
      <c r="E4" t="s">
        <v>335</v>
      </c>
      <c r="F4" t="s">
        <v>2054</v>
      </c>
      <c r="G4" t="s">
        <v>2215</v>
      </c>
      <c r="H4" t="s">
        <v>2233</v>
      </c>
      <c r="I4" t="s">
        <v>2264</v>
      </c>
      <c r="J4" t="s">
        <v>2294</v>
      </c>
      <c r="K4" t="s">
        <v>2311</v>
      </c>
      <c r="L4" t="s">
        <v>2319</v>
      </c>
      <c r="M4" t="s">
        <v>2441</v>
      </c>
      <c r="N4" t="s">
        <v>2504</v>
      </c>
      <c r="O4" t="s">
        <v>2332</v>
      </c>
      <c r="P4" t="s">
        <v>2627</v>
      </c>
      <c r="Q4" t="s">
        <v>2627</v>
      </c>
      <c r="R4" t="s">
        <v>2637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318</v>
      </c>
      <c r="B5" t="s">
        <v>1122</v>
      </c>
      <c r="C5" t="s">
        <v>1454</v>
      </c>
      <c r="D5" t="s">
        <v>518</v>
      </c>
      <c r="E5" t="s">
        <v>338</v>
      </c>
      <c r="F5" t="s">
        <v>2055</v>
      </c>
      <c r="G5" t="s">
        <v>2216</v>
      </c>
      <c r="H5" t="s">
        <v>2234</v>
      </c>
      <c r="I5" t="s">
        <v>2265</v>
      </c>
      <c r="J5" t="s">
        <v>2295</v>
      </c>
      <c r="K5" t="s">
        <v>2312</v>
      </c>
      <c r="L5" t="s">
        <v>2320</v>
      </c>
      <c r="M5" t="s">
        <v>2442</v>
      </c>
      <c r="N5" t="s">
        <v>2505</v>
      </c>
      <c r="O5" t="s">
        <v>2332</v>
      </c>
      <c r="P5" t="s">
        <v>19</v>
      </c>
      <c r="Q5" t="s">
        <v>19</v>
      </c>
      <c r="R5" t="s">
        <v>2638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2690</v>
      </c>
      <c r="AP5" t="s">
        <v>2692</v>
      </c>
    </row>
    <row r="6" spans="1:42" x14ac:dyDescent="0.25">
      <c r="A6" t="s">
        <v>319</v>
      </c>
      <c r="B6" t="s">
        <v>1123</v>
      </c>
      <c r="C6" t="s">
        <v>1455</v>
      </c>
      <c r="D6" t="s">
        <v>1879</v>
      </c>
      <c r="E6" t="s">
        <v>363</v>
      </c>
      <c r="F6" t="s">
        <v>2056</v>
      </c>
      <c r="G6" t="s">
        <v>2217</v>
      </c>
      <c r="H6" t="s">
        <v>2235</v>
      </c>
      <c r="I6" t="s">
        <v>17</v>
      </c>
      <c r="J6" t="s">
        <v>2296</v>
      </c>
      <c r="K6" t="s">
        <v>2313</v>
      </c>
      <c r="L6" t="s">
        <v>2321</v>
      </c>
      <c r="M6" t="s">
        <v>2443</v>
      </c>
      <c r="N6" t="s">
        <v>2506</v>
      </c>
      <c r="O6" t="s">
        <v>2340</v>
      </c>
      <c r="P6" t="s">
        <v>2628</v>
      </c>
      <c r="Q6" t="s">
        <v>2628</v>
      </c>
      <c r="R6" t="s">
        <v>2639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2691</v>
      </c>
    </row>
    <row r="7" spans="1:42" x14ac:dyDescent="0.25">
      <c r="A7" t="s">
        <v>320</v>
      </c>
      <c r="B7" t="s">
        <v>1124</v>
      </c>
      <c r="C7" t="s">
        <v>1456</v>
      </c>
      <c r="D7" t="s">
        <v>1880</v>
      </c>
      <c r="E7" t="s">
        <v>366</v>
      </c>
      <c r="F7" t="s">
        <v>2057</v>
      </c>
      <c r="G7" t="s">
        <v>2218</v>
      </c>
      <c r="H7" t="s">
        <v>2236</v>
      </c>
      <c r="I7" t="s">
        <v>2266</v>
      </c>
      <c r="J7" t="s">
        <v>2297</v>
      </c>
      <c r="K7" t="s">
        <v>2313</v>
      </c>
      <c r="L7" t="s">
        <v>2322</v>
      </c>
      <c r="M7" t="s">
        <v>2444</v>
      </c>
      <c r="N7" t="s">
        <v>2507</v>
      </c>
      <c r="O7" t="s">
        <v>2341</v>
      </c>
      <c r="P7" t="s">
        <v>20</v>
      </c>
      <c r="Q7" t="s">
        <v>20</v>
      </c>
      <c r="R7" t="s">
        <v>2640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321</v>
      </c>
      <c r="B8" t="s">
        <v>1125</v>
      </c>
      <c r="C8" t="s">
        <v>1457</v>
      </c>
      <c r="D8" t="s">
        <v>1881</v>
      </c>
      <c r="E8" t="s">
        <v>369</v>
      </c>
      <c r="F8" t="s">
        <v>2058</v>
      </c>
      <c r="G8" t="s">
        <v>2219</v>
      </c>
      <c r="H8" t="s">
        <v>2237</v>
      </c>
      <c r="I8" t="s">
        <v>2267</v>
      </c>
      <c r="J8" t="s">
        <v>2298</v>
      </c>
      <c r="K8" t="s">
        <v>2314</v>
      </c>
      <c r="L8" t="s">
        <v>2323</v>
      </c>
      <c r="M8" t="s">
        <v>2445</v>
      </c>
      <c r="N8" t="s">
        <v>2508</v>
      </c>
      <c r="O8" t="s">
        <v>2619</v>
      </c>
      <c r="P8" t="s">
        <v>2629</v>
      </c>
      <c r="Q8" t="s">
        <v>2629</v>
      </c>
      <c r="R8" t="s">
        <v>2641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322</v>
      </c>
      <c r="B9" t="s">
        <v>1126</v>
      </c>
      <c r="C9" t="s">
        <v>1458</v>
      </c>
      <c r="D9" t="s">
        <v>1882</v>
      </c>
      <c r="E9" t="s">
        <v>402</v>
      </c>
      <c r="F9" t="s">
        <v>2059</v>
      </c>
      <c r="G9" t="s">
        <v>16</v>
      </c>
      <c r="H9" t="s">
        <v>2238</v>
      </c>
      <c r="I9" t="s">
        <v>2268</v>
      </c>
      <c r="J9" t="s">
        <v>2299</v>
      </c>
      <c r="K9" t="s">
        <v>2315</v>
      </c>
      <c r="L9" t="s">
        <v>2324</v>
      </c>
      <c r="M9" t="s">
        <v>2446</v>
      </c>
      <c r="N9" t="s">
        <v>2509</v>
      </c>
      <c r="O9" t="s">
        <v>2348</v>
      </c>
      <c r="P9" t="s">
        <v>21</v>
      </c>
      <c r="Q9" t="s">
        <v>21</v>
      </c>
      <c r="R9" t="s">
        <v>2642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323</v>
      </c>
      <c r="B10" t="s">
        <v>1127</v>
      </c>
      <c r="C10" t="s">
        <v>1459</v>
      </c>
      <c r="D10" t="s">
        <v>1883</v>
      </c>
      <c r="E10" t="s">
        <v>405</v>
      </c>
      <c r="F10" t="s">
        <v>2060</v>
      </c>
      <c r="G10" t="s">
        <v>2220</v>
      </c>
      <c r="H10" t="s">
        <v>2239</v>
      </c>
      <c r="I10" t="s">
        <v>2269</v>
      </c>
      <c r="J10" t="s">
        <v>2300</v>
      </c>
      <c r="K10" t="s">
        <v>2316</v>
      </c>
      <c r="L10" t="s">
        <v>2325</v>
      </c>
      <c r="M10" t="s">
        <v>2447</v>
      </c>
      <c r="N10" t="s">
        <v>2510</v>
      </c>
      <c r="O10" t="s">
        <v>2358</v>
      </c>
      <c r="P10" t="s">
        <v>2630</v>
      </c>
      <c r="Q10" t="s">
        <v>2630</v>
      </c>
      <c r="R10" t="s">
        <v>2643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324</v>
      </c>
      <c r="B11" t="s">
        <v>636</v>
      </c>
      <c r="C11" t="s">
        <v>1460</v>
      </c>
      <c r="D11" t="s">
        <v>1884</v>
      </c>
      <c r="E11" t="s">
        <v>408</v>
      </c>
      <c r="F11" t="s">
        <v>2061</v>
      </c>
      <c r="G11" t="s">
        <v>2221</v>
      </c>
      <c r="H11" t="s">
        <v>2240</v>
      </c>
      <c r="I11" t="s">
        <v>2270</v>
      </c>
      <c r="J11" t="s">
        <v>2301</v>
      </c>
      <c r="L11" t="s">
        <v>2326</v>
      </c>
      <c r="M11" t="s">
        <v>2448</v>
      </c>
      <c r="N11" t="s">
        <v>2106</v>
      </c>
      <c r="O11" t="s">
        <v>2620</v>
      </c>
      <c r="P11" t="s">
        <v>22</v>
      </c>
      <c r="Q11" t="s">
        <v>22</v>
      </c>
      <c r="R11" t="s">
        <v>2644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325</v>
      </c>
      <c r="B12" t="s">
        <v>637</v>
      </c>
      <c r="C12" t="s">
        <v>1461</v>
      </c>
      <c r="D12" t="s">
        <v>1885</v>
      </c>
      <c r="E12" t="s">
        <v>410</v>
      </c>
      <c r="F12" t="s">
        <v>2062</v>
      </c>
      <c r="G12" t="s">
        <v>2222</v>
      </c>
      <c r="H12" t="s">
        <v>2241</v>
      </c>
      <c r="I12" t="s">
        <v>2271</v>
      </c>
      <c r="J12" t="s">
        <v>2302</v>
      </c>
      <c r="L12" t="s">
        <v>2327</v>
      </c>
      <c r="M12" t="s">
        <v>2449</v>
      </c>
      <c r="N12" t="s">
        <v>2108</v>
      </c>
      <c r="O12" t="s">
        <v>2621</v>
      </c>
      <c r="P12" t="s">
        <v>2631</v>
      </c>
      <c r="Q12" t="s">
        <v>2631</v>
      </c>
      <c r="R12" t="s">
        <v>2645</v>
      </c>
      <c r="U12">
        <v>22</v>
      </c>
      <c r="V12">
        <v>25</v>
      </c>
      <c r="X12">
        <v>25</v>
      </c>
    </row>
    <row r="13" spans="1:42" x14ac:dyDescent="0.25">
      <c r="A13" t="s">
        <v>326</v>
      </c>
      <c r="B13" t="s">
        <v>638</v>
      </c>
      <c r="C13" t="s">
        <v>1462</v>
      </c>
      <c r="D13" t="s">
        <v>1886</v>
      </c>
      <c r="E13" t="s">
        <v>2013</v>
      </c>
      <c r="F13" t="s">
        <v>2063</v>
      </c>
      <c r="G13" t="s">
        <v>2223</v>
      </c>
      <c r="H13" t="s">
        <v>2242</v>
      </c>
      <c r="I13" t="s">
        <v>2272</v>
      </c>
      <c r="J13" t="s">
        <v>2303</v>
      </c>
      <c r="L13" t="s">
        <v>2328</v>
      </c>
      <c r="M13" t="s">
        <v>2450</v>
      </c>
      <c r="N13" t="s">
        <v>2116</v>
      </c>
      <c r="O13" t="s">
        <v>2369</v>
      </c>
      <c r="P13" t="s">
        <v>2632</v>
      </c>
      <c r="Q13" t="s">
        <v>2632</v>
      </c>
      <c r="R13" t="s">
        <v>2646</v>
      </c>
      <c r="U13">
        <v>25</v>
      </c>
      <c r="V13">
        <v>28</v>
      </c>
      <c r="X13">
        <v>28</v>
      </c>
    </row>
    <row r="14" spans="1:42" x14ac:dyDescent="0.25">
      <c r="A14" t="s">
        <v>327</v>
      </c>
      <c r="B14" t="s">
        <v>1128</v>
      </c>
      <c r="C14" t="s">
        <v>1463</v>
      </c>
      <c r="D14" t="s">
        <v>1887</v>
      </c>
      <c r="E14" t="s">
        <v>444</v>
      </c>
      <c r="F14" t="s">
        <v>2064</v>
      </c>
      <c r="G14" t="s">
        <v>2224</v>
      </c>
      <c r="H14" t="s">
        <v>2243</v>
      </c>
      <c r="I14" t="s">
        <v>2273</v>
      </c>
      <c r="J14" t="s">
        <v>2304</v>
      </c>
      <c r="L14" t="s">
        <v>2329</v>
      </c>
      <c r="M14" t="s">
        <v>2451</v>
      </c>
      <c r="N14" t="s">
        <v>2117</v>
      </c>
      <c r="O14" t="s">
        <v>2370</v>
      </c>
      <c r="P14" t="s">
        <v>2633</v>
      </c>
      <c r="Q14" t="s">
        <v>2633</v>
      </c>
      <c r="R14" t="s">
        <v>2647</v>
      </c>
      <c r="U14">
        <v>28</v>
      </c>
      <c r="V14">
        <v>32</v>
      </c>
      <c r="X14">
        <v>32</v>
      </c>
    </row>
    <row r="15" spans="1:42" x14ac:dyDescent="0.25">
      <c r="A15" t="s">
        <v>328</v>
      </c>
      <c r="B15" t="s">
        <v>1129</v>
      </c>
      <c r="C15" t="s">
        <v>1464</v>
      </c>
      <c r="D15" t="s">
        <v>1888</v>
      </c>
      <c r="E15" t="s">
        <v>446</v>
      </c>
      <c r="F15" t="s">
        <v>2065</v>
      </c>
      <c r="G15" t="s">
        <v>2225</v>
      </c>
      <c r="H15" t="s">
        <v>2244</v>
      </c>
      <c r="I15" t="s">
        <v>2274</v>
      </c>
      <c r="J15" t="s">
        <v>2305</v>
      </c>
      <c r="L15" t="s">
        <v>2330</v>
      </c>
      <c r="M15" t="s">
        <v>2452</v>
      </c>
      <c r="N15" t="s">
        <v>2511</v>
      </c>
      <c r="O15" t="s">
        <v>2371</v>
      </c>
      <c r="P15" t="s">
        <v>2634</v>
      </c>
      <c r="Q15" t="s">
        <v>2634</v>
      </c>
      <c r="R15" t="s">
        <v>2648</v>
      </c>
      <c r="U15">
        <v>32</v>
      </c>
      <c r="V15">
        <v>36</v>
      </c>
      <c r="X15">
        <v>36</v>
      </c>
    </row>
    <row r="16" spans="1:42" x14ac:dyDescent="0.25">
      <c r="A16" t="s">
        <v>329</v>
      </c>
      <c r="B16" t="s">
        <v>1130</v>
      </c>
      <c r="C16" t="s">
        <v>1465</v>
      </c>
      <c r="D16" t="s">
        <v>1889</v>
      </c>
      <c r="E16" t="s">
        <v>2014</v>
      </c>
      <c r="F16" t="s">
        <v>2066</v>
      </c>
      <c r="G16" t="s">
        <v>2226</v>
      </c>
      <c r="H16" t="s">
        <v>2245</v>
      </c>
      <c r="I16" t="s">
        <v>2275</v>
      </c>
      <c r="J16" t="s">
        <v>2306</v>
      </c>
      <c r="L16" t="s">
        <v>2331</v>
      </c>
      <c r="M16" t="s">
        <v>2453</v>
      </c>
      <c r="N16" t="s">
        <v>2512</v>
      </c>
      <c r="O16" t="s">
        <v>2622</v>
      </c>
      <c r="R16" t="s">
        <v>2649</v>
      </c>
      <c r="U16">
        <v>36</v>
      </c>
      <c r="V16">
        <v>40</v>
      </c>
      <c r="X16">
        <v>40</v>
      </c>
    </row>
    <row r="17" spans="1:21" x14ac:dyDescent="0.25">
      <c r="A17" t="s">
        <v>330</v>
      </c>
      <c r="B17" t="s">
        <v>1131</v>
      </c>
      <c r="C17" t="s">
        <v>1466</v>
      </c>
      <c r="D17" t="s">
        <v>619</v>
      </c>
      <c r="E17" t="s">
        <v>2015</v>
      </c>
      <c r="F17" t="s">
        <v>2067</v>
      </c>
      <c r="G17" t="s">
        <v>2227</v>
      </c>
      <c r="H17" t="s">
        <v>2246</v>
      </c>
      <c r="I17" t="s">
        <v>2276</v>
      </c>
      <c r="J17" t="s">
        <v>2307</v>
      </c>
      <c r="L17" t="s">
        <v>2332</v>
      </c>
      <c r="M17" t="s">
        <v>2454</v>
      </c>
      <c r="N17" t="s">
        <v>2513</v>
      </c>
      <c r="O17" t="s">
        <v>2623</v>
      </c>
      <c r="R17" t="s">
        <v>2650</v>
      </c>
      <c r="U17">
        <v>40</v>
      </c>
    </row>
    <row r="18" spans="1:21" x14ac:dyDescent="0.25">
      <c r="A18" t="s">
        <v>331</v>
      </c>
      <c r="B18" t="s">
        <v>1132</v>
      </c>
      <c r="C18" t="s">
        <v>1467</v>
      </c>
      <c r="D18" t="s">
        <v>621</v>
      </c>
      <c r="E18" t="s">
        <v>2016</v>
      </c>
      <c r="F18" t="s">
        <v>2068</v>
      </c>
      <c r="G18" t="s">
        <v>2228</v>
      </c>
      <c r="H18" t="s">
        <v>2247</v>
      </c>
      <c r="I18" t="s">
        <v>2277</v>
      </c>
      <c r="J18" t="s">
        <v>2308</v>
      </c>
      <c r="L18" t="s">
        <v>2333</v>
      </c>
      <c r="M18" t="s">
        <v>2455</v>
      </c>
      <c r="N18" t="s">
        <v>2514</v>
      </c>
      <c r="O18" t="s">
        <v>2624</v>
      </c>
      <c r="R18" t="s">
        <v>2651</v>
      </c>
    </row>
    <row r="19" spans="1:21" x14ac:dyDescent="0.25">
      <c r="A19" t="s">
        <v>332</v>
      </c>
      <c r="B19" t="s">
        <v>1133</v>
      </c>
      <c r="C19" t="s">
        <v>1468</v>
      </c>
      <c r="D19" t="s">
        <v>623</v>
      </c>
      <c r="E19" t="s">
        <v>484</v>
      </c>
      <c r="F19" t="s">
        <v>2069</v>
      </c>
      <c r="G19" t="s">
        <v>2229</v>
      </c>
      <c r="H19" t="s">
        <v>2248</v>
      </c>
      <c r="I19" t="s">
        <v>2278</v>
      </c>
      <c r="L19" t="s">
        <v>2334</v>
      </c>
      <c r="M19" t="s">
        <v>2456</v>
      </c>
      <c r="N19" t="s">
        <v>2515</v>
      </c>
      <c r="O19" t="s">
        <v>2382</v>
      </c>
      <c r="R19" t="s">
        <v>2652</v>
      </c>
    </row>
    <row r="20" spans="1:21" x14ac:dyDescent="0.25">
      <c r="A20" t="s">
        <v>333</v>
      </c>
      <c r="B20" t="s">
        <v>1134</v>
      </c>
      <c r="C20" t="s">
        <v>1469</v>
      </c>
      <c r="D20" t="s">
        <v>625</v>
      </c>
      <c r="E20" t="s">
        <v>486</v>
      </c>
      <c r="F20" t="s">
        <v>2070</v>
      </c>
      <c r="G20" t="s">
        <v>2230</v>
      </c>
      <c r="H20" t="s">
        <v>2249</v>
      </c>
      <c r="I20" t="s">
        <v>2279</v>
      </c>
      <c r="L20" t="s">
        <v>2335</v>
      </c>
      <c r="M20" t="s">
        <v>2457</v>
      </c>
      <c r="N20" t="s">
        <v>2516</v>
      </c>
      <c r="O20" t="s">
        <v>2625</v>
      </c>
      <c r="R20" t="s">
        <v>2653</v>
      </c>
    </row>
    <row r="21" spans="1:21" x14ac:dyDescent="0.25">
      <c r="A21" t="s">
        <v>334</v>
      </c>
      <c r="B21" t="s">
        <v>1135</v>
      </c>
      <c r="C21" t="s">
        <v>1470</v>
      </c>
      <c r="D21" t="s">
        <v>11</v>
      </c>
      <c r="E21" t="s">
        <v>488</v>
      </c>
      <c r="F21" t="s">
        <v>2071</v>
      </c>
      <c r="H21" t="s">
        <v>2250</v>
      </c>
      <c r="I21" t="s">
        <v>2280</v>
      </c>
      <c r="L21" t="s">
        <v>2336</v>
      </c>
      <c r="M21" t="s">
        <v>2458</v>
      </c>
      <c r="N21" t="s">
        <v>2517</v>
      </c>
      <c r="O21" t="s">
        <v>2626</v>
      </c>
      <c r="R21" t="s">
        <v>2654</v>
      </c>
    </row>
    <row r="22" spans="1:21" x14ac:dyDescent="0.25">
      <c r="A22" t="s">
        <v>335</v>
      </c>
      <c r="B22" t="s">
        <v>1136</v>
      </c>
      <c r="C22" t="s">
        <v>1471</v>
      </c>
      <c r="D22" t="s">
        <v>1890</v>
      </c>
      <c r="E22" t="s">
        <v>2017</v>
      </c>
      <c r="F22" t="s">
        <v>2072</v>
      </c>
      <c r="H22" t="s">
        <v>2251</v>
      </c>
      <c r="I22" t="s">
        <v>2281</v>
      </c>
      <c r="L22" t="s">
        <v>2337</v>
      </c>
      <c r="M22" t="s">
        <v>2459</v>
      </c>
      <c r="N22" t="s">
        <v>2518</v>
      </c>
      <c r="R22" t="s">
        <v>313</v>
      </c>
    </row>
    <row r="23" spans="1:21" x14ac:dyDescent="0.25">
      <c r="A23" t="s">
        <v>336</v>
      </c>
      <c r="B23" t="s">
        <v>1137</v>
      </c>
      <c r="C23" t="s">
        <v>1472</v>
      </c>
      <c r="D23" t="s">
        <v>1891</v>
      </c>
      <c r="E23" t="s">
        <v>2018</v>
      </c>
      <c r="F23" t="s">
        <v>2073</v>
      </c>
      <c r="H23" t="s">
        <v>2252</v>
      </c>
      <c r="I23" t="s">
        <v>2282</v>
      </c>
      <c r="L23" t="s">
        <v>2338</v>
      </c>
      <c r="M23" t="s">
        <v>2460</v>
      </c>
      <c r="N23" t="s">
        <v>1457</v>
      </c>
      <c r="R23" t="s">
        <v>2655</v>
      </c>
    </row>
    <row r="24" spans="1:21" x14ac:dyDescent="0.25">
      <c r="A24" t="s">
        <v>337</v>
      </c>
      <c r="B24" t="s">
        <v>1138</v>
      </c>
      <c r="C24" t="s">
        <v>1473</v>
      </c>
      <c r="D24" t="s">
        <v>1892</v>
      </c>
      <c r="E24" t="s">
        <v>2019</v>
      </c>
      <c r="F24" t="s">
        <v>2074</v>
      </c>
      <c r="H24" t="s">
        <v>2253</v>
      </c>
      <c r="I24" t="s">
        <v>2283</v>
      </c>
      <c r="L24" t="s">
        <v>2339</v>
      </c>
      <c r="M24" t="s">
        <v>2461</v>
      </c>
      <c r="N24" t="s">
        <v>1458</v>
      </c>
      <c r="R24" t="s">
        <v>2656</v>
      </c>
    </row>
    <row r="25" spans="1:21" x14ac:dyDescent="0.25">
      <c r="A25" t="s">
        <v>338</v>
      </c>
      <c r="B25" t="s">
        <v>1139</v>
      </c>
      <c r="C25" t="s">
        <v>1474</v>
      </c>
      <c r="D25" t="s">
        <v>1893</v>
      </c>
      <c r="E25" t="s">
        <v>514</v>
      </c>
      <c r="F25" t="s">
        <v>2075</v>
      </c>
      <c r="H25" t="s">
        <v>2254</v>
      </c>
      <c r="I25" t="s">
        <v>2284</v>
      </c>
      <c r="L25" t="s">
        <v>2340</v>
      </c>
      <c r="M25" t="s">
        <v>2462</v>
      </c>
      <c r="N25" t="s">
        <v>2519</v>
      </c>
      <c r="R25" t="s">
        <v>2657</v>
      </c>
    </row>
    <row r="26" spans="1:21" x14ac:dyDescent="0.25">
      <c r="A26" t="s">
        <v>339</v>
      </c>
      <c r="B26" t="s">
        <v>1140</v>
      </c>
      <c r="C26" t="s">
        <v>1475</v>
      </c>
      <c r="D26" t="s">
        <v>643</v>
      </c>
      <c r="E26" t="s">
        <v>516</v>
      </c>
      <c r="F26" t="s">
        <v>2076</v>
      </c>
      <c r="H26" t="s">
        <v>2255</v>
      </c>
      <c r="I26" t="s">
        <v>2285</v>
      </c>
      <c r="L26" t="s">
        <v>2341</v>
      </c>
      <c r="M26" t="s">
        <v>2463</v>
      </c>
      <c r="N26" t="s">
        <v>1463</v>
      </c>
      <c r="R26" t="s">
        <v>2658</v>
      </c>
    </row>
    <row r="27" spans="1:21" x14ac:dyDescent="0.25">
      <c r="A27" t="s">
        <v>340</v>
      </c>
      <c r="B27" t="s">
        <v>1141</v>
      </c>
      <c r="C27" t="s">
        <v>1476</v>
      </c>
      <c r="D27" t="s">
        <v>645</v>
      </c>
      <c r="E27" t="s">
        <v>518</v>
      </c>
      <c r="F27" t="s">
        <v>2077</v>
      </c>
      <c r="H27" t="s">
        <v>2256</v>
      </c>
      <c r="I27" t="s">
        <v>2286</v>
      </c>
      <c r="L27" t="s">
        <v>2342</v>
      </c>
      <c r="M27" t="s">
        <v>2464</v>
      </c>
      <c r="N27" t="s">
        <v>1464</v>
      </c>
      <c r="R27" t="s">
        <v>2659</v>
      </c>
    </row>
    <row r="28" spans="1:21" x14ac:dyDescent="0.25">
      <c r="A28" t="s">
        <v>341</v>
      </c>
      <c r="B28" t="s">
        <v>1142</v>
      </c>
      <c r="C28" t="s">
        <v>1477</v>
      </c>
      <c r="D28" t="s">
        <v>647</v>
      </c>
      <c r="E28" t="s">
        <v>1879</v>
      </c>
      <c r="F28" t="s">
        <v>2078</v>
      </c>
      <c r="H28" t="s">
        <v>2257</v>
      </c>
      <c r="I28" t="s">
        <v>2287</v>
      </c>
      <c r="L28" t="s">
        <v>2343</v>
      </c>
      <c r="M28" t="s">
        <v>2465</v>
      </c>
      <c r="N28" t="s">
        <v>1465</v>
      </c>
      <c r="R28" t="s">
        <v>2660</v>
      </c>
    </row>
    <row r="29" spans="1:21" x14ac:dyDescent="0.25">
      <c r="A29" t="s">
        <v>342</v>
      </c>
      <c r="B29" t="s">
        <v>1143</v>
      </c>
      <c r="C29" t="s">
        <v>1478</v>
      </c>
      <c r="D29" t="s">
        <v>649</v>
      </c>
      <c r="E29" t="s">
        <v>1880</v>
      </c>
      <c r="F29" t="s">
        <v>2079</v>
      </c>
      <c r="H29" t="s">
        <v>2258</v>
      </c>
      <c r="I29" t="s">
        <v>2288</v>
      </c>
      <c r="L29" t="s">
        <v>2344</v>
      </c>
      <c r="M29" t="s">
        <v>2466</v>
      </c>
      <c r="N29" t="s">
        <v>1467</v>
      </c>
      <c r="R29" t="s">
        <v>2661</v>
      </c>
    </row>
    <row r="30" spans="1:21" x14ac:dyDescent="0.25">
      <c r="A30" t="s">
        <v>343</v>
      </c>
      <c r="B30" t="s">
        <v>1144</v>
      </c>
      <c r="C30" t="s">
        <v>1479</v>
      </c>
      <c r="D30" t="s">
        <v>651</v>
      </c>
      <c r="E30" t="s">
        <v>2020</v>
      </c>
      <c r="F30" t="s">
        <v>2080</v>
      </c>
      <c r="H30" t="s">
        <v>2259</v>
      </c>
      <c r="I30" t="s">
        <v>2289</v>
      </c>
      <c r="L30" t="s">
        <v>2345</v>
      </c>
      <c r="M30" t="s">
        <v>2467</v>
      </c>
      <c r="N30" t="s">
        <v>2520</v>
      </c>
      <c r="R30" t="s">
        <v>2662</v>
      </c>
    </row>
    <row r="31" spans="1:21" x14ac:dyDescent="0.25">
      <c r="A31" t="s">
        <v>344</v>
      </c>
      <c r="B31" t="s">
        <v>1145</v>
      </c>
      <c r="C31" t="s">
        <v>1480</v>
      </c>
      <c r="D31" t="s">
        <v>1894</v>
      </c>
      <c r="E31" t="s">
        <v>2021</v>
      </c>
      <c r="F31" t="s">
        <v>2081</v>
      </c>
      <c r="H31" t="s">
        <v>2260</v>
      </c>
      <c r="I31" t="s">
        <v>2290</v>
      </c>
      <c r="L31" t="s">
        <v>2346</v>
      </c>
      <c r="M31" t="s">
        <v>2468</v>
      </c>
      <c r="N31" t="s">
        <v>2521</v>
      </c>
      <c r="R31" t="s">
        <v>2663</v>
      </c>
    </row>
    <row r="32" spans="1:21" x14ac:dyDescent="0.25">
      <c r="A32" t="s">
        <v>345</v>
      </c>
      <c r="B32" t="s">
        <v>1146</v>
      </c>
      <c r="C32" t="s">
        <v>1481</v>
      </c>
      <c r="D32" t="s">
        <v>1895</v>
      </c>
      <c r="E32" t="s">
        <v>528</v>
      </c>
      <c r="F32" t="s">
        <v>2082</v>
      </c>
      <c r="H32" t="s">
        <v>2261</v>
      </c>
      <c r="I32" t="s">
        <v>2291</v>
      </c>
      <c r="L32" t="s">
        <v>2347</v>
      </c>
      <c r="M32" t="s">
        <v>2469</v>
      </c>
      <c r="N32" t="s">
        <v>2522</v>
      </c>
      <c r="R32" t="s">
        <v>2664</v>
      </c>
    </row>
    <row r="33" spans="1:18" x14ac:dyDescent="0.25">
      <c r="A33" t="s">
        <v>346</v>
      </c>
      <c r="B33" t="s">
        <v>1147</v>
      </c>
      <c r="C33" t="s">
        <v>1482</v>
      </c>
      <c r="D33" t="s">
        <v>1896</v>
      </c>
      <c r="E33" t="s">
        <v>2022</v>
      </c>
      <c r="F33" t="s">
        <v>2083</v>
      </c>
      <c r="L33" t="s">
        <v>2348</v>
      </c>
      <c r="M33" t="s">
        <v>2470</v>
      </c>
      <c r="N33" t="s">
        <v>2523</v>
      </c>
      <c r="R33" t="s">
        <v>2665</v>
      </c>
    </row>
    <row r="34" spans="1:18" x14ac:dyDescent="0.25">
      <c r="A34" t="s">
        <v>347</v>
      </c>
      <c r="B34" t="s">
        <v>1148</v>
      </c>
      <c r="C34" t="s">
        <v>1483</v>
      </c>
      <c r="D34" t="s">
        <v>1897</v>
      </c>
      <c r="E34" t="s">
        <v>2023</v>
      </c>
      <c r="F34" t="s">
        <v>2084</v>
      </c>
      <c r="L34" t="s">
        <v>2349</v>
      </c>
      <c r="M34" t="s">
        <v>2471</v>
      </c>
      <c r="N34" t="s">
        <v>2524</v>
      </c>
      <c r="R34" t="s">
        <v>2666</v>
      </c>
    </row>
    <row r="35" spans="1:18" x14ac:dyDescent="0.25">
      <c r="A35" t="s">
        <v>348</v>
      </c>
      <c r="B35" t="s">
        <v>1149</v>
      </c>
      <c r="C35" t="s">
        <v>1484</v>
      </c>
      <c r="D35" t="s">
        <v>1898</v>
      </c>
      <c r="E35" t="s">
        <v>2024</v>
      </c>
      <c r="F35" t="s">
        <v>2085</v>
      </c>
      <c r="L35" t="s">
        <v>2350</v>
      </c>
      <c r="M35" t="s">
        <v>2472</v>
      </c>
      <c r="N35" t="s">
        <v>1471</v>
      </c>
      <c r="R35" t="s">
        <v>2667</v>
      </c>
    </row>
    <row r="36" spans="1:18" x14ac:dyDescent="0.25">
      <c r="A36" t="s">
        <v>349</v>
      </c>
      <c r="B36" t="s">
        <v>1150</v>
      </c>
      <c r="C36" t="s">
        <v>1485</v>
      </c>
      <c r="D36" t="s">
        <v>1899</v>
      </c>
      <c r="E36" t="s">
        <v>2025</v>
      </c>
      <c r="F36" t="s">
        <v>2086</v>
      </c>
      <c r="L36" t="s">
        <v>2351</v>
      </c>
      <c r="M36" t="s">
        <v>2473</v>
      </c>
      <c r="N36" t="s">
        <v>1472</v>
      </c>
      <c r="R36" t="s">
        <v>2668</v>
      </c>
    </row>
    <row r="37" spans="1:18" x14ac:dyDescent="0.25">
      <c r="A37" t="s">
        <v>350</v>
      </c>
      <c r="B37" t="s">
        <v>1151</v>
      </c>
      <c r="C37" t="s">
        <v>1486</v>
      </c>
      <c r="D37" t="s">
        <v>12</v>
      </c>
      <c r="E37" t="s">
        <v>548</v>
      </c>
      <c r="F37" t="s">
        <v>2087</v>
      </c>
      <c r="L37" t="s">
        <v>2352</v>
      </c>
      <c r="M37" t="s">
        <v>2474</v>
      </c>
      <c r="N37" t="s">
        <v>2525</v>
      </c>
      <c r="R37" t="s">
        <v>2669</v>
      </c>
    </row>
    <row r="38" spans="1:18" x14ac:dyDescent="0.25">
      <c r="A38" t="s">
        <v>351</v>
      </c>
      <c r="B38" t="s">
        <v>1152</v>
      </c>
      <c r="C38" t="s">
        <v>1487</v>
      </c>
      <c r="D38" t="s">
        <v>1900</v>
      </c>
      <c r="E38" t="s">
        <v>2026</v>
      </c>
      <c r="F38" t="s">
        <v>2088</v>
      </c>
      <c r="L38" t="s">
        <v>2353</v>
      </c>
      <c r="M38" t="s">
        <v>2475</v>
      </c>
      <c r="N38" t="s">
        <v>2526</v>
      </c>
      <c r="R38" t="s">
        <v>2670</v>
      </c>
    </row>
    <row r="39" spans="1:18" x14ac:dyDescent="0.25">
      <c r="A39" t="s">
        <v>352</v>
      </c>
      <c r="B39" t="s">
        <v>1153</v>
      </c>
      <c r="C39" t="s">
        <v>1488</v>
      </c>
      <c r="D39" t="s">
        <v>1901</v>
      </c>
      <c r="E39" t="s">
        <v>2027</v>
      </c>
      <c r="F39" t="s">
        <v>2089</v>
      </c>
      <c r="L39" t="s">
        <v>2354</v>
      </c>
      <c r="M39" t="s">
        <v>2476</v>
      </c>
      <c r="N39" t="s">
        <v>2527</v>
      </c>
      <c r="R39" t="s">
        <v>2671</v>
      </c>
    </row>
    <row r="40" spans="1:18" x14ac:dyDescent="0.25">
      <c r="A40" t="s">
        <v>353</v>
      </c>
      <c r="B40" t="s">
        <v>1154</v>
      </c>
      <c r="C40" t="s">
        <v>1489</v>
      </c>
      <c r="D40" t="s">
        <v>1902</v>
      </c>
      <c r="E40" t="s">
        <v>2028</v>
      </c>
      <c r="F40" t="s">
        <v>2090</v>
      </c>
      <c r="L40" t="s">
        <v>2355</v>
      </c>
      <c r="M40" t="s">
        <v>2477</v>
      </c>
      <c r="N40" t="s">
        <v>1479</v>
      </c>
      <c r="R40" t="s">
        <v>2672</v>
      </c>
    </row>
    <row r="41" spans="1:18" x14ac:dyDescent="0.25">
      <c r="A41" t="s">
        <v>354</v>
      </c>
      <c r="B41" t="s">
        <v>1155</v>
      </c>
      <c r="C41" t="s">
        <v>1490</v>
      </c>
      <c r="D41" t="s">
        <v>13</v>
      </c>
      <c r="E41" t="s">
        <v>2029</v>
      </c>
      <c r="F41" t="s">
        <v>2091</v>
      </c>
      <c r="L41" t="s">
        <v>2356</v>
      </c>
      <c r="M41" t="s">
        <v>2478</v>
      </c>
      <c r="N41" t="s">
        <v>1481</v>
      </c>
      <c r="R41" t="s">
        <v>2673</v>
      </c>
    </row>
    <row r="42" spans="1:18" x14ac:dyDescent="0.25">
      <c r="A42" t="s">
        <v>355</v>
      </c>
      <c r="B42" t="s">
        <v>1156</v>
      </c>
      <c r="C42" t="s">
        <v>1491</v>
      </c>
      <c r="D42" t="s">
        <v>1903</v>
      </c>
      <c r="E42" t="s">
        <v>2030</v>
      </c>
      <c r="F42" t="s">
        <v>2092</v>
      </c>
      <c r="L42" t="s">
        <v>2357</v>
      </c>
      <c r="M42" t="s">
        <v>2479</v>
      </c>
      <c r="N42" t="s">
        <v>2528</v>
      </c>
      <c r="R42" t="s">
        <v>2674</v>
      </c>
    </row>
    <row r="43" spans="1:18" x14ac:dyDescent="0.25">
      <c r="A43" t="s">
        <v>356</v>
      </c>
      <c r="B43" t="s">
        <v>1157</v>
      </c>
      <c r="C43" t="s">
        <v>1492</v>
      </c>
      <c r="D43" t="s">
        <v>1904</v>
      </c>
      <c r="E43" t="s">
        <v>2031</v>
      </c>
      <c r="F43" t="s">
        <v>2093</v>
      </c>
      <c r="L43" t="s">
        <v>2358</v>
      </c>
      <c r="M43" t="s">
        <v>2480</v>
      </c>
      <c r="N43" t="s">
        <v>2529</v>
      </c>
      <c r="R43" t="s">
        <v>2675</v>
      </c>
    </row>
    <row r="44" spans="1:18" x14ac:dyDescent="0.25">
      <c r="A44" t="s">
        <v>357</v>
      </c>
      <c r="B44" t="s">
        <v>1158</v>
      </c>
      <c r="C44" t="s">
        <v>1493</v>
      </c>
      <c r="D44" t="s">
        <v>1905</v>
      </c>
      <c r="E44" t="s">
        <v>1883</v>
      </c>
      <c r="F44" t="s">
        <v>2094</v>
      </c>
      <c r="L44" t="s">
        <v>2359</v>
      </c>
      <c r="M44" t="s">
        <v>2481</v>
      </c>
      <c r="N44" t="s">
        <v>2530</v>
      </c>
    </row>
    <row r="45" spans="1:18" x14ac:dyDescent="0.25">
      <c r="A45" t="s">
        <v>358</v>
      </c>
      <c r="B45" t="s">
        <v>1159</v>
      </c>
      <c r="C45" t="s">
        <v>1494</v>
      </c>
      <c r="D45" t="s">
        <v>1906</v>
      </c>
      <c r="E45" t="s">
        <v>1884</v>
      </c>
      <c r="F45" t="s">
        <v>2095</v>
      </c>
      <c r="L45" t="s">
        <v>2360</v>
      </c>
      <c r="M45" t="s">
        <v>2482</v>
      </c>
      <c r="N45" t="s">
        <v>2531</v>
      </c>
    </row>
    <row r="46" spans="1:18" x14ac:dyDescent="0.25">
      <c r="A46" t="s">
        <v>359</v>
      </c>
      <c r="B46" t="s">
        <v>1160</v>
      </c>
      <c r="C46" t="s">
        <v>1495</v>
      </c>
      <c r="D46" t="s">
        <v>1907</v>
      </c>
      <c r="E46" t="s">
        <v>1885</v>
      </c>
      <c r="F46" t="s">
        <v>2096</v>
      </c>
      <c r="L46" t="s">
        <v>2361</v>
      </c>
      <c r="M46" t="s">
        <v>2483</v>
      </c>
      <c r="N46" t="s">
        <v>2532</v>
      </c>
    </row>
    <row r="47" spans="1:18" x14ac:dyDescent="0.25">
      <c r="A47" t="s">
        <v>360</v>
      </c>
      <c r="B47" t="s">
        <v>1161</v>
      </c>
      <c r="C47" t="s">
        <v>1496</v>
      </c>
      <c r="D47" t="s">
        <v>1908</v>
      </c>
      <c r="E47" t="s">
        <v>1887</v>
      </c>
      <c r="F47" t="s">
        <v>2097</v>
      </c>
      <c r="L47" t="s">
        <v>2362</v>
      </c>
      <c r="M47" t="s">
        <v>2484</v>
      </c>
      <c r="N47" t="s">
        <v>2533</v>
      </c>
    </row>
    <row r="48" spans="1:18" x14ac:dyDescent="0.25">
      <c r="A48" t="s">
        <v>361</v>
      </c>
      <c r="B48" t="s">
        <v>1162</v>
      </c>
      <c r="C48" t="s">
        <v>1497</v>
      </c>
      <c r="D48" t="s">
        <v>1909</v>
      </c>
      <c r="E48" t="s">
        <v>1889</v>
      </c>
      <c r="F48" t="s">
        <v>2098</v>
      </c>
      <c r="L48" t="s">
        <v>2363</v>
      </c>
      <c r="M48" t="s">
        <v>2485</v>
      </c>
      <c r="N48" t="s">
        <v>2534</v>
      </c>
    </row>
    <row r="49" spans="1:14" x14ac:dyDescent="0.25">
      <c r="A49" t="s">
        <v>362</v>
      </c>
      <c r="B49" t="s">
        <v>1163</v>
      </c>
      <c r="C49" t="s">
        <v>1498</v>
      </c>
      <c r="D49" t="s">
        <v>1910</v>
      </c>
      <c r="E49" t="s">
        <v>2032</v>
      </c>
      <c r="F49" t="s">
        <v>2099</v>
      </c>
      <c r="L49" t="s">
        <v>2364</v>
      </c>
      <c r="M49" t="s">
        <v>2486</v>
      </c>
      <c r="N49" t="s">
        <v>2535</v>
      </c>
    </row>
    <row r="50" spans="1:14" x14ac:dyDescent="0.25">
      <c r="A50" t="s">
        <v>363</v>
      </c>
      <c r="B50" t="s">
        <v>1164</v>
      </c>
      <c r="C50" t="s">
        <v>1499</v>
      </c>
      <c r="D50" t="s">
        <v>1911</v>
      </c>
      <c r="E50" t="s">
        <v>2033</v>
      </c>
      <c r="F50" t="s">
        <v>2100</v>
      </c>
      <c r="L50" t="s">
        <v>2365</v>
      </c>
      <c r="M50" t="s">
        <v>2487</v>
      </c>
      <c r="N50" t="s">
        <v>2536</v>
      </c>
    </row>
    <row r="51" spans="1:14" x14ac:dyDescent="0.25">
      <c r="A51" t="s">
        <v>364</v>
      </c>
      <c r="B51" t="s">
        <v>1165</v>
      </c>
      <c r="C51" t="s">
        <v>1500</v>
      </c>
      <c r="D51" t="s">
        <v>1912</v>
      </c>
      <c r="E51" t="s">
        <v>625</v>
      </c>
      <c r="F51" t="s">
        <v>2101</v>
      </c>
      <c r="L51" t="s">
        <v>2366</v>
      </c>
      <c r="M51" t="s">
        <v>2488</v>
      </c>
      <c r="N51" t="s">
        <v>2156</v>
      </c>
    </row>
    <row r="52" spans="1:14" x14ac:dyDescent="0.25">
      <c r="A52" t="s">
        <v>365</v>
      </c>
      <c r="B52" t="s">
        <v>1166</v>
      </c>
      <c r="C52" t="s">
        <v>1501</v>
      </c>
      <c r="D52" t="s">
        <v>1913</v>
      </c>
      <c r="E52" t="s">
        <v>11</v>
      </c>
      <c r="F52" t="s">
        <v>2102</v>
      </c>
      <c r="L52" t="s">
        <v>2367</v>
      </c>
      <c r="M52" t="s">
        <v>2489</v>
      </c>
      <c r="N52" t="s">
        <v>1490</v>
      </c>
    </row>
    <row r="53" spans="1:14" x14ac:dyDescent="0.25">
      <c r="A53" t="s">
        <v>366</v>
      </c>
      <c r="B53" t="s">
        <v>1167</v>
      </c>
      <c r="C53" t="s">
        <v>1502</v>
      </c>
      <c r="D53" t="s">
        <v>1914</v>
      </c>
      <c r="E53" t="s">
        <v>1891</v>
      </c>
      <c r="F53" t="s">
        <v>2103</v>
      </c>
      <c r="L53" t="s">
        <v>2368</v>
      </c>
      <c r="M53" t="s">
        <v>2490</v>
      </c>
      <c r="N53" t="s">
        <v>1492</v>
      </c>
    </row>
    <row r="54" spans="1:14" x14ac:dyDescent="0.25">
      <c r="A54" t="s">
        <v>367</v>
      </c>
      <c r="B54" t="s">
        <v>1168</v>
      </c>
      <c r="C54" t="s">
        <v>1503</v>
      </c>
      <c r="D54" t="s">
        <v>1915</v>
      </c>
      <c r="E54" t="s">
        <v>1893</v>
      </c>
      <c r="F54" t="s">
        <v>2104</v>
      </c>
      <c r="L54" t="s">
        <v>2369</v>
      </c>
      <c r="M54" t="s">
        <v>2491</v>
      </c>
      <c r="N54" t="s">
        <v>2537</v>
      </c>
    </row>
    <row r="55" spans="1:14" x14ac:dyDescent="0.25">
      <c r="A55" t="s">
        <v>368</v>
      </c>
      <c r="B55" t="s">
        <v>1169</v>
      </c>
      <c r="C55" t="s">
        <v>1504</v>
      </c>
      <c r="D55" t="s">
        <v>1916</v>
      </c>
      <c r="E55" t="s">
        <v>2034</v>
      </c>
      <c r="F55" t="s">
        <v>2105</v>
      </c>
      <c r="L55" t="s">
        <v>2370</v>
      </c>
      <c r="M55" t="s">
        <v>2492</v>
      </c>
      <c r="N55" t="s">
        <v>2538</v>
      </c>
    </row>
    <row r="56" spans="1:14" x14ac:dyDescent="0.25">
      <c r="A56" t="s">
        <v>369</v>
      </c>
      <c r="B56" t="s">
        <v>1170</v>
      </c>
      <c r="C56" t="s">
        <v>1505</v>
      </c>
      <c r="D56" t="s">
        <v>1917</v>
      </c>
      <c r="E56" t="s">
        <v>2035</v>
      </c>
      <c r="F56" t="s">
        <v>2106</v>
      </c>
      <c r="L56" t="s">
        <v>2371</v>
      </c>
      <c r="M56" t="s">
        <v>2493</v>
      </c>
      <c r="N56" t="s">
        <v>2539</v>
      </c>
    </row>
    <row r="57" spans="1:14" x14ac:dyDescent="0.25">
      <c r="A57" t="s">
        <v>370</v>
      </c>
      <c r="B57" t="s">
        <v>1171</v>
      </c>
      <c r="C57" t="s">
        <v>1506</v>
      </c>
      <c r="D57" t="s">
        <v>1918</v>
      </c>
      <c r="E57" t="s">
        <v>651</v>
      </c>
      <c r="F57" t="s">
        <v>2107</v>
      </c>
      <c r="L57" t="s">
        <v>2372</v>
      </c>
      <c r="M57" t="s">
        <v>2494</v>
      </c>
      <c r="N57" t="s">
        <v>2540</v>
      </c>
    </row>
    <row r="58" spans="1:14" x14ac:dyDescent="0.25">
      <c r="A58" t="s">
        <v>371</v>
      </c>
      <c r="B58" t="s">
        <v>1172</v>
      </c>
      <c r="C58" t="s">
        <v>1507</v>
      </c>
      <c r="D58" t="s">
        <v>1919</v>
      </c>
      <c r="E58" t="s">
        <v>1895</v>
      </c>
      <c r="F58" t="s">
        <v>2108</v>
      </c>
      <c r="L58" t="s">
        <v>2373</v>
      </c>
      <c r="M58" t="s">
        <v>2495</v>
      </c>
      <c r="N58" t="s">
        <v>2541</v>
      </c>
    </row>
    <row r="59" spans="1:14" x14ac:dyDescent="0.25">
      <c r="A59" t="s">
        <v>372</v>
      </c>
      <c r="B59" t="s">
        <v>1173</v>
      </c>
      <c r="C59" t="s">
        <v>1508</v>
      </c>
      <c r="D59" t="s">
        <v>1920</v>
      </c>
      <c r="E59" t="s">
        <v>1897</v>
      </c>
      <c r="F59" t="s">
        <v>2109</v>
      </c>
      <c r="L59" t="s">
        <v>2374</v>
      </c>
      <c r="M59" t="s">
        <v>2496</v>
      </c>
      <c r="N59" t="s">
        <v>1498</v>
      </c>
    </row>
    <row r="60" spans="1:14" x14ac:dyDescent="0.25">
      <c r="A60" t="s">
        <v>373</v>
      </c>
      <c r="B60" t="s">
        <v>1174</v>
      </c>
      <c r="C60" t="s">
        <v>1509</v>
      </c>
      <c r="D60" t="s">
        <v>1921</v>
      </c>
      <c r="E60" t="s">
        <v>1899</v>
      </c>
      <c r="F60" t="s">
        <v>2110</v>
      </c>
      <c r="L60" t="s">
        <v>2375</v>
      </c>
      <c r="M60" t="s">
        <v>2497</v>
      </c>
      <c r="N60" t="s">
        <v>1499</v>
      </c>
    </row>
    <row r="61" spans="1:14" x14ac:dyDescent="0.25">
      <c r="A61" t="s">
        <v>374</v>
      </c>
      <c r="B61" t="s">
        <v>1175</v>
      </c>
      <c r="C61" t="s">
        <v>1510</v>
      </c>
      <c r="D61" t="s">
        <v>1922</v>
      </c>
      <c r="E61" t="s">
        <v>2036</v>
      </c>
      <c r="F61" t="s">
        <v>2111</v>
      </c>
      <c r="L61" t="s">
        <v>2376</v>
      </c>
      <c r="M61" t="s">
        <v>2498</v>
      </c>
      <c r="N61" t="s">
        <v>2164</v>
      </c>
    </row>
    <row r="62" spans="1:14" x14ac:dyDescent="0.25">
      <c r="A62" t="s">
        <v>375</v>
      </c>
      <c r="B62" t="s">
        <v>1176</v>
      </c>
      <c r="C62" t="s">
        <v>1511</v>
      </c>
      <c r="D62" t="s">
        <v>1923</v>
      </c>
      <c r="E62" t="s">
        <v>1901</v>
      </c>
      <c r="F62" t="s">
        <v>2112</v>
      </c>
      <c r="L62" t="s">
        <v>2377</v>
      </c>
      <c r="M62" t="s">
        <v>2499</v>
      </c>
      <c r="N62" t="s">
        <v>1508</v>
      </c>
    </row>
    <row r="63" spans="1:14" x14ac:dyDescent="0.25">
      <c r="A63" t="s">
        <v>376</v>
      </c>
      <c r="B63" t="s">
        <v>1177</v>
      </c>
      <c r="C63" t="s">
        <v>1512</v>
      </c>
      <c r="D63" t="s">
        <v>1924</v>
      </c>
      <c r="E63" t="s">
        <v>13</v>
      </c>
      <c r="F63" t="s">
        <v>2113</v>
      </c>
      <c r="L63" t="s">
        <v>2378</v>
      </c>
      <c r="M63" t="s">
        <v>2500</v>
      </c>
      <c r="N63" t="s">
        <v>1510</v>
      </c>
    </row>
    <row r="64" spans="1:14" x14ac:dyDescent="0.25">
      <c r="A64" t="s">
        <v>377</v>
      </c>
      <c r="B64" t="s">
        <v>1178</v>
      </c>
      <c r="C64" t="s">
        <v>1513</v>
      </c>
      <c r="D64" t="s">
        <v>1925</v>
      </c>
      <c r="E64" t="s">
        <v>1904</v>
      </c>
      <c r="F64" t="s">
        <v>2114</v>
      </c>
      <c r="L64" t="s">
        <v>2379</v>
      </c>
      <c r="M64" t="s">
        <v>2501</v>
      </c>
      <c r="N64" t="s">
        <v>1514</v>
      </c>
    </row>
    <row r="65" spans="1:14" x14ac:dyDescent="0.25">
      <c r="A65" t="s">
        <v>378</v>
      </c>
      <c r="B65" t="s">
        <v>1179</v>
      </c>
      <c r="C65" t="s">
        <v>1514</v>
      </c>
      <c r="D65" t="s">
        <v>1926</v>
      </c>
      <c r="E65" t="s">
        <v>1906</v>
      </c>
      <c r="F65" t="s">
        <v>2115</v>
      </c>
      <c r="L65" t="s">
        <v>2380</v>
      </c>
      <c r="N65" t="s">
        <v>2542</v>
      </c>
    </row>
    <row r="66" spans="1:14" x14ac:dyDescent="0.25">
      <c r="A66" t="s">
        <v>379</v>
      </c>
      <c r="B66" t="s">
        <v>1180</v>
      </c>
      <c r="C66" t="s">
        <v>1515</v>
      </c>
      <c r="D66" t="s">
        <v>1927</v>
      </c>
      <c r="E66" t="s">
        <v>1908</v>
      </c>
      <c r="F66" t="s">
        <v>2116</v>
      </c>
      <c r="L66" t="s">
        <v>2381</v>
      </c>
      <c r="N66" t="s">
        <v>2543</v>
      </c>
    </row>
    <row r="67" spans="1:14" x14ac:dyDescent="0.25">
      <c r="A67" t="s">
        <v>380</v>
      </c>
      <c r="B67" t="s">
        <v>1181</v>
      </c>
      <c r="C67" t="s">
        <v>1516</v>
      </c>
      <c r="D67" t="s">
        <v>14</v>
      </c>
      <c r="E67" t="s">
        <v>1913</v>
      </c>
      <c r="F67" t="s">
        <v>2117</v>
      </c>
      <c r="L67" t="s">
        <v>2382</v>
      </c>
      <c r="N67" t="s">
        <v>2544</v>
      </c>
    </row>
    <row r="68" spans="1:14" x14ac:dyDescent="0.25">
      <c r="A68" t="s">
        <v>381</v>
      </c>
      <c r="B68" t="s">
        <v>1182</v>
      </c>
      <c r="C68" t="s">
        <v>1517</v>
      </c>
      <c r="D68" t="s">
        <v>1928</v>
      </c>
      <c r="E68" t="s">
        <v>1915</v>
      </c>
      <c r="F68" t="s">
        <v>2118</v>
      </c>
      <c r="L68" t="s">
        <v>2383</v>
      </c>
      <c r="N68" t="s">
        <v>2545</v>
      </c>
    </row>
    <row r="69" spans="1:14" x14ac:dyDescent="0.25">
      <c r="A69" t="s">
        <v>382</v>
      </c>
      <c r="B69" t="s">
        <v>1183</v>
      </c>
      <c r="C69" t="s">
        <v>1518</v>
      </c>
      <c r="D69" t="s">
        <v>1929</v>
      </c>
      <c r="E69" t="s">
        <v>1917</v>
      </c>
      <c r="F69" t="s">
        <v>2119</v>
      </c>
      <c r="L69" t="s">
        <v>2384</v>
      </c>
      <c r="N69" t="s">
        <v>2546</v>
      </c>
    </row>
    <row r="70" spans="1:14" x14ac:dyDescent="0.25">
      <c r="A70" t="s">
        <v>383</v>
      </c>
      <c r="B70" t="s">
        <v>1184</v>
      </c>
      <c r="C70" t="s">
        <v>1519</v>
      </c>
      <c r="D70" t="s">
        <v>1930</v>
      </c>
      <c r="E70" t="s">
        <v>1919</v>
      </c>
      <c r="F70" t="s">
        <v>2120</v>
      </c>
      <c r="L70" t="s">
        <v>2385</v>
      </c>
      <c r="N70" t="s">
        <v>2547</v>
      </c>
    </row>
    <row r="71" spans="1:14" x14ac:dyDescent="0.25">
      <c r="A71" t="s">
        <v>384</v>
      </c>
      <c r="B71" t="s">
        <v>1185</v>
      </c>
      <c r="C71" t="s">
        <v>1520</v>
      </c>
      <c r="D71" t="s">
        <v>1931</v>
      </c>
      <c r="E71" t="s">
        <v>1926</v>
      </c>
      <c r="F71" t="s">
        <v>2121</v>
      </c>
      <c r="L71" t="s">
        <v>2386</v>
      </c>
      <c r="N71" t="s">
        <v>2548</v>
      </c>
    </row>
    <row r="72" spans="1:14" x14ac:dyDescent="0.25">
      <c r="A72" t="s">
        <v>385</v>
      </c>
      <c r="B72" t="s">
        <v>1186</v>
      </c>
      <c r="C72" t="s">
        <v>1521</v>
      </c>
      <c r="D72" t="s">
        <v>1932</v>
      </c>
      <c r="E72" t="s">
        <v>14</v>
      </c>
      <c r="F72" t="s">
        <v>2122</v>
      </c>
      <c r="L72" t="s">
        <v>2387</v>
      </c>
      <c r="N72" t="s">
        <v>2549</v>
      </c>
    </row>
    <row r="73" spans="1:14" x14ac:dyDescent="0.25">
      <c r="A73" t="s">
        <v>386</v>
      </c>
      <c r="B73" t="s">
        <v>1187</v>
      </c>
      <c r="C73" t="s">
        <v>1522</v>
      </c>
      <c r="D73" t="s">
        <v>1933</v>
      </c>
      <c r="E73" t="s">
        <v>1929</v>
      </c>
      <c r="F73" t="s">
        <v>2123</v>
      </c>
      <c r="L73" t="s">
        <v>2388</v>
      </c>
      <c r="N73" t="s">
        <v>1543</v>
      </c>
    </row>
    <row r="74" spans="1:14" x14ac:dyDescent="0.25">
      <c r="A74" t="s">
        <v>387</v>
      </c>
      <c r="B74" t="s">
        <v>1188</v>
      </c>
      <c r="C74" t="s">
        <v>1523</v>
      </c>
      <c r="D74" t="s">
        <v>15</v>
      </c>
      <c r="E74" t="s">
        <v>2037</v>
      </c>
      <c r="F74" t="s">
        <v>2124</v>
      </c>
      <c r="L74" t="s">
        <v>2389</v>
      </c>
      <c r="N74" t="s">
        <v>1552</v>
      </c>
    </row>
    <row r="75" spans="1:14" x14ac:dyDescent="0.25">
      <c r="A75" t="s">
        <v>388</v>
      </c>
      <c r="B75" t="s">
        <v>1189</v>
      </c>
      <c r="C75" t="s">
        <v>1524</v>
      </c>
      <c r="D75" t="s">
        <v>1934</v>
      </c>
      <c r="E75" t="s">
        <v>2038</v>
      </c>
      <c r="F75" t="s">
        <v>2125</v>
      </c>
      <c r="L75" t="s">
        <v>2390</v>
      </c>
      <c r="N75" t="s">
        <v>1554</v>
      </c>
    </row>
    <row r="76" spans="1:14" x14ac:dyDescent="0.25">
      <c r="A76" t="s">
        <v>389</v>
      </c>
      <c r="B76" t="s">
        <v>1190</v>
      </c>
      <c r="C76" t="s">
        <v>1525</v>
      </c>
      <c r="D76" t="s">
        <v>1935</v>
      </c>
      <c r="E76" t="s">
        <v>2039</v>
      </c>
      <c r="F76" t="s">
        <v>2126</v>
      </c>
      <c r="L76" t="s">
        <v>2391</v>
      </c>
      <c r="N76" t="s">
        <v>1556</v>
      </c>
    </row>
    <row r="77" spans="1:14" x14ac:dyDescent="0.25">
      <c r="A77" t="s">
        <v>390</v>
      </c>
      <c r="B77" t="s">
        <v>1191</v>
      </c>
      <c r="C77" t="s">
        <v>1526</v>
      </c>
      <c r="D77" t="s">
        <v>1936</v>
      </c>
      <c r="E77" t="s">
        <v>2040</v>
      </c>
      <c r="F77" t="s">
        <v>2127</v>
      </c>
      <c r="L77" t="s">
        <v>2392</v>
      </c>
      <c r="N77" t="s">
        <v>1558</v>
      </c>
    </row>
    <row r="78" spans="1:14" x14ac:dyDescent="0.25">
      <c r="A78" t="s">
        <v>391</v>
      </c>
      <c r="B78" t="s">
        <v>1192</v>
      </c>
      <c r="C78" t="s">
        <v>1527</v>
      </c>
      <c r="D78" t="s">
        <v>1937</v>
      </c>
      <c r="E78" t="s">
        <v>2041</v>
      </c>
      <c r="F78" t="s">
        <v>2128</v>
      </c>
      <c r="L78" t="s">
        <v>2393</v>
      </c>
      <c r="N78" t="s">
        <v>1561</v>
      </c>
    </row>
    <row r="79" spans="1:14" x14ac:dyDescent="0.25">
      <c r="A79" t="s">
        <v>392</v>
      </c>
      <c r="B79" t="s">
        <v>1193</v>
      </c>
      <c r="C79" t="s">
        <v>1528</v>
      </c>
      <c r="D79" t="s">
        <v>1938</v>
      </c>
      <c r="E79" t="s">
        <v>1935</v>
      </c>
      <c r="F79" t="s">
        <v>2129</v>
      </c>
      <c r="L79" t="s">
        <v>2394</v>
      </c>
      <c r="N79" t="s">
        <v>1563</v>
      </c>
    </row>
    <row r="80" spans="1:14" x14ac:dyDescent="0.25">
      <c r="A80" t="s">
        <v>393</v>
      </c>
      <c r="B80" t="s">
        <v>1194</v>
      </c>
      <c r="C80" t="s">
        <v>1529</v>
      </c>
      <c r="D80" t="s">
        <v>1939</v>
      </c>
      <c r="E80" t="s">
        <v>1937</v>
      </c>
      <c r="F80" t="s">
        <v>2130</v>
      </c>
      <c r="L80" t="s">
        <v>2395</v>
      </c>
      <c r="N80" t="s">
        <v>2550</v>
      </c>
    </row>
    <row r="81" spans="1:14" x14ac:dyDescent="0.25">
      <c r="A81" t="s">
        <v>394</v>
      </c>
      <c r="B81" t="s">
        <v>1195</v>
      </c>
      <c r="C81" t="s">
        <v>1530</v>
      </c>
      <c r="D81" t="s">
        <v>787</v>
      </c>
      <c r="E81" t="s">
        <v>1939</v>
      </c>
      <c r="F81" t="s">
        <v>2131</v>
      </c>
      <c r="L81" t="s">
        <v>2396</v>
      </c>
      <c r="N81" t="s">
        <v>2551</v>
      </c>
    </row>
    <row r="82" spans="1:14" x14ac:dyDescent="0.25">
      <c r="A82" t="s">
        <v>395</v>
      </c>
      <c r="B82" t="s">
        <v>1196</v>
      </c>
      <c r="C82" t="s">
        <v>1531</v>
      </c>
      <c r="D82" t="s">
        <v>788</v>
      </c>
      <c r="E82" t="s">
        <v>2042</v>
      </c>
      <c r="F82" t="s">
        <v>2132</v>
      </c>
      <c r="L82" t="s">
        <v>2397</v>
      </c>
      <c r="N82" t="s">
        <v>2552</v>
      </c>
    </row>
    <row r="83" spans="1:14" x14ac:dyDescent="0.25">
      <c r="A83" t="s">
        <v>396</v>
      </c>
      <c r="B83" t="s">
        <v>1197</v>
      </c>
      <c r="C83" t="s">
        <v>1532</v>
      </c>
      <c r="D83" t="s">
        <v>789</v>
      </c>
      <c r="E83" t="s">
        <v>1940</v>
      </c>
      <c r="F83" t="s">
        <v>2133</v>
      </c>
      <c r="L83" t="s">
        <v>2398</v>
      </c>
      <c r="N83" t="s">
        <v>2553</v>
      </c>
    </row>
    <row r="84" spans="1:14" x14ac:dyDescent="0.25">
      <c r="A84" t="s">
        <v>397</v>
      </c>
      <c r="B84" t="s">
        <v>1198</v>
      </c>
      <c r="C84" t="s">
        <v>1533</v>
      </c>
      <c r="D84" t="s">
        <v>790</v>
      </c>
      <c r="E84" t="s">
        <v>1942</v>
      </c>
      <c r="F84" t="s">
        <v>2134</v>
      </c>
      <c r="L84" t="s">
        <v>2399</v>
      </c>
      <c r="N84" t="s">
        <v>2554</v>
      </c>
    </row>
    <row r="85" spans="1:14" x14ac:dyDescent="0.25">
      <c r="A85" t="s">
        <v>398</v>
      </c>
      <c r="B85" t="s">
        <v>1199</v>
      </c>
      <c r="C85" t="s">
        <v>1534</v>
      </c>
      <c r="D85" t="s">
        <v>1940</v>
      </c>
      <c r="E85" t="s">
        <v>1944</v>
      </c>
      <c r="F85" t="s">
        <v>2135</v>
      </c>
      <c r="L85" t="s">
        <v>2400</v>
      </c>
      <c r="N85" t="s">
        <v>2555</v>
      </c>
    </row>
    <row r="86" spans="1:14" x14ac:dyDescent="0.25">
      <c r="A86" t="s">
        <v>399</v>
      </c>
      <c r="B86" t="s">
        <v>1200</v>
      </c>
      <c r="C86" t="s">
        <v>1535</v>
      </c>
      <c r="D86" t="s">
        <v>1941</v>
      </c>
      <c r="E86" t="s">
        <v>2043</v>
      </c>
      <c r="F86" t="s">
        <v>2136</v>
      </c>
      <c r="L86" t="s">
        <v>2401</v>
      </c>
      <c r="N86" t="s">
        <v>2556</v>
      </c>
    </row>
    <row r="87" spans="1:14" x14ac:dyDescent="0.25">
      <c r="A87" t="s">
        <v>400</v>
      </c>
      <c r="B87" t="s">
        <v>1201</v>
      </c>
      <c r="C87" t="s">
        <v>1536</v>
      </c>
      <c r="D87" t="s">
        <v>1942</v>
      </c>
      <c r="E87" t="s">
        <v>1951</v>
      </c>
      <c r="F87" t="s">
        <v>2137</v>
      </c>
      <c r="L87" t="s">
        <v>2402</v>
      </c>
      <c r="N87" t="s">
        <v>2557</v>
      </c>
    </row>
    <row r="88" spans="1:14" x14ac:dyDescent="0.25">
      <c r="A88" t="s">
        <v>401</v>
      </c>
      <c r="B88" t="s">
        <v>1202</v>
      </c>
      <c r="C88" t="s">
        <v>1537</v>
      </c>
      <c r="D88" t="s">
        <v>1943</v>
      </c>
      <c r="E88" t="s">
        <v>1953</v>
      </c>
      <c r="F88" t="s">
        <v>2138</v>
      </c>
      <c r="L88" t="s">
        <v>2403</v>
      </c>
      <c r="N88" t="s">
        <v>2558</v>
      </c>
    </row>
    <row r="89" spans="1:14" x14ac:dyDescent="0.25">
      <c r="A89" t="s">
        <v>402</v>
      </c>
      <c r="B89" t="s">
        <v>1203</v>
      </c>
      <c r="C89" t="s">
        <v>1538</v>
      </c>
      <c r="D89" t="s">
        <v>1944</v>
      </c>
      <c r="E89" t="s">
        <v>2044</v>
      </c>
      <c r="F89" t="s">
        <v>2139</v>
      </c>
      <c r="L89" t="s">
        <v>2404</v>
      </c>
      <c r="N89" t="s">
        <v>2559</v>
      </c>
    </row>
    <row r="90" spans="1:14" x14ac:dyDescent="0.25">
      <c r="A90" t="s">
        <v>403</v>
      </c>
      <c r="B90" t="s">
        <v>1204</v>
      </c>
      <c r="C90" t="s">
        <v>1539</v>
      </c>
      <c r="D90" t="s">
        <v>1945</v>
      </c>
      <c r="E90" t="s">
        <v>2045</v>
      </c>
      <c r="F90" t="s">
        <v>2140</v>
      </c>
      <c r="L90" t="s">
        <v>2405</v>
      </c>
      <c r="N90" t="s">
        <v>2178</v>
      </c>
    </row>
    <row r="91" spans="1:14" x14ac:dyDescent="0.25">
      <c r="A91" t="s">
        <v>404</v>
      </c>
      <c r="B91" t="s">
        <v>1205</v>
      </c>
      <c r="C91" t="s">
        <v>1540</v>
      </c>
      <c r="D91" t="s">
        <v>1946</v>
      </c>
      <c r="E91" t="s">
        <v>1968</v>
      </c>
      <c r="F91" t="s">
        <v>1452</v>
      </c>
      <c r="L91" t="s">
        <v>2406</v>
      </c>
      <c r="N91" t="s">
        <v>2179</v>
      </c>
    </row>
    <row r="92" spans="1:14" x14ac:dyDescent="0.25">
      <c r="A92" t="s">
        <v>405</v>
      </c>
      <c r="B92" t="s">
        <v>1206</v>
      </c>
      <c r="C92" t="s">
        <v>1541</v>
      </c>
      <c r="D92" t="s">
        <v>1947</v>
      </c>
      <c r="E92" t="s">
        <v>1970</v>
      </c>
      <c r="F92" t="s">
        <v>1453</v>
      </c>
      <c r="L92" t="s">
        <v>2407</v>
      </c>
      <c r="N92" t="s">
        <v>2560</v>
      </c>
    </row>
    <row r="93" spans="1:14" x14ac:dyDescent="0.25">
      <c r="A93" t="s">
        <v>406</v>
      </c>
      <c r="B93" t="s">
        <v>1207</v>
      </c>
      <c r="C93" t="s">
        <v>1542</v>
      </c>
      <c r="D93" t="s">
        <v>1948</v>
      </c>
      <c r="E93" t="s">
        <v>1972</v>
      </c>
      <c r="F93" t="s">
        <v>1454</v>
      </c>
      <c r="L93" t="s">
        <v>2408</v>
      </c>
      <c r="N93" t="s">
        <v>2561</v>
      </c>
    </row>
    <row r="94" spans="1:14" x14ac:dyDescent="0.25">
      <c r="A94" t="s">
        <v>407</v>
      </c>
      <c r="B94" t="s">
        <v>1208</v>
      </c>
      <c r="C94" t="s">
        <v>1543</v>
      </c>
      <c r="D94" t="s">
        <v>1949</v>
      </c>
      <c r="E94" t="s">
        <v>2046</v>
      </c>
      <c r="F94" t="s">
        <v>1455</v>
      </c>
      <c r="L94" t="s">
        <v>2409</v>
      </c>
      <c r="N94" t="s">
        <v>2562</v>
      </c>
    </row>
    <row r="95" spans="1:14" x14ac:dyDescent="0.25">
      <c r="A95" t="s">
        <v>408</v>
      </c>
      <c r="B95" t="s">
        <v>1209</v>
      </c>
      <c r="C95" t="s">
        <v>1544</v>
      </c>
      <c r="D95" t="s">
        <v>1950</v>
      </c>
      <c r="E95" t="s">
        <v>2047</v>
      </c>
      <c r="F95" t="s">
        <v>1456</v>
      </c>
      <c r="L95" t="s">
        <v>2410</v>
      </c>
      <c r="N95" t="s">
        <v>2563</v>
      </c>
    </row>
    <row r="96" spans="1:14" x14ac:dyDescent="0.25">
      <c r="A96" t="s">
        <v>409</v>
      </c>
      <c r="B96" t="s">
        <v>1210</v>
      </c>
      <c r="C96" t="s">
        <v>1545</v>
      </c>
      <c r="D96" t="s">
        <v>1951</v>
      </c>
      <c r="E96" t="s">
        <v>2048</v>
      </c>
      <c r="F96" t="s">
        <v>1457</v>
      </c>
      <c r="L96" t="s">
        <v>2411</v>
      </c>
      <c r="N96" t="s">
        <v>2564</v>
      </c>
    </row>
    <row r="97" spans="1:14" x14ac:dyDescent="0.25">
      <c r="A97" t="s">
        <v>410</v>
      </c>
      <c r="B97" t="s">
        <v>1211</v>
      </c>
      <c r="C97" t="s">
        <v>1546</v>
      </c>
      <c r="D97" t="s">
        <v>1952</v>
      </c>
      <c r="E97" t="s">
        <v>2049</v>
      </c>
      <c r="F97" t="s">
        <v>1458</v>
      </c>
      <c r="L97" t="s">
        <v>2412</v>
      </c>
      <c r="N97" t="s">
        <v>1583</v>
      </c>
    </row>
    <row r="98" spans="1:14" x14ac:dyDescent="0.25">
      <c r="A98" t="s">
        <v>411</v>
      </c>
      <c r="B98" t="s">
        <v>1212</v>
      </c>
      <c r="C98" t="s">
        <v>1547</v>
      </c>
      <c r="D98" t="s">
        <v>1953</v>
      </c>
      <c r="E98" t="s">
        <v>514</v>
      </c>
      <c r="F98" t="s">
        <v>1459</v>
      </c>
      <c r="L98" t="s">
        <v>2413</v>
      </c>
      <c r="N98" t="s">
        <v>1585</v>
      </c>
    </row>
    <row r="99" spans="1:14" x14ac:dyDescent="0.25">
      <c r="A99" t="s">
        <v>412</v>
      </c>
      <c r="B99" t="s">
        <v>1213</v>
      </c>
      <c r="C99" t="s">
        <v>1548</v>
      </c>
      <c r="D99" t="s">
        <v>1954</v>
      </c>
      <c r="E99" t="s">
        <v>2050</v>
      </c>
      <c r="F99" t="s">
        <v>1460</v>
      </c>
      <c r="L99" t="s">
        <v>2414</v>
      </c>
      <c r="N99" t="s">
        <v>2565</v>
      </c>
    </row>
    <row r="100" spans="1:14" x14ac:dyDescent="0.25">
      <c r="A100" t="s">
        <v>413</v>
      </c>
      <c r="B100" t="s">
        <v>1214</v>
      </c>
      <c r="C100" t="s">
        <v>1549</v>
      </c>
      <c r="D100" t="s">
        <v>1955</v>
      </c>
      <c r="F100" t="s">
        <v>1461</v>
      </c>
      <c r="L100" t="s">
        <v>2415</v>
      </c>
      <c r="N100" t="s">
        <v>1590</v>
      </c>
    </row>
    <row r="101" spans="1:14" x14ac:dyDescent="0.25">
      <c r="A101" t="s">
        <v>414</v>
      </c>
      <c r="B101" t="s">
        <v>1215</v>
      </c>
      <c r="C101" t="s">
        <v>1550</v>
      </c>
      <c r="D101" t="s">
        <v>1956</v>
      </c>
      <c r="F101" t="s">
        <v>2141</v>
      </c>
      <c r="L101" t="s">
        <v>2416</v>
      </c>
      <c r="N101" t="s">
        <v>1592</v>
      </c>
    </row>
    <row r="102" spans="1:14" x14ac:dyDescent="0.25">
      <c r="A102" t="s">
        <v>415</v>
      </c>
      <c r="B102" t="s">
        <v>1216</v>
      </c>
      <c r="C102" t="s">
        <v>1551</v>
      </c>
      <c r="D102" t="s">
        <v>1957</v>
      </c>
      <c r="F102" t="s">
        <v>2142</v>
      </c>
      <c r="L102" t="s">
        <v>2417</v>
      </c>
      <c r="N102" t="s">
        <v>2566</v>
      </c>
    </row>
    <row r="103" spans="1:14" x14ac:dyDescent="0.25">
      <c r="A103" t="s">
        <v>416</v>
      </c>
      <c r="B103" t="s">
        <v>1217</v>
      </c>
      <c r="C103" t="s">
        <v>1552</v>
      </c>
      <c r="D103" t="s">
        <v>1958</v>
      </c>
      <c r="F103" t="s">
        <v>2143</v>
      </c>
      <c r="L103" t="s">
        <v>2418</v>
      </c>
      <c r="N103" t="s">
        <v>2567</v>
      </c>
    </row>
    <row r="104" spans="1:14" x14ac:dyDescent="0.25">
      <c r="A104" t="s">
        <v>417</v>
      </c>
      <c r="B104" t="s">
        <v>1218</v>
      </c>
      <c r="C104" t="s">
        <v>1553</v>
      </c>
      <c r="D104" t="s">
        <v>1959</v>
      </c>
      <c r="F104" t="s">
        <v>2144</v>
      </c>
      <c r="L104" t="s">
        <v>2419</v>
      </c>
      <c r="N104" t="s">
        <v>1597</v>
      </c>
    </row>
    <row r="105" spans="1:14" x14ac:dyDescent="0.25">
      <c r="A105" t="s">
        <v>418</v>
      </c>
      <c r="B105" t="s">
        <v>1219</v>
      </c>
      <c r="C105" t="s">
        <v>1554</v>
      </c>
      <c r="D105" t="s">
        <v>1960</v>
      </c>
      <c r="F105" t="s">
        <v>2145</v>
      </c>
      <c r="L105" t="s">
        <v>2420</v>
      </c>
      <c r="N105" t="s">
        <v>1601</v>
      </c>
    </row>
    <row r="106" spans="1:14" x14ac:dyDescent="0.25">
      <c r="A106" t="s">
        <v>419</v>
      </c>
      <c r="B106" t="s">
        <v>1220</v>
      </c>
      <c r="C106" t="s">
        <v>1555</v>
      </c>
      <c r="D106" t="s">
        <v>1961</v>
      </c>
      <c r="F106" t="s">
        <v>1463</v>
      </c>
      <c r="L106" t="s">
        <v>2421</v>
      </c>
      <c r="N106" t="s">
        <v>1603</v>
      </c>
    </row>
    <row r="107" spans="1:14" x14ac:dyDescent="0.25">
      <c r="A107" t="s">
        <v>420</v>
      </c>
      <c r="B107" t="s">
        <v>1221</v>
      </c>
      <c r="C107" t="s">
        <v>1556</v>
      </c>
      <c r="D107" t="s">
        <v>1962</v>
      </c>
      <c r="F107" t="s">
        <v>1464</v>
      </c>
      <c r="L107" t="s">
        <v>2422</v>
      </c>
      <c r="N107" t="s">
        <v>2568</v>
      </c>
    </row>
    <row r="108" spans="1:14" x14ac:dyDescent="0.25">
      <c r="A108" t="s">
        <v>421</v>
      </c>
      <c r="B108" t="s">
        <v>1222</v>
      </c>
      <c r="C108" t="s">
        <v>1557</v>
      </c>
      <c r="D108" t="s">
        <v>853</v>
      </c>
      <c r="F108" t="s">
        <v>1465</v>
      </c>
      <c r="L108" t="s">
        <v>2423</v>
      </c>
      <c r="N108" t="s">
        <v>2569</v>
      </c>
    </row>
    <row r="109" spans="1:14" x14ac:dyDescent="0.25">
      <c r="A109" t="s">
        <v>422</v>
      </c>
      <c r="B109" t="s">
        <v>1223</v>
      </c>
      <c r="C109" t="s">
        <v>1558</v>
      </c>
      <c r="D109" t="s">
        <v>1963</v>
      </c>
      <c r="F109" t="s">
        <v>1466</v>
      </c>
      <c r="L109" t="s">
        <v>2424</v>
      </c>
      <c r="N109" t="s">
        <v>2190</v>
      </c>
    </row>
    <row r="110" spans="1:14" x14ac:dyDescent="0.25">
      <c r="A110" t="s">
        <v>423</v>
      </c>
      <c r="B110" t="s">
        <v>1224</v>
      </c>
      <c r="C110" t="s">
        <v>1559</v>
      </c>
      <c r="D110" t="s">
        <v>1964</v>
      </c>
      <c r="F110" t="s">
        <v>1467</v>
      </c>
      <c r="L110" t="s">
        <v>2425</v>
      </c>
      <c r="N110" t="s">
        <v>2570</v>
      </c>
    </row>
    <row r="111" spans="1:14" x14ac:dyDescent="0.25">
      <c r="A111" t="s">
        <v>424</v>
      </c>
      <c r="B111" t="s">
        <v>1225</v>
      </c>
      <c r="C111" t="s">
        <v>1560</v>
      </c>
      <c r="D111" t="s">
        <v>1965</v>
      </c>
      <c r="F111" t="s">
        <v>2146</v>
      </c>
      <c r="L111" t="s">
        <v>2426</v>
      </c>
      <c r="N111" t="s">
        <v>2571</v>
      </c>
    </row>
    <row r="112" spans="1:14" x14ac:dyDescent="0.25">
      <c r="A112" t="s">
        <v>425</v>
      </c>
      <c r="B112" t="s">
        <v>1226</v>
      </c>
      <c r="C112" t="s">
        <v>1561</v>
      </c>
      <c r="D112" t="s">
        <v>1966</v>
      </c>
      <c r="F112" t="s">
        <v>2147</v>
      </c>
      <c r="L112" t="s">
        <v>2427</v>
      </c>
      <c r="N112" t="s">
        <v>2572</v>
      </c>
    </row>
    <row r="113" spans="1:14" x14ac:dyDescent="0.25">
      <c r="A113" t="s">
        <v>426</v>
      </c>
      <c r="B113" t="s">
        <v>1227</v>
      </c>
      <c r="C113" t="s">
        <v>1562</v>
      </c>
      <c r="D113" t="s">
        <v>1967</v>
      </c>
      <c r="F113" t="s">
        <v>2148</v>
      </c>
      <c r="L113" t="s">
        <v>2428</v>
      </c>
      <c r="N113" t="s">
        <v>1628</v>
      </c>
    </row>
    <row r="114" spans="1:14" x14ac:dyDescent="0.25">
      <c r="A114" t="s">
        <v>427</v>
      </c>
      <c r="B114" t="s">
        <v>1228</v>
      </c>
      <c r="C114" t="s">
        <v>1563</v>
      </c>
      <c r="D114" t="s">
        <v>1968</v>
      </c>
      <c r="F114" t="s">
        <v>2149</v>
      </c>
      <c r="L114" t="s">
        <v>2429</v>
      </c>
      <c r="N114" t="s">
        <v>1632</v>
      </c>
    </row>
    <row r="115" spans="1:14" x14ac:dyDescent="0.25">
      <c r="A115" t="s">
        <v>428</v>
      </c>
      <c r="B115" t="s">
        <v>1229</v>
      </c>
      <c r="C115" t="s">
        <v>1564</v>
      </c>
      <c r="D115" t="s">
        <v>1969</v>
      </c>
      <c r="F115" t="s">
        <v>2150</v>
      </c>
      <c r="L115" t="s">
        <v>2430</v>
      </c>
      <c r="N115" t="s">
        <v>2573</v>
      </c>
    </row>
    <row r="116" spans="1:14" x14ac:dyDescent="0.25">
      <c r="A116" t="s">
        <v>429</v>
      </c>
      <c r="B116" t="s">
        <v>1230</v>
      </c>
      <c r="C116" t="s">
        <v>1565</v>
      </c>
      <c r="D116" t="s">
        <v>1970</v>
      </c>
      <c r="F116" t="s">
        <v>1471</v>
      </c>
      <c r="L116" t="s">
        <v>2431</v>
      </c>
      <c r="N116" t="s">
        <v>2574</v>
      </c>
    </row>
    <row r="117" spans="1:14" x14ac:dyDescent="0.25">
      <c r="A117" t="s">
        <v>430</v>
      </c>
      <c r="B117" t="s">
        <v>1231</v>
      </c>
      <c r="C117" t="s">
        <v>1566</v>
      </c>
      <c r="D117" t="s">
        <v>1971</v>
      </c>
      <c r="F117" t="s">
        <v>1472</v>
      </c>
      <c r="L117" t="s">
        <v>2432</v>
      </c>
      <c r="N117" t="s">
        <v>2575</v>
      </c>
    </row>
    <row r="118" spans="1:14" x14ac:dyDescent="0.25">
      <c r="A118" t="s">
        <v>431</v>
      </c>
      <c r="B118" t="s">
        <v>1232</v>
      </c>
      <c r="C118" t="s">
        <v>1567</v>
      </c>
      <c r="D118" t="s">
        <v>1972</v>
      </c>
      <c r="F118" t="s">
        <v>1473</v>
      </c>
      <c r="L118" t="s">
        <v>2433</v>
      </c>
      <c r="N118" t="s">
        <v>2576</v>
      </c>
    </row>
    <row r="119" spans="1:14" x14ac:dyDescent="0.25">
      <c r="A119" t="s">
        <v>432</v>
      </c>
      <c r="B119" t="s">
        <v>1233</v>
      </c>
      <c r="C119" t="s">
        <v>1568</v>
      </c>
      <c r="D119" t="s">
        <v>1973</v>
      </c>
      <c r="F119" t="s">
        <v>1474</v>
      </c>
      <c r="L119" t="s">
        <v>2434</v>
      </c>
      <c r="N119" t="s">
        <v>2577</v>
      </c>
    </row>
    <row r="120" spans="1:14" x14ac:dyDescent="0.25">
      <c r="A120" t="s">
        <v>433</v>
      </c>
      <c r="B120" t="s">
        <v>1234</v>
      </c>
      <c r="C120" t="s">
        <v>1569</v>
      </c>
      <c r="D120" t="s">
        <v>1974</v>
      </c>
      <c r="F120" t="s">
        <v>1476</v>
      </c>
      <c r="L120" t="s">
        <v>2435</v>
      </c>
      <c r="N120" t="s">
        <v>2578</v>
      </c>
    </row>
    <row r="121" spans="1:14" x14ac:dyDescent="0.25">
      <c r="A121" t="s">
        <v>434</v>
      </c>
      <c r="B121" t="s">
        <v>1235</v>
      </c>
      <c r="C121" t="s">
        <v>1570</v>
      </c>
      <c r="D121" t="s">
        <v>1975</v>
      </c>
      <c r="F121" t="s">
        <v>1481</v>
      </c>
      <c r="L121" t="s">
        <v>2436</v>
      </c>
      <c r="N121" t="s">
        <v>2579</v>
      </c>
    </row>
    <row r="122" spans="1:14" x14ac:dyDescent="0.25">
      <c r="A122" t="s">
        <v>435</v>
      </c>
      <c r="B122" t="s">
        <v>1236</v>
      </c>
      <c r="C122" t="s">
        <v>1571</v>
      </c>
      <c r="D122" t="s">
        <v>1976</v>
      </c>
      <c r="F122" t="s">
        <v>1482</v>
      </c>
      <c r="L122" t="s">
        <v>2437</v>
      </c>
      <c r="N122" t="s">
        <v>2580</v>
      </c>
    </row>
    <row r="123" spans="1:14" x14ac:dyDescent="0.25">
      <c r="A123" t="s">
        <v>436</v>
      </c>
      <c r="B123" t="s">
        <v>1237</v>
      </c>
      <c r="C123" t="s">
        <v>1572</v>
      </c>
      <c r="D123" t="s">
        <v>1977</v>
      </c>
      <c r="F123" t="s">
        <v>1483</v>
      </c>
      <c r="L123" t="s">
        <v>2438</v>
      </c>
      <c r="N123" t="s">
        <v>2581</v>
      </c>
    </row>
    <row r="124" spans="1:14" x14ac:dyDescent="0.25">
      <c r="A124" t="s">
        <v>437</v>
      </c>
      <c r="B124" t="s">
        <v>1238</v>
      </c>
      <c r="C124" t="s">
        <v>1573</v>
      </c>
      <c r="D124" t="s">
        <v>1978</v>
      </c>
      <c r="F124" t="s">
        <v>1485</v>
      </c>
      <c r="N124" t="s">
        <v>2582</v>
      </c>
    </row>
    <row r="125" spans="1:14" x14ac:dyDescent="0.25">
      <c r="A125" t="s">
        <v>438</v>
      </c>
      <c r="B125" t="s">
        <v>1239</v>
      </c>
      <c r="C125" t="s">
        <v>1574</v>
      </c>
      <c r="D125" t="s">
        <v>1979</v>
      </c>
      <c r="F125" t="s">
        <v>2151</v>
      </c>
      <c r="N125" t="s">
        <v>2583</v>
      </c>
    </row>
    <row r="126" spans="1:14" x14ac:dyDescent="0.25">
      <c r="A126" t="s">
        <v>439</v>
      </c>
      <c r="B126" t="s">
        <v>1240</v>
      </c>
      <c r="C126" t="s">
        <v>1575</v>
      </c>
      <c r="D126" t="s">
        <v>1980</v>
      </c>
      <c r="F126" t="s">
        <v>2152</v>
      </c>
      <c r="N126" t="s">
        <v>2584</v>
      </c>
    </row>
    <row r="127" spans="1:14" x14ac:dyDescent="0.25">
      <c r="A127" t="s">
        <v>440</v>
      </c>
      <c r="B127" t="s">
        <v>1241</v>
      </c>
      <c r="C127" t="s">
        <v>1576</v>
      </c>
      <c r="D127" t="s">
        <v>1981</v>
      </c>
      <c r="F127" t="s">
        <v>2153</v>
      </c>
      <c r="N127" t="s">
        <v>1637</v>
      </c>
    </row>
    <row r="128" spans="1:14" x14ac:dyDescent="0.25">
      <c r="A128" t="s">
        <v>441</v>
      </c>
      <c r="B128" t="s">
        <v>1242</v>
      </c>
      <c r="C128" t="s">
        <v>1577</v>
      </c>
      <c r="D128" t="s">
        <v>1982</v>
      </c>
      <c r="F128" t="s">
        <v>2154</v>
      </c>
      <c r="N128" t="s">
        <v>1639</v>
      </c>
    </row>
    <row r="129" spans="1:14" x14ac:dyDescent="0.25">
      <c r="A129" t="s">
        <v>442</v>
      </c>
      <c r="B129" t="s">
        <v>842</v>
      </c>
      <c r="C129" t="s">
        <v>1578</v>
      </c>
      <c r="D129" t="s">
        <v>1983</v>
      </c>
      <c r="F129" t="s">
        <v>2155</v>
      </c>
      <c r="N129" t="s">
        <v>1641</v>
      </c>
    </row>
    <row r="130" spans="1:14" x14ac:dyDescent="0.25">
      <c r="A130" t="s">
        <v>443</v>
      </c>
      <c r="B130" t="s">
        <v>843</v>
      </c>
      <c r="C130" t="s">
        <v>1579</v>
      </c>
      <c r="D130" t="s">
        <v>1984</v>
      </c>
      <c r="F130" t="s">
        <v>2156</v>
      </c>
      <c r="N130" t="s">
        <v>2585</v>
      </c>
    </row>
    <row r="131" spans="1:14" x14ac:dyDescent="0.25">
      <c r="A131" t="s">
        <v>444</v>
      </c>
      <c r="B131" t="s">
        <v>844</v>
      </c>
      <c r="C131" t="s">
        <v>1580</v>
      </c>
      <c r="D131" t="s">
        <v>1985</v>
      </c>
      <c r="F131" t="s">
        <v>2157</v>
      </c>
      <c r="N131" t="s">
        <v>9</v>
      </c>
    </row>
    <row r="132" spans="1:14" x14ac:dyDescent="0.25">
      <c r="A132" t="s">
        <v>445</v>
      </c>
      <c r="B132" t="s">
        <v>1243</v>
      </c>
      <c r="C132" t="s">
        <v>1581</v>
      </c>
      <c r="D132" t="s">
        <v>1986</v>
      </c>
      <c r="F132" t="s">
        <v>2158</v>
      </c>
      <c r="N132" t="s">
        <v>1654</v>
      </c>
    </row>
    <row r="133" spans="1:14" x14ac:dyDescent="0.25">
      <c r="A133" t="s">
        <v>446</v>
      </c>
      <c r="B133" t="s">
        <v>846</v>
      </c>
      <c r="C133" t="s">
        <v>1582</v>
      </c>
      <c r="D133" t="s">
        <v>1987</v>
      </c>
      <c r="F133" t="s">
        <v>2159</v>
      </c>
      <c r="N133" t="s">
        <v>1656</v>
      </c>
    </row>
    <row r="134" spans="1:14" x14ac:dyDescent="0.25">
      <c r="A134" t="s">
        <v>447</v>
      </c>
      <c r="B134" t="s">
        <v>1244</v>
      </c>
      <c r="C134" t="s">
        <v>1583</v>
      </c>
      <c r="D134" t="s">
        <v>1988</v>
      </c>
      <c r="F134" t="s">
        <v>2160</v>
      </c>
      <c r="N134" t="s">
        <v>2586</v>
      </c>
    </row>
    <row r="135" spans="1:14" x14ac:dyDescent="0.25">
      <c r="A135" t="s">
        <v>448</v>
      </c>
      <c r="B135" t="s">
        <v>848</v>
      </c>
      <c r="C135" t="s">
        <v>1584</v>
      </c>
      <c r="D135" t="s">
        <v>1989</v>
      </c>
      <c r="F135" t="s">
        <v>1490</v>
      </c>
      <c r="N135" t="s">
        <v>2587</v>
      </c>
    </row>
    <row r="136" spans="1:14" x14ac:dyDescent="0.25">
      <c r="A136" t="s">
        <v>449</v>
      </c>
      <c r="B136" t="s">
        <v>1245</v>
      </c>
      <c r="C136" t="s">
        <v>1585</v>
      </c>
      <c r="D136" t="s">
        <v>1990</v>
      </c>
      <c r="F136" t="s">
        <v>1491</v>
      </c>
      <c r="N136" t="s">
        <v>2588</v>
      </c>
    </row>
    <row r="137" spans="1:14" x14ac:dyDescent="0.25">
      <c r="A137" t="s">
        <v>450</v>
      </c>
      <c r="B137" t="s">
        <v>1246</v>
      </c>
      <c r="C137" t="s">
        <v>1586</v>
      </c>
      <c r="D137" t="s">
        <v>1991</v>
      </c>
      <c r="F137" t="s">
        <v>1492</v>
      </c>
      <c r="N137" t="s">
        <v>2589</v>
      </c>
    </row>
    <row r="138" spans="1:14" x14ac:dyDescent="0.25">
      <c r="A138" t="s">
        <v>451</v>
      </c>
      <c r="B138" t="s">
        <v>1247</v>
      </c>
      <c r="C138" t="s">
        <v>1587</v>
      </c>
      <c r="D138" t="s">
        <v>1992</v>
      </c>
      <c r="F138" t="s">
        <v>1494</v>
      </c>
      <c r="N138" t="s">
        <v>2590</v>
      </c>
    </row>
    <row r="139" spans="1:14" x14ac:dyDescent="0.25">
      <c r="A139" t="s">
        <v>452</v>
      </c>
      <c r="B139" t="s">
        <v>1248</v>
      </c>
      <c r="C139" t="s">
        <v>1588</v>
      </c>
      <c r="D139" t="s">
        <v>1993</v>
      </c>
      <c r="F139" t="s">
        <v>1496</v>
      </c>
      <c r="N139" t="s">
        <v>2591</v>
      </c>
    </row>
    <row r="140" spans="1:14" x14ac:dyDescent="0.25">
      <c r="A140" t="s">
        <v>453</v>
      </c>
      <c r="B140" t="s">
        <v>1249</v>
      </c>
      <c r="C140" t="s">
        <v>1589</v>
      </c>
      <c r="D140" t="s">
        <v>1994</v>
      </c>
      <c r="F140" t="s">
        <v>1499</v>
      </c>
      <c r="N140" t="s">
        <v>2592</v>
      </c>
    </row>
    <row r="141" spans="1:14" x14ac:dyDescent="0.25">
      <c r="A141" t="s">
        <v>454</v>
      </c>
      <c r="B141" t="s">
        <v>1250</v>
      </c>
      <c r="C141" t="s">
        <v>1590</v>
      </c>
      <c r="D141" t="s">
        <v>1995</v>
      </c>
      <c r="F141" t="s">
        <v>1500</v>
      </c>
      <c r="N141" t="s">
        <v>2593</v>
      </c>
    </row>
    <row r="142" spans="1:14" x14ac:dyDescent="0.25">
      <c r="A142" t="s">
        <v>455</v>
      </c>
      <c r="B142" t="s">
        <v>859</v>
      </c>
      <c r="C142" t="s">
        <v>1591</v>
      </c>
      <c r="D142" t="s">
        <v>1996</v>
      </c>
      <c r="F142" t="s">
        <v>1501</v>
      </c>
      <c r="N142" t="s">
        <v>1677</v>
      </c>
    </row>
    <row r="143" spans="1:14" x14ac:dyDescent="0.25">
      <c r="A143" t="s">
        <v>456</v>
      </c>
      <c r="B143" t="s">
        <v>860</v>
      </c>
      <c r="C143" t="s">
        <v>1592</v>
      </c>
      <c r="D143" t="s">
        <v>1997</v>
      </c>
      <c r="F143" t="s">
        <v>1503</v>
      </c>
      <c r="N143" t="s">
        <v>1679</v>
      </c>
    </row>
    <row r="144" spans="1:14" x14ac:dyDescent="0.25">
      <c r="A144" t="s">
        <v>457</v>
      </c>
      <c r="B144" t="s">
        <v>861</v>
      </c>
      <c r="C144" t="s">
        <v>1593</v>
      </c>
      <c r="D144" t="s">
        <v>1998</v>
      </c>
      <c r="F144" t="s">
        <v>1505</v>
      </c>
      <c r="N144" t="s">
        <v>1681</v>
      </c>
    </row>
    <row r="145" spans="1:14" x14ac:dyDescent="0.25">
      <c r="A145" t="s">
        <v>458</v>
      </c>
      <c r="B145" t="s">
        <v>1251</v>
      </c>
      <c r="C145" t="s">
        <v>1594</v>
      </c>
      <c r="D145" t="s">
        <v>1999</v>
      </c>
      <c r="F145" t="s">
        <v>2161</v>
      </c>
      <c r="N145" t="s">
        <v>1688</v>
      </c>
    </row>
    <row r="146" spans="1:14" x14ac:dyDescent="0.25">
      <c r="A146" t="s">
        <v>459</v>
      </c>
      <c r="B146" t="s">
        <v>863</v>
      </c>
      <c r="C146" t="s">
        <v>1595</v>
      </c>
      <c r="D146" t="s">
        <v>2000</v>
      </c>
      <c r="F146" t="s">
        <v>2162</v>
      </c>
      <c r="N146" t="s">
        <v>10</v>
      </c>
    </row>
    <row r="147" spans="1:14" x14ac:dyDescent="0.25">
      <c r="A147" t="s">
        <v>460</v>
      </c>
      <c r="B147" t="s">
        <v>1252</v>
      </c>
      <c r="C147" t="s">
        <v>1596</v>
      </c>
      <c r="D147" t="s">
        <v>2001</v>
      </c>
      <c r="F147" t="s">
        <v>2163</v>
      </c>
      <c r="N147" t="s">
        <v>2594</v>
      </c>
    </row>
    <row r="148" spans="1:14" x14ac:dyDescent="0.25">
      <c r="A148" t="s">
        <v>461</v>
      </c>
      <c r="B148" t="s">
        <v>865</v>
      </c>
      <c r="C148" t="s">
        <v>1597</v>
      </c>
      <c r="D148" t="s">
        <v>2002</v>
      </c>
      <c r="F148" t="s">
        <v>2164</v>
      </c>
      <c r="N148" t="s">
        <v>2595</v>
      </c>
    </row>
    <row r="149" spans="1:14" x14ac:dyDescent="0.25">
      <c r="A149" t="s">
        <v>462</v>
      </c>
      <c r="B149" t="s">
        <v>1253</v>
      </c>
      <c r="C149" t="s">
        <v>1598</v>
      </c>
      <c r="D149" t="s">
        <v>2003</v>
      </c>
      <c r="F149" t="s">
        <v>1509</v>
      </c>
      <c r="N149" t="s">
        <v>2596</v>
      </c>
    </row>
    <row r="150" spans="1:14" x14ac:dyDescent="0.25">
      <c r="A150" t="s">
        <v>463</v>
      </c>
      <c r="B150" t="s">
        <v>1254</v>
      </c>
      <c r="C150" t="s">
        <v>1599</v>
      </c>
      <c r="D150" t="s">
        <v>2004</v>
      </c>
      <c r="F150" t="s">
        <v>1510</v>
      </c>
      <c r="N150" t="s">
        <v>2597</v>
      </c>
    </row>
    <row r="151" spans="1:14" x14ac:dyDescent="0.25">
      <c r="A151" t="s">
        <v>464</v>
      </c>
      <c r="B151" t="s">
        <v>1255</v>
      </c>
      <c r="C151" t="s">
        <v>1600</v>
      </c>
      <c r="D151" t="s">
        <v>2005</v>
      </c>
      <c r="F151" t="s">
        <v>1512</v>
      </c>
      <c r="N151" t="s">
        <v>1710</v>
      </c>
    </row>
    <row r="152" spans="1:14" x14ac:dyDescent="0.25">
      <c r="A152" t="s">
        <v>465</v>
      </c>
      <c r="B152" t="s">
        <v>1256</v>
      </c>
      <c r="C152" t="s">
        <v>1601</v>
      </c>
      <c r="D152" t="s">
        <v>2006</v>
      </c>
      <c r="F152" t="s">
        <v>1514</v>
      </c>
      <c r="N152" t="s">
        <v>1712</v>
      </c>
    </row>
    <row r="153" spans="1:14" x14ac:dyDescent="0.25">
      <c r="A153" t="s">
        <v>466</v>
      </c>
      <c r="B153" t="s">
        <v>1257</v>
      </c>
      <c r="C153" t="s">
        <v>1602</v>
      </c>
      <c r="D153" t="s">
        <v>2007</v>
      </c>
      <c r="F153" t="s">
        <v>1516</v>
      </c>
      <c r="N153" t="s">
        <v>1714</v>
      </c>
    </row>
    <row r="154" spans="1:14" x14ac:dyDescent="0.25">
      <c r="A154" t="s">
        <v>467</v>
      </c>
      <c r="B154" t="s">
        <v>1258</v>
      </c>
      <c r="C154" t="s">
        <v>1603</v>
      </c>
      <c r="D154" t="s">
        <v>2008</v>
      </c>
      <c r="F154" t="s">
        <v>2165</v>
      </c>
      <c r="N154" t="s">
        <v>2598</v>
      </c>
    </row>
    <row r="155" spans="1:14" x14ac:dyDescent="0.25">
      <c r="A155" t="s">
        <v>468</v>
      </c>
      <c r="B155" t="s">
        <v>1259</v>
      </c>
      <c r="C155" t="s">
        <v>1604</v>
      </c>
      <c r="D155" t="s">
        <v>2009</v>
      </c>
      <c r="F155" t="s">
        <v>2166</v>
      </c>
      <c r="N155" t="s">
        <v>1723</v>
      </c>
    </row>
    <row r="156" spans="1:14" x14ac:dyDescent="0.25">
      <c r="A156" t="s">
        <v>469</v>
      </c>
      <c r="B156" t="s">
        <v>1260</v>
      </c>
      <c r="C156" t="s">
        <v>1605</v>
      </c>
      <c r="D156" t="s">
        <v>2010</v>
      </c>
      <c r="F156" t="s">
        <v>2167</v>
      </c>
      <c r="N156" t="s">
        <v>2599</v>
      </c>
    </row>
    <row r="157" spans="1:14" x14ac:dyDescent="0.25">
      <c r="A157" t="s">
        <v>470</v>
      </c>
      <c r="B157" t="s">
        <v>1261</v>
      </c>
      <c r="C157" t="s">
        <v>1606</v>
      </c>
      <c r="D157" t="s">
        <v>2011</v>
      </c>
      <c r="F157" t="s">
        <v>2168</v>
      </c>
      <c r="N157" t="s">
        <v>2600</v>
      </c>
    </row>
    <row r="158" spans="1:14" x14ac:dyDescent="0.25">
      <c r="A158" t="s">
        <v>471</v>
      </c>
      <c r="B158" t="s">
        <v>1262</v>
      </c>
      <c r="C158" t="s">
        <v>1607</v>
      </c>
      <c r="F158" t="s">
        <v>2169</v>
      </c>
      <c r="N158" t="s">
        <v>2601</v>
      </c>
    </row>
    <row r="159" spans="1:14" x14ac:dyDescent="0.25">
      <c r="A159" t="s">
        <v>472</v>
      </c>
      <c r="B159" t="s">
        <v>1263</v>
      </c>
      <c r="C159" t="s">
        <v>1608</v>
      </c>
      <c r="F159" t="s">
        <v>1537</v>
      </c>
      <c r="N159" t="s">
        <v>2602</v>
      </c>
    </row>
    <row r="160" spans="1:14" x14ac:dyDescent="0.25">
      <c r="A160" t="s">
        <v>473</v>
      </c>
      <c r="B160" t="s">
        <v>1264</v>
      </c>
      <c r="C160" t="s">
        <v>1609</v>
      </c>
      <c r="F160" t="s">
        <v>1539</v>
      </c>
      <c r="N160" t="s">
        <v>2603</v>
      </c>
    </row>
    <row r="161" spans="1:14" x14ac:dyDescent="0.25">
      <c r="A161" t="s">
        <v>474</v>
      </c>
      <c r="B161" t="s">
        <v>1265</v>
      </c>
      <c r="C161" t="s">
        <v>1610</v>
      </c>
      <c r="F161" t="s">
        <v>1541</v>
      </c>
      <c r="N161" t="s">
        <v>2604</v>
      </c>
    </row>
    <row r="162" spans="1:14" x14ac:dyDescent="0.25">
      <c r="A162" t="s">
        <v>475</v>
      </c>
      <c r="B162" t="s">
        <v>1266</v>
      </c>
      <c r="C162" t="s">
        <v>1611</v>
      </c>
      <c r="F162" t="s">
        <v>1542</v>
      </c>
      <c r="N162" t="s">
        <v>2605</v>
      </c>
    </row>
    <row r="163" spans="1:14" x14ac:dyDescent="0.25">
      <c r="A163" t="s">
        <v>476</v>
      </c>
      <c r="B163" t="s">
        <v>1267</v>
      </c>
      <c r="C163" t="s">
        <v>1612</v>
      </c>
      <c r="F163" t="s">
        <v>1545</v>
      </c>
      <c r="N163" t="s">
        <v>2606</v>
      </c>
    </row>
    <row r="164" spans="1:14" x14ac:dyDescent="0.25">
      <c r="A164" t="s">
        <v>477</v>
      </c>
      <c r="B164" t="s">
        <v>1268</v>
      </c>
      <c r="C164" t="s">
        <v>1613</v>
      </c>
      <c r="F164" t="s">
        <v>1547</v>
      </c>
      <c r="N164" t="s">
        <v>2607</v>
      </c>
    </row>
    <row r="165" spans="1:14" x14ac:dyDescent="0.25">
      <c r="A165" t="s">
        <v>478</v>
      </c>
      <c r="B165" t="s">
        <v>1269</v>
      </c>
      <c r="C165" t="s">
        <v>1614</v>
      </c>
      <c r="F165" t="s">
        <v>1549</v>
      </c>
      <c r="N165" t="s">
        <v>2608</v>
      </c>
    </row>
    <row r="166" spans="1:14" x14ac:dyDescent="0.25">
      <c r="A166" t="s">
        <v>479</v>
      </c>
      <c r="B166" t="s">
        <v>1270</v>
      </c>
      <c r="C166" t="s">
        <v>8</v>
      </c>
      <c r="F166" t="s">
        <v>1551</v>
      </c>
      <c r="N166" t="s">
        <v>2609</v>
      </c>
    </row>
    <row r="167" spans="1:14" x14ac:dyDescent="0.25">
      <c r="A167" t="s">
        <v>480</v>
      </c>
      <c r="B167" t="s">
        <v>1271</v>
      </c>
      <c r="C167" t="s">
        <v>1615</v>
      </c>
      <c r="F167" t="s">
        <v>1554</v>
      </c>
      <c r="N167" t="s">
        <v>2610</v>
      </c>
    </row>
    <row r="168" spans="1:14" x14ac:dyDescent="0.25">
      <c r="A168" t="s">
        <v>481</v>
      </c>
      <c r="B168" t="s">
        <v>1272</v>
      </c>
      <c r="C168" t="s">
        <v>1616</v>
      </c>
      <c r="F168" t="s">
        <v>1556</v>
      </c>
      <c r="N168" t="s">
        <v>2611</v>
      </c>
    </row>
    <row r="169" spans="1:14" x14ac:dyDescent="0.25">
      <c r="A169" t="s">
        <v>482</v>
      </c>
      <c r="B169" t="s">
        <v>1273</v>
      </c>
      <c r="C169" t="s">
        <v>1617</v>
      </c>
      <c r="F169" t="s">
        <v>1558</v>
      </c>
      <c r="N169" t="s">
        <v>2612</v>
      </c>
    </row>
    <row r="170" spans="1:14" x14ac:dyDescent="0.25">
      <c r="A170" t="s">
        <v>483</v>
      </c>
      <c r="B170" t="s">
        <v>1274</v>
      </c>
      <c r="C170" t="s">
        <v>1618</v>
      </c>
      <c r="F170" t="s">
        <v>1560</v>
      </c>
      <c r="N170" t="s">
        <v>1806</v>
      </c>
    </row>
    <row r="171" spans="1:14" x14ac:dyDescent="0.25">
      <c r="A171" t="s">
        <v>484</v>
      </c>
      <c r="B171" t="s">
        <v>1275</v>
      </c>
      <c r="C171" t="s">
        <v>1619</v>
      </c>
      <c r="F171" t="s">
        <v>2170</v>
      </c>
      <c r="N171" t="s">
        <v>2613</v>
      </c>
    </row>
    <row r="172" spans="1:14" x14ac:dyDescent="0.25">
      <c r="A172" t="s">
        <v>485</v>
      </c>
      <c r="B172" t="s">
        <v>1276</v>
      </c>
      <c r="C172" t="s">
        <v>1620</v>
      </c>
      <c r="F172" t="s">
        <v>2171</v>
      </c>
      <c r="N172" t="s">
        <v>2614</v>
      </c>
    </row>
    <row r="173" spans="1:14" x14ac:dyDescent="0.25">
      <c r="A173" t="s">
        <v>486</v>
      </c>
      <c r="B173" t="s">
        <v>1277</v>
      </c>
      <c r="C173" t="s">
        <v>1621</v>
      </c>
      <c r="F173" t="s">
        <v>2172</v>
      </c>
      <c r="N173" t="s">
        <v>2615</v>
      </c>
    </row>
    <row r="174" spans="1:14" x14ac:dyDescent="0.25">
      <c r="A174" t="s">
        <v>487</v>
      </c>
      <c r="B174" t="s">
        <v>1278</v>
      </c>
      <c r="C174" t="s">
        <v>1622</v>
      </c>
      <c r="F174" t="s">
        <v>2173</v>
      </c>
      <c r="N174" t="s">
        <v>2616</v>
      </c>
    </row>
    <row r="175" spans="1:14" x14ac:dyDescent="0.25">
      <c r="A175" t="s">
        <v>488</v>
      </c>
      <c r="B175" t="s">
        <v>1279</v>
      </c>
      <c r="C175" t="s">
        <v>1623</v>
      </c>
      <c r="F175" t="s">
        <v>2174</v>
      </c>
    </row>
    <row r="176" spans="1:14" x14ac:dyDescent="0.25">
      <c r="A176" t="s">
        <v>489</v>
      </c>
      <c r="B176" t="s">
        <v>884</v>
      </c>
      <c r="C176" t="s">
        <v>1624</v>
      </c>
      <c r="F176" t="s">
        <v>2175</v>
      </c>
    </row>
    <row r="177" spans="1:6" x14ac:dyDescent="0.25">
      <c r="A177" t="s">
        <v>490</v>
      </c>
      <c r="B177" t="s">
        <v>885</v>
      </c>
      <c r="C177" t="s">
        <v>1625</v>
      </c>
      <c r="F177" t="s">
        <v>2176</v>
      </c>
    </row>
    <row r="178" spans="1:6" x14ac:dyDescent="0.25">
      <c r="A178" t="s">
        <v>491</v>
      </c>
      <c r="B178" t="s">
        <v>886</v>
      </c>
      <c r="C178" t="s">
        <v>1626</v>
      </c>
      <c r="F178" t="s">
        <v>2177</v>
      </c>
    </row>
    <row r="179" spans="1:6" x14ac:dyDescent="0.25">
      <c r="A179" t="s">
        <v>492</v>
      </c>
      <c r="B179" t="s">
        <v>1280</v>
      </c>
      <c r="C179" t="s">
        <v>1627</v>
      </c>
      <c r="F179" t="s">
        <v>2178</v>
      </c>
    </row>
    <row r="180" spans="1:6" x14ac:dyDescent="0.25">
      <c r="A180" t="s">
        <v>493</v>
      </c>
      <c r="B180" t="s">
        <v>888</v>
      </c>
      <c r="C180" t="s">
        <v>1628</v>
      </c>
      <c r="F180" t="s">
        <v>2179</v>
      </c>
    </row>
    <row r="181" spans="1:6" x14ac:dyDescent="0.25">
      <c r="A181" t="s">
        <v>494</v>
      </c>
      <c r="B181" t="s">
        <v>1281</v>
      </c>
      <c r="C181" t="s">
        <v>1629</v>
      </c>
      <c r="F181" t="s">
        <v>2180</v>
      </c>
    </row>
    <row r="182" spans="1:6" x14ac:dyDescent="0.25">
      <c r="A182" t="s">
        <v>495</v>
      </c>
      <c r="B182" t="s">
        <v>890</v>
      </c>
      <c r="C182" t="s">
        <v>1630</v>
      </c>
      <c r="F182" t="s">
        <v>2181</v>
      </c>
    </row>
    <row r="183" spans="1:6" x14ac:dyDescent="0.25">
      <c r="A183" t="s">
        <v>496</v>
      </c>
      <c r="B183" t="s">
        <v>1282</v>
      </c>
      <c r="C183" t="s">
        <v>1631</v>
      </c>
      <c r="F183" t="s">
        <v>2182</v>
      </c>
    </row>
    <row r="184" spans="1:6" x14ac:dyDescent="0.25">
      <c r="A184" t="s">
        <v>497</v>
      </c>
      <c r="B184" t="s">
        <v>1283</v>
      </c>
      <c r="C184" t="s">
        <v>1632</v>
      </c>
      <c r="F184" t="s">
        <v>2183</v>
      </c>
    </row>
    <row r="185" spans="1:6" x14ac:dyDescent="0.25">
      <c r="A185" t="s">
        <v>498</v>
      </c>
      <c r="B185" t="s">
        <v>1284</v>
      </c>
      <c r="C185" t="s">
        <v>1633</v>
      </c>
      <c r="F185" t="s">
        <v>2184</v>
      </c>
    </row>
    <row r="186" spans="1:6" x14ac:dyDescent="0.25">
      <c r="A186" t="s">
        <v>499</v>
      </c>
      <c r="B186" t="s">
        <v>1285</v>
      </c>
      <c r="C186" t="s">
        <v>1634</v>
      </c>
      <c r="F186" t="s">
        <v>2185</v>
      </c>
    </row>
    <row r="187" spans="1:6" x14ac:dyDescent="0.25">
      <c r="A187" t="s">
        <v>500</v>
      </c>
      <c r="B187" t="s">
        <v>1286</v>
      </c>
      <c r="C187" t="s">
        <v>1635</v>
      </c>
      <c r="F187" t="s">
        <v>1574</v>
      </c>
    </row>
    <row r="188" spans="1:6" x14ac:dyDescent="0.25">
      <c r="A188" t="s">
        <v>501</v>
      </c>
      <c r="B188" t="s">
        <v>1287</v>
      </c>
      <c r="C188" t="s">
        <v>1636</v>
      </c>
      <c r="F188" t="s">
        <v>1576</v>
      </c>
    </row>
    <row r="189" spans="1:6" x14ac:dyDescent="0.25">
      <c r="A189" t="s">
        <v>502</v>
      </c>
      <c r="B189" t="s">
        <v>1288</v>
      </c>
      <c r="C189" t="s">
        <v>1637</v>
      </c>
      <c r="F189" t="s">
        <v>1578</v>
      </c>
    </row>
    <row r="190" spans="1:6" x14ac:dyDescent="0.25">
      <c r="A190" t="s">
        <v>503</v>
      </c>
      <c r="B190" t="s">
        <v>1289</v>
      </c>
      <c r="C190" t="s">
        <v>1638</v>
      </c>
      <c r="F190" t="s">
        <v>2186</v>
      </c>
    </row>
    <row r="191" spans="1:6" x14ac:dyDescent="0.25">
      <c r="A191" t="s">
        <v>504</v>
      </c>
      <c r="B191" t="s">
        <v>1290</v>
      </c>
      <c r="C191" t="s">
        <v>1639</v>
      </c>
      <c r="F191" t="s">
        <v>1583</v>
      </c>
    </row>
    <row r="192" spans="1:6" x14ac:dyDescent="0.25">
      <c r="A192" t="s">
        <v>505</v>
      </c>
      <c r="B192" t="s">
        <v>1291</v>
      </c>
      <c r="C192" t="s">
        <v>1640</v>
      </c>
      <c r="F192" t="s">
        <v>1585</v>
      </c>
    </row>
    <row r="193" spans="1:6" x14ac:dyDescent="0.25">
      <c r="A193" t="s">
        <v>506</v>
      </c>
      <c r="B193" t="s">
        <v>1292</v>
      </c>
      <c r="C193" t="s">
        <v>1641</v>
      </c>
      <c r="F193" t="s">
        <v>1587</v>
      </c>
    </row>
    <row r="194" spans="1:6" x14ac:dyDescent="0.25">
      <c r="A194" t="s">
        <v>507</v>
      </c>
      <c r="B194" t="s">
        <v>1293</v>
      </c>
      <c r="C194" t="s">
        <v>1642</v>
      </c>
      <c r="F194" t="s">
        <v>2187</v>
      </c>
    </row>
    <row r="195" spans="1:6" x14ac:dyDescent="0.25">
      <c r="A195" t="s">
        <v>508</v>
      </c>
      <c r="B195" t="s">
        <v>1294</v>
      </c>
      <c r="C195" t="s">
        <v>1643</v>
      </c>
      <c r="F195" t="s">
        <v>1592</v>
      </c>
    </row>
    <row r="196" spans="1:6" x14ac:dyDescent="0.25">
      <c r="A196" t="s">
        <v>509</v>
      </c>
      <c r="B196" t="s">
        <v>1295</v>
      </c>
      <c r="C196" t="s">
        <v>1644</v>
      </c>
      <c r="F196" t="s">
        <v>1594</v>
      </c>
    </row>
    <row r="197" spans="1:6" x14ac:dyDescent="0.25">
      <c r="A197" t="s">
        <v>510</v>
      </c>
      <c r="B197" t="s">
        <v>1296</v>
      </c>
      <c r="C197" t="s">
        <v>1645</v>
      </c>
      <c r="F197" t="s">
        <v>1596</v>
      </c>
    </row>
    <row r="198" spans="1:6" x14ac:dyDescent="0.25">
      <c r="A198" t="s">
        <v>511</v>
      </c>
      <c r="B198" t="s">
        <v>1297</v>
      </c>
      <c r="C198" t="s">
        <v>1646</v>
      </c>
      <c r="F198" t="s">
        <v>2188</v>
      </c>
    </row>
    <row r="199" spans="1:6" x14ac:dyDescent="0.25">
      <c r="A199" t="s">
        <v>512</v>
      </c>
      <c r="B199" t="s">
        <v>1298</v>
      </c>
      <c r="C199" t="s">
        <v>1647</v>
      </c>
      <c r="F199" t="s">
        <v>1601</v>
      </c>
    </row>
    <row r="200" spans="1:6" x14ac:dyDescent="0.25">
      <c r="A200" t="s">
        <v>513</v>
      </c>
      <c r="B200" t="s">
        <v>1299</v>
      </c>
      <c r="C200" t="s">
        <v>9</v>
      </c>
      <c r="F200" t="s">
        <v>1603</v>
      </c>
    </row>
    <row r="201" spans="1:6" x14ac:dyDescent="0.25">
      <c r="A201" t="s">
        <v>514</v>
      </c>
      <c r="B201" t="s">
        <v>1300</v>
      </c>
      <c r="C201" t="s">
        <v>1648</v>
      </c>
      <c r="F201" t="s">
        <v>1605</v>
      </c>
    </row>
    <row r="202" spans="1:6" x14ac:dyDescent="0.25">
      <c r="A202" t="s">
        <v>515</v>
      </c>
      <c r="B202" t="s">
        <v>1301</v>
      </c>
      <c r="C202" t="s">
        <v>1649</v>
      </c>
      <c r="F202" t="s">
        <v>2189</v>
      </c>
    </row>
    <row r="203" spans="1:6" x14ac:dyDescent="0.25">
      <c r="A203" t="s">
        <v>516</v>
      </c>
      <c r="B203" t="s">
        <v>1302</v>
      </c>
      <c r="C203" t="s">
        <v>1650</v>
      </c>
      <c r="F203" t="s">
        <v>2190</v>
      </c>
    </row>
    <row r="204" spans="1:6" x14ac:dyDescent="0.25">
      <c r="A204" t="s">
        <v>517</v>
      </c>
      <c r="B204" t="s">
        <v>1303</v>
      </c>
      <c r="C204" t="s">
        <v>1651</v>
      </c>
      <c r="F204" t="s">
        <v>2191</v>
      </c>
    </row>
    <row r="205" spans="1:6" x14ac:dyDescent="0.25">
      <c r="A205" t="s">
        <v>518</v>
      </c>
      <c r="B205" t="s">
        <v>1304</v>
      </c>
      <c r="C205" t="s">
        <v>1652</v>
      </c>
      <c r="F205" t="s">
        <v>2192</v>
      </c>
    </row>
    <row r="206" spans="1:6" x14ac:dyDescent="0.25">
      <c r="A206" t="s">
        <v>519</v>
      </c>
      <c r="B206" t="s">
        <v>1305</v>
      </c>
      <c r="C206" t="s">
        <v>1653</v>
      </c>
      <c r="F206" t="s">
        <v>2193</v>
      </c>
    </row>
    <row r="207" spans="1:6" x14ac:dyDescent="0.25">
      <c r="A207" t="s">
        <v>520</v>
      </c>
      <c r="B207" t="s">
        <v>1306</v>
      </c>
      <c r="C207" t="s">
        <v>1654</v>
      </c>
      <c r="F207" t="s">
        <v>1616</v>
      </c>
    </row>
    <row r="208" spans="1:6" x14ac:dyDescent="0.25">
      <c r="A208" t="s">
        <v>521</v>
      </c>
      <c r="B208" t="s">
        <v>1307</v>
      </c>
      <c r="C208" t="s">
        <v>1655</v>
      </c>
      <c r="F208" t="s">
        <v>1618</v>
      </c>
    </row>
    <row r="209" spans="1:6" x14ac:dyDescent="0.25">
      <c r="A209" t="s">
        <v>522</v>
      </c>
      <c r="B209" t="s">
        <v>1308</v>
      </c>
      <c r="C209" t="s">
        <v>1656</v>
      </c>
      <c r="F209" t="s">
        <v>1620</v>
      </c>
    </row>
    <row r="210" spans="1:6" x14ac:dyDescent="0.25">
      <c r="A210" t="s">
        <v>523</v>
      </c>
      <c r="B210" t="s">
        <v>1309</v>
      </c>
      <c r="C210" t="s">
        <v>1657</v>
      </c>
      <c r="F210" t="s">
        <v>2194</v>
      </c>
    </row>
    <row r="211" spans="1:6" x14ac:dyDescent="0.25">
      <c r="A211" t="s">
        <v>524</v>
      </c>
      <c r="B211" t="s">
        <v>1310</v>
      </c>
      <c r="C211" t="s">
        <v>1658</v>
      </c>
      <c r="F211" t="s">
        <v>2195</v>
      </c>
    </row>
    <row r="212" spans="1:6" x14ac:dyDescent="0.25">
      <c r="A212" t="s">
        <v>525</v>
      </c>
      <c r="B212" t="s">
        <v>1311</v>
      </c>
      <c r="C212" t="s">
        <v>1659</v>
      </c>
      <c r="F212" t="s">
        <v>2196</v>
      </c>
    </row>
    <row r="213" spans="1:6" x14ac:dyDescent="0.25">
      <c r="A213" t="s">
        <v>526</v>
      </c>
      <c r="B213" t="s">
        <v>1312</v>
      </c>
      <c r="C213" t="s">
        <v>1660</v>
      </c>
      <c r="F213" t="s">
        <v>2197</v>
      </c>
    </row>
    <row r="214" spans="1:6" x14ac:dyDescent="0.25">
      <c r="A214" t="s">
        <v>527</v>
      </c>
      <c r="B214" t="s">
        <v>1313</v>
      </c>
      <c r="C214" t="s">
        <v>1661</v>
      </c>
      <c r="F214" t="s">
        <v>2198</v>
      </c>
    </row>
    <row r="215" spans="1:6" x14ac:dyDescent="0.25">
      <c r="A215" t="s">
        <v>528</v>
      </c>
      <c r="B215" t="s">
        <v>1314</v>
      </c>
      <c r="C215" t="s">
        <v>1662</v>
      </c>
      <c r="F215" t="s">
        <v>2199</v>
      </c>
    </row>
    <row r="216" spans="1:6" x14ac:dyDescent="0.25">
      <c r="A216" t="s">
        <v>529</v>
      </c>
      <c r="B216" t="s">
        <v>1315</v>
      </c>
      <c r="C216" t="s">
        <v>1663</v>
      </c>
      <c r="F216" t="s">
        <v>1625</v>
      </c>
    </row>
    <row r="217" spans="1:6" x14ac:dyDescent="0.25">
      <c r="A217" t="s">
        <v>530</v>
      </c>
      <c r="B217" t="s">
        <v>1316</v>
      </c>
      <c r="C217" t="s">
        <v>1664</v>
      </c>
      <c r="F217" t="s">
        <v>1627</v>
      </c>
    </row>
    <row r="218" spans="1:6" x14ac:dyDescent="0.25">
      <c r="A218" t="s">
        <v>531</v>
      </c>
      <c r="B218" t="s">
        <v>1317</v>
      </c>
      <c r="C218" t="s">
        <v>1665</v>
      </c>
      <c r="F218" t="s">
        <v>2200</v>
      </c>
    </row>
    <row r="219" spans="1:6" x14ac:dyDescent="0.25">
      <c r="A219" t="s">
        <v>532</v>
      </c>
      <c r="B219" t="s">
        <v>1318</v>
      </c>
      <c r="C219" t="s">
        <v>1666</v>
      </c>
      <c r="F219" t="s">
        <v>2201</v>
      </c>
    </row>
    <row r="220" spans="1:6" x14ac:dyDescent="0.25">
      <c r="A220" t="s">
        <v>533</v>
      </c>
      <c r="B220" t="s">
        <v>1319</v>
      </c>
      <c r="C220" t="s">
        <v>1667</v>
      </c>
      <c r="F220" t="s">
        <v>2202</v>
      </c>
    </row>
    <row r="221" spans="1:6" x14ac:dyDescent="0.25">
      <c r="A221" t="s">
        <v>534</v>
      </c>
      <c r="B221" t="s">
        <v>1320</v>
      </c>
      <c r="C221" t="s">
        <v>1668</v>
      </c>
      <c r="F221" t="s">
        <v>1683</v>
      </c>
    </row>
    <row r="222" spans="1:6" x14ac:dyDescent="0.25">
      <c r="A222" t="s">
        <v>535</v>
      </c>
      <c r="B222" t="s">
        <v>1321</v>
      </c>
      <c r="C222" t="s">
        <v>1669</v>
      </c>
      <c r="F222" t="s">
        <v>1685</v>
      </c>
    </row>
    <row r="223" spans="1:6" x14ac:dyDescent="0.25">
      <c r="A223" t="s">
        <v>536</v>
      </c>
      <c r="B223" t="s">
        <v>1322</v>
      </c>
      <c r="C223" t="s">
        <v>1670</v>
      </c>
      <c r="F223" t="s">
        <v>2203</v>
      </c>
    </row>
    <row r="224" spans="1:6" x14ac:dyDescent="0.25">
      <c r="A224" t="s">
        <v>537</v>
      </c>
      <c r="B224" t="s">
        <v>1323</v>
      </c>
      <c r="C224" t="s">
        <v>1671</v>
      </c>
      <c r="F224" t="s">
        <v>2204</v>
      </c>
    </row>
    <row r="225" spans="1:6" x14ac:dyDescent="0.25">
      <c r="A225" t="s">
        <v>538</v>
      </c>
      <c r="B225" t="s">
        <v>1324</v>
      </c>
      <c r="C225" t="s">
        <v>1672</v>
      </c>
      <c r="F225" t="s">
        <v>2205</v>
      </c>
    </row>
    <row r="226" spans="1:6" x14ac:dyDescent="0.25">
      <c r="A226" t="s">
        <v>539</v>
      </c>
      <c r="B226" t="s">
        <v>1325</v>
      </c>
      <c r="C226" t="s">
        <v>1673</v>
      </c>
      <c r="F226" t="s">
        <v>1693</v>
      </c>
    </row>
    <row r="227" spans="1:6" x14ac:dyDescent="0.25">
      <c r="A227" t="s">
        <v>540</v>
      </c>
      <c r="B227" t="s">
        <v>1326</v>
      </c>
      <c r="C227" t="s">
        <v>1674</v>
      </c>
      <c r="F227" t="s">
        <v>2206</v>
      </c>
    </row>
    <row r="228" spans="1:6" x14ac:dyDescent="0.25">
      <c r="A228" t="s">
        <v>541</v>
      </c>
      <c r="B228" t="s">
        <v>1327</v>
      </c>
      <c r="C228" t="s">
        <v>1675</v>
      </c>
      <c r="F228" t="s">
        <v>2207</v>
      </c>
    </row>
    <row r="229" spans="1:6" x14ac:dyDescent="0.25">
      <c r="A229" t="s">
        <v>542</v>
      </c>
      <c r="B229" t="s">
        <v>1328</v>
      </c>
      <c r="C229" t="s">
        <v>1676</v>
      </c>
      <c r="F229" t="s">
        <v>2208</v>
      </c>
    </row>
    <row r="230" spans="1:6" x14ac:dyDescent="0.25">
      <c r="A230" t="s">
        <v>543</v>
      </c>
      <c r="B230" t="s">
        <v>1329</v>
      </c>
      <c r="C230" t="s">
        <v>1677</v>
      </c>
      <c r="F230" t="s">
        <v>2209</v>
      </c>
    </row>
    <row r="231" spans="1:6" x14ac:dyDescent="0.25">
      <c r="A231" t="s">
        <v>544</v>
      </c>
      <c r="B231" t="s">
        <v>1330</v>
      </c>
      <c r="C231" t="s">
        <v>1678</v>
      </c>
      <c r="F231" t="s">
        <v>2210</v>
      </c>
    </row>
    <row r="232" spans="1:6" x14ac:dyDescent="0.25">
      <c r="A232" t="s">
        <v>545</v>
      </c>
      <c r="B232" t="s">
        <v>1331</v>
      </c>
      <c r="C232" t="s">
        <v>1679</v>
      </c>
      <c r="F232" t="s">
        <v>2211</v>
      </c>
    </row>
    <row r="233" spans="1:6" x14ac:dyDescent="0.25">
      <c r="A233" t="s">
        <v>546</v>
      </c>
      <c r="B233" t="s">
        <v>1332</v>
      </c>
      <c r="C233" t="s">
        <v>1680</v>
      </c>
      <c r="F233" t="s">
        <v>2212</v>
      </c>
    </row>
    <row r="234" spans="1:6" x14ac:dyDescent="0.25">
      <c r="A234" t="s">
        <v>547</v>
      </c>
      <c r="B234" t="s">
        <v>1333</v>
      </c>
      <c r="C234" t="s">
        <v>1681</v>
      </c>
    </row>
    <row r="235" spans="1:6" x14ac:dyDescent="0.25">
      <c r="A235" t="s">
        <v>548</v>
      </c>
      <c r="B235" t="s">
        <v>1334</v>
      </c>
      <c r="C235" t="s">
        <v>1682</v>
      </c>
    </row>
    <row r="236" spans="1:6" x14ac:dyDescent="0.25">
      <c r="A236" t="s">
        <v>549</v>
      </c>
      <c r="B236" t="s">
        <v>914</v>
      </c>
      <c r="C236" t="s">
        <v>1683</v>
      </c>
    </row>
    <row r="237" spans="1:6" x14ac:dyDescent="0.25">
      <c r="A237" t="s">
        <v>550</v>
      </c>
      <c r="B237" t="s">
        <v>1335</v>
      </c>
      <c r="C237" t="s">
        <v>1684</v>
      </c>
    </row>
    <row r="238" spans="1:6" x14ac:dyDescent="0.25">
      <c r="A238" t="s">
        <v>551</v>
      </c>
      <c r="B238" t="s">
        <v>916</v>
      </c>
      <c r="C238" t="s">
        <v>1685</v>
      </c>
    </row>
    <row r="239" spans="1:6" x14ac:dyDescent="0.25">
      <c r="A239" t="s">
        <v>552</v>
      </c>
      <c r="B239" t="s">
        <v>1336</v>
      </c>
      <c r="C239" t="s">
        <v>1686</v>
      </c>
    </row>
    <row r="240" spans="1:6" x14ac:dyDescent="0.25">
      <c r="A240" t="s">
        <v>553</v>
      </c>
      <c r="B240" t="s">
        <v>1337</v>
      </c>
      <c r="C240" t="s">
        <v>1687</v>
      </c>
    </row>
    <row r="241" spans="1:3" x14ac:dyDescent="0.25">
      <c r="A241" t="s">
        <v>554</v>
      </c>
      <c r="B241" t="s">
        <v>1338</v>
      </c>
      <c r="C241" t="s">
        <v>1688</v>
      </c>
    </row>
    <row r="242" spans="1:3" x14ac:dyDescent="0.25">
      <c r="A242" t="s">
        <v>555</v>
      </c>
      <c r="B242" t="s">
        <v>1339</v>
      </c>
      <c r="C242" t="s">
        <v>1689</v>
      </c>
    </row>
    <row r="243" spans="1:3" x14ac:dyDescent="0.25">
      <c r="A243" t="s">
        <v>556</v>
      </c>
      <c r="B243" t="s">
        <v>1340</v>
      </c>
      <c r="C243" t="s">
        <v>10</v>
      </c>
    </row>
    <row r="244" spans="1:3" x14ac:dyDescent="0.25">
      <c r="A244" t="s">
        <v>557</v>
      </c>
      <c r="B244" t="s">
        <v>1341</v>
      </c>
      <c r="C244" t="s">
        <v>1690</v>
      </c>
    </row>
    <row r="245" spans="1:3" x14ac:dyDescent="0.25">
      <c r="A245" t="s">
        <v>558</v>
      </c>
      <c r="B245" t="s">
        <v>1342</v>
      </c>
      <c r="C245" t="s">
        <v>1691</v>
      </c>
    </row>
    <row r="246" spans="1:3" x14ac:dyDescent="0.25">
      <c r="A246" t="s">
        <v>559</v>
      </c>
      <c r="B246" t="s">
        <v>1343</v>
      </c>
      <c r="C246" t="s">
        <v>1692</v>
      </c>
    </row>
    <row r="247" spans="1:3" x14ac:dyDescent="0.25">
      <c r="A247" t="s">
        <v>560</v>
      </c>
      <c r="B247" t="s">
        <v>1344</v>
      </c>
      <c r="C247" t="s">
        <v>1693</v>
      </c>
    </row>
    <row r="248" spans="1:3" x14ac:dyDescent="0.25">
      <c r="A248" t="s">
        <v>561</v>
      </c>
      <c r="B248" t="s">
        <v>1345</v>
      </c>
      <c r="C248" t="s">
        <v>1694</v>
      </c>
    </row>
    <row r="249" spans="1:3" x14ac:dyDescent="0.25">
      <c r="A249" t="s">
        <v>562</v>
      </c>
      <c r="B249" t="s">
        <v>1346</v>
      </c>
      <c r="C249" t="s">
        <v>1695</v>
      </c>
    </row>
    <row r="250" spans="1:3" x14ac:dyDescent="0.25">
      <c r="A250" t="s">
        <v>563</v>
      </c>
      <c r="B250" t="s">
        <v>1347</v>
      </c>
      <c r="C250" t="s">
        <v>1696</v>
      </c>
    </row>
    <row r="251" spans="1:3" x14ac:dyDescent="0.25">
      <c r="A251" t="s">
        <v>564</v>
      </c>
      <c r="B251" t="s">
        <v>1348</v>
      </c>
      <c r="C251" t="s">
        <v>1697</v>
      </c>
    </row>
    <row r="252" spans="1:3" x14ac:dyDescent="0.25">
      <c r="A252" t="s">
        <v>565</v>
      </c>
      <c r="B252" t="s">
        <v>1349</v>
      </c>
      <c r="C252" t="s">
        <v>1698</v>
      </c>
    </row>
    <row r="253" spans="1:3" x14ac:dyDescent="0.25">
      <c r="A253" t="s">
        <v>566</v>
      </c>
      <c r="B253" t="s">
        <v>1350</v>
      </c>
      <c r="C253" t="s">
        <v>1699</v>
      </c>
    </row>
    <row r="254" spans="1:3" x14ac:dyDescent="0.25">
      <c r="A254" t="s">
        <v>567</v>
      </c>
      <c r="B254" t="s">
        <v>1351</v>
      </c>
      <c r="C254" t="s">
        <v>1700</v>
      </c>
    </row>
    <row r="255" spans="1:3" x14ac:dyDescent="0.25">
      <c r="A255" t="s">
        <v>568</v>
      </c>
      <c r="B255" t="s">
        <v>1352</v>
      </c>
      <c r="C255" t="s">
        <v>1701</v>
      </c>
    </row>
    <row r="256" spans="1:3" x14ac:dyDescent="0.25">
      <c r="A256" t="s">
        <v>569</v>
      </c>
      <c r="B256" t="s">
        <v>1353</v>
      </c>
      <c r="C256" t="s">
        <v>1702</v>
      </c>
    </row>
    <row r="257" spans="1:3" x14ac:dyDescent="0.25">
      <c r="A257" t="s">
        <v>570</v>
      </c>
      <c r="B257" t="s">
        <v>1354</v>
      </c>
      <c r="C257" t="s">
        <v>1703</v>
      </c>
    </row>
    <row r="258" spans="1:3" x14ac:dyDescent="0.25">
      <c r="A258" t="s">
        <v>571</v>
      </c>
      <c r="B258" t="s">
        <v>1355</v>
      </c>
      <c r="C258" t="s">
        <v>1704</v>
      </c>
    </row>
    <row r="259" spans="1:3" x14ac:dyDescent="0.25">
      <c r="A259" t="s">
        <v>572</v>
      </c>
      <c r="B259" t="s">
        <v>1356</v>
      </c>
      <c r="C259" t="s">
        <v>1705</v>
      </c>
    </row>
    <row r="260" spans="1:3" x14ac:dyDescent="0.25">
      <c r="A260" t="s">
        <v>573</v>
      </c>
      <c r="B260" t="s">
        <v>1357</v>
      </c>
      <c r="C260" t="s">
        <v>1706</v>
      </c>
    </row>
    <row r="261" spans="1:3" x14ac:dyDescent="0.25">
      <c r="A261" t="s">
        <v>574</v>
      </c>
      <c r="B261" t="s">
        <v>1358</v>
      </c>
      <c r="C261" t="s">
        <v>1707</v>
      </c>
    </row>
    <row r="262" spans="1:3" x14ac:dyDescent="0.25">
      <c r="A262" t="s">
        <v>575</v>
      </c>
      <c r="B262" t="s">
        <v>1359</v>
      </c>
      <c r="C262" t="s">
        <v>1708</v>
      </c>
    </row>
    <row r="263" spans="1:3" x14ac:dyDescent="0.25">
      <c r="A263" t="s">
        <v>576</v>
      </c>
      <c r="B263" t="s">
        <v>1360</v>
      </c>
      <c r="C263" t="s">
        <v>1709</v>
      </c>
    </row>
    <row r="264" spans="1:3" x14ac:dyDescent="0.25">
      <c r="A264" t="s">
        <v>577</v>
      </c>
      <c r="B264" t="s">
        <v>1361</v>
      </c>
      <c r="C264" t="s">
        <v>1710</v>
      </c>
    </row>
    <row r="265" spans="1:3" x14ac:dyDescent="0.25">
      <c r="A265" t="s">
        <v>578</v>
      </c>
      <c r="B265" t="s">
        <v>1362</v>
      </c>
      <c r="C265" t="s">
        <v>1711</v>
      </c>
    </row>
    <row r="266" spans="1:3" x14ac:dyDescent="0.25">
      <c r="A266" t="s">
        <v>579</v>
      </c>
      <c r="B266" t="s">
        <v>1363</v>
      </c>
      <c r="C266" t="s">
        <v>1712</v>
      </c>
    </row>
    <row r="267" spans="1:3" x14ac:dyDescent="0.25">
      <c r="A267" t="s">
        <v>580</v>
      </c>
      <c r="B267" t="s">
        <v>1364</v>
      </c>
      <c r="C267" t="s">
        <v>1713</v>
      </c>
    </row>
    <row r="268" spans="1:3" x14ac:dyDescent="0.25">
      <c r="A268" t="s">
        <v>581</v>
      </c>
      <c r="B268" t="s">
        <v>1365</v>
      </c>
      <c r="C268" t="s">
        <v>1714</v>
      </c>
    </row>
    <row r="269" spans="1:3" x14ac:dyDescent="0.25">
      <c r="A269" t="s">
        <v>582</v>
      </c>
      <c r="B269" t="s">
        <v>1366</v>
      </c>
      <c r="C269" t="s">
        <v>1715</v>
      </c>
    </row>
    <row r="270" spans="1:3" x14ac:dyDescent="0.25">
      <c r="A270" t="s">
        <v>583</v>
      </c>
      <c r="B270" t="s">
        <v>1367</v>
      </c>
      <c r="C270" t="s">
        <v>1716</v>
      </c>
    </row>
    <row r="271" spans="1:3" x14ac:dyDescent="0.25">
      <c r="A271" t="s">
        <v>584</v>
      </c>
      <c r="B271" t="s">
        <v>1368</v>
      </c>
      <c r="C271" t="s">
        <v>1717</v>
      </c>
    </row>
    <row r="272" spans="1:3" x14ac:dyDescent="0.25">
      <c r="A272" t="s">
        <v>585</v>
      </c>
      <c r="B272" t="s">
        <v>1369</v>
      </c>
      <c r="C272" t="s">
        <v>1718</v>
      </c>
    </row>
    <row r="273" spans="1:3" x14ac:dyDescent="0.25">
      <c r="A273" t="s">
        <v>586</v>
      </c>
      <c r="B273" t="s">
        <v>1370</v>
      </c>
      <c r="C273" t="s">
        <v>1719</v>
      </c>
    </row>
    <row r="274" spans="1:3" x14ac:dyDescent="0.25">
      <c r="A274" t="s">
        <v>587</v>
      </c>
      <c r="B274" t="s">
        <v>1371</v>
      </c>
      <c r="C274" t="s">
        <v>1720</v>
      </c>
    </row>
    <row r="275" spans="1:3" x14ac:dyDescent="0.25">
      <c r="A275" t="s">
        <v>588</v>
      </c>
      <c r="B275" t="s">
        <v>1372</v>
      </c>
      <c r="C275" t="s">
        <v>1721</v>
      </c>
    </row>
    <row r="276" spans="1:3" x14ac:dyDescent="0.25">
      <c r="A276" t="s">
        <v>589</v>
      </c>
      <c r="B276" t="s">
        <v>1373</v>
      </c>
      <c r="C276" t="s">
        <v>1722</v>
      </c>
    </row>
    <row r="277" spans="1:3" x14ac:dyDescent="0.25">
      <c r="A277" t="s">
        <v>590</v>
      </c>
      <c r="B277" t="s">
        <v>1374</v>
      </c>
      <c r="C277" t="s">
        <v>1723</v>
      </c>
    </row>
    <row r="278" spans="1:3" x14ac:dyDescent="0.25">
      <c r="A278" t="s">
        <v>591</v>
      </c>
      <c r="B278" t="s">
        <v>932</v>
      </c>
      <c r="C278" t="s">
        <v>1724</v>
      </c>
    </row>
    <row r="279" spans="1:3" x14ac:dyDescent="0.25">
      <c r="A279" t="s">
        <v>592</v>
      </c>
      <c r="B279" t="s">
        <v>1375</v>
      </c>
      <c r="C279" t="s">
        <v>1725</v>
      </c>
    </row>
    <row r="280" spans="1:3" x14ac:dyDescent="0.25">
      <c r="A280" t="s">
        <v>593</v>
      </c>
      <c r="B280" t="s">
        <v>934</v>
      </c>
      <c r="C280" t="s">
        <v>1726</v>
      </c>
    </row>
    <row r="281" spans="1:3" x14ac:dyDescent="0.25">
      <c r="A281" t="s">
        <v>594</v>
      </c>
      <c r="B281" t="s">
        <v>1376</v>
      </c>
      <c r="C281" t="s">
        <v>1727</v>
      </c>
    </row>
    <row r="282" spans="1:3" x14ac:dyDescent="0.25">
      <c r="A282" t="s">
        <v>595</v>
      </c>
      <c r="B282" t="s">
        <v>1377</v>
      </c>
      <c r="C282" t="s">
        <v>1728</v>
      </c>
    </row>
    <row r="283" spans="1:3" x14ac:dyDescent="0.25">
      <c r="A283" t="s">
        <v>596</v>
      </c>
      <c r="B283" t="s">
        <v>1378</v>
      </c>
      <c r="C283" t="s">
        <v>1729</v>
      </c>
    </row>
    <row r="284" spans="1:3" x14ac:dyDescent="0.25">
      <c r="A284" t="s">
        <v>597</v>
      </c>
      <c r="B284" t="s">
        <v>1379</v>
      </c>
      <c r="C284" t="s">
        <v>1730</v>
      </c>
    </row>
    <row r="285" spans="1:3" x14ac:dyDescent="0.25">
      <c r="A285" t="s">
        <v>598</v>
      </c>
      <c r="B285" t="s">
        <v>1380</v>
      </c>
      <c r="C285" t="s">
        <v>1731</v>
      </c>
    </row>
    <row r="286" spans="1:3" x14ac:dyDescent="0.25">
      <c r="A286" t="s">
        <v>599</v>
      </c>
      <c r="B286" t="s">
        <v>1381</v>
      </c>
      <c r="C286" t="s">
        <v>1732</v>
      </c>
    </row>
    <row r="287" spans="1:3" x14ac:dyDescent="0.25">
      <c r="A287" t="s">
        <v>600</v>
      </c>
      <c r="B287" t="s">
        <v>1382</v>
      </c>
      <c r="C287" t="s">
        <v>1733</v>
      </c>
    </row>
    <row r="288" spans="1:3" x14ac:dyDescent="0.25">
      <c r="A288" t="s">
        <v>601</v>
      </c>
      <c r="B288" t="s">
        <v>1383</v>
      </c>
      <c r="C288" t="s">
        <v>1734</v>
      </c>
    </row>
    <row r="289" spans="1:3" x14ac:dyDescent="0.25">
      <c r="A289" t="s">
        <v>602</v>
      </c>
      <c r="B289" t="s">
        <v>1384</v>
      </c>
      <c r="C289" t="s">
        <v>1735</v>
      </c>
    </row>
    <row r="290" spans="1:3" x14ac:dyDescent="0.25">
      <c r="A290" t="s">
        <v>603</v>
      </c>
      <c r="B290" t="s">
        <v>1385</v>
      </c>
      <c r="C290" t="s">
        <v>1736</v>
      </c>
    </row>
    <row r="291" spans="1:3" x14ac:dyDescent="0.25">
      <c r="A291" t="s">
        <v>604</v>
      </c>
      <c r="B291" t="s">
        <v>1386</v>
      </c>
      <c r="C291" t="s">
        <v>1737</v>
      </c>
    </row>
    <row r="292" spans="1:3" x14ac:dyDescent="0.25">
      <c r="A292" t="s">
        <v>605</v>
      </c>
      <c r="B292" t="s">
        <v>1387</v>
      </c>
      <c r="C292" t="s">
        <v>1738</v>
      </c>
    </row>
    <row r="293" spans="1:3" x14ac:dyDescent="0.25">
      <c r="A293" t="s">
        <v>606</v>
      </c>
      <c r="B293" t="s">
        <v>1388</v>
      </c>
      <c r="C293" t="s">
        <v>1739</v>
      </c>
    </row>
    <row r="294" spans="1:3" x14ac:dyDescent="0.25">
      <c r="A294" t="s">
        <v>607</v>
      </c>
      <c r="B294" t="s">
        <v>1389</v>
      </c>
      <c r="C294" t="s">
        <v>1740</v>
      </c>
    </row>
    <row r="295" spans="1:3" x14ac:dyDescent="0.25">
      <c r="A295" t="s">
        <v>608</v>
      </c>
      <c r="B295" t="s">
        <v>1390</v>
      </c>
      <c r="C295" t="s">
        <v>1741</v>
      </c>
    </row>
    <row r="296" spans="1:3" x14ac:dyDescent="0.25">
      <c r="A296" t="s">
        <v>609</v>
      </c>
      <c r="B296" t="s">
        <v>1391</v>
      </c>
      <c r="C296" t="s">
        <v>1742</v>
      </c>
    </row>
    <row r="297" spans="1:3" x14ac:dyDescent="0.25">
      <c r="A297" t="s">
        <v>610</v>
      </c>
      <c r="B297" t="s">
        <v>1392</v>
      </c>
      <c r="C297" t="s">
        <v>1743</v>
      </c>
    </row>
    <row r="298" spans="1:3" x14ac:dyDescent="0.25">
      <c r="A298" t="s">
        <v>611</v>
      </c>
      <c r="B298" t="s">
        <v>1393</v>
      </c>
      <c r="C298" t="s">
        <v>1744</v>
      </c>
    </row>
    <row r="299" spans="1:3" x14ac:dyDescent="0.25">
      <c r="A299" t="s">
        <v>612</v>
      </c>
      <c r="B299" t="s">
        <v>1394</v>
      </c>
      <c r="C299" t="s">
        <v>1745</v>
      </c>
    </row>
    <row r="300" spans="1:3" x14ac:dyDescent="0.25">
      <c r="A300" t="s">
        <v>613</v>
      </c>
      <c r="B300" t="s">
        <v>1395</v>
      </c>
      <c r="C300" t="s">
        <v>1746</v>
      </c>
    </row>
    <row r="301" spans="1:3" x14ac:dyDescent="0.25">
      <c r="A301" t="s">
        <v>614</v>
      </c>
      <c r="B301" t="s">
        <v>1396</v>
      </c>
      <c r="C301" t="s">
        <v>1747</v>
      </c>
    </row>
    <row r="302" spans="1:3" x14ac:dyDescent="0.25">
      <c r="A302" t="s">
        <v>615</v>
      </c>
      <c r="B302" t="s">
        <v>1397</v>
      </c>
      <c r="C302" t="s">
        <v>1748</v>
      </c>
    </row>
    <row r="303" spans="1:3" x14ac:dyDescent="0.25">
      <c r="A303" t="s">
        <v>616</v>
      </c>
      <c r="B303" t="s">
        <v>1398</v>
      </c>
      <c r="C303" t="s">
        <v>1749</v>
      </c>
    </row>
    <row r="304" spans="1:3" x14ac:dyDescent="0.25">
      <c r="A304" t="s">
        <v>617</v>
      </c>
      <c r="B304" t="s">
        <v>1399</v>
      </c>
      <c r="C304" t="s">
        <v>1750</v>
      </c>
    </row>
    <row r="305" spans="1:3" x14ac:dyDescent="0.25">
      <c r="A305" t="s">
        <v>618</v>
      </c>
      <c r="B305" t="s">
        <v>1400</v>
      </c>
      <c r="C305" t="s">
        <v>1751</v>
      </c>
    </row>
    <row r="306" spans="1:3" x14ac:dyDescent="0.25">
      <c r="A306" t="s">
        <v>619</v>
      </c>
      <c r="B306" t="s">
        <v>1401</v>
      </c>
      <c r="C306" t="s">
        <v>1752</v>
      </c>
    </row>
    <row r="307" spans="1:3" x14ac:dyDescent="0.25">
      <c r="A307" t="s">
        <v>620</v>
      </c>
      <c r="B307" t="s">
        <v>1402</v>
      </c>
      <c r="C307" t="s">
        <v>1753</v>
      </c>
    </row>
    <row r="308" spans="1:3" x14ac:dyDescent="0.25">
      <c r="A308" t="s">
        <v>621</v>
      </c>
      <c r="B308" t="s">
        <v>1403</v>
      </c>
      <c r="C308" t="s">
        <v>1754</v>
      </c>
    </row>
    <row r="309" spans="1:3" x14ac:dyDescent="0.25">
      <c r="A309" t="s">
        <v>622</v>
      </c>
      <c r="B309" t="s">
        <v>1404</v>
      </c>
      <c r="C309" t="s">
        <v>1755</v>
      </c>
    </row>
    <row r="310" spans="1:3" x14ac:dyDescent="0.25">
      <c r="A310" t="s">
        <v>623</v>
      </c>
      <c r="B310" t="s">
        <v>1405</v>
      </c>
      <c r="C310" t="s">
        <v>1756</v>
      </c>
    </row>
    <row r="311" spans="1:3" x14ac:dyDescent="0.25">
      <c r="A311" t="s">
        <v>624</v>
      </c>
      <c r="B311" t="s">
        <v>1406</v>
      </c>
      <c r="C311" t="s">
        <v>1757</v>
      </c>
    </row>
    <row r="312" spans="1:3" x14ac:dyDescent="0.25">
      <c r="A312" t="s">
        <v>625</v>
      </c>
      <c r="B312" t="s">
        <v>1407</v>
      </c>
      <c r="C312" t="s">
        <v>1758</v>
      </c>
    </row>
    <row r="313" spans="1:3" x14ac:dyDescent="0.25">
      <c r="A313" t="s">
        <v>626</v>
      </c>
      <c r="B313" t="s">
        <v>1408</v>
      </c>
      <c r="C313" t="s">
        <v>1759</v>
      </c>
    </row>
    <row r="314" spans="1:3" x14ac:dyDescent="0.25">
      <c r="A314" t="s">
        <v>627</v>
      </c>
      <c r="B314" t="s">
        <v>1409</v>
      </c>
      <c r="C314" t="s">
        <v>1760</v>
      </c>
    </row>
    <row r="315" spans="1:3" x14ac:dyDescent="0.25">
      <c r="A315" t="s">
        <v>628</v>
      </c>
      <c r="B315" t="s">
        <v>1410</v>
      </c>
      <c r="C315" t="s">
        <v>1761</v>
      </c>
    </row>
    <row r="316" spans="1:3" x14ac:dyDescent="0.25">
      <c r="A316" t="s">
        <v>629</v>
      </c>
      <c r="B316" t="s">
        <v>1411</v>
      </c>
      <c r="C316" t="s">
        <v>1762</v>
      </c>
    </row>
    <row r="317" spans="1:3" x14ac:dyDescent="0.25">
      <c r="A317" t="s">
        <v>630</v>
      </c>
      <c r="B317" t="s">
        <v>1412</v>
      </c>
      <c r="C317" t="s">
        <v>1763</v>
      </c>
    </row>
    <row r="318" spans="1:3" x14ac:dyDescent="0.25">
      <c r="A318" t="s">
        <v>631</v>
      </c>
      <c r="B318" t="s">
        <v>1413</v>
      </c>
      <c r="C318" t="s">
        <v>1764</v>
      </c>
    </row>
    <row r="319" spans="1:3" x14ac:dyDescent="0.25">
      <c r="A319" t="s">
        <v>632</v>
      </c>
      <c r="B319" t="s">
        <v>1414</v>
      </c>
      <c r="C319" t="s">
        <v>1765</v>
      </c>
    </row>
    <row r="320" spans="1:3" x14ac:dyDescent="0.25">
      <c r="A320" t="s">
        <v>633</v>
      </c>
      <c r="B320" t="s">
        <v>1415</v>
      </c>
      <c r="C320" t="s">
        <v>1766</v>
      </c>
    </row>
    <row r="321" spans="1:3" x14ac:dyDescent="0.25">
      <c r="A321" t="s">
        <v>634</v>
      </c>
      <c r="B321" t="s">
        <v>1416</v>
      </c>
      <c r="C321" t="s">
        <v>1767</v>
      </c>
    </row>
    <row r="322" spans="1:3" x14ac:dyDescent="0.25">
      <c r="A322" t="s">
        <v>635</v>
      </c>
      <c r="B322" t="s">
        <v>1417</v>
      </c>
      <c r="C322" t="s">
        <v>1768</v>
      </c>
    </row>
    <row r="323" spans="1:3" x14ac:dyDescent="0.25">
      <c r="A323" t="s">
        <v>636</v>
      </c>
      <c r="B323" t="s">
        <v>1418</v>
      </c>
      <c r="C323" t="s">
        <v>1769</v>
      </c>
    </row>
    <row r="324" spans="1:3" x14ac:dyDescent="0.25">
      <c r="A324" t="s">
        <v>637</v>
      </c>
      <c r="B324" t="s">
        <v>1419</v>
      </c>
      <c r="C324" t="s">
        <v>1770</v>
      </c>
    </row>
    <row r="325" spans="1:3" x14ac:dyDescent="0.25">
      <c r="A325" t="s">
        <v>638</v>
      </c>
      <c r="B325" t="s">
        <v>1420</v>
      </c>
      <c r="C325" t="s">
        <v>1771</v>
      </c>
    </row>
    <row r="326" spans="1:3" x14ac:dyDescent="0.25">
      <c r="A326" t="s">
        <v>639</v>
      </c>
      <c r="B326" t="s">
        <v>1421</v>
      </c>
      <c r="C326" t="s">
        <v>1772</v>
      </c>
    </row>
    <row r="327" spans="1:3" x14ac:dyDescent="0.25">
      <c r="A327" t="s">
        <v>640</v>
      </c>
      <c r="B327" t="s">
        <v>1422</v>
      </c>
      <c r="C327" t="s">
        <v>1773</v>
      </c>
    </row>
    <row r="328" spans="1:3" x14ac:dyDescent="0.25">
      <c r="A328" t="s">
        <v>641</v>
      </c>
      <c r="B328" t="s">
        <v>1423</v>
      </c>
      <c r="C328" t="s">
        <v>1774</v>
      </c>
    </row>
    <row r="329" spans="1:3" x14ac:dyDescent="0.25">
      <c r="A329" t="s">
        <v>642</v>
      </c>
      <c r="B329" t="s">
        <v>1424</v>
      </c>
      <c r="C329" t="s">
        <v>1775</v>
      </c>
    </row>
    <row r="330" spans="1:3" x14ac:dyDescent="0.25">
      <c r="A330" t="s">
        <v>643</v>
      </c>
      <c r="B330" t="s">
        <v>1425</v>
      </c>
      <c r="C330" t="s">
        <v>1776</v>
      </c>
    </row>
    <row r="331" spans="1:3" x14ac:dyDescent="0.25">
      <c r="A331" t="s">
        <v>644</v>
      </c>
      <c r="B331" t="s">
        <v>1426</v>
      </c>
      <c r="C331" t="s">
        <v>1777</v>
      </c>
    </row>
    <row r="332" spans="1:3" x14ac:dyDescent="0.25">
      <c r="A332" t="s">
        <v>645</v>
      </c>
      <c r="B332" t="s">
        <v>1427</v>
      </c>
      <c r="C332" t="s">
        <v>1778</v>
      </c>
    </row>
    <row r="333" spans="1:3" x14ac:dyDescent="0.25">
      <c r="A333" t="s">
        <v>646</v>
      </c>
      <c r="B333" t="s">
        <v>1428</v>
      </c>
      <c r="C333" t="s">
        <v>1779</v>
      </c>
    </row>
    <row r="334" spans="1:3" x14ac:dyDescent="0.25">
      <c r="A334" t="s">
        <v>647</v>
      </c>
      <c r="B334" t="s">
        <v>1429</v>
      </c>
      <c r="C334" t="s">
        <v>1780</v>
      </c>
    </row>
    <row r="335" spans="1:3" x14ac:dyDescent="0.25">
      <c r="A335" t="s">
        <v>648</v>
      </c>
      <c r="B335" t="s">
        <v>1430</v>
      </c>
      <c r="C335" t="s">
        <v>1781</v>
      </c>
    </row>
    <row r="336" spans="1:3" x14ac:dyDescent="0.25">
      <c r="A336" t="s">
        <v>649</v>
      </c>
      <c r="B336" t="s">
        <v>1431</v>
      </c>
      <c r="C336" t="s">
        <v>1782</v>
      </c>
    </row>
    <row r="337" spans="1:3" x14ac:dyDescent="0.25">
      <c r="A337" t="s">
        <v>650</v>
      </c>
      <c r="B337" t="s">
        <v>1432</v>
      </c>
      <c r="C337" t="s">
        <v>1783</v>
      </c>
    </row>
    <row r="338" spans="1:3" x14ac:dyDescent="0.25">
      <c r="A338" t="s">
        <v>651</v>
      </c>
      <c r="B338" t="s">
        <v>1433</v>
      </c>
      <c r="C338" t="s">
        <v>1784</v>
      </c>
    </row>
    <row r="339" spans="1:3" x14ac:dyDescent="0.25">
      <c r="A339" t="s">
        <v>652</v>
      </c>
      <c r="B339" t="s">
        <v>1434</v>
      </c>
      <c r="C339" t="s">
        <v>1785</v>
      </c>
    </row>
    <row r="340" spans="1:3" x14ac:dyDescent="0.25">
      <c r="A340" t="s">
        <v>653</v>
      </c>
      <c r="B340" t="s">
        <v>1435</v>
      </c>
      <c r="C340" t="s">
        <v>1786</v>
      </c>
    </row>
    <row r="341" spans="1:3" x14ac:dyDescent="0.25">
      <c r="A341" t="s">
        <v>654</v>
      </c>
      <c r="B341" t="s">
        <v>1436</v>
      </c>
      <c r="C341" t="s">
        <v>1787</v>
      </c>
    </row>
    <row r="342" spans="1:3" x14ac:dyDescent="0.25">
      <c r="A342" t="s">
        <v>655</v>
      </c>
      <c r="B342" t="s">
        <v>1437</v>
      </c>
      <c r="C342" t="s">
        <v>1788</v>
      </c>
    </row>
    <row r="343" spans="1:3" x14ac:dyDescent="0.25">
      <c r="A343" t="s">
        <v>656</v>
      </c>
      <c r="B343" t="s">
        <v>1438</v>
      </c>
      <c r="C343" t="s">
        <v>1789</v>
      </c>
    </row>
    <row r="344" spans="1:3" x14ac:dyDescent="0.25">
      <c r="A344" t="s">
        <v>657</v>
      </c>
      <c r="B344" t="s">
        <v>1439</v>
      </c>
      <c r="C344" t="s">
        <v>1790</v>
      </c>
    </row>
    <row r="345" spans="1:3" x14ac:dyDescent="0.25">
      <c r="A345" t="s">
        <v>658</v>
      </c>
      <c r="B345" t="s">
        <v>1440</v>
      </c>
      <c r="C345" t="s">
        <v>1791</v>
      </c>
    </row>
    <row r="346" spans="1:3" x14ac:dyDescent="0.25">
      <c r="A346" t="s">
        <v>659</v>
      </c>
      <c r="B346" t="s">
        <v>1441</v>
      </c>
      <c r="C346" t="s">
        <v>1792</v>
      </c>
    </row>
    <row r="347" spans="1:3" x14ac:dyDescent="0.25">
      <c r="A347" t="s">
        <v>660</v>
      </c>
      <c r="B347" t="s">
        <v>1442</v>
      </c>
      <c r="C347" t="s">
        <v>1793</v>
      </c>
    </row>
    <row r="348" spans="1:3" x14ac:dyDescent="0.25">
      <c r="A348" t="s">
        <v>661</v>
      </c>
      <c r="B348" t="s">
        <v>1443</v>
      </c>
      <c r="C348" t="s">
        <v>1794</v>
      </c>
    </row>
    <row r="349" spans="1:3" x14ac:dyDescent="0.25">
      <c r="A349" t="s">
        <v>662</v>
      </c>
      <c r="B349" t="s">
        <v>1444</v>
      </c>
      <c r="C349" t="s">
        <v>1795</v>
      </c>
    </row>
    <row r="350" spans="1:3" x14ac:dyDescent="0.25">
      <c r="A350" t="s">
        <v>663</v>
      </c>
      <c r="B350" t="s">
        <v>1445</v>
      </c>
      <c r="C350" t="s">
        <v>1796</v>
      </c>
    </row>
    <row r="351" spans="1:3" x14ac:dyDescent="0.25">
      <c r="A351" t="s">
        <v>664</v>
      </c>
      <c r="B351" t="s">
        <v>1446</v>
      </c>
      <c r="C351" t="s">
        <v>1797</v>
      </c>
    </row>
    <row r="352" spans="1:3" x14ac:dyDescent="0.25">
      <c r="A352" t="s">
        <v>665</v>
      </c>
      <c r="B352" t="s">
        <v>1447</v>
      </c>
      <c r="C352" t="s">
        <v>1798</v>
      </c>
    </row>
    <row r="353" spans="1:3" x14ac:dyDescent="0.25">
      <c r="A353" t="s">
        <v>666</v>
      </c>
      <c r="B353" t="s">
        <v>1448</v>
      </c>
      <c r="C353" t="s">
        <v>1799</v>
      </c>
    </row>
    <row r="354" spans="1:3" x14ac:dyDescent="0.25">
      <c r="A354" t="s">
        <v>667</v>
      </c>
      <c r="B354" t="s">
        <v>1449</v>
      </c>
      <c r="C354" t="s">
        <v>1800</v>
      </c>
    </row>
    <row r="355" spans="1:3" x14ac:dyDescent="0.25">
      <c r="A355" t="s">
        <v>668</v>
      </c>
      <c r="B355" t="s">
        <v>1450</v>
      </c>
      <c r="C355" t="s">
        <v>1801</v>
      </c>
    </row>
    <row r="356" spans="1:3" x14ac:dyDescent="0.25">
      <c r="A356" t="s">
        <v>669</v>
      </c>
      <c r="C356" t="s">
        <v>1802</v>
      </c>
    </row>
    <row r="357" spans="1:3" x14ac:dyDescent="0.25">
      <c r="A357" t="s">
        <v>670</v>
      </c>
      <c r="C357" t="s">
        <v>1803</v>
      </c>
    </row>
    <row r="358" spans="1:3" x14ac:dyDescent="0.25">
      <c r="A358" t="s">
        <v>671</v>
      </c>
      <c r="C358" t="s">
        <v>1804</v>
      </c>
    </row>
    <row r="359" spans="1:3" x14ac:dyDescent="0.25">
      <c r="A359" t="s">
        <v>672</v>
      </c>
      <c r="C359" t="s">
        <v>1805</v>
      </c>
    </row>
    <row r="360" spans="1:3" x14ac:dyDescent="0.25">
      <c r="A360" t="s">
        <v>673</v>
      </c>
      <c r="C360" t="s">
        <v>1806</v>
      </c>
    </row>
    <row r="361" spans="1:3" x14ac:dyDescent="0.25">
      <c r="A361" t="s">
        <v>674</v>
      </c>
      <c r="C361" t="s">
        <v>1807</v>
      </c>
    </row>
    <row r="362" spans="1:3" x14ac:dyDescent="0.25">
      <c r="A362" t="s">
        <v>675</v>
      </c>
      <c r="C362" t="s">
        <v>1808</v>
      </c>
    </row>
    <row r="363" spans="1:3" x14ac:dyDescent="0.25">
      <c r="A363" t="s">
        <v>676</v>
      </c>
      <c r="C363" t="s">
        <v>1809</v>
      </c>
    </row>
    <row r="364" spans="1:3" x14ac:dyDescent="0.25">
      <c r="A364" t="s">
        <v>677</v>
      </c>
      <c r="C364" t="s">
        <v>1810</v>
      </c>
    </row>
    <row r="365" spans="1:3" x14ac:dyDescent="0.25">
      <c r="A365" t="s">
        <v>678</v>
      </c>
      <c r="C365" t="s">
        <v>1811</v>
      </c>
    </row>
    <row r="366" spans="1:3" x14ac:dyDescent="0.25">
      <c r="A366" t="s">
        <v>679</v>
      </c>
      <c r="C366" t="s">
        <v>1812</v>
      </c>
    </row>
    <row r="367" spans="1:3" x14ac:dyDescent="0.25">
      <c r="A367" t="s">
        <v>680</v>
      </c>
      <c r="C367" t="s">
        <v>1813</v>
      </c>
    </row>
    <row r="368" spans="1:3" x14ac:dyDescent="0.25">
      <c r="A368" t="s">
        <v>681</v>
      </c>
      <c r="C368" t="s">
        <v>1814</v>
      </c>
    </row>
    <row r="369" spans="1:3" x14ac:dyDescent="0.25">
      <c r="A369" t="s">
        <v>682</v>
      </c>
      <c r="C369" t="s">
        <v>1815</v>
      </c>
    </row>
    <row r="370" spans="1:3" x14ac:dyDescent="0.25">
      <c r="A370" t="s">
        <v>683</v>
      </c>
      <c r="C370" t="s">
        <v>1816</v>
      </c>
    </row>
    <row r="371" spans="1:3" x14ac:dyDescent="0.25">
      <c r="A371" t="s">
        <v>684</v>
      </c>
      <c r="C371" t="s">
        <v>1817</v>
      </c>
    </row>
    <row r="372" spans="1:3" x14ac:dyDescent="0.25">
      <c r="A372" t="s">
        <v>685</v>
      </c>
      <c r="C372" t="s">
        <v>1818</v>
      </c>
    </row>
    <row r="373" spans="1:3" x14ac:dyDescent="0.25">
      <c r="A373" t="s">
        <v>686</v>
      </c>
      <c r="C373" t="s">
        <v>1819</v>
      </c>
    </row>
    <row r="374" spans="1:3" x14ac:dyDescent="0.25">
      <c r="A374" t="s">
        <v>687</v>
      </c>
      <c r="C374" t="s">
        <v>1820</v>
      </c>
    </row>
    <row r="375" spans="1:3" x14ac:dyDescent="0.25">
      <c r="A375" t="s">
        <v>688</v>
      </c>
      <c r="C375" t="s">
        <v>1821</v>
      </c>
    </row>
    <row r="376" spans="1:3" x14ac:dyDescent="0.25">
      <c r="A376" t="s">
        <v>689</v>
      </c>
      <c r="C376" t="s">
        <v>1822</v>
      </c>
    </row>
    <row r="377" spans="1:3" x14ac:dyDescent="0.25">
      <c r="A377" t="s">
        <v>690</v>
      </c>
      <c r="C377" t="s">
        <v>1823</v>
      </c>
    </row>
    <row r="378" spans="1:3" x14ac:dyDescent="0.25">
      <c r="A378" t="s">
        <v>691</v>
      </c>
      <c r="C378" t="s">
        <v>1824</v>
      </c>
    </row>
    <row r="379" spans="1:3" x14ac:dyDescent="0.25">
      <c r="A379" t="s">
        <v>692</v>
      </c>
      <c r="C379" t="s">
        <v>1825</v>
      </c>
    </row>
    <row r="380" spans="1:3" x14ac:dyDescent="0.25">
      <c r="A380" t="s">
        <v>693</v>
      </c>
      <c r="C380" t="s">
        <v>1826</v>
      </c>
    </row>
    <row r="381" spans="1:3" x14ac:dyDescent="0.25">
      <c r="A381" t="s">
        <v>694</v>
      </c>
      <c r="C381" t="s">
        <v>1827</v>
      </c>
    </row>
    <row r="382" spans="1:3" x14ac:dyDescent="0.25">
      <c r="A382" t="s">
        <v>695</v>
      </c>
      <c r="C382" t="s">
        <v>1828</v>
      </c>
    </row>
    <row r="383" spans="1:3" x14ac:dyDescent="0.25">
      <c r="A383" t="s">
        <v>696</v>
      </c>
      <c r="C383" t="s">
        <v>1829</v>
      </c>
    </row>
    <row r="384" spans="1:3" x14ac:dyDescent="0.25">
      <c r="A384" t="s">
        <v>697</v>
      </c>
      <c r="C384" t="s">
        <v>1830</v>
      </c>
    </row>
    <row r="385" spans="1:3" x14ac:dyDescent="0.25">
      <c r="A385" t="s">
        <v>698</v>
      </c>
      <c r="C385" t="s">
        <v>1831</v>
      </c>
    </row>
    <row r="386" spans="1:3" x14ac:dyDescent="0.25">
      <c r="A386" t="s">
        <v>699</v>
      </c>
      <c r="C386" t="s">
        <v>1832</v>
      </c>
    </row>
    <row r="387" spans="1:3" x14ac:dyDescent="0.25">
      <c r="A387" t="s">
        <v>700</v>
      </c>
      <c r="C387" t="s">
        <v>1833</v>
      </c>
    </row>
    <row r="388" spans="1:3" x14ac:dyDescent="0.25">
      <c r="A388" t="s">
        <v>701</v>
      </c>
      <c r="C388" t="s">
        <v>1834</v>
      </c>
    </row>
    <row r="389" spans="1:3" x14ac:dyDescent="0.25">
      <c r="A389" t="s">
        <v>702</v>
      </c>
      <c r="C389" t="s">
        <v>1835</v>
      </c>
    </row>
    <row r="390" spans="1:3" x14ac:dyDescent="0.25">
      <c r="A390" t="s">
        <v>703</v>
      </c>
      <c r="C390" t="s">
        <v>1836</v>
      </c>
    </row>
    <row r="391" spans="1:3" x14ac:dyDescent="0.25">
      <c r="A391" t="s">
        <v>704</v>
      </c>
      <c r="C391" t="s">
        <v>1837</v>
      </c>
    </row>
    <row r="392" spans="1:3" x14ac:dyDescent="0.25">
      <c r="A392" t="s">
        <v>705</v>
      </c>
      <c r="C392" t="s">
        <v>1838</v>
      </c>
    </row>
    <row r="393" spans="1:3" x14ac:dyDescent="0.25">
      <c r="A393" t="s">
        <v>706</v>
      </c>
      <c r="C393" t="s">
        <v>1839</v>
      </c>
    </row>
    <row r="394" spans="1:3" x14ac:dyDescent="0.25">
      <c r="A394" t="s">
        <v>707</v>
      </c>
      <c r="C394" t="s">
        <v>1840</v>
      </c>
    </row>
    <row r="395" spans="1:3" x14ac:dyDescent="0.25">
      <c r="A395" t="s">
        <v>708</v>
      </c>
      <c r="C395" t="s">
        <v>1841</v>
      </c>
    </row>
    <row r="396" spans="1:3" x14ac:dyDescent="0.25">
      <c r="A396" t="s">
        <v>709</v>
      </c>
      <c r="C396" t="s">
        <v>1842</v>
      </c>
    </row>
    <row r="397" spans="1:3" x14ac:dyDescent="0.25">
      <c r="A397" t="s">
        <v>710</v>
      </c>
      <c r="C397" t="s">
        <v>1843</v>
      </c>
    </row>
    <row r="398" spans="1:3" x14ac:dyDescent="0.25">
      <c r="A398" t="s">
        <v>711</v>
      </c>
      <c r="C398" t="s">
        <v>1844</v>
      </c>
    </row>
    <row r="399" spans="1:3" x14ac:dyDescent="0.25">
      <c r="A399" t="s">
        <v>712</v>
      </c>
      <c r="C399" t="s">
        <v>1845</v>
      </c>
    </row>
    <row r="400" spans="1:3" x14ac:dyDescent="0.25">
      <c r="A400" t="s">
        <v>713</v>
      </c>
      <c r="C400" t="s">
        <v>1846</v>
      </c>
    </row>
    <row r="401" spans="1:3" x14ac:dyDescent="0.25">
      <c r="A401" t="s">
        <v>714</v>
      </c>
      <c r="C401" t="s">
        <v>1847</v>
      </c>
    </row>
    <row r="402" spans="1:3" x14ac:dyDescent="0.25">
      <c r="A402" t="s">
        <v>715</v>
      </c>
      <c r="C402" t="s">
        <v>1848</v>
      </c>
    </row>
    <row r="403" spans="1:3" x14ac:dyDescent="0.25">
      <c r="A403" t="s">
        <v>716</v>
      </c>
      <c r="C403" t="s">
        <v>1849</v>
      </c>
    </row>
    <row r="404" spans="1:3" x14ac:dyDescent="0.25">
      <c r="A404" t="s">
        <v>717</v>
      </c>
      <c r="C404" t="s">
        <v>1850</v>
      </c>
    </row>
    <row r="405" spans="1:3" x14ac:dyDescent="0.25">
      <c r="A405" t="s">
        <v>718</v>
      </c>
      <c r="C405" t="s">
        <v>1851</v>
      </c>
    </row>
    <row r="406" spans="1:3" x14ac:dyDescent="0.25">
      <c r="A406" t="s">
        <v>719</v>
      </c>
      <c r="C406" t="s">
        <v>1852</v>
      </c>
    </row>
    <row r="407" spans="1:3" x14ac:dyDescent="0.25">
      <c r="A407" t="s">
        <v>720</v>
      </c>
      <c r="C407" t="s">
        <v>1853</v>
      </c>
    </row>
    <row r="408" spans="1:3" x14ac:dyDescent="0.25">
      <c r="A408" t="s">
        <v>721</v>
      </c>
      <c r="C408" t="s">
        <v>1854</v>
      </c>
    </row>
    <row r="409" spans="1:3" x14ac:dyDescent="0.25">
      <c r="A409" t="s">
        <v>722</v>
      </c>
      <c r="C409" t="s">
        <v>1855</v>
      </c>
    </row>
    <row r="410" spans="1:3" x14ac:dyDescent="0.25">
      <c r="A410" t="s">
        <v>723</v>
      </c>
      <c r="C410" t="s">
        <v>1856</v>
      </c>
    </row>
    <row r="411" spans="1:3" x14ac:dyDescent="0.25">
      <c r="A411" t="s">
        <v>724</v>
      </c>
      <c r="C411" t="s">
        <v>1857</v>
      </c>
    </row>
    <row r="412" spans="1:3" x14ac:dyDescent="0.25">
      <c r="A412" t="s">
        <v>725</v>
      </c>
      <c r="C412" t="s">
        <v>1858</v>
      </c>
    </row>
    <row r="413" spans="1:3" x14ac:dyDescent="0.25">
      <c r="A413" t="s">
        <v>726</v>
      </c>
      <c r="C413" t="s">
        <v>1859</v>
      </c>
    </row>
    <row r="414" spans="1:3" x14ac:dyDescent="0.25">
      <c r="A414" t="s">
        <v>727</v>
      </c>
      <c r="C414" t="s">
        <v>1860</v>
      </c>
    </row>
    <row r="415" spans="1:3" x14ac:dyDescent="0.25">
      <c r="A415" t="s">
        <v>728</v>
      </c>
      <c r="C415" t="s">
        <v>1861</v>
      </c>
    </row>
    <row r="416" spans="1:3" x14ac:dyDescent="0.25">
      <c r="A416" t="s">
        <v>729</v>
      </c>
      <c r="C416" t="s">
        <v>1862</v>
      </c>
    </row>
    <row r="417" spans="1:3" x14ac:dyDescent="0.25">
      <c r="A417" t="s">
        <v>730</v>
      </c>
      <c r="C417" t="s">
        <v>1863</v>
      </c>
    </row>
    <row r="418" spans="1:3" x14ac:dyDescent="0.25">
      <c r="A418" t="s">
        <v>731</v>
      </c>
      <c r="C418" t="s">
        <v>1864</v>
      </c>
    </row>
    <row r="419" spans="1:3" x14ac:dyDescent="0.25">
      <c r="A419" t="s">
        <v>732</v>
      </c>
      <c r="C419" t="s">
        <v>1865</v>
      </c>
    </row>
    <row r="420" spans="1:3" x14ac:dyDescent="0.25">
      <c r="A420" t="s">
        <v>733</v>
      </c>
      <c r="C420" t="s">
        <v>1866</v>
      </c>
    </row>
    <row r="421" spans="1:3" x14ac:dyDescent="0.25">
      <c r="A421" t="s">
        <v>734</v>
      </c>
      <c r="C421" t="s">
        <v>1867</v>
      </c>
    </row>
    <row r="422" spans="1:3" x14ac:dyDescent="0.25">
      <c r="A422" t="s">
        <v>735</v>
      </c>
      <c r="C422" t="s">
        <v>1868</v>
      </c>
    </row>
    <row r="423" spans="1:3" x14ac:dyDescent="0.25">
      <c r="A423" t="s">
        <v>736</v>
      </c>
      <c r="C423" t="s">
        <v>1869</v>
      </c>
    </row>
    <row r="424" spans="1:3" x14ac:dyDescent="0.25">
      <c r="A424" t="s">
        <v>737</v>
      </c>
      <c r="C424" t="s">
        <v>1870</v>
      </c>
    </row>
    <row r="425" spans="1:3" x14ac:dyDescent="0.25">
      <c r="A425" t="s">
        <v>738</v>
      </c>
      <c r="C425" t="s">
        <v>1871</v>
      </c>
    </row>
    <row r="426" spans="1:3" x14ac:dyDescent="0.25">
      <c r="A426" t="s">
        <v>739</v>
      </c>
      <c r="C426" t="s">
        <v>1872</v>
      </c>
    </row>
    <row r="427" spans="1:3" x14ac:dyDescent="0.25">
      <c r="A427" t="s">
        <v>740</v>
      </c>
      <c r="C427" t="s">
        <v>1873</v>
      </c>
    </row>
    <row r="428" spans="1:3" x14ac:dyDescent="0.25">
      <c r="A428" t="s">
        <v>741</v>
      </c>
      <c r="C428" t="s">
        <v>1874</v>
      </c>
    </row>
    <row r="429" spans="1:3" x14ac:dyDescent="0.25">
      <c r="A429" t="s">
        <v>742</v>
      </c>
      <c r="C429" t="s">
        <v>1875</v>
      </c>
    </row>
    <row r="430" spans="1:3" x14ac:dyDescent="0.25">
      <c r="A430" t="s">
        <v>743</v>
      </c>
      <c r="C430" t="s">
        <v>1876</v>
      </c>
    </row>
    <row r="431" spans="1:3" x14ac:dyDescent="0.25">
      <c r="A431" t="s">
        <v>744</v>
      </c>
      <c r="C431" t="s">
        <v>1877</v>
      </c>
    </row>
    <row r="432" spans="1:3" x14ac:dyDescent="0.25">
      <c r="A432" t="s">
        <v>745</v>
      </c>
    </row>
    <row r="433" spans="1:1" x14ac:dyDescent="0.25">
      <c r="A433" t="s">
        <v>746</v>
      </c>
    </row>
    <row r="434" spans="1:1" x14ac:dyDescent="0.25">
      <c r="A434" t="s">
        <v>747</v>
      </c>
    </row>
    <row r="435" spans="1:1" x14ac:dyDescent="0.25">
      <c r="A435" t="s">
        <v>748</v>
      </c>
    </row>
    <row r="436" spans="1:1" x14ac:dyDescent="0.25">
      <c r="A436" t="s">
        <v>749</v>
      </c>
    </row>
    <row r="437" spans="1:1" x14ac:dyDescent="0.25">
      <c r="A437" t="s">
        <v>750</v>
      </c>
    </row>
    <row r="438" spans="1:1" x14ac:dyDescent="0.25">
      <c r="A438" t="s">
        <v>751</v>
      </c>
    </row>
    <row r="439" spans="1:1" x14ac:dyDescent="0.25">
      <c r="A439" t="s">
        <v>752</v>
      </c>
    </row>
    <row r="440" spans="1:1" x14ac:dyDescent="0.25">
      <c r="A440" t="s">
        <v>753</v>
      </c>
    </row>
    <row r="441" spans="1:1" x14ac:dyDescent="0.25">
      <c r="A441" t="s">
        <v>754</v>
      </c>
    </row>
    <row r="442" spans="1:1" x14ac:dyDescent="0.25">
      <c r="A442" t="s">
        <v>755</v>
      </c>
    </row>
    <row r="443" spans="1:1" x14ac:dyDescent="0.25">
      <c r="A443" t="s">
        <v>756</v>
      </c>
    </row>
    <row r="444" spans="1:1" x14ac:dyDescent="0.25">
      <c r="A444" t="s">
        <v>757</v>
      </c>
    </row>
    <row r="445" spans="1:1" x14ac:dyDescent="0.25">
      <c r="A445" t="s">
        <v>758</v>
      </c>
    </row>
    <row r="446" spans="1:1" x14ac:dyDescent="0.25">
      <c r="A446" t="s">
        <v>759</v>
      </c>
    </row>
    <row r="447" spans="1:1" x14ac:dyDescent="0.25">
      <c r="A447" t="s">
        <v>760</v>
      </c>
    </row>
    <row r="448" spans="1:1" x14ac:dyDescent="0.25">
      <c r="A448" t="s">
        <v>761</v>
      </c>
    </row>
    <row r="449" spans="1:1" x14ac:dyDescent="0.25">
      <c r="A449" t="s">
        <v>762</v>
      </c>
    </row>
    <row r="450" spans="1:1" x14ac:dyDescent="0.25">
      <c r="A450" t="s">
        <v>763</v>
      </c>
    </row>
    <row r="451" spans="1:1" x14ac:dyDescent="0.25">
      <c r="A451" t="s">
        <v>764</v>
      </c>
    </row>
    <row r="452" spans="1:1" x14ac:dyDescent="0.25">
      <c r="A452" t="s">
        <v>765</v>
      </c>
    </row>
    <row r="453" spans="1:1" x14ac:dyDescent="0.25">
      <c r="A453" t="s">
        <v>766</v>
      </c>
    </row>
    <row r="454" spans="1:1" x14ac:dyDescent="0.25">
      <c r="A454" t="s">
        <v>767</v>
      </c>
    </row>
    <row r="455" spans="1:1" x14ac:dyDescent="0.25">
      <c r="A455" t="s">
        <v>768</v>
      </c>
    </row>
    <row r="456" spans="1:1" x14ac:dyDescent="0.25">
      <c r="A456" t="s">
        <v>769</v>
      </c>
    </row>
    <row r="457" spans="1:1" x14ac:dyDescent="0.25">
      <c r="A457" t="s">
        <v>770</v>
      </c>
    </row>
    <row r="458" spans="1:1" x14ac:dyDescent="0.25">
      <c r="A458" t="s">
        <v>771</v>
      </c>
    </row>
    <row r="459" spans="1:1" x14ac:dyDescent="0.25">
      <c r="A459" t="s">
        <v>772</v>
      </c>
    </row>
    <row r="460" spans="1:1" x14ac:dyDescent="0.25">
      <c r="A460" t="s">
        <v>773</v>
      </c>
    </row>
    <row r="461" spans="1:1" x14ac:dyDescent="0.25">
      <c r="A461" t="s">
        <v>774</v>
      </c>
    </row>
    <row r="462" spans="1:1" x14ac:dyDescent="0.25">
      <c r="A462" t="s">
        <v>775</v>
      </c>
    </row>
    <row r="463" spans="1:1" x14ac:dyDescent="0.25">
      <c r="A463" t="s">
        <v>776</v>
      </c>
    </row>
    <row r="464" spans="1:1" x14ac:dyDescent="0.25">
      <c r="A464" t="s">
        <v>777</v>
      </c>
    </row>
    <row r="465" spans="1:1" x14ac:dyDescent="0.25">
      <c r="A465" t="s">
        <v>778</v>
      </c>
    </row>
    <row r="466" spans="1:1" x14ac:dyDescent="0.25">
      <c r="A466" t="s">
        <v>779</v>
      </c>
    </row>
    <row r="467" spans="1:1" x14ac:dyDescent="0.25">
      <c r="A467" t="s">
        <v>780</v>
      </c>
    </row>
    <row r="468" spans="1:1" x14ac:dyDescent="0.25">
      <c r="A468" t="s">
        <v>781</v>
      </c>
    </row>
    <row r="469" spans="1:1" x14ac:dyDescent="0.25">
      <c r="A469" t="s">
        <v>782</v>
      </c>
    </row>
    <row r="470" spans="1:1" x14ac:dyDescent="0.25">
      <c r="A470" t="s">
        <v>783</v>
      </c>
    </row>
    <row r="471" spans="1:1" x14ac:dyDescent="0.25">
      <c r="A471" t="s">
        <v>784</v>
      </c>
    </row>
    <row r="472" spans="1:1" x14ac:dyDescent="0.25">
      <c r="A472" t="s">
        <v>785</v>
      </c>
    </row>
    <row r="473" spans="1:1" x14ac:dyDescent="0.25">
      <c r="A473" t="s">
        <v>786</v>
      </c>
    </row>
    <row r="474" spans="1:1" x14ac:dyDescent="0.25">
      <c r="A474" t="s">
        <v>787</v>
      </c>
    </row>
    <row r="475" spans="1:1" x14ac:dyDescent="0.25">
      <c r="A475" t="s">
        <v>788</v>
      </c>
    </row>
    <row r="476" spans="1:1" x14ac:dyDescent="0.25">
      <c r="A476" t="s">
        <v>789</v>
      </c>
    </row>
    <row r="477" spans="1:1" x14ac:dyDescent="0.25">
      <c r="A477" t="s">
        <v>790</v>
      </c>
    </row>
    <row r="478" spans="1:1" x14ac:dyDescent="0.25">
      <c r="A478" t="s">
        <v>791</v>
      </c>
    </row>
    <row r="479" spans="1:1" x14ac:dyDescent="0.25">
      <c r="A479" t="s">
        <v>792</v>
      </c>
    </row>
    <row r="480" spans="1:1" x14ac:dyDescent="0.25">
      <c r="A480" t="s">
        <v>793</v>
      </c>
    </row>
    <row r="481" spans="1:1" x14ac:dyDescent="0.25">
      <c r="A481" t="s">
        <v>794</v>
      </c>
    </row>
    <row r="482" spans="1:1" x14ac:dyDescent="0.25">
      <c r="A482" t="s">
        <v>795</v>
      </c>
    </row>
    <row r="483" spans="1:1" x14ac:dyDescent="0.25">
      <c r="A483" t="s">
        <v>796</v>
      </c>
    </row>
    <row r="484" spans="1:1" x14ac:dyDescent="0.25">
      <c r="A484" t="s">
        <v>797</v>
      </c>
    </row>
    <row r="485" spans="1:1" x14ac:dyDescent="0.25">
      <c r="A485" t="s">
        <v>798</v>
      </c>
    </row>
    <row r="486" spans="1:1" x14ac:dyDescent="0.25">
      <c r="A486" t="s">
        <v>799</v>
      </c>
    </row>
    <row r="487" spans="1:1" x14ac:dyDescent="0.25">
      <c r="A487" t="s">
        <v>800</v>
      </c>
    </row>
    <row r="488" spans="1:1" x14ac:dyDescent="0.25">
      <c r="A488" t="s">
        <v>801</v>
      </c>
    </row>
    <row r="489" spans="1:1" x14ac:dyDescent="0.25">
      <c r="A489" t="s">
        <v>802</v>
      </c>
    </row>
    <row r="490" spans="1:1" x14ac:dyDescent="0.25">
      <c r="A490" t="s">
        <v>803</v>
      </c>
    </row>
    <row r="491" spans="1:1" x14ac:dyDescent="0.25">
      <c r="A491" t="s">
        <v>804</v>
      </c>
    </row>
    <row r="492" spans="1:1" x14ac:dyDescent="0.25">
      <c r="A492" t="s">
        <v>805</v>
      </c>
    </row>
    <row r="493" spans="1:1" x14ac:dyDescent="0.25">
      <c r="A493" t="s">
        <v>806</v>
      </c>
    </row>
    <row r="494" spans="1:1" x14ac:dyDescent="0.25">
      <c r="A494" t="s">
        <v>807</v>
      </c>
    </row>
    <row r="495" spans="1:1" x14ac:dyDescent="0.25">
      <c r="A495" t="s">
        <v>808</v>
      </c>
    </row>
    <row r="496" spans="1:1" x14ac:dyDescent="0.25">
      <c r="A496" t="s">
        <v>809</v>
      </c>
    </row>
    <row r="497" spans="1:1" x14ac:dyDescent="0.25">
      <c r="A497" t="s">
        <v>810</v>
      </c>
    </row>
    <row r="498" spans="1:1" x14ac:dyDescent="0.25">
      <c r="A498" t="s">
        <v>811</v>
      </c>
    </row>
    <row r="499" spans="1:1" x14ac:dyDescent="0.25">
      <c r="A499" t="s">
        <v>812</v>
      </c>
    </row>
    <row r="500" spans="1:1" x14ac:dyDescent="0.25">
      <c r="A500" t="s">
        <v>813</v>
      </c>
    </row>
    <row r="501" spans="1:1" x14ac:dyDescent="0.25">
      <c r="A501" t="s">
        <v>814</v>
      </c>
    </row>
    <row r="502" spans="1:1" x14ac:dyDescent="0.25">
      <c r="A502" t="s">
        <v>815</v>
      </c>
    </row>
    <row r="503" spans="1:1" x14ac:dyDescent="0.25">
      <c r="A503" t="s">
        <v>816</v>
      </c>
    </row>
    <row r="504" spans="1:1" x14ac:dyDescent="0.25">
      <c r="A504" t="s">
        <v>817</v>
      </c>
    </row>
    <row r="505" spans="1:1" x14ac:dyDescent="0.25">
      <c r="A505" t="s">
        <v>818</v>
      </c>
    </row>
    <row r="506" spans="1:1" x14ac:dyDescent="0.25">
      <c r="A506" t="s">
        <v>819</v>
      </c>
    </row>
    <row r="507" spans="1:1" x14ac:dyDescent="0.25">
      <c r="A507" t="s">
        <v>820</v>
      </c>
    </row>
    <row r="508" spans="1:1" x14ac:dyDescent="0.25">
      <c r="A508" t="s">
        <v>821</v>
      </c>
    </row>
    <row r="509" spans="1:1" x14ac:dyDescent="0.25">
      <c r="A509" t="s">
        <v>822</v>
      </c>
    </row>
    <row r="510" spans="1:1" x14ac:dyDescent="0.25">
      <c r="A510" t="s">
        <v>823</v>
      </c>
    </row>
    <row r="511" spans="1:1" x14ac:dyDescent="0.25">
      <c r="A511" t="s">
        <v>824</v>
      </c>
    </row>
    <row r="512" spans="1:1" x14ac:dyDescent="0.25">
      <c r="A512" t="s">
        <v>825</v>
      </c>
    </row>
    <row r="513" spans="1:1" x14ac:dyDescent="0.25">
      <c r="A513" t="s">
        <v>826</v>
      </c>
    </row>
    <row r="514" spans="1:1" x14ac:dyDescent="0.25">
      <c r="A514" t="s">
        <v>827</v>
      </c>
    </row>
    <row r="515" spans="1:1" x14ac:dyDescent="0.25">
      <c r="A515" t="s">
        <v>828</v>
      </c>
    </row>
    <row r="516" spans="1:1" x14ac:dyDescent="0.25">
      <c r="A516" t="s">
        <v>829</v>
      </c>
    </row>
    <row r="517" spans="1:1" x14ac:dyDescent="0.25">
      <c r="A517" t="s">
        <v>830</v>
      </c>
    </row>
    <row r="518" spans="1:1" x14ac:dyDescent="0.25">
      <c r="A518" t="s">
        <v>831</v>
      </c>
    </row>
    <row r="519" spans="1:1" x14ac:dyDescent="0.25">
      <c r="A519" t="s">
        <v>832</v>
      </c>
    </row>
    <row r="520" spans="1:1" x14ac:dyDescent="0.25">
      <c r="A520" t="s">
        <v>833</v>
      </c>
    </row>
    <row r="521" spans="1:1" x14ac:dyDescent="0.25">
      <c r="A521" t="s">
        <v>834</v>
      </c>
    </row>
    <row r="522" spans="1:1" x14ac:dyDescent="0.25">
      <c r="A522" t="s">
        <v>835</v>
      </c>
    </row>
    <row r="523" spans="1:1" x14ac:dyDescent="0.25">
      <c r="A523" t="s">
        <v>836</v>
      </c>
    </row>
    <row r="524" spans="1:1" x14ac:dyDescent="0.25">
      <c r="A524" t="s">
        <v>837</v>
      </c>
    </row>
    <row r="525" spans="1:1" x14ac:dyDescent="0.25">
      <c r="A525" t="s">
        <v>838</v>
      </c>
    </row>
    <row r="526" spans="1:1" x14ac:dyDescent="0.25">
      <c r="A526" t="s">
        <v>839</v>
      </c>
    </row>
    <row r="527" spans="1:1" x14ac:dyDescent="0.25">
      <c r="A527" t="s">
        <v>840</v>
      </c>
    </row>
    <row r="528" spans="1:1" x14ac:dyDescent="0.25">
      <c r="A528" t="s">
        <v>841</v>
      </c>
    </row>
    <row r="529" spans="1:1" x14ac:dyDescent="0.25">
      <c r="A529" t="s">
        <v>842</v>
      </c>
    </row>
    <row r="530" spans="1:1" x14ac:dyDescent="0.25">
      <c r="A530" t="s">
        <v>843</v>
      </c>
    </row>
    <row r="531" spans="1:1" x14ac:dyDescent="0.25">
      <c r="A531" t="s">
        <v>844</v>
      </c>
    </row>
    <row r="532" spans="1:1" x14ac:dyDescent="0.25">
      <c r="A532" t="s">
        <v>845</v>
      </c>
    </row>
    <row r="533" spans="1:1" x14ac:dyDescent="0.25">
      <c r="A533" t="s">
        <v>846</v>
      </c>
    </row>
    <row r="534" spans="1:1" x14ac:dyDescent="0.25">
      <c r="A534" t="s">
        <v>847</v>
      </c>
    </row>
    <row r="535" spans="1:1" x14ac:dyDescent="0.25">
      <c r="A535" t="s">
        <v>848</v>
      </c>
    </row>
    <row r="536" spans="1:1" x14ac:dyDescent="0.25">
      <c r="A536" t="s">
        <v>849</v>
      </c>
    </row>
    <row r="537" spans="1:1" x14ac:dyDescent="0.25">
      <c r="A537" t="s">
        <v>850</v>
      </c>
    </row>
    <row r="538" spans="1:1" x14ac:dyDescent="0.25">
      <c r="A538" t="s">
        <v>851</v>
      </c>
    </row>
    <row r="539" spans="1:1" x14ac:dyDescent="0.25">
      <c r="A539" t="s">
        <v>852</v>
      </c>
    </row>
    <row r="540" spans="1:1" x14ac:dyDescent="0.25">
      <c r="A540" t="s">
        <v>853</v>
      </c>
    </row>
    <row r="541" spans="1:1" x14ac:dyDescent="0.25">
      <c r="A541" t="s">
        <v>854</v>
      </c>
    </row>
    <row r="542" spans="1:1" x14ac:dyDescent="0.25">
      <c r="A542" t="s">
        <v>855</v>
      </c>
    </row>
    <row r="543" spans="1:1" x14ac:dyDescent="0.25">
      <c r="A543" t="s">
        <v>856</v>
      </c>
    </row>
    <row r="544" spans="1:1" x14ac:dyDescent="0.25">
      <c r="A544" t="s">
        <v>857</v>
      </c>
    </row>
    <row r="545" spans="1:1" x14ac:dyDescent="0.25">
      <c r="A545" t="s">
        <v>858</v>
      </c>
    </row>
    <row r="546" spans="1:1" x14ac:dyDescent="0.25">
      <c r="A546" t="s">
        <v>859</v>
      </c>
    </row>
    <row r="547" spans="1:1" x14ac:dyDescent="0.25">
      <c r="A547" t="s">
        <v>860</v>
      </c>
    </row>
    <row r="548" spans="1:1" x14ac:dyDescent="0.25">
      <c r="A548" t="s">
        <v>861</v>
      </c>
    </row>
    <row r="549" spans="1:1" x14ac:dyDescent="0.25">
      <c r="A549" t="s">
        <v>862</v>
      </c>
    </row>
    <row r="550" spans="1:1" x14ac:dyDescent="0.25">
      <c r="A550" t="s">
        <v>863</v>
      </c>
    </row>
    <row r="551" spans="1:1" x14ac:dyDescent="0.25">
      <c r="A551" t="s">
        <v>864</v>
      </c>
    </row>
    <row r="552" spans="1:1" x14ac:dyDescent="0.25">
      <c r="A552" t="s">
        <v>865</v>
      </c>
    </row>
    <row r="553" spans="1:1" x14ac:dyDescent="0.25">
      <c r="A553" t="s">
        <v>866</v>
      </c>
    </row>
    <row r="554" spans="1:1" x14ac:dyDescent="0.25">
      <c r="A554" t="s">
        <v>867</v>
      </c>
    </row>
    <row r="555" spans="1:1" x14ac:dyDescent="0.25">
      <c r="A555" t="s">
        <v>868</v>
      </c>
    </row>
    <row r="556" spans="1:1" x14ac:dyDescent="0.25">
      <c r="A556" t="s">
        <v>869</v>
      </c>
    </row>
    <row r="557" spans="1:1" x14ac:dyDescent="0.25">
      <c r="A557" t="s">
        <v>870</v>
      </c>
    </row>
    <row r="558" spans="1:1" x14ac:dyDescent="0.25">
      <c r="A558" t="s">
        <v>871</v>
      </c>
    </row>
    <row r="559" spans="1:1" x14ac:dyDescent="0.25">
      <c r="A559" t="s">
        <v>872</v>
      </c>
    </row>
    <row r="560" spans="1:1" x14ac:dyDescent="0.25">
      <c r="A560" t="s">
        <v>873</v>
      </c>
    </row>
    <row r="561" spans="1:1" x14ac:dyDescent="0.25">
      <c r="A561" t="s">
        <v>874</v>
      </c>
    </row>
    <row r="562" spans="1:1" x14ac:dyDescent="0.25">
      <c r="A562" t="s">
        <v>875</v>
      </c>
    </row>
    <row r="563" spans="1:1" x14ac:dyDescent="0.25">
      <c r="A563" t="s">
        <v>876</v>
      </c>
    </row>
    <row r="564" spans="1:1" x14ac:dyDescent="0.25">
      <c r="A564" t="s">
        <v>877</v>
      </c>
    </row>
    <row r="565" spans="1:1" x14ac:dyDescent="0.25">
      <c r="A565" t="s">
        <v>878</v>
      </c>
    </row>
    <row r="566" spans="1:1" x14ac:dyDescent="0.25">
      <c r="A566" t="s">
        <v>879</v>
      </c>
    </row>
    <row r="567" spans="1:1" x14ac:dyDescent="0.25">
      <c r="A567" t="s">
        <v>880</v>
      </c>
    </row>
    <row r="568" spans="1:1" x14ac:dyDescent="0.25">
      <c r="A568" t="s">
        <v>881</v>
      </c>
    </row>
    <row r="569" spans="1:1" x14ac:dyDescent="0.25">
      <c r="A569" t="s">
        <v>882</v>
      </c>
    </row>
    <row r="570" spans="1:1" x14ac:dyDescent="0.25">
      <c r="A570" t="s">
        <v>883</v>
      </c>
    </row>
    <row r="571" spans="1:1" x14ac:dyDescent="0.25">
      <c r="A571" t="s">
        <v>884</v>
      </c>
    </row>
    <row r="572" spans="1:1" x14ac:dyDescent="0.25">
      <c r="A572" t="s">
        <v>885</v>
      </c>
    </row>
    <row r="573" spans="1:1" x14ac:dyDescent="0.25">
      <c r="A573" t="s">
        <v>886</v>
      </c>
    </row>
    <row r="574" spans="1:1" x14ac:dyDescent="0.25">
      <c r="A574" t="s">
        <v>887</v>
      </c>
    </row>
    <row r="575" spans="1:1" x14ac:dyDescent="0.25">
      <c r="A575" t="s">
        <v>888</v>
      </c>
    </row>
    <row r="576" spans="1:1" x14ac:dyDescent="0.25">
      <c r="A576" t="s">
        <v>889</v>
      </c>
    </row>
    <row r="577" spans="1:1" x14ac:dyDescent="0.25">
      <c r="A577" t="s">
        <v>890</v>
      </c>
    </row>
    <row r="578" spans="1:1" x14ac:dyDescent="0.25">
      <c r="A578" t="s">
        <v>891</v>
      </c>
    </row>
    <row r="579" spans="1:1" x14ac:dyDescent="0.25">
      <c r="A579" t="s">
        <v>892</v>
      </c>
    </row>
    <row r="580" spans="1:1" x14ac:dyDescent="0.25">
      <c r="A580" t="s">
        <v>893</v>
      </c>
    </row>
    <row r="581" spans="1:1" x14ac:dyDescent="0.25">
      <c r="A581" t="s">
        <v>894</v>
      </c>
    </row>
    <row r="582" spans="1:1" x14ac:dyDescent="0.25">
      <c r="A582" t="s">
        <v>895</v>
      </c>
    </row>
    <row r="583" spans="1:1" x14ac:dyDescent="0.25">
      <c r="A583" t="s">
        <v>896</v>
      </c>
    </row>
    <row r="584" spans="1:1" x14ac:dyDescent="0.25">
      <c r="A584" t="s">
        <v>897</v>
      </c>
    </row>
    <row r="585" spans="1:1" x14ac:dyDescent="0.25">
      <c r="A585" t="s">
        <v>898</v>
      </c>
    </row>
    <row r="586" spans="1:1" x14ac:dyDescent="0.25">
      <c r="A586" t="s">
        <v>899</v>
      </c>
    </row>
    <row r="587" spans="1:1" x14ac:dyDescent="0.25">
      <c r="A587" t="s">
        <v>900</v>
      </c>
    </row>
    <row r="588" spans="1:1" x14ac:dyDescent="0.25">
      <c r="A588" t="s">
        <v>901</v>
      </c>
    </row>
    <row r="589" spans="1:1" x14ac:dyDescent="0.25">
      <c r="A589" t="s">
        <v>902</v>
      </c>
    </row>
    <row r="590" spans="1:1" x14ac:dyDescent="0.25">
      <c r="A590" t="s">
        <v>903</v>
      </c>
    </row>
    <row r="591" spans="1:1" x14ac:dyDescent="0.25">
      <c r="A591" t="s">
        <v>904</v>
      </c>
    </row>
    <row r="592" spans="1:1" x14ac:dyDescent="0.25">
      <c r="A592" t="s">
        <v>905</v>
      </c>
    </row>
    <row r="593" spans="1:1" x14ac:dyDescent="0.25">
      <c r="A593" t="s">
        <v>906</v>
      </c>
    </row>
    <row r="594" spans="1:1" x14ac:dyDescent="0.25">
      <c r="A594" t="s">
        <v>907</v>
      </c>
    </row>
    <row r="595" spans="1:1" x14ac:dyDescent="0.25">
      <c r="A595" t="s">
        <v>908</v>
      </c>
    </row>
    <row r="596" spans="1:1" x14ac:dyDescent="0.25">
      <c r="A596" t="s">
        <v>909</v>
      </c>
    </row>
    <row r="597" spans="1:1" x14ac:dyDescent="0.25">
      <c r="A597" t="s">
        <v>910</v>
      </c>
    </row>
    <row r="598" spans="1:1" x14ac:dyDescent="0.25">
      <c r="A598" t="s">
        <v>911</v>
      </c>
    </row>
    <row r="599" spans="1:1" x14ac:dyDescent="0.25">
      <c r="A599" t="s">
        <v>912</v>
      </c>
    </row>
    <row r="600" spans="1:1" x14ac:dyDescent="0.25">
      <c r="A600" t="s">
        <v>913</v>
      </c>
    </row>
    <row r="601" spans="1:1" x14ac:dyDescent="0.25">
      <c r="A601" t="s">
        <v>914</v>
      </c>
    </row>
    <row r="602" spans="1:1" x14ac:dyDescent="0.25">
      <c r="A602" t="s">
        <v>915</v>
      </c>
    </row>
    <row r="603" spans="1:1" x14ac:dyDescent="0.25">
      <c r="A603" t="s">
        <v>916</v>
      </c>
    </row>
    <row r="604" spans="1:1" x14ac:dyDescent="0.25">
      <c r="A604" t="s">
        <v>917</v>
      </c>
    </row>
    <row r="605" spans="1:1" x14ac:dyDescent="0.25">
      <c r="A605" t="s">
        <v>918</v>
      </c>
    </row>
    <row r="606" spans="1:1" x14ac:dyDescent="0.25">
      <c r="A606" t="s">
        <v>919</v>
      </c>
    </row>
    <row r="607" spans="1:1" x14ac:dyDescent="0.25">
      <c r="A607" t="s">
        <v>920</v>
      </c>
    </row>
    <row r="608" spans="1:1" x14ac:dyDescent="0.25">
      <c r="A608" t="s">
        <v>921</v>
      </c>
    </row>
    <row r="609" spans="1:1" x14ac:dyDescent="0.25">
      <c r="A609" t="s">
        <v>922</v>
      </c>
    </row>
    <row r="610" spans="1:1" x14ac:dyDescent="0.25">
      <c r="A610" t="s">
        <v>923</v>
      </c>
    </row>
    <row r="611" spans="1:1" x14ac:dyDescent="0.25">
      <c r="A611" t="s">
        <v>924</v>
      </c>
    </row>
    <row r="612" spans="1:1" x14ac:dyDescent="0.25">
      <c r="A612" t="s">
        <v>925</v>
      </c>
    </row>
    <row r="613" spans="1:1" x14ac:dyDescent="0.25">
      <c r="A613" t="s">
        <v>926</v>
      </c>
    </row>
    <row r="614" spans="1:1" x14ac:dyDescent="0.25">
      <c r="A614" t="s">
        <v>927</v>
      </c>
    </row>
    <row r="615" spans="1:1" x14ac:dyDescent="0.25">
      <c r="A615" t="s">
        <v>928</v>
      </c>
    </row>
    <row r="616" spans="1:1" x14ac:dyDescent="0.25">
      <c r="A616" t="s">
        <v>929</v>
      </c>
    </row>
    <row r="617" spans="1:1" x14ac:dyDescent="0.25">
      <c r="A617" t="s">
        <v>930</v>
      </c>
    </row>
    <row r="618" spans="1:1" x14ac:dyDescent="0.25">
      <c r="A618" t="s">
        <v>931</v>
      </c>
    </row>
    <row r="619" spans="1:1" x14ac:dyDescent="0.25">
      <c r="A619" t="s">
        <v>932</v>
      </c>
    </row>
    <row r="620" spans="1:1" x14ac:dyDescent="0.25">
      <c r="A620" t="s">
        <v>933</v>
      </c>
    </row>
    <row r="621" spans="1:1" x14ac:dyDescent="0.25">
      <c r="A621" t="s">
        <v>934</v>
      </c>
    </row>
    <row r="622" spans="1:1" x14ac:dyDescent="0.25">
      <c r="A622" t="s">
        <v>935</v>
      </c>
    </row>
    <row r="623" spans="1:1" x14ac:dyDescent="0.25">
      <c r="A623" t="s">
        <v>936</v>
      </c>
    </row>
    <row r="624" spans="1:1" x14ac:dyDescent="0.25">
      <c r="A624" t="s">
        <v>937</v>
      </c>
    </row>
    <row r="625" spans="1:1" x14ac:dyDescent="0.25">
      <c r="A625" t="s">
        <v>938</v>
      </c>
    </row>
    <row r="626" spans="1:1" x14ac:dyDescent="0.25">
      <c r="A626" t="s">
        <v>939</v>
      </c>
    </row>
    <row r="627" spans="1:1" x14ac:dyDescent="0.25">
      <c r="A627" t="s">
        <v>940</v>
      </c>
    </row>
    <row r="628" spans="1:1" x14ac:dyDescent="0.25">
      <c r="A628" t="s">
        <v>941</v>
      </c>
    </row>
    <row r="629" spans="1:1" x14ac:dyDescent="0.25">
      <c r="A629" t="s">
        <v>942</v>
      </c>
    </row>
    <row r="630" spans="1:1" x14ac:dyDescent="0.25">
      <c r="A630" t="s">
        <v>943</v>
      </c>
    </row>
    <row r="631" spans="1:1" x14ac:dyDescent="0.25">
      <c r="A631" t="s">
        <v>944</v>
      </c>
    </row>
    <row r="632" spans="1:1" x14ac:dyDescent="0.25">
      <c r="A632" t="s">
        <v>945</v>
      </c>
    </row>
    <row r="633" spans="1:1" x14ac:dyDescent="0.25">
      <c r="A633" t="s">
        <v>946</v>
      </c>
    </row>
    <row r="634" spans="1:1" x14ac:dyDescent="0.25">
      <c r="A634" t="s">
        <v>947</v>
      </c>
    </row>
    <row r="635" spans="1:1" x14ac:dyDescent="0.25">
      <c r="A635" t="s">
        <v>948</v>
      </c>
    </row>
    <row r="636" spans="1:1" x14ac:dyDescent="0.25">
      <c r="A636" t="s">
        <v>949</v>
      </c>
    </row>
    <row r="637" spans="1:1" x14ac:dyDescent="0.25">
      <c r="A637" t="s">
        <v>950</v>
      </c>
    </row>
    <row r="638" spans="1:1" x14ac:dyDescent="0.25">
      <c r="A638" t="s">
        <v>951</v>
      </c>
    </row>
    <row r="639" spans="1:1" x14ac:dyDescent="0.25">
      <c r="A639" t="s">
        <v>952</v>
      </c>
    </row>
    <row r="640" spans="1:1" x14ac:dyDescent="0.25">
      <c r="A640" t="s">
        <v>953</v>
      </c>
    </row>
    <row r="641" spans="1:1" x14ac:dyDescent="0.25">
      <c r="A641" t="s">
        <v>954</v>
      </c>
    </row>
    <row r="642" spans="1:1" x14ac:dyDescent="0.25">
      <c r="A642" t="s">
        <v>955</v>
      </c>
    </row>
    <row r="643" spans="1:1" x14ac:dyDescent="0.25">
      <c r="A643" t="s">
        <v>956</v>
      </c>
    </row>
    <row r="644" spans="1:1" x14ac:dyDescent="0.25">
      <c r="A644" t="s">
        <v>957</v>
      </c>
    </row>
    <row r="645" spans="1:1" x14ac:dyDescent="0.25">
      <c r="A645" t="s">
        <v>958</v>
      </c>
    </row>
    <row r="646" spans="1:1" x14ac:dyDescent="0.25">
      <c r="A646" t="s">
        <v>959</v>
      </c>
    </row>
    <row r="647" spans="1:1" x14ac:dyDescent="0.25">
      <c r="A647" t="s">
        <v>960</v>
      </c>
    </row>
    <row r="648" spans="1:1" x14ac:dyDescent="0.25">
      <c r="A648" t="s">
        <v>961</v>
      </c>
    </row>
    <row r="649" spans="1:1" x14ac:dyDescent="0.25">
      <c r="A649" t="s">
        <v>962</v>
      </c>
    </row>
    <row r="650" spans="1:1" x14ac:dyDescent="0.25">
      <c r="A650" t="s">
        <v>963</v>
      </c>
    </row>
    <row r="651" spans="1:1" x14ac:dyDescent="0.25">
      <c r="A651" t="s">
        <v>964</v>
      </c>
    </row>
    <row r="652" spans="1:1" x14ac:dyDescent="0.25">
      <c r="A652" t="s">
        <v>965</v>
      </c>
    </row>
    <row r="653" spans="1:1" x14ac:dyDescent="0.25">
      <c r="A653" t="s">
        <v>966</v>
      </c>
    </row>
    <row r="654" spans="1:1" x14ac:dyDescent="0.25">
      <c r="A654" t="s">
        <v>967</v>
      </c>
    </row>
    <row r="655" spans="1:1" x14ac:dyDescent="0.25">
      <c r="A655" t="s">
        <v>968</v>
      </c>
    </row>
    <row r="656" spans="1:1" x14ac:dyDescent="0.25">
      <c r="A656" t="s">
        <v>969</v>
      </c>
    </row>
    <row r="657" spans="1:1" x14ac:dyDescent="0.25">
      <c r="A657" t="s">
        <v>970</v>
      </c>
    </row>
    <row r="658" spans="1:1" x14ac:dyDescent="0.25">
      <c r="A658" t="s">
        <v>971</v>
      </c>
    </row>
    <row r="659" spans="1:1" x14ac:dyDescent="0.25">
      <c r="A659" t="s">
        <v>972</v>
      </c>
    </row>
    <row r="660" spans="1:1" x14ac:dyDescent="0.25">
      <c r="A660" t="s">
        <v>973</v>
      </c>
    </row>
    <row r="661" spans="1:1" x14ac:dyDescent="0.25">
      <c r="A661" t="s">
        <v>974</v>
      </c>
    </row>
    <row r="662" spans="1:1" x14ac:dyDescent="0.25">
      <c r="A662" t="s">
        <v>975</v>
      </c>
    </row>
    <row r="663" spans="1:1" x14ac:dyDescent="0.25">
      <c r="A663" t="s">
        <v>976</v>
      </c>
    </row>
    <row r="664" spans="1:1" x14ac:dyDescent="0.25">
      <c r="A664" t="s">
        <v>977</v>
      </c>
    </row>
    <row r="665" spans="1:1" x14ac:dyDescent="0.25">
      <c r="A665" t="s">
        <v>978</v>
      </c>
    </row>
    <row r="666" spans="1:1" x14ac:dyDescent="0.25">
      <c r="A666" t="s">
        <v>979</v>
      </c>
    </row>
    <row r="667" spans="1:1" x14ac:dyDescent="0.25">
      <c r="A667" t="s">
        <v>980</v>
      </c>
    </row>
    <row r="668" spans="1:1" x14ac:dyDescent="0.25">
      <c r="A668" t="s">
        <v>981</v>
      </c>
    </row>
    <row r="669" spans="1:1" x14ac:dyDescent="0.25">
      <c r="A669" t="s">
        <v>982</v>
      </c>
    </row>
    <row r="670" spans="1:1" x14ac:dyDescent="0.25">
      <c r="A670" t="s">
        <v>983</v>
      </c>
    </row>
    <row r="671" spans="1:1" x14ac:dyDescent="0.25">
      <c r="A671" t="s">
        <v>984</v>
      </c>
    </row>
    <row r="672" spans="1:1" x14ac:dyDescent="0.25">
      <c r="A672" t="s">
        <v>985</v>
      </c>
    </row>
    <row r="673" spans="1:1" x14ac:dyDescent="0.25">
      <c r="A673" t="s">
        <v>986</v>
      </c>
    </row>
    <row r="674" spans="1:1" x14ac:dyDescent="0.25">
      <c r="A674" t="s">
        <v>987</v>
      </c>
    </row>
    <row r="675" spans="1:1" x14ac:dyDescent="0.25">
      <c r="A675" t="s">
        <v>988</v>
      </c>
    </row>
    <row r="676" spans="1:1" x14ac:dyDescent="0.25">
      <c r="A676" t="s">
        <v>989</v>
      </c>
    </row>
    <row r="677" spans="1:1" x14ac:dyDescent="0.25">
      <c r="A677" t="s">
        <v>990</v>
      </c>
    </row>
    <row r="678" spans="1:1" x14ac:dyDescent="0.25">
      <c r="A678" t="s">
        <v>991</v>
      </c>
    </row>
    <row r="679" spans="1:1" x14ac:dyDescent="0.25">
      <c r="A679" t="s">
        <v>992</v>
      </c>
    </row>
    <row r="680" spans="1:1" x14ac:dyDescent="0.25">
      <c r="A680" t="s">
        <v>993</v>
      </c>
    </row>
    <row r="681" spans="1:1" x14ac:dyDescent="0.25">
      <c r="A681" t="s">
        <v>994</v>
      </c>
    </row>
    <row r="682" spans="1:1" x14ac:dyDescent="0.25">
      <c r="A682" t="s">
        <v>995</v>
      </c>
    </row>
    <row r="683" spans="1:1" x14ac:dyDescent="0.25">
      <c r="A683" t="s">
        <v>996</v>
      </c>
    </row>
    <row r="684" spans="1:1" x14ac:dyDescent="0.25">
      <c r="A684" t="s">
        <v>997</v>
      </c>
    </row>
    <row r="685" spans="1:1" x14ac:dyDescent="0.25">
      <c r="A685" t="s">
        <v>998</v>
      </c>
    </row>
    <row r="686" spans="1:1" x14ac:dyDescent="0.25">
      <c r="A686" t="s">
        <v>999</v>
      </c>
    </row>
    <row r="687" spans="1:1" x14ac:dyDescent="0.25">
      <c r="A687" t="s">
        <v>1000</v>
      </c>
    </row>
    <row r="688" spans="1:1" x14ac:dyDescent="0.25">
      <c r="A688" t="s">
        <v>1001</v>
      </c>
    </row>
    <row r="689" spans="1:1" x14ac:dyDescent="0.25">
      <c r="A689" t="s">
        <v>1002</v>
      </c>
    </row>
    <row r="690" spans="1:1" x14ac:dyDescent="0.25">
      <c r="A690" t="s">
        <v>1003</v>
      </c>
    </row>
    <row r="691" spans="1:1" x14ac:dyDescent="0.25">
      <c r="A691" t="s">
        <v>1004</v>
      </c>
    </row>
    <row r="692" spans="1:1" x14ac:dyDescent="0.25">
      <c r="A692" t="s">
        <v>1005</v>
      </c>
    </row>
    <row r="693" spans="1:1" x14ac:dyDescent="0.25">
      <c r="A693" t="s">
        <v>1006</v>
      </c>
    </row>
    <row r="694" spans="1:1" x14ac:dyDescent="0.25">
      <c r="A694" t="s">
        <v>1007</v>
      </c>
    </row>
    <row r="695" spans="1:1" x14ac:dyDescent="0.25">
      <c r="A695" t="s">
        <v>1008</v>
      </c>
    </row>
    <row r="696" spans="1:1" x14ac:dyDescent="0.25">
      <c r="A696" t="s">
        <v>1009</v>
      </c>
    </row>
    <row r="697" spans="1:1" x14ac:dyDescent="0.25">
      <c r="A697" t="s">
        <v>1010</v>
      </c>
    </row>
    <row r="698" spans="1:1" x14ac:dyDescent="0.25">
      <c r="A698" t="s">
        <v>1011</v>
      </c>
    </row>
    <row r="699" spans="1:1" x14ac:dyDescent="0.25">
      <c r="A699" t="s">
        <v>1012</v>
      </c>
    </row>
    <row r="700" spans="1:1" x14ac:dyDescent="0.25">
      <c r="A700" t="s">
        <v>1013</v>
      </c>
    </row>
    <row r="701" spans="1:1" x14ac:dyDescent="0.25">
      <c r="A701" t="s">
        <v>1014</v>
      </c>
    </row>
    <row r="702" spans="1:1" x14ac:dyDescent="0.25">
      <c r="A702" t="s">
        <v>1015</v>
      </c>
    </row>
    <row r="703" spans="1:1" x14ac:dyDescent="0.25">
      <c r="A703" t="s">
        <v>1016</v>
      </c>
    </row>
    <row r="704" spans="1:1" x14ac:dyDescent="0.25">
      <c r="A704" t="s">
        <v>1017</v>
      </c>
    </row>
    <row r="705" spans="1:1" x14ac:dyDescent="0.25">
      <c r="A705" t="s">
        <v>1018</v>
      </c>
    </row>
    <row r="706" spans="1:1" x14ac:dyDescent="0.25">
      <c r="A706" t="s">
        <v>1019</v>
      </c>
    </row>
    <row r="707" spans="1:1" x14ac:dyDescent="0.25">
      <c r="A707" t="s">
        <v>1020</v>
      </c>
    </row>
    <row r="708" spans="1:1" x14ac:dyDescent="0.25">
      <c r="A708" t="s">
        <v>1021</v>
      </c>
    </row>
    <row r="709" spans="1:1" x14ac:dyDescent="0.25">
      <c r="A709" t="s">
        <v>1022</v>
      </c>
    </row>
    <row r="710" spans="1:1" x14ac:dyDescent="0.25">
      <c r="A710" t="s">
        <v>1023</v>
      </c>
    </row>
    <row r="711" spans="1:1" x14ac:dyDescent="0.25">
      <c r="A711" t="s">
        <v>1024</v>
      </c>
    </row>
    <row r="712" spans="1:1" x14ac:dyDescent="0.25">
      <c r="A712" t="s">
        <v>1025</v>
      </c>
    </row>
    <row r="713" spans="1:1" x14ac:dyDescent="0.25">
      <c r="A713" t="s">
        <v>1026</v>
      </c>
    </row>
    <row r="714" spans="1:1" x14ac:dyDescent="0.25">
      <c r="A714" t="s">
        <v>1027</v>
      </c>
    </row>
    <row r="715" spans="1:1" x14ac:dyDescent="0.25">
      <c r="A715" t="s">
        <v>1028</v>
      </c>
    </row>
    <row r="716" spans="1:1" x14ac:dyDescent="0.25">
      <c r="A716" t="s">
        <v>1029</v>
      </c>
    </row>
    <row r="717" spans="1:1" x14ac:dyDescent="0.25">
      <c r="A717" t="s">
        <v>1030</v>
      </c>
    </row>
    <row r="718" spans="1:1" x14ac:dyDescent="0.25">
      <c r="A718" t="s">
        <v>1031</v>
      </c>
    </row>
    <row r="719" spans="1:1" x14ac:dyDescent="0.25">
      <c r="A719" t="s">
        <v>1032</v>
      </c>
    </row>
    <row r="720" spans="1:1" x14ac:dyDescent="0.25">
      <c r="A720" t="s">
        <v>1033</v>
      </c>
    </row>
    <row r="721" spans="1:1" x14ac:dyDescent="0.25">
      <c r="A721" t="s">
        <v>1034</v>
      </c>
    </row>
    <row r="722" spans="1:1" x14ac:dyDescent="0.25">
      <c r="A722" t="s">
        <v>1035</v>
      </c>
    </row>
    <row r="723" spans="1:1" x14ac:dyDescent="0.25">
      <c r="A723" t="s">
        <v>1036</v>
      </c>
    </row>
    <row r="724" spans="1:1" x14ac:dyDescent="0.25">
      <c r="A724" t="s">
        <v>1037</v>
      </c>
    </row>
    <row r="725" spans="1:1" x14ac:dyDescent="0.25">
      <c r="A725" t="s">
        <v>1038</v>
      </c>
    </row>
    <row r="726" spans="1:1" x14ac:dyDescent="0.25">
      <c r="A726" t="s">
        <v>1039</v>
      </c>
    </row>
    <row r="727" spans="1:1" x14ac:dyDescent="0.25">
      <c r="A727" t="s">
        <v>1040</v>
      </c>
    </row>
    <row r="728" spans="1:1" x14ac:dyDescent="0.25">
      <c r="A728" t="s">
        <v>1041</v>
      </c>
    </row>
    <row r="729" spans="1:1" x14ac:dyDescent="0.25">
      <c r="A729" t="s">
        <v>1042</v>
      </c>
    </row>
    <row r="730" spans="1:1" x14ac:dyDescent="0.25">
      <c r="A730" t="s">
        <v>1043</v>
      </c>
    </row>
    <row r="731" spans="1:1" x14ac:dyDescent="0.25">
      <c r="A731" t="s">
        <v>1044</v>
      </c>
    </row>
    <row r="732" spans="1:1" x14ac:dyDescent="0.25">
      <c r="A732" t="s">
        <v>1045</v>
      </c>
    </row>
    <row r="733" spans="1:1" x14ac:dyDescent="0.25">
      <c r="A733" t="s">
        <v>1046</v>
      </c>
    </row>
    <row r="734" spans="1:1" x14ac:dyDescent="0.25">
      <c r="A734" t="s">
        <v>1047</v>
      </c>
    </row>
    <row r="735" spans="1:1" x14ac:dyDescent="0.25">
      <c r="A735" t="s">
        <v>1048</v>
      </c>
    </row>
    <row r="736" spans="1:1" x14ac:dyDescent="0.25">
      <c r="A736" t="s">
        <v>1049</v>
      </c>
    </row>
    <row r="737" spans="1:1" x14ac:dyDescent="0.25">
      <c r="A737" t="s">
        <v>1050</v>
      </c>
    </row>
    <row r="738" spans="1:1" x14ac:dyDescent="0.25">
      <c r="A738" t="s">
        <v>1051</v>
      </c>
    </row>
    <row r="739" spans="1:1" x14ac:dyDescent="0.25">
      <c r="A739" t="s">
        <v>1052</v>
      </c>
    </row>
    <row r="740" spans="1:1" x14ac:dyDescent="0.25">
      <c r="A740" t="s">
        <v>1053</v>
      </c>
    </row>
    <row r="741" spans="1:1" x14ac:dyDescent="0.25">
      <c r="A741" t="s">
        <v>1054</v>
      </c>
    </row>
    <row r="742" spans="1:1" x14ac:dyDescent="0.25">
      <c r="A742" t="s">
        <v>1055</v>
      </c>
    </row>
    <row r="743" spans="1:1" x14ac:dyDescent="0.25">
      <c r="A743" t="s">
        <v>1056</v>
      </c>
    </row>
    <row r="744" spans="1:1" x14ac:dyDescent="0.25">
      <c r="A744" t="s">
        <v>1057</v>
      </c>
    </row>
    <row r="745" spans="1:1" x14ac:dyDescent="0.25">
      <c r="A745" t="s">
        <v>1058</v>
      </c>
    </row>
    <row r="746" spans="1:1" x14ac:dyDescent="0.25">
      <c r="A746" t="s">
        <v>1059</v>
      </c>
    </row>
    <row r="747" spans="1:1" x14ac:dyDescent="0.25">
      <c r="A747" t="s">
        <v>1060</v>
      </c>
    </row>
    <row r="748" spans="1:1" x14ac:dyDescent="0.25">
      <c r="A748" t="s">
        <v>1061</v>
      </c>
    </row>
    <row r="749" spans="1:1" x14ac:dyDescent="0.25">
      <c r="A749" t="s">
        <v>1062</v>
      </c>
    </row>
    <row r="750" spans="1:1" x14ac:dyDescent="0.25">
      <c r="A750" t="s">
        <v>1063</v>
      </c>
    </row>
    <row r="751" spans="1:1" x14ac:dyDescent="0.25">
      <c r="A751" t="s">
        <v>1064</v>
      </c>
    </row>
    <row r="752" spans="1:1" x14ac:dyDescent="0.25">
      <c r="A752" t="s">
        <v>1065</v>
      </c>
    </row>
    <row r="753" spans="1:1" x14ac:dyDescent="0.25">
      <c r="A753" t="s">
        <v>1066</v>
      </c>
    </row>
    <row r="754" spans="1:1" x14ac:dyDescent="0.25">
      <c r="A754" t="s">
        <v>1067</v>
      </c>
    </row>
    <row r="755" spans="1:1" x14ac:dyDescent="0.25">
      <c r="A755" t="s">
        <v>1068</v>
      </c>
    </row>
    <row r="756" spans="1:1" x14ac:dyDescent="0.25">
      <c r="A756" t="s">
        <v>1069</v>
      </c>
    </row>
    <row r="757" spans="1:1" x14ac:dyDescent="0.25">
      <c r="A757" t="s">
        <v>1070</v>
      </c>
    </row>
    <row r="758" spans="1:1" x14ac:dyDescent="0.25">
      <c r="A758" t="s">
        <v>1071</v>
      </c>
    </row>
    <row r="759" spans="1:1" x14ac:dyDescent="0.25">
      <c r="A759" t="s">
        <v>1072</v>
      </c>
    </row>
    <row r="760" spans="1:1" x14ac:dyDescent="0.25">
      <c r="A760" t="s">
        <v>1073</v>
      </c>
    </row>
    <row r="761" spans="1:1" x14ac:dyDescent="0.25">
      <c r="A761" t="s">
        <v>1074</v>
      </c>
    </row>
    <row r="762" spans="1:1" x14ac:dyDescent="0.25">
      <c r="A762" t="s">
        <v>1075</v>
      </c>
    </row>
    <row r="763" spans="1:1" x14ac:dyDescent="0.25">
      <c r="A763" t="s">
        <v>1076</v>
      </c>
    </row>
    <row r="764" spans="1:1" x14ac:dyDescent="0.25">
      <c r="A764" t="s">
        <v>1077</v>
      </c>
    </row>
    <row r="765" spans="1:1" x14ac:dyDescent="0.25">
      <c r="A765" t="s">
        <v>1078</v>
      </c>
    </row>
    <row r="766" spans="1:1" x14ac:dyDescent="0.25">
      <c r="A766" t="s">
        <v>1079</v>
      </c>
    </row>
    <row r="767" spans="1:1" x14ac:dyDescent="0.25">
      <c r="A767" t="s">
        <v>1080</v>
      </c>
    </row>
    <row r="768" spans="1:1" x14ac:dyDescent="0.25">
      <c r="A768" t="s">
        <v>1081</v>
      </c>
    </row>
    <row r="769" spans="1:1" x14ac:dyDescent="0.25">
      <c r="A769" t="s">
        <v>1082</v>
      </c>
    </row>
    <row r="770" spans="1:1" x14ac:dyDescent="0.25">
      <c r="A770" t="s">
        <v>1083</v>
      </c>
    </row>
    <row r="771" spans="1:1" x14ac:dyDescent="0.25">
      <c r="A771" t="s">
        <v>1084</v>
      </c>
    </row>
    <row r="772" spans="1:1" x14ac:dyDescent="0.25">
      <c r="A772" t="s">
        <v>1085</v>
      </c>
    </row>
    <row r="773" spans="1:1" x14ac:dyDescent="0.25">
      <c r="A773" t="s">
        <v>1086</v>
      </c>
    </row>
    <row r="774" spans="1:1" x14ac:dyDescent="0.25">
      <c r="A774" t="s">
        <v>1087</v>
      </c>
    </row>
    <row r="775" spans="1:1" x14ac:dyDescent="0.25">
      <c r="A775" t="s">
        <v>1088</v>
      </c>
    </row>
    <row r="776" spans="1:1" x14ac:dyDescent="0.25">
      <c r="A776" t="s">
        <v>1089</v>
      </c>
    </row>
    <row r="777" spans="1:1" x14ac:dyDescent="0.25">
      <c r="A777" t="s">
        <v>1090</v>
      </c>
    </row>
    <row r="778" spans="1:1" x14ac:dyDescent="0.25">
      <c r="A778" t="s">
        <v>1091</v>
      </c>
    </row>
    <row r="779" spans="1:1" x14ac:dyDescent="0.25">
      <c r="A779" t="s">
        <v>1092</v>
      </c>
    </row>
    <row r="780" spans="1:1" x14ac:dyDescent="0.25">
      <c r="A780" t="s">
        <v>1093</v>
      </c>
    </row>
    <row r="781" spans="1:1" x14ac:dyDescent="0.25">
      <c r="A781" t="s">
        <v>1094</v>
      </c>
    </row>
    <row r="782" spans="1:1" x14ac:dyDescent="0.25">
      <c r="A782" t="s">
        <v>1095</v>
      </c>
    </row>
    <row r="783" spans="1:1" x14ac:dyDescent="0.25">
      <c r="A783" t="s">
        <v>1096</v>
      </c>
    </row>
    <row r="784" spans="1:1" x14ac:dyDescent="0.25">
      <c r="A784" t="s">
        <v>1097</v>
      </c>
    </row>
    <row r="785" spans="1:1" x14ac:dyDescent="0.25">
      <c r="A785" t="s">
        <v>1098</v>
      </c>
    </row>
    <row r="786" spans="1:1" x14ac:dyDescent="0.25">
      <c r="A786" t="s">
        <v>1099</v>
      </c>
    </row>
    <row r="787" spans="1:1" x14ac:dyDescent="0.25">
      <c r="A787" t="s">
        <v>1100</v>
      </c>
    </row>
    <row r="788" spans="1:1" x14ac:dyDescent="0.25">
      <c r="A788" t="s">
        <v>1101</v>
      </c>
    </row>
    <row r="789" spans="1:1" x14ac:dyDescent="0.25">
      <c r="A789" t="s">
        <v>1102</v>
      </c>
    </row>
    <row r="790" spans="1:1" x14ac:dyDescent="0.25">
      <c r="A790" t="s">
        <v>1103</v>
      </c>
    </row>
    <row r="791" spans="1:1" x14ac:dyDescent="0.25">
      <c r="A791" t="s">
        <v>1104</v>
      </c>
    </row>
    <row r="792" spans="1:1" x14ac:dyDescent="0.25">
      <c r="A792" t="s">
        <v>1105</v>
      </c>
    </row>
    <row r="793" spans="1:1" x14ac:dyDescent="0.25">
      <c r="A793" t="s">
        <v>1106</v>
      </c>
    </row>
    <row r="794" spans="1:1" x14ac:dyDescent="0.25">
      <c r="A794" t="s">
        <v>1107</v>
      </c>
    </row>
    <row r="795" spans="1:1" x14ac:dyDescent="0.25">
      <c r="A795" t="s">
        <v>1108</v>
      </c>
    </row>
    <row r="796" spans="1:1" x14ac:dyDescent="0.25">
      <c r="A796" t="s">
        <v>1109</v>
      </c>
    </row>
    <row r="797" spans="1:1" x14ac:dyDescent="0.25">
      <c r="A797" t="s">
        <v>1110</v>
      </c>
    </row>
    <row r="798" spans="1:1" x14ac:dyDescent="0.25">
      <c r="A798" t="s">
        <v>1111</v>
      </c>
    </row>
    <row r="799" spans="1:1" x14ac:dyDescent="0.25">
      <c r="A799" t="s">
        <v>1112</v>
      </c>
    </row>
    <row r="800" spans="1:1" x14ac:dyDescent="0.25">
      <c r="A800" t="s">
        <v>1113</v>
      </c>
    </row>
    <row r="801" spans="1:1" x14ac:dyDescent="0.25">
      <c r="A801" t="s">
        <v>1114</v>
      </c>
    </row>
    <row r="802" spans="1:1" x14ac:dyDescent="0.25">
      <c r="A802" t="s">
        <v>1115</v>
      </c>
    </row>
    <row r="803" spans="1:1" x14ac:dyDescent="0.25">
      <c r="A803" t="s">
        <v>1116</v>
      </c>
    </row>
    <row r="804" spans="1:1" x14ac:dyDescent="0.25">
      <c r="A804" t="s">
        <v>1117</v>
      </c>
    </row>
    <row r="805" spans="1:1" x14ac:dyDescent="0.25">
      <c r="A805" t="s">
        <v>1118</v>
      </c>
    </row>
    <row r="806" spans="1:1" x14ac:dyDescent="0.25">
      <c r="A806" t="s">
        <v>1119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000000" tint="1"/>
  </sheetPr>
  <dimension ref="A1:O1000"/>
  <sheetViews>
    <sheetView workbookViewId="0">
      <selection activeCell="F25" sqref="F2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6" t="s">
        <v>116</v>
      </c>
      <c r="B1" s="6" t="s">
        <v>117</v>
      </c>
      <c r="C1" s="6" t="s">
        <v>118</v>
      </c>
      <c r="D1" s="6" t="s">
        <v>31</v>
      </c>
      <c r="E1" s="7" t="s">
        <v>119</v>
      </c>
      <c r="F1" s="7" t="s">
        <v>120</v>
      </c>
      <c r="G1" s="7" t="s">
        <v>121</v>
      </c>
      <c r="H1" s="7" t="s">
        <v>122</v>
      </c>
      <c r="I1" s="7" t="s">
        <v>123</v>
      </c>
      <c r="J1" s="7" t="s">
        <v>124</v>
      </c>
      <c r="K1" s="7" t="s">
        <v>125</v>
      </c>
      <c r="L1" s="7" t="s">
        <v>126</v>
      </c>
      <c r="M1" s="7" t="s">
        <v>127</v>
      </c>
      <c r="N1" s="7" t="s">
        <v>128</v>
      </c>
      <c r="O1" s="7" t="s">
        <v>129</v>
      </c>
    </row>
    <row r="2" spans="1:15" ht="15.95" customHeight="1" x14ac:dyDescent="0.25">
      <c r="A2" s="8">
        <v>43503.967557870368</v>
      </c>
      <c r="B2" s="5" t="s">
        <v>2694</v>
      </c>
      <c r="C2" s="5" t="s">
        <v>305</v>
      </c>
      <c r="D2" s="5" t="s">
        <v>307</v>
      </c>
      <c r="E2" s="5">
        <v>3</v>
      </c>
      <c r="F2" s="5">
        <v>3.34</v>
      </c>
      <c r="G2" s="5">
        <v>3.8</v>
      </c>
      <c r="H2" s="5">
        <v>3.12</v>
      </c>
      <c r="I2" s="5">
        <v>0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1</v>
      </c>
      <c r="O2" s="5" t="b">
        <v>0</v>
      </c>
    </row>
    <row r="3" spans="1:15" ht="15.95" customHeight="1" x14ac:dyDescent="0.25">
      <c r="A3" s="8">
        <v>43503.967685185184</v>
      </c>
      <c r="B3" s="5" t="s">
        <v>2694</v>
      </c>
      <c r="C3" s="5" t="s">
        <v>305</v>
      </c>
      <c r="D3" s="5" t="s">
        <v>307</v>
      </c>
      <c r="E3" s="5">
        <v>3</v>
      </c>
      <c r="F3" s="5">
        <v>3.34</v>
      </c>
      <c r="G3" s="5">
        <v>3.8</v>
      </c>
      <c r="H3" s="5">
        <v>3.12</v>
      </c>
      <c r="I3" s="5">
        <v>0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1</v>
      </c>
      <c r="O3" s="5" t="b">
        <v>0</v>
      </c>
    </row>
    <row r="4" spans="1:15" ht="15.95" customHeight="1" x14ac:dyDescent="0.25">
      <c r="A4" s="8">
        <v>43503.968136574076</v>
      </c>
      <c r="B4" s="5" t="s">
        <v>2694</v>
      </c>
      <c r="C4" s="5" t="s">
        <v>305</v>
      </c>
      <c r="D4" s="5" t="s">
        <v>307</v>
      </c>
      <c r="E4" s="5">
        <v>2</v>
      </c>
      <c r="F4" s="5">
        <v>3.34</v>
      </c>
      <c r="G4" s="5">
        <v>3.8</v>
      </c>
      <c r="H4" s="5">
        <v>3.12</v>
      </c>
      <c r="I4" s="5">
        <v>0</v>
      </c>
      <c r="J4" s="5" t="b">
        <v>0</v>
      </c>
      <c r="K4" s="5" t="b">
        <v>0</v>
      </c>
      <c r="L4" s="5" t="b">
        <v>0</v>
      </c>
      <c r="M4" s="5" t="b">
        <v>0</v>
      </c>
      <c r="N4" s="5" t="b">
        <v>1</v>
      </c>
      <c r="O4" s="5" t="b">
        <v>0</v>
      </c>
    </row>
    <row r="5" spans="1:15" ht="15.95" customHeight="1" x14ac:dyDescent="0.25">
      <c r="A5" s="8">
        <v>43503.968344907407</v>
      </c>
      <c r="B5" s="5" t="s">
        <v>2694</v>
      </c>
      <c r="C5" s="5" t="s">
        <v>305</v>
      </c>
      <c r="D5" s="5" t="s">
        <v>307</v>
      </c>
      <c r="E5" s="5">
        <v>2</v>
      </c>
      <c r="F5" s="5">
        <v>3.34</v>
      </c>
      <c r="G5" s="5">
        <v>3.8</v>
      </c>
      <c r="H5" s="5">
        <v>3.12</v>
      </c>
      <c r="I5" s="5">
        <v>0</v>
      </c>
      <c r="J5" s="5" t="b">
        <v>0</v>
      </c>
      <c r="K5" s="5" t="b">
        <v>0</v>
      </c>
      <c r="L5" s="5" t="b">
        <v>0</v>
      </c>
      <c r="M5" s="5" t="b">
        <v>0</v>
      </c>
      <c r="N5" s="5" t="b">
        <v>1</v>
      </c>
      <c r="O5" s="5" t="b">
        <v>0</v>
      </c>
    </row>
    <row r="6" spans="1:15" ht="15.95" customHeight="1" x14ac:dyDescent="0.25">
      <c r="A6" s="8">
        <v>43503.971678240741</v>
      </c>
      <c r="B6" s="5" t="s">
        <v>2694</v>
      </c>
      <c r="C6" s="5" t="s">
        <v>305</v>
      </c>
      <c r="D6" s="5" t="s">
        <v>307</v>
      </c>
      <c r="E6" s="5">
        <v>2</v>
      </c>
      <c r="F6" s="5">
        <v>3.34</v>
      </c>
      <c r="G6" s="5">
        <v>3.8</v>
      </c>
      <c r="H6" s="5">
        <v>3.12</v>
      </c>
      <c r="I6" s="5">
        <v>0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1</v>
      </c>
      <c r="O6" s="5" t="b">
        <v>0</v>
      </c>
    </row>
    <row r="7" spans="1:15" ht="15.95" customHeight="1" x14ac:dyDescent="0.25">
      <c r="A7" s="8">
        <v>43503.97216435185</v>
      </c>
      <c r="B7" s="5" t="s">
        <v>2694</v>
      </c>
      <c r="C7" s="5" t="s">
        <v>306</v>
      </c>
      <c r="D7" s="5" t="s">
        <v>307</v>
      </c>
      <c r="E7" s="5">
        <v>0</v>
      </c>
      <c r="F7" s="5">
        <v>3.34</v>
      </c>
      <c r="G7" s="5">
        <v>3.8</v>
      </c>
      <c r="H7" s="5">
        <v>3.12</v>
      </c>
      <c r="I7" s="5">
        <v>0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1</v>
      </c>
      <c r="O7" s="5" t="b">
        <v>0</v>
      </c>
    </row>
    <row r="8" spans="1:15" ht="15.95" customHeight="1" x14ac:dyDescent="0.25">
      <c r="A8" s="8">
        <v>43503.98704861111</v>
      </c>
      <c r="B8" s="5" t="s">
        <v>2694</v>
      </c>
      <c r="C8" s="5" t="s">
        <v>305</v>
      </c>
      <c r="D8" s="5" t="s">
        <v>308</v>
      </c>
      <c r="E8" s="5" t="s">
        <v>65</v>
      </c>
      <c r="F8" s="5">
        <v>3.34</v>
      </c>
      <c r="G8" s="5">
        <v>3.8</v>
      </c>
      <c r="H8" s="5">
        <v>3.12</v>
      </c>
      <c r="I8" s="5">
        <v>1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1</v>
      </c>
      <c r="O8" s="5" t="b">
        <v>0</v>
      </c>
    </row>
    <row r="9" spans="1:15" ht="15.95" customHeight="1" x14ac:dyDescent="0.25">
      <c r="A9" s="8">
        <v>43504.454895833333</v>
      </c>
      <c r="B9" s="5" t="s">
        <v>2734</v>
      </c>
      <c r="C9" s="5" t="s">
        <v>2735</v>
      </c>
      <c r="D9" s="5"/>
      <c r="E9" s="5" t="s">
        <v>2736</v>
      </c>
      <c r="F9" s="5">
        <v>3.34</v>
      </c>
      <c r="G9" s="5">
        <v>3.9</v>
      </c>
      <c r="H9" s="5">
        <v>3.13</v>
      </c>
      <c r="I9" s="5">
        <v>0</v>
      </c>
      <c r="J9" s="5" t="b">
        <v>0</v>
      </c>
      <c r="K9" s="5" t="b">
        <v>0</v>
      </c>
      <c r="L9" s="5" t="b">
        <v>0</v>
      </c>
      <c r="M9" s="5" t="b">
        <v>0</v>
      </c>
      <c r="N9" s="5" t="b">
        <v>1</v>
      </c>
      <c r="O9" s="5" t="b">
        <v>0</v>
      </c>
    </row>
    <row r="10" spans="1:15" ht="15.95" customHeight="1" x14ac:dyDescent="0.25">
      <c r="A10" s="8">
        <v>43504.454965277779</v>
      </c>
      <c r="B10" s="5" t="s">
        <v>2734</v>
      </c>
      <c r="C10" s="5" t="s">
        <v>2741</v>
      </c>
      <c r="D10" s="5"/>
      <c r="E10" s="5">
        <v>1</v>
      </c>
      <c r="F10" s="5">
        <v>3.34</v>
      </c>
      <c r="G10" s="5">
        <v>3.9</v>
      </c>
      <c r="H10" s="5">
        <v>3.13</v>
      </c>
      <c r="I10" s="5">
        <v>0</v>
      </c>
      <c r="J10" s="5" t="b">
        <v>0</v>
      </c>
      <c r="K10" s="5" t="b">
        <v>0</v>
      </c>
      <c r="L10" s="5" t="b">
        <v>0</v>
      </c>
      <c r="M10" s="5" t="b">
        <v>0</v>
      </c>
      <c r="N10" s="5" t="b">
        <v>1</v>
      </c>
      <c r="O10" s="5" t="b">
        <v>0</v>
      </c>
    </row>
    <row r="11" spans="1:15" ht="15.95" customHeight="1" x14ac:dyDescent="0.25">
      <c r="A11" s="8">
        <v>43504.454965277779</v>
      </c>
      <c r="B11" s="5" t="s">
        <v>2734</v>
      </c>
      <c r="C11" s="5" t="s">
        <v>2739</v>
      </c>
      <c r="D11" s="5"/>
      <c r="E11" s="5" t="s">
        <v>2742</v>
      </c>
      <c r="F11" s="5">
        <v>3.34</v>
      </c>
      <c r="G11" s="5">
        <v>3.9</v>
      </c>
      <c r="H11" s="5">
        <v>3.13</v>
      </c>
      <c r="I11" s="5">
        <v>0</v>
      </c>
      <c r="J11" s="5" t="b">
        <v>0</v>
      </c>
      <c r="K11" s="5" t="b">
        <v>0</v>
      </c>
      <c r="L11" s="5" t="b">
        <v>0</v>
      </c>
      <c r="M11" s="5" t="b">
        <v>0</v>
      </c>
      <c r="N11" s="5" t="b">
        <v>1</v>
      </c>
      <c r="O11" s="5" t="b">
        <v>0</v>
      </c>
    </row>
    <row r="12" spans="1:15" ht="15.95" customHeight="1" x14ac:dyDescent="0.25">
      <c r="A12" s="8">
        <v>43504.454965277779</v>
      </c>
      <c r="B12" s="5" t="s">
        <v>2734</v>
      </c>
      <c r="C12" s="5" t="s">
        <v>2695</v>
      </c>
      <c r="D12" s="5"/>
      <c r="E12" s="5" t="s">
        <v>2742</v>
      </c>
      <c r="F12" s="5">
        <v>3.34</v>
      </c>
      <c r="G12" s="5">
        <v>3.9</v>
      </c>
      <c r="H12" s="5">
        <v>3.13</v>
      </c>
      <c r="I12" s="5">
        <v>0</v>
      </c>
      <c r="J12" s="5" t="b">
        <v>0</v>
      </c>
      <c r="K12" s="5" t="b">
        <v>0</v>
      </c>
      <c r="L12" s="5" t="b">
        <v>0</v>
      </c>
      <c r="M12" s="5" t="b">
        <v>0</v>
      </c>
      <c r="N12" s="5" t="b">
        <v>1</v>
      </c>
      <c r="O12" s="5" t="b">
        <v>0</v>
      </c>
    </row>
    <row r="13" spans="1:15" ht="15.95" customHeight="1" x14ac:dyDescent="0.25">
      <c r="A13" s="8">
        <v>43504.454965277779</v>
      </c>
      <c r="B13" s="5" t="s">
        <v>2734</v>
      </c>
      <c r="C13" s="5" t="s">
        <v>2743</v>
      </c>
      <c r="D13" s="5"/>
      <c r="E13" s="5">
        <v>1</v>
      </c>
      <c r="F13" s="5">
        <v>3.34</v>
      </c>
      <c r="G13" s="5">
        <v>3.9</v>
      </c>
      <c r="H13" s="5">
        <v>3.13</v>
      </c>
      <c r="I13" s="5">
        <v>0</v>
      </c>
      <c r="J13" s="5" t="b">
        <v>0</v>
      </c>
      <c r="K13" s="5" t="b">
        <v>0</v>
      </c>
      <c r="L13" s="5" t="b">
        <v>0</v>
      </c>
      <c r="M13" s="5" t="b">
        <v>0</v>
      </c>
      <c r="N13" s="5" t="b">
        <v>1</v>
      </c>
      <c r="O13" s="5" t="b">
        <v>0</v>
      </c>
    </row>
    <row r="14" spans="1:15" ht="15.95" customHeight="1" x14ac:dyDescent="0.25">
      <c r="A14" s="8">
        <v>43504.455034722225</v>
      </c>
      <c r="B14" s="5" t="s">
        <v>2734</v>
      </c>
      <c r="C14" s="5" t="s">
        <v>2740</v>
      </c>
      <c r="D14" s="5" t="s">
        <v>307</v>
      </c>
      <c r="E14" s="5">
        <v>8</v>
      </c>
      <c r="F14" s="5">
        <v>3.34</v>
      </c>
      <c r="G14" s="5">
        <v>3.9</v>
      </c>
      <c r="H14" s="5">
        <v>3.13</v>
      </c>
      <c r="I14" s="5">
        <v>0</v>
      </c>
      <c r="J14" s="5" t="b">
        <v>0</v>
      </c>
      <c r="K14" s="5" t="b">
        <v>0</v>
      </c>
      <c r="L14" s="5" t="b">
        <v>0</v>
      </c>
      <c r="M14" s="5" t="b">
        <v>0</v>
      </c>
      <c r="N14" s="5" t="b">
        <v>1</v>
      </c>
      <c r="O14" s="5" t="b">
        <v>0</v>
      </c>
    </row>
    <row r="15" spans="1:15" ht="15.95" customHeight="1" x14ac:dyDescent="0.25">
      <c r="A15" s="8">
        <v>43504.455335648148</v>
      </c>
      <c r="B15" s="5" t="s">
        <v>2734</v>
      </c>
      <c r="C15" s="5" t="s">
        <v>2740</v>
      </c>
      <c r="D15" s="5" t="s">
        <v>307</v>
      </c>
      <c r="E15" s="5">
        <v>0</v>
      </c>
      <c r="F15" s="5">
        <v>3.34</v>
      </c>
      <c r="G15" s="5">
        <v>3.9</v>
      </c>
      <c r="H15" s="5">
        <v>3.13</v>
      </c>
      <c r="I15" s="5">
        <v>0</v>
      </c>
      <c r="J15" s="5" t="b">
        <v>0</v>
      </c>
      <c r="K15" s="5" t="b">
        <v>0</v>
      </c>
      <c r="L15" s="5" t="b">
        <v>0</v>
      </c>
      <c r="M15" s="5" t="b">
        <v>0</v>
      </c>
      <c r="N15" s="5" t="b">
        <v>1</v>
      </c>
      <c r="O15" s="5" t="b">
        <v>0</v>
      </c>
    </row>
    <row r="16" spans="1:15" ht="15.95" customHeight="1" x14ac:dyDescent="0.25">
      <c r="A16" s="8">
        <v>43504.455509259256</v>
      </c>
      <c r="B16" s="5" t="s">
        <v>2734</v>
      </c>
      <c r="C16" s="5" t="s">
        <v>2740</v>
      </c>
      <c r="D16" s="5" t="s">
        <v>2744</v>
      </c>
      <c r="E16" s="5" t="s">
        <v>65</v>
      </c>
      <c r="F16" s="5">
        <v>3.34</v>
      </c>
      <c r="G16" s="5">
        <v>3.9</v>
      </c>
      <c r="H16" s="5">
        <v>3.13</v>
      </c>
      <c r="I16" s="5">
        <v>1</v>
      </c>
      <c r="J16" s="5" t="b">
        <v>0</v>
      </c>
      <c r="K16" s="5" t="b">
        <v>0</v>
      </c>
      <c r="L16" s="5" t="b">
        <v>0</v>
      </c>
      <c r="M16" s="5" t="b">
        <v>0</v>
      </c>
      <c r="N16" s="5" t="b">
        <v>1</v>
      </c>
      <c r="O16" s="5" t="b">
        <v>0</v>
      </c>
    </row>
    <row r="17" spans="1:15" ht="15.95" customHeight="1" x14ac:dyDescent="0.25">
      <c r="A17" s="8">
        <v>43504.455914351849</v>
      </c>
      <c r="B17" s="5" t="s">
        <v>2734</v>
      </c>
      <c r="C17" s="5" t="s">
        <v>2740</v>
      </c>
      <c r="D17" s="5" t="s">
        <v>307</v>
      </c>
      <c r="E17" s="5">
        <v>0</v>
      </c>
      <c r="F17" s="5">
        <v>3.34</v>
      </c>
      <c r="G17" s="5">
        <v>3.9</v>
      </c>
      <c r="H17" s="5">
        <v>3.13</v>
      </c>
      <c r="I17" s="5">
        <v>1</v>
      </c>
      <c r="J17" s="5" t="b">
        <v>0</v>
      </c>
      <c r="K17" s="5" t="b">
        <v>0</v>
      </c>
      <c r="L17" s="5" t="b">
        <v>0</v>
      </c>
      <c r="M17" s="5" t="b">
        <v>0</v>
      </c>
      <c r="N17" s="5" t="b">
        <v>1</v>
      </c>
      <c r="O17" s="5" t="b">
        <v>0</v>
      </c>
    </row>
    <row r="18" spans="1:15" ht="15.95" customHeight="1" x14ac:dyDescent="0.25">
      <c r="A18" s="8">
        <v>43504.455937500003</v>
      </c>
      <c r="B18" s="5" t="s">
        <v>2734</v>
      </c>
      <c r="C18" s="5" t="s">
        <v>2739</v>
      </c>
      <c r="D18" s="5"/>
      <c r="E18" s="5" t="s">
        <v>65</v>
      </c>
      <c r="F18" s="5">
        <v>3.34</v>
      </c>
      <c r="G18" s="5">
        <v>3.9</v>
      </c>
      <c r="H18" s="5">
        <v>3.13</v>
      </c>
      <c r="I18" s="5">
        <v>1</v>
      </c>
      <c r="J18" s="5" t="b">
        <v>0</v>
      </c>
      <c r="K18" s="5" t="b">
        <v>0</v>
      </c>
      <c r="L18" s="5" t="b">
        <v>0</v>
      </c>
      <c r="M18" s="5" t="b">
        <v>0</v>
      </c>
      <c r="N18" s="5" t="b">
        <v>1</v>
      </c>
      <c r="O18" s="5" t="b">
        <v>0</v>
      </c>
    </row>
    <row r="19" spans="1:15" ht="15.95" customHeight="1" x14ac:dyDescent="0.25">
      <c r="A19" s="8">
        <v>43504.457060185188</v>
      </c>
      <c r="B19" s="5" t="s">
        <v>2734</v>
      </c>
      <c r="C19" s="5" t="s">
        <v>305</v>
      </c>
      <c r="D19" s="5" t="s">
        <v>307</v>
      </c>
      <c r="E19" s="5">
        <v>2</v>
      </c>
      <c r="F19" s="5">
        <v>3.34</v>
      </c>
      <c r="G19" s="5">
        <v>3.9</v>
      </c>
      <c r="H19" s="5">
        <v>3.13</v>
      </c>
      <c r="I19" s="5">
        <v>1</v>
      </c>
      <c r="J19" s="5" t="b">
        <v>0</v>
      </c>
      <c r="K19" s="5" t="b">
        <v>0</v>
      </c>
      <c r="L19" s="5" t="b">
        <v>0</v>
      </c>
      <c r="M19" s="5" t="b">
        <v>0</v>
      </c>
      <c r="N19" s="5" t="b">
        <v>1</v>
      </c>
      <c r="O19" s="5" t="b">
        <v>0</v>
      </c>
    </row>
    <row r="20" spans="1:15" ht="15.95" customHeight="1" x14ac:dyDescent="0.25">
      <c r="A20" s="8">
        <v>43504.458182870374</v>
      </c>
      <c r="B20" s="5" t="s">
        <v>2734</v>
      </c>
      <c r="C20" s="5" t="s">
        <v>2740</v>
      </c>
      <c r="D20" s="5" t="s">
        <v>307</v>
      </c>
      <c r="E20" s="5">
        <v>0</v>
      </c>
      <c r="F20" s="5">
        <v>3.34</v>
      </c>
      <c r="G20" s="5">
        <v>3.9</v>
      </c>
      <c r="H20" s="5">
        <v>3.13</v>
      </c>
      <c r="I20" s="5">
        <v>1</v>
      </c>
      <c r="J20" s="5" t="b">
        <v>0</v>
      </c>
      <c r="K20" s="5" t="b">
        <v>0</v>
      </c>
      <c r="L20" s="5" t="b">
        <v>0</v>
      </c>
      <c r="M20" s="5" t="b">
        <v>0</v>
      </c>
      <c r="N20" s="5" t="b">
        <v>1</v>
      </c>
      <c r="O20" s="5" t="b">
        <v>0</v>
      </c>
    </row>
    <row r="21" spans="1:15" ht="15.95" customHeight="1" x14ac:dyDescent="0.25">
      <c r="A21" s="8">
        <v>43504.458194444444</v>
      </c>
      <c r="B21" s="5" t="s">
        <v>2734</v>
      </c>
      <c r="C21" s="5" t="s">
        <v>2739</v>
      </c>
      <c r="D21" s="5"/>
      <c r="E21" s="5" t="s">
        <v>65</v>
      </c>
      <c r="F21" s="5">
        <v>3.34</v>
      </c>
      <c r="G21" s="5">
        <v>3.9</v>
      </c>
      <c r="H21" s="5">
        <v>3.13</v>
      </c>
      <c r="I21" s="5">
        <v>1</v>
      </c>
      <c r="J21" s="5" t="b">
        <v>0</v>
      </c>
      <c r="K21" s="5" t="b">
        <v>0</v>
      </c>
      <c r="L21" s="5" t="b">
        <v>0</v>
      </c>
      <c r="M21" s="5" t="b">
        <v>0</v>
      </c>
      <c r="N21" s="5" t="b">
        <v>1</v>
      </c>
      <c r="O21" s="5" t="b">
        <v>0</v>
      </c>
    </row>
    <row r="22" spans="1:15" ht="15.95" customHeight="1" x14ac:dyDescent="0.25">
      <c r="A22" s="8">
        <v>43504.45826388889</v>
      </c>
      <c r="B22" s="5" t="s">
        <v>2734</v>
      </c>
      <c r="C22" s="5" t="s">
        <v>2740</v>
      </c>
      <c r="D22" s="5" t="s">
        <v>307</v>
      </c>
      <c r="E22" s="5">
        <v>0</v>
      </c>
      <c r="F22" s="5">
        <v>3.34</v>
      </c>
      <c r="G22" s="5">
        <v>3.9</v>
      </c>
      <c r="H22" s="5">
        <v>3.13</v>
      </c>
      <c r="I22" s="5">
        <v>1</v>
      </c>
      <c r="J22" s="5" t="b">
        <v>0</v>
      </c>
      <c r="K22" s="5" t="b">
        <v>0</v>
      </c>
      <c r="L22" s="5" t="b">
        <v>0</v>
      </c>
      <c r="M22" s="5" t="b">
        <v>0</v>
      </c>
      <c r="N22" s="5" t="b">
        <v>1</v>
      </c>
      <c r="O22" s="5" t="b">
        <v>0</v>
      </c>
    </row>
    <row r="23" spans="1:15" ht="15.95" customHeight="1" x14ac:dyDescent="0.25">
      <c r="A23" s="8">
        <v>43504.458761574075</v>
      </c>
      <c r="B23" s="5" t="s">
        <v>2734</v>
      </c>
      <c r="C23" s="5" t="s">
        <v>2739</v>
      </c>
      <c r="D23" s="5"/>
      <c r="E23" s="5" t="s">
        <v>65</v>
      </c>
      <c r="F23" s="5">
        <v>3.34</v>
      </c>
      <c r="G23" s="5">
        <v>3.9</v>
      </c>
      <c r="H23" s="5">
        <v>3.13</v>
      </c>
      <c r="I23" s="5">
        <v>1</v>
      </c>
      <c r="J23" s="5" t="b">
        <v>0</v>
      </c>
      <c r="K23" s="5" t="b">
        <v>0</v>
      </c>
      <c r="L23" s="5" t="b">
        <v>0</v>
      </c>
      <c r="M23" s="5" t="b">
        <v>0</v>
      </c>
      <c r="N23" s="5" t="b">
        <v>1</v>
      </c>
      <c r="O23" s="5" t="b">
        <v>0</v>
      </c>
    </row>
    <row r="24" spans="1:15" ht="15.95" customHeight="1" x14ac:dyDescent="0.25">
      <c r="A24" s="8">
        <v>43504.459027777775</v>
      </c>
      <c r="B24" s="5" t="s">
        <v>2734</v>
      </c>
      <c r="C24" s="5" t="s">
        <v>2740</v>
      </c>
      <c r="D24" s="5" t="s">
        <v>307</v>
      </c>
      <c r="E24" s="5">
        <v>0</v>
      </c>
      <c r="F24" s="5">
        <v>3.34</v>
      </c>
      <c r="G24" s="5">
        <v>3.9</v>
      </c>
      <c r="H24" s="5">
        <v>3.13</v>
      </c>
      <c r="I24" s="5">
        <v>1</v>
      </c>
      <c r="J24" s="5" t="b">
        <v>0</v>
      </c>
      <c r="K24" s="5" t="b">
        <v>0</v>
      </c>
      <c r="L24" s="5" t="b">
        <v>0</v>
      </c>
      <c r="M24" s="5" t="b">
        <v>0</v>
      </c>
      <c r="N24" s="5" t="b">
        <v>1</v>
      </c>
      <c r="O24" s="5" t="b">
        <v>0</v>
      </c>
    </row>
    <row r="25" spans="1:15" ht="15.95" customHeight="1" x14ac:dyDescent="0.25">
      <c r="A25" s="8">
        <v>43504.460057870368</v>
      </c>
      <c r="B25" s="5" t="s">
        <v>2734</v>
      </c>
      <c r="C25" s="5" t="s">
        <v>2740</v>
      </c>
      <c r="D25" s="5" t="s">
        <v>2745</v>
      </c>
      <c r="E25" s="5" t="s">
        <v>65</v>
      </c>
      <c r="F25" s="5">
        <v>3.34</v>
      </c>
      <c r="G25" s="5">
        <v>3.9</v>
      </c>
      <c r="H25" s="5">
        <v>3.13</v>
      </c>
      <c r="I25" s="5">
        <v>1</v>
      </c>
      <c r="J25" s="5" t="b">
        <v>0</v>
      </c>
      <c r="K25" s="5" t="b">
        <v>0</v>
      </c>
      <c r="L25" s="5" t="b">
        <v>0</v>
      </c>
      <c r="M25" s="5" t="b">
        <v>0</v>
      </c>
      <c r="N25" s="5" t="b">
        <v>1</v>
      </c>
      <c r="O25" s="5" t="b">
        <v>0</v>
      </c>
    </row>
    <row r="26" spans="1:15" ht="15.95" customHeight="1" x14ac:dyDescent="0.25">
      <c r="A26" s="8">
        <v>43504.460393518515</v>
      </c>
      <c r="B26" s="5" t="s">
        <v>2734</v>
      </c>
      <c r="C26" s="5" t="s">
        <v>2740</v>
      </c>
      <c r="D26" s="5" t="s">
        <v>307</v>
      </c>
      <c r="E26" s="5">
        <v>0</v>
      </c>
      <c r="F26" s="5">
        <v>3.34</v>
      </c>
      <c r="G26" s="5">
        <v>3.9</v>
      </c>
      <c r="H26" s="5">
        <v>3.13</v>
      </c>
      <c r="I26" s="5">
        <v>1</v>
      </c>
      <c r="J26" s="5" t="b">
        <v>0</v>
      </c>
      <c r="K26" s="5" t="b">
        <v>0</v>
      </c>
      <c r="L26" s="5" t="b">
        <v>0</v>
      </c>
      <c r="M26" s="5" t="b">
        <v>0</v>
      </c>
      <c r="N26" s="5" t="b">
        <v>1</v>
      </c>
      <c r="O26" s="5" t="b">
        <v>0</v>
      </c>
    </row>
    <row r="27" spans="1:15" ht="15.95" customHeight="1" x14ac:dyDescent="0.25">
      <c r="A27" s="8">
        <v>43504.460416666669</v>
      </c>
      <c r="B27" s="5" t="s">
        <v>2734</v>
      </c>
      <c r="C27" s="5" t="s">
        <v>2740</v>
      </c>
      <c r="D27" s="5" t="s">
        <v>2745</v>
      </c>
      <c r="E27" s="5" t="s">
        <v>65</v>
      </c>
      <c r="F27" s="5">
        <v>3.34</v>
      </c>
      <c r="G27" s="5">
        <v>3.9</v>
      </c>
      <c r="H27" s="5">
        <v>3.13</v>
      </c>
      <c r="I27" s="5">
        <v>1</v>
      </c>
      <c r="J27" s="5" t="b">
        <v>0</v>
      </c>
      <c r="K27" s="5" t="b">
        <v>0</v>
      </c>
      <c r="L27" s="5" t="b">
        <v>0</v>
      </c>
      <c r="M27" s="5" t="b">
        <v>0</v>
      </c>
      <c r="N27" s="5" t="b">
        <v>1</v>
      </c>
      <c r="O27" s="5" t="b">
        <v>0</v>
      </c>
    </row>
    <row r="28" spans="1:15" ht="15.95" customHeight="1" x14ac:dyDescent="0.25">
      <c r="A28" s="8">
        <v>43504.460706018515</v>
      </c>
      <c r="B28" s="5" t="s">
        <v>2734</v>
      </c>
      <c r="C28" s="5" t="s">
        <v>2740</v>
      </c>
      <c r="D28" s="5" t="s">
        <v>307</v>
      </c>
      <c r="E28" s="5">
        <v>0</v>
      </c>
      <c r="F28" s="5">
        <v>3.34</v>
      </c>
      <c r="G28" s="5">
        <v>3.9</v>
      </c>
      <c r="H28" s="5">
        <v>3.13</v>
      </c>
      <c r="I28" s="5">
        <v>1</v>
      </c>
      <c r="J28" s="5" t="b">
        <v>0</v>
      </c>
      <c r="K28" s="5" t="b">
        <v>0</v>
      </c>
      <c r="L28" s="5" t="b">
        <v>0</v>
      </c>
      <c r="M28" s="5" t="b">
        <v>0</v>
      </c>
      <c r="N28" s="5" t="b">
        <v>1</v>
      </c>
      <c r="O28" s="5" t="b">
        <v>0</v>
      </c>
    </row>
    <row r="29" spans="1:15" ht="15.95" customHeight="1" x14ac:dyDescent="0.25">
      <c r="A29" s="8">
        <v>43504.461296296293</v>
      </c>
      <c r="B29" s="5" t="s">
        <v>2734</v>
      </c>
      <c r="C29" s="5" t="s">
        <v>2740</v>
      </c>
      <c r="D29" s="5" t="s">
        <v>307</v>
      </c>
      <c r="E29" s="5">
        <v>0</v>
      </c>
      <c r="F29" s="5">
        <v>3.34</v>
      </c>
      <c r="G29" s="5">
        <v>3.9</v>
      </c>
      <c r="H29" s="5">
        <v>3.13</v>
      </c>
      <c r="I29" s="5">
        <v>0</v>
      </c>
      <c r="J29" s="5" t="b">
        <v>0</v>
      </c>
      <c r="K29" s="5" t="b">
        <v>0</v>
      </c>
      <c r="L29" s="5" t="b">
        <v>0</v>
      </c>
      <c r="M29" s="5" t="b">
        <v>0</v>
      </c>
      <c r="N29" s="5" t="b">
        <v>1</v>
      </c>
      <c r="O29" s="5" t="b">
        <v>0</v>
      </c>
    </row>
    <row r="30" spans="1:15" ht="15.95" customHeight="1" x14ac:dyDescent="0.25">
      <c r="A30" s="8">
        <v>43504.463136574072</v>
      </c>
      <c r="B30" s="5" t="s">
        <v>2734</v>
      </c>
      <c r="C30" s="5" t="s">
        <v>2740</v>
      </c>
      <c r="D30" s="5" t="s">
        <v>2745</v>
      </c>
      <c r="E30" s="5" t="s">
        <v>65</v>
      </c>
      <c r="F30" s="5">
        <v>3.34</v>
      </c>
      <c r="G30" s="5">
        <v>3.9</v>
      </c>
      <c r="H30" s="5">
        <v>3.13</v>
      </c>
      <c r="I30" s="5">
        <v>1</v>
      </c>
      <c r="J30" s="5" t="b">
        <v>0</v>
      </c>
      <c r="K30" s="5" t="b">
        <v>0</v>
      </c>
      <c r="L30" s="5" t="b">
        <v>0</v>
      </c>
      <c r="M30" s="5" t="b">
        <v>0</v>
      </c>
      <c r="N30" s="5" t="b">
        <v>1</v>
      </c>
      <c r="O30" s="5" t="b">
        <v>0</v>
      </c>
    </row>
    <row r="31" spans="1:15" ht="15.95" customHeight="1" x14ac:dyDescent="0.25">
      <c r="A31" s="8">
        <v>43504.463738425926</v>
      </c>
      <c r="B31" s="5" t="s">
        <v>2734</v>
      </c>
      <c r="C31" s="5" t="s">
        <v>2740</v>
      </c>
      <c r="D31" s="5" t="s">
        <v>307</v>
      </c>
      <c r="E31" s="5">
        <v>0</v>
      </c>
      <c r="F31" s="5">
        <v>3.34</v>
      </c>
      <c r="G31" s="5">
        <v>3.9</v>
      </c>
      <c r="H31" s="5">
        <v>3.13</v>
      </c>
      <c r="I31" s="5">
        <v>1</v>
      </c>
      <c r="J31" s="5" t="b">
        <v>0</v>
      </c>
      <c r="K31" s="5" t="b">
        <v>0</v>
      </c>
      <c r="L31" s="5" t="b">
        <v>0</v>
      </c>
      <c r="M31" s="5" t="b">
        <v>0</v>
      </c>
      <c r="N31" s="5" t="b">
        <v>1</v>
      </c>
      <c r="O31" s="5" t="b">
        <v>0</v>
      </c>
    </row>
    <row r="32" spans="1:15" ht="15.95" customHeight="1" x14ac:dyDescent="0.25">
      <c r="A32" s="8">
        <v>43504.463750000003</v>
      </c>
      <c r="B32" s="5" t="s">
        <v>2734</v>
      </c>
      <c r="C32" s="5" t="s">
        <v>2740</v>
      </c>
      <c r="D32" s="5" t="s">
        <v>2745</v>
      </c>
      <c r="E32" s="5" t="s">
        <v>65</v>
      </c>
      <c r="F32" s="5">
        <v>3.34</v>
      </c>
      <c r="G32" s="5">
        <v>3.9</v>
      </c>
      <c r="H32" s="5">
        <v>3.13</v>
      </c>
      <c r="I32" s="5">
        <v>1</v>
      </c>
      <c r="J32" s="5" t="b">
        <v>0</v>
      </c>
      <c r="K32" s="5" t="b">
        <v>0</v>
      </c>
      <c r="L32" s="5" t="b">
        <v>0</v>
      </c>
      <c r="M32" s="5" t="b">
        <v>0</v>
      </c>
      <c r="N32" s="5" t="b">
        <v>1</v>
      </c>
      <c r="O32" s="5" t="b">
        <v>0</v>
      </c>
    </row>
    <row r="33" spans="1:15" ht="15.95" customHeight="1" x14ac:dyDescent="0.25">
      <c r="A33" s="8">
        <v>43504.463842592595</v>
      </c>
      <c r="B33" s="5" t="s">
        <v>2734</v>
      </c>
      <c r="C33" s="5" t="s">
        <v>2740</v>
      </c>
      <c r="D33" s="5" t="s">
        <v>307</v>
      </c>
      <c r="E33" s="5">
        <v>0</v>
      </c>
      <c r="F33" s="5">
        <v>3.34</v>
      </c>
      <c r="G33" s="5">
        <v>3.9</v>
      </c>
      <c r="H33" s="5">
        <v>3.13</v>
      </c>
      <c r="I33" s="5">
        <v>1</v>
      </c>
      <c r="J33" s="5" t="b">
        <v>0</v>
      </c>
      <c r="K33" s="5" t="b">
        <v>0</v>
      </c>
      <c r="L33" s="5" t="b">
        <v>0</v>
      </c>
      <c r="M33" s="5" t="b">
        <v>0</v>
      </c>
      <c r="N33" s="5" t="b">
        <v>1</v>
      </c>
      <c r="O33" s="5" t="b">
        <v>0</v>
      </c>
    </row>
    <row r="34" spans="1:15" ht="15.95" customHeight="1" x14ac:dyDescent="0.25">
      <c r="A34" s="8">
        <v>43504.46402777778</v>
      </c>
      <c r="B34" s="5" t="s">
        <v>2734</v>
      </c>
      <c r="C34" s="5" t="s">
        <v>2740</v>
      </c>
      <c r="D34" s="5" t="s">
        <v>307</v>
      </c>
      <c r="E34" s="5">
        <v>0</v>
      </c>
      <c r="F34" s="5">
        <v>3.34</v>
      </c>
      <c r="G34" s="5">
        <v>3.9</v>
      </c>
      <c r="H34" s="5">
        <v>3.13</v>
      </c>
      <c r="I34" s="5">
        <v>1</v>
      </c>
      <c r="J34" s="5" t="b">
        <v>0</v>
      </c>
      <c r="K34" s="5" t="b">
        <v>0</v>
      </c>
      <c r="L34" s="5" t="b">
        <v>0</v>
      </c>
      <c r="M34" s="5" t="b">
        <v>0</v>
      </c>
      <c r="N34" s="5" t="b">
        <v>1</v>
      </c>
      <c r="O34" s="5" t="b">
        <v>0</v>
      </c>
    </row>
    <row r="35" spans="1:15" ht="15.95" customHeight="1" x14ac:dyDescent="0.25">
      <c r="A35" s="8">
        <v>43504.464074074072</v>
      </c>
      <c r="B35" s="5" t="s">
        <v>2734</v>
      </c>
      <c r="C35" s="5" t="s">
        <v>2740</v>
      </c>
      <c r="D35" s="5" t="s">
        <v>2745</v>
      </c>
      <c r="E35" s="5" t="s">
        <v>65</v>
      </c>
      <c r="F35" s="5">
        <v>3.34</v>
      </c>
      <c r="G35" s="5">
        <v>3.9</v>
      </c>
      <c r="H35" s="5">
        <v>3.13</v>
      </c>
      <c r="I35" s="5">
        <v>1</v>
      </c>
      <c r="J35" s="5" t="b">
        <v>0</v>
      </c>
      <c r="K35" s="5" t="b">
        <v>0</v>
      </c>
      <c r="L35" s="5" t="b">
        <v>0</v>
      </c>
      <c r="M35" s="5" t="b">
        <v>0</v>
      </c>
      <c r="N35" s="5" t="b">
        <v>1</v>
      </c>
      <c r="O35" s="5" t="b">
        <v>0</v>
      </c>
    </row>
    <row r="36" spans="1:15" ht="15.95" customHeight="1" x14ac:dyDescent="0.25">
      <c r="A36" s="8">
        <v>43504.464120370372</v>
      </c>
      <c r="B36" s="5" t="s">
        <v>2734</v>
      </c>
      <c r="C36" s="5" t="s">
        <v>2740</v>
      </c>
      <c r="D36" s="5" t="s">
        <v>307</v>
      </c>
      <c r="E36" s="5">
        <v>0</v>
      </c>
      <c r="F36" s="5">
        <v>3.34</v>
      </c>
      <c r="G36" s="5">
        <v>3.9</v>
      </c>
      <c r="H36" s="5">
        <v>3.13</v>
      </c>
      <c r="I36" s="5">
        <v>1</v>
      </c>
      <c r="J36" s="5" t="b">
        <v>0</v>
      </c>
      <c r="K36" s="5" t="b">
        <v>0</v>
      </c>
      <c r="L36" s="5" t="b">
        <v>0</v>
      </c>
      <c r="M36" s="5" t="b">
        <v>0</v>
      </c>
      <c r="N36" s="5" t="b">
        <v>1</v>
      </c>
      <c r="O36" s="5" t="b">
        <v>0</v>
      </c>
    </row>
    <row r="37" spans="1:15" ht="15.95" customHeight="1" x14ac:dyDescent="0.25">
      <c r="A37" s="8">
        <v>43504.466099537036</v>
      </c>
      <c r="B37" s="5" t="s">
        <v>2734</v>
      </c>
      <c r="C37" s="5" t="s">
        <v>2747</v>
      </c>
      <c r="D37" s="5" t="s">
        <v>2748</v>
      </c>
      <c r="E37" s="5" t="s">
        <v>65</v>
      </c>
      <c r="F37" s="5">
        <v>3.34</v>
      </c>
      <c r="G37" s="5">
        <v>3.9</v>
      </c>
      <c r="H37" s="5">
        <v>3.13</v>
      </c>
      <c r="I37" s="5">
        <v>1</v>
      </c>
      <c r="J37" s="5" t="b">
        <v>0</v>
      </c>
      <c r="K37" s="5" t="b">
        <v>0</v>
      </c>
      <c r="L37" s="5" t="b">
        <v>0</v>
      </c>
      <c r="M37" s="5" t="b">
        <v>0</v>
      </c>
      <c r="N37" s="5" t="b">
        <v>1</v>
      </c>
      <c r="O37" s="5" t="b">
        <v>0</v>
      </c>
    </row>
    <row r="38" spans="1:15" ht="15.95" customHeight="1" x14ac:dyDescent="0.25">
      <c r="A38" s="8">
        <v>43504.466261574074</v>
      </c>
      <c r="B38" s="5" t="s">
        <v>2734</v>
      </c>
      <c r="C38" s="5" t="s">
        <v>2747</v>
      </c>
      <c r="D38" s="5" t="s">
        <v>2748</v>
      </c>
      <c r="E38" s="5" t="s">
        <v>65</v>
      </c>
      <c r="F38" s="5">
        <v>3.34</v>
      </c>
      <c r="G38" s="5">
        <v>3.9</v>
      </c>
      <c r="H38" s="5">
        <v>3.13</v>
      </c>
      <c r="I38" s="5">
        <v>1</v>
      </c>
      <c r="J38" s="5" t="b">
        <v>0</v>
      </c>
      <c r="K38" s="5" t="b">
        <v>0</v>
      </c>
      <c r="L38" s="5" t="b">
        <v>0</v>
      </c>
      <c r="M38" s="5" t="b">
        <v>0</v>
      </c>
      <c r="N38" s="5" t="b">
        <v>1</v>
      </c>
      <c r="O38" s="5" t="b">
        <v>0</v>
      </c>
    </row>
    <row r="39" spans="1:15" ht="15.95" customHeight="1" x14ac:dyDescent="0.25">
      <c r="A39" s="8">
        <v>43504.466643518521</v>
      </c>
      <c r="B39" s="5" t="s">
        <v>2734</v>
      </c>
      <c r="C39" s="5" t="s">
        <v>2740</v>
      </c>
      <c r="D39" s="5" t="s">
        <v>307</v>
      </c>
      <c r="E39" s="5">
        <v>0</v>
      </c>
      <c r="F39" s="5">
        <v>3.34</v>
      </c>
      <c r="G39" s="5">
        <v>3.9</v>
      </c>
      <c r="H39" s="5">
        <v>3.13</v>
      </c>
      <c r="I39" s="5">
        <v>1</v>
      </c>
      <c r="J39" s="5" t="b">
        <v>0</v>
      </c>
      <c r="K39" s="5" t="b">
        <v>0</v>
      </c>
      <c r="L39" s="5" t="b">
        <v>0</v>
      </c>
      <c r="M39" s="5" t="b">
        <v>0</v>
      </c>
      <c r="N39" s="5" t="b">
        <v>1</v>
      </c>
      <c r="O39" s="5" t="b">
        <v>0</v>
      </c>
    </row>
    <row r="40" spans="1:15" ht="15.95" customHeight="1" x14ac:dyDescent="0.25">
      <c r="A40" s="8">
        <v>43504.466689814813</v>
      </c>
      <c r="B40" s="5" t="s">
        <v>2734</v>
      </c>
      <c r="C40" s="5" t="s">
        <v>2740</v>
      </c>
      <c r="D40" s="5" t="s">
        <v>2745</v>
      </c>
      <c r="E40" s="5" t="s">
        <v>65</v>
      </c>
      <c r="F40" s="5">
        <v>3.34</v>
      </c>
      <c r="G40" s="5">
        <v>3.9</v>
      </c>
      <c r="H40" s="5">
        <v>3.13</v>
      </c>
      <c r="I40" s="5">
        <v>1</v>
      </c>
      <c r="J40" s="5" t="b">
        <v>0</v>
      </c>
      <c r="K40" s="5" t="b">
        <v>0</v>
      </c>
      <c r="L40" s="5" t="b">
        <v>0</v>
      </c>
      <c r="M40" s="5" t="b">
        <v>0</v>
      </c>
      <c r="N40" s="5" t="b">
        <v>1</v>
      </c>
      <c r="O40" s="5" t="b">
        <v>0</v>
      </c>
    </row>
    <row r="41" spans="1:15" ht="15.95" customHeight="1" x14ac:dyDescent="0.25">
      <c r="A41" s="8">
        <v>43504.466851851852</v>
      </c>
      <c r="B41" s="5" t="s">
        <v>2734</v>
      </c>
      <c r="C41" s="5" t="s">
        <v>2740</v>
      </c>
      <c r="D41" s="5" t="s">
        <v>307</v>
      </c>
      <c r="E41" s="5">
        <v>0</v>
      </c>
      <c r="F41" s="5">
        <v>3.34</v>
      </c>
      <c r="G41" s="5">
        <v>3.9</v>
      </c>
      <c r="H41" s="5">
        <v>3.13</v>
      </c>
      <c r="I41" s="5">
        <v>1</v>
      </c>
      <c r="J41" s="5" t="b">
        <v>0</v>
      </c>
      <c r="K41" s="5" t="b">
        <v>0</v>
      </c>
      <c r="L41" s="5" t="b">
        <v>0</v>
      </c>
      <c r="M41" s="5" t="b">
        <v>0</v>
      </c>
      <c r="N41" s="5" t="b">
        <v>1</v>
      </c>
      <c r="O41" s="5" t="b">
        <v>0</v>
      </c>
    </row>
    <row r="42" spans="1:15" ht="15.95" customHeight="1" x14ac:dyDescent="0.25">
      <c r="A42" s="8">
        <v>43504.466874999998</v>
      </c>
      <c r="B42" s="5" t="s">
        <v>2734</v>
      </c>
      <c r="C42" s="5" t="s">
        <v>2739</v>
      </c>
      <c r="D42" s="5"/>
      <c r="E42" s="5" t="s">
        <v>65</v>
      </c>
      <c r="F42" s="5">
        <v>3.34</v>
      </c>
      <c r="G42" s="5">
        <v>3.9</v>
      </c>
      <c r="H42" s="5">
        <v>3.13</v>
      </c>
      <c r="I42" s="5">
        <v>1</v>
      </c>
      <c r="J42" s="5" t="b">
        <v>0</v>
      </c>
      <c r="K42" s="5" t="b">
        <v>0</v>
      </c>
      <c r="L42" s="5" t="b">
        <v>0</v>
      </c>
      <c r="M42" s="5" t="b">
        <v>0</v>
      </c>
      <c r="N42" s="5" t="b">
        <v>1</v>
      </c>
      <c r="O42" s="5" t="b">
        <v>0</v>
      </c>
    </row>
    <row r="43" spans="1:15" ht="15.95" customHeight="1" x14ac:dyDescent="0.25">
      <c r="A43" s="8">
        <v>43504.467395833337</v>
      </c>
      <c r="B43" s="5" t="s">
        <v>2734</v>
      </c>
      <c r="C43" s="5" t="s">
        <v>2740</v>
      </c>
      <c r="D43" s="5" t="s">
        <v>307</v>
      </c>
      <c r="E43" s="5">
        <v>0</v>
      </c>
      <c r="F43" s="5">
        <v>3.34</v>
      </c>
      <c r="G43" s="5">
        <v>3.9</v>
      </c>
      <c r="H43" s="5">
        <v>3.13</v>
      </c>
      <c r="I43" s="5">
        <v>1</v>
      </c>
      <c r="J43" s="5" t="b">
        <v>0</v>
      </c>
      <c r="K43" s="5" t="b">
        <v>0</v>
      </c>
      <c r="L43" s="5" t="b">
        <v>0</v>
      </c>
      <c r="M43" s="5" t="b">
        <v>0</v>
      </c>
      <c r="N43" s="5" t="b">
        <v>1</v>
      </c>
      <c r="O43" s="5" t="b">
        <v>0</v>
      </c>
    </row>
    <row r="44" spans="1:15" ht="15.95" customHeight="1" x14ac:dyDescent="0.25">
      <c r="A44" s="8">
        <v>43504.467407407406</v>
      </c>
      <c r="B44" s="5" t="s">
        <v>2734</v>
      </c>
      <c r="C44" s="5" t="s">
        <v>2739</v>
      </c>
      <c r="D44" s="5"/>
      <c r="E44" s="5" t="s">
        <v>65</v>
      </c>
      <c r="F44" s="5">
        <v>3.34</v>
      </c>
      <c r="G44" s="5">
        <v>3.9</v>
      </c>
      <c r="H44" s="5">
        <v>3.13</v>
      </c>
      <c r="I44" s="5">
        <v>1</v>
      </c>
      <c r="J44" s="5" t="b">
        <v>0</v>
      </c>
      <c r="K44" s="5" t="b">
        <v>0</v>
      </c>
      <c r="L44" s="5" t="b">
        <v>0</v>
      </c>
      <c r="M44" s="5" t="b">
        <v>0</v>
      </c>
      <c r="N44" s="5" t="b">
        <v>1</v>
      </c>
      <c r="O44" s="5" t="b">
        <v>0</v>
      </c>
    </row>
    <row r="45" spans="1:15" ht="15.95" customHeight="1" x14ac:dyDescent="0.25">
      <c r="A45" s="8">
        <v>43504.467488425929</v>
      </c>
      <c r="B45" s="5" t="s">
        <v>2734</v>
      </c>
      <c r="C45" s="5" t="s">
        <v>305</v>
      </c>
      <c r="D45" s="5" t="s">
        <v>307</v>
      </c>
      <c r="E45" s="5">
        <v>2</v>
      </c>
      <c r="F45" s="5">
        <v>3.34</v>
      </c>
      <c r="G45" s="5">
        <v>3.9</v>
      </c>
      <c r="H45" s="5">
        <v>3.13</v>
      </c>
      <c r="I45" s="5">
        <v>1</v>
      </c>
      <c r="J45" s="5" t="b">
        <v>0</v>
      </c>
      <c r="K45" s="5" t="b">
        <v>0</v>
      </c>
      <c r="L45" s="5" t="b">
        <v>0</v>
      </c>
      <c r="M45" s="5" t="b">
        <v>0</v>
      </c>
      <c r="N45" s="5" t="b">
        <v>1</v>
      </c>
      <c r="O45" s="5" t="b">
        <v>0</v>
      </c>
    </row>
    <row r="46" spans="1:15" ht="15.95" customHeight="1" x14ac:dyDescent="0.25">
      <c r="A46" s="8">
        <v>43504.467546296299</v>
      </c>
      <c r="B46" s="5" t="s">
        <v>2734</v>
      </c>
      <c r="C46" s="5" t="s">
        <v>2740</v>
      </c>
      <c r="D46" s="5" t="s">
        <v>307</v>
      </c>
      <c r="E46" s="5">
        <v>0</v>
      </c>
      <c r="F46" s="5">
        <v>3.34</v>
      </c>
      <c r="G46" s="5">
        <v>3.9</v>
      </c>
      <c r="H46" s="5">
        <v>3.13</v>
      </c>
      <c r="I46" s="5">
        <v>1</v>
      </c>
      <c r="J46" s="5" t="b">
        <v>0</v>
      </c>
      <c r="K46" s="5" t="b">
        <v>0</v>
      </c>
      <c r="L46" s="5" t="b">
        <v>0</v>
      </c>
      <c r="M46" s="5" t="b">
        <v>0</v>
      </c>
      <c r="N46" s="5" t="b">
        <v>1</v>
      </c>
      <c r="O46" s="5" t="b">
        <v>0</v>
      </c>
    </row>
    <row r="47" spans="1:15" ht="15.95" customHeight="1" x14ac:dyDescent="0.25">
      <c r="A47" s="8">
        <v>43504.467604166668</v>
      </c>
      <c r="B47" s="5" t="s">
        <v>2734</v>
      </c>
      <c r="C47" s="5" t="s">
        <v>2740</v>
      </c>
      <c r="D47" s="5" t="s">
        <v>2745</v>
      </c>
      <c r="E47" s="5" t="s">
        <v>65</v>
      </c>
      <c r="F47" s="5">
        <v>3.34</v>
      </c>
      <c r="G47" s="5">
        <v>3.9</v>
      </c>
      <c r="H47" s="5">
        <v>3.13</v>
      </c>
      <c r="I47" s="5">
        <v>1</v>
      </c>
      <c r="J47" s="5" t="b">
        <v>0</v>
      </c>
      <c r="K47" s="5" t="b">
        <v>0</v>
      </c>
      <c r="L47" s="5" t="b">
        <v>0</v>
      </c>
      <c r="M47" s="5" t="b">
        <v>0</v>
      </c>
      <c r="N47" s="5" t="b">
        <v>1</v>
      </c>
      <c r="O47" s="5" t="b">
        <v>0</v>
      </c>
    </row>
    <row r="48" spans="1:15" ht="15.95" customHeight="1" x14ac:dyDescent="0.25">
      <c r="A48" s="8">
        <v>43504.46770833333</v>
      </c>
      <c r="B48" s="5" t="s">
        <v>2734</v>
      </c>
      <c r="C48" s="5" t="s">
        <v>2740</v>
      </c>
      <c r="D48" s="5" t="s">
        <v>307</v>
      </c>
      <c r="E48" s="5">
        <v>0</v>
      </c>
      <c r="F48" s="5">
        <v>3.34</v>
      </c>
      <c r="G48" s="5">
        <v>3.9</v>
      </c>
      <c r="H48" s="5">
        <v>3.13</v>
      </c>
      <c r="I48" s="5">
        <v>1</v>
      </c>
      <c r="J48" s="5" t="b">
        <v>0</v>
      </c>
      <c r="K48" s="5" t="b">
        <v>0</v>
      </c>
      <c r="L48" s="5" t="b">
        <v>0</v>
      </c>
      <c r="M48" s="5" t="b">
        <v>0</v>
      </c>
      <c r="N48" s="5" t="b">
        <v>1</v>
      </c>
      <c r="O48" s="5" t="b">
        <v>0</v>
      </c>
    </row>
    <row r="49" spans="1:15" ht="15.95" customHeight="1" x14ac:dyDescent="0.25">
      <c r="A49" s="8">
        <v>43504.467800925922</v>
      </c>
      <c r="B49" s="5" t="s">
        <v>2734</v>
      </c>
      <c r="C49" s="5" t="s">
        <v>305</v>
      </c>
      <c r="D49" s="5" t="s">
        <v>307</v>
      </c>
      <c r="E49" s="5">
        <v>2</v>
      </c>
      <c r="F49" s="5">
        <v>3.34</v>
      </c>
      <c r="G49" s="5">
        <v>3.9</v>
      </c>
      <c r="H49" s="5">
        <v>3.13</v>
      </c>
      <c r="I49" s="5">
        <v>1</v>
      </c>
      <c r="J49" s="5" t="b">
        <v>0</v>
      </c>
      <c r="K49" s="5" t="b">
        <v>0</v>
      </c>
      <c r="L49" s="5" t="b">
        <v>0</v>
      </c>
      <c r="M49" s="5" t="b">
        <v>0</v>
      </c>
      <c r="N49" s="5" t="b">
        <v>1</v>
      </c>
      <c r="O49" s="5" t="b">
        <v>0</v>
      </c>
    </row>
    <row r="50" spans="1:15" ht="15.95" customHeight="1" x14ac:dyDescent="0.25">
      <c r="A50" s="8">
        <v>43504.467916666668</v>
      </c>
      <c r="B50" s="5" t="s">
        <v>2734</v>
      </c>
      <c r="C50" s="5" t="s">
        <v>2740</v>
      </c>
      <c r="D50" s="5" t="s">
        <v>307</v>
      </c>
      <c r="E50" s="5">
        <v>0</v>
      </c>
      <c r="F50" s="5">
        <v>3.34</v>
      </c>
      <c r="G50" s="5">
        <v>3.9</v>
      </c>
      <c r="H50" s="5">
        <v>3.13</v>
      </c>
      <c r="I50" s="5">
        <v>1</v>
      </c>
      <c r="J50" s="5" t="b">
        <v>0</v>
      </c>
      <c r="K50" s="5" t="b">
        <v>0</v>
      </c>
      <c r="L50" s="5" t="b">
        <v>0</v>
      </c>
      <c r="M50" s="5" t="b">
        <v>0</v>
      </c>
      <c r="N50" s="5" t="b">
        <v>1</v>
      </c>
      <c r="O50" s="5" t="b">
        <v>0</v>
      </c>
    </row>
    <row r="51" spans="1:15" ht="15.95" customHeight="1" x14ac:dyDescent="0.25">
      <c r="A51" s="8">
        <v>43504.509259259263</v>
      </c>
      <c r="B51" s="5" t="s">
        <v>2734</v>
      </c>
      <c r="C51" s="5" t="s">
        <v>2740</v>
      </c>
      <c r="D51" s="5" t="s">
        <v>2745</v>
      </c>
      <c r="E51" s="5" t="s">
        <v>2749</v>
      </c>
      <c r="F51" s="5">
        <v>3.34</v>
      </c>
      <c r="G51" s="5">
        <v>3.9</v>
      </c>
      <c r="H51" s="5">
        <v>3.13</v>
      </c>
      <c r="I51" s="5">
        <v>1</v>
      </c>
      <c r="J51" s="5" t="b">
        <v>0</v>
      </c>
      <c r="K51" s="5" t="b">
        <v>0</v>
      </c>
      <c r="L51" s="5" t="b">
        <v>0</v>
      </c>
      <c r="M51" s="5" t="b">
        <v>0</v>
      </c>
      <c r="N51" s="5" t="b">
        <v>1</v>
      </c>
      <c r="O51" s="5" t="b">
        <v>0</v>
      </c>
    </row>
    <row r="52" spans="1:15" ht="15.95" customHeight="1" x14ac:dyDescent="0.25">
      <c r="A52" s="8">
        <v>43504.509664351855</v>
      </c>
      <c r="B52" s="5" t="s">
        <v>2734</v>
      </c>
      <c r="C52" s="5" t="s">
        <v>2740</v>
      </c>
      <c r="D52" s="5" t="s">
        <v>2745</v>
      </c>
      <c r="E52" s="5" t="s">
        <v>65</v>
      </c>
      <c r="F52" s="5">
        <v>3.34</v>
      </c>
      <c r="G52" s="5">
        <v>3.9</v>
      </c>
      <c r="H52" s="5">
        <v>3.13</v>
      </c>
      <c r="I52" s="5">
        <v>1</v>
      </c>
      <c r="J52" s="5" t="b">
        <v>0</v>
      </c>
      <c r="K52" s="5" t="b">
        <v>0</v>
      </c>
      <c r="L52" s="5" t="b">
        <v>0</v>
      </c>
      <c r="M52" s="5" t="b">
        <v>0</v>
      </c>
      <c r="N52" s="5" t="b">
        <v>1</v>
      </c>
      <c r="O52" s="5" t="b">
        <v>0</v>
      </c>
    </row>
    <row r="53" spans="1:15" ht="15.95" customHeight="1" x14ac:dyDescent="0.25">
      <c r="A53" s="8">
        <v>43504.509722222225</v>
      </c>
      <c r="B53" s="5" t="s">
        <v>2734</v>
      </c>
      <c r="C53" s="5" t="s">
        <v>2740</v>
      </c>
      <c r="D53" s="5" t="s">
        <v>307</v>
      </c>
      <c r="E53" s="5">
        <v>0</v>
      </c>
      <c r="F53" s="5">
        <v>3.34</v>
      </c>
      <c r="G53" s="5">
        <v>3.9</v>
      </c>
      <c r="H53" s="5">
        <v>3.13</v>
      </c>
      <c r="I53" s="5">
        <v>1</v>
      </c>
      <c r="J53" s="5" t="b">
        <v>0</v>
      </c>
      <c r="K53" s="5" t="b">
        <v>0</v>
      </c>
      <c r="L53" s="5" t="b">
        <v>0</v>
      </c>
      <c r="M53" s="5" t="b">
        <v>0</v>
      </c>
      <c r="N53" s="5" t="b">
        <v>1</v>
      </c>
      <c r="O53" s="5" t="b">
        <v>0</v>
      </c>
    </row>
    <row r="54" spans="1:15" ht="15.95" customHeight="1" x14ac:dyDescent="0.25">
      <c r="A54" s="8">
        <v>43504.509930555556</v>
      </c>
      <c r="B54" s="5" t="s">
        <v>2734</v>
      </c>
      <c r="C54" s="5" t="s">
        <v>2740</v>
      </c>
      <c r="D54" s="5" t="s">
        <v>307</v>
      </c>
      <c r="E54" s="5">
        <v>0</v>
      </c>
      <c r="F54" s="5">
        <v>3.34</v>
      </c>
      <c r="G54" s="5">
        <v>3.9</v>
      </c>
      <c r="H54" s="5">
        <v>3.13</v>
      </c>
      <c r="I54" s="5">
        <v>1</v>
      </c>
      <c r="J54" s="5" t="b">
        <v>0</v>
      </c>
      <c r="K54" s="5" t="b">
        <v>0</v>
      </c>
      <c r="L54" s="5" t="b">
        <v>0</v>
      </c>
      <c r="M54" s="5" t="b">
        <v>0</v>
      </c>
      <c r="N54" s="5" t="b">
        <v>1</v>
      </c>
      <c r="O54" s="5" t="b">
        <v>0</v>
      </c>
    </row>
    <row r="55" spans="1:15" ht="15.95" customHeight="1" x14ac:dyDescent="0.25">
      <c r="A55" s="8">
        <v>43504.510439814818</v>
      </c>
      <c r="B55" s="5" t="s">
        <v>2734</v>
      </c>
      <c r="C55" s="5" t="s">
        <v>2740</v>
      </c>
      <c r="D55" s="5" t="s">
        <v>2745</v>
      </c>
      <c r="E55" s="5" t="s">
        <v>65</v>
      </c>
      <c r="F55" s="5">
        <v>3.34</v>
      </c>
      <c r="G55" s="5">
        <v>3.9</v>
      </c>
      <c r="H55" s="5">
        <v>3.13</v>
      </c>
      <c r="I55" s="5">
        <v>1</v>
      </c>
      <c r="J55" s="5" t="b">
        <v>0</v>
      </c>
      <c r="K55" s="5" t="b">
        <v>0</v>
      </c>
      <c r="L55" s="5" t="b">
        <v>0</v>
      </c>
      <c r="M55" s="5" t="b">
        <v>0</v>
      </c>
      <c r="N55" s="5" t="b">
        <v>1</v>
      </c>
      <c r="O55" s="5" t="b">
        <v>0</v>
      </c>
    </row>
    <row r="56" spans="1:15" ht="15.95" customHeight="1" x14ac:dyDescent="0.25">
      <c r="A56" s="8">
        <v>43504.510520833333</v>
      </c>
      <c r="B56" s="5" t="s">
        <v>2734</v>
      </c>
      <c r="C56" s="5" t="s">
        <v>2740</v>
      </c>
      <c r="D56" s="5" t="s">
        <v>307</v>
      </c>
      <c r="E56" s="5">
        <v>0</v>
      </c>
      <c r="F56" s="5">
        <v>3.34</v>
      </c>
      <c r="G56" s="5">
        <v>3.9</v>
      </c>
      <c r="H56" s="5">
        <v>3.13</v>
      </c>
      <c r="I56" s="5">
        <v>1</v>
      </c>
      <c r="J56" s="5" t="b">
        <v>0</v>
      </c>
      <c r="K56" s="5" t="b">
        <v>0</v>
      </c>
      <c r="L56" s="5" t="b">
        <v>0</v>
      </c>
      <c r="M56" s="5" t="b">
        <v>0</v>
      </c>
      <c r="N56" s="5" t="b">
        <v>1</v>
      </c>
      <c r="O56" s="5" t="b">
        <v>0</v>
      </c>
    </row>
    <row r="57" spans="1:15" ht="15.95" customHeight="1" x14ac:dyDescent="0.25">
      <c r="A57" s="8">
        <v>43504.510601851849</v>
      </c>
      <c r="B57" s="5" t="s">
        <v>2734</v>
      </c>
      <c r="C57" s="5" t="s">
        <v>2740</v>
      </c>
      <c r="D57" s="5" t="s">
        <v>2745</v>
      </c>
      <c r="E57" s="5" t="s">
        <v>65</v>
      </c>
      <c r="F57" s="5">
        <v>3.34</v>
      </c>
      <c r="G57" s="5">
        <v>3.9</v>
      </c>
      <c r="H57" s="5">
        <v>3.13</v>
      </c>
      <c r="I57" s="5">
        <v>1</v>
      </c>
      <c r="J57" s="5" t="b">
        <v>0</v>
      </c>
      <c r="K57" s="5" t="b">
        <v>0</v>
      </c>
      <c r="L57" s="5" t="b">
        <v>0</v>
      </c>
      <c r="M57" s="5" t="b">
        <v>0</v>
      </c>
      <c r="N57" s="5" t="b">
        <v>1</v>
      </c>
      <c r="O57" s="5" t="b">
        <v>0</v>
      </c>
    </row>
    <row r="58" spans="1:15" ht="15.95" customHeight="1" x14ac:dyDescent="0.25">
      <c r="A58" s="8">
        <v>43504.510706018518</v>
      </c>
      <c r="B58" s="5" t="s">
        <v>2734</v>
      </c>
      <c r="C58" s="5" t="s">
        <v>2740</v>
      </c>
      <c r="D58" s="5" t="s">
        <v>307</v>
      </c>
      <c r="E58" s="5">
        <v>0</v>
      </c>
      <c r="F58" s="5">
        <v>3.34</v>
      </c>
      <c r="G58" s="5">
        <v>3.9</v>
      </c>
      <c r="H58" s="5">
        <v>3.13</v>
      </c>
      <c r="I58" s="5">
        <v>1</v>
      </c>
      <c r="J58" s="5" t="b">
        <v>0</v>
      </c>
      <c r="K58" s="5" t="b">
        <v>0</v>
      </c>
      <c r="L58" s="5" t="b">
        <v>0</v>
      </c>
      <c r="M58" s="5" t="b">
        <v>0</v>
      </c>
      <c r="N58" s="5" t="b">
        <v>1</v>
      </c>
      <c r="O58" s="5" t="b">
        <v>0</v>
      </c>
    </row>
    <row r="59" spans="1:15" ht="15.95" customHeight="1" x14ac:dyDescent="0.25">
      <c r="A59" s="8">
        <v>43504.511111111111</v>
      </c>
      <c r="B59" s="5" t="s">
        <v>2734</v>
      </c>
      <c r="C59" s="5" t="s">
        <v>306</v>
      </c>
      <c r="D59" s="5" t="s">
        <v>307</v>
      </c>
      <c r="E59" s="5">
        <v>0</v>
      </c>
      <c r="F59" s="5">
        <v>3.34</v>
      </c>
      <c r="G59" s="5">
        <v>3.9</v>
      </c>
      <c r="H59" s="5">
        <v>3.13</v>
      </c>
      <c r="I59" s="5">
        <v>1</v>
      </c>
      <c r="J59" s="5" t="b">
        <v>0</v>
      </c>
      <c r="K59" s="5" t="b">
        <v>0</v>
      </c>
      <c r="L59" s="5" t="b">
        <v>0</v>
      </c>
      <c r="M59" s="5" t="b">
        <v>0</v>
      </c>
      <c r="N59" s="5" t="b">
        <v>1</v>
      </c>
      <c r="O59" s="5" t="b">
        <v>0</v>
      </c>
    </row>
    <row r="60" spans="1:15" ht="15.95" customHeight="1" x14ac:dyDescent="0.25">
      <c r="A60" s="8">
        <v>43504.638981481483</v>
      </c>
      <c r="B60" s="5" t="s">
        <v>2734</v>
      </c>
      <c r="C60" s="5" t="s">
        <v>2741</v>
      </c>
      <c r="D60" s="5"/>
      <c r="E60" s="5">
        <v>1</v>
      </c>
      <c r="F60" s="5">
        <v>3.34</v>
      </c>
      <c r="G60" s="5">
        <v>3.9</v>
      </c>
      <c r="H60" s="5">
        <v>3.13</v>
      </c>
      <c r="I60" s="5">
        <v>0</v>
      </c>
      <c r="J60" s="5" t="b">
        <v>0</v>
      </c>
      <c r="K60" s="5" t="b">
        <v>0</v>
      </c>
      <c r="L60" s="5" t="b">
        <v>0</v>
      </c>
      <c r="M60" s="5" t="b">
        <v>0</v>
      </c>
      <c r="N60" s="5" t="b">
        <v>1</v>
      </c>
      <c r="O60" s="5" t="b">
        <v>0</v>
      </c>
    </row>
    <row r="61" spans="1:15" ht="15.95" customHeight="1" x14ac:dyDescent="0.25">
      <c r="A61" s="8">
        <v>43504.638981481483</v>
      </c>
      <c r="B61" s="5" t="s">
        <v>2734</v>
      </c>
      <c r="C61" s="5" t="s">
        <v>2746</v>
      </c>
      <c r="D61" s="5"/>
      <c r="E61" s="5" t="s">
        <v>2742</v>
      </c>
      <c r="F61" s="5">
        <v>3.34</v>
      </c>
      <c r="G61" s="5">
        <v>3.9</v>
      </c>
      <c r="H61" s="5">
        <v>3.13</v>
      </c>
      <c r="I61" s="5">
        <v>0</v>
      </c>
      <c r="J61" s="5" t="b">
        <v>0</v>
      </c>
      <c r="K61" s="5" t="b">
        <v>0</v>
      </c>
      <c r="L61" s="5" t="b">
        <v>0</v>
      </c>
      <c r="M61" s="5" t="b">
        <v>0</v>
      </c>
      <c r="N61" s="5" t="b">
        <v>1</v>
      </c>
      <c r="O61" s="5" t="b">
        <v>0</v>
      </c>
    </row>
    <row r="62" spans="1:15" ht="15.95" customHeight="1" x14ac:dyDescent="0.25">
      <c r="A62" s="8">
        <v>43504.638981481483</v>
      </c>
      <c r="B62" s="5" t="s">
        <v>2734</v>
      </c>
      <c r="C62" s="5" t="s">
        <v>2739</v>
      </c>
      <c r="D62" s="5"/>
      <c r="E62" s="5" t="s">
        <v>2742</v>
      </c>
      <c r="F62" s="5">
        <v>3.34</v>
      </c>
      <c r="G62" s="5">
        <v>3.9</v>
      </c>
      <c r="H62" s="5">
        <v>3.13</v>
      </c>
      <c r="I62" s="5">
        <v>0</v>
      </c>
      <c r="J62" s="5" t="b">
        <v>0</v>
      </c>
      <c r="K62" s="5" t="b">
        <v>0</v>
      </c>
      <c r="L62" s="5" t="b">
        <v>0</v>
      </c>
      <c r="M62" s="5" t="b">
        <v>0</v>
      </c>
      <c r="N62" s="5" t="b">
        <v>1</v>
      </c>
      <c r="O62" s="5" t="b">
        <v>0</v>
      </c>
    </row>
    <row r="63" spans="1:15" ht="15.95" customHeight="1" x14ac:dyDescent="0.25">
      <c r="A63" s="8">
        <v>43504.638981481483</v>
      </c>
      <c r="B63" s="5" t="s">
        <v>2734</v>
      </c>
      <c r="C63" s="5" t="s">
        <v>2743</v>
      </c>
      <c r="D63" s="5"/>
      <c r="E63" s="5">
        <v>1</v>
      </c>
      <c r="F63" s="5">
        <v>3.34</v>
      </c>
      <c r="G63" s="5">
        <v>3.9</v>
      </c>
      <c r="H63" s="5">
        <v>3.13</v>
      </c>
      <c r="I63" s="5">
        <v>0</v>
      </c>
      <c r="J63" s="5" t="b">
        <v>0</v>
      </c>
      <c r="K63" s="5" t="b">
        <v>0</v>
      </c>
      <c r="L63" s="5" t="b">
        <v>0</v>
      </c>
      <c r="M63" s="5" t="b">
        <v>0</v>
      </c>
      <c r="N63" s="5" t="b">
        <v>1</v>
      </c>
      <c r="O63" s="5" t="b">
        <v>0</v>
      </c>
    </row>
    <row r="64" spans="1:15" ht="15.95" customHeight="1" x14ac:dyDescent="0.25">
      <c r="A64" s="8">
        <v>43504.639131944445</v>
      </c>
      <c r="B64" s="5" t="s">
        <v>2734</v>
      </c>
      <c r="C64" s="5" t="s">
        <v>2896</v>
      </c>
      <c r="D64" s="5"/>
      <c r="E64" s="5" t="s">
        <v>2736</v>
      </c>
      <c r="F64" s="5">
        <v>3.34</v>
      </c>
      <c r="G64" s="5">
        <v>3.9</v>
      </c>
      <c r="H64" s="5">
        <v>3.13</v>
      </c>
      <c r="I64" s="5">
        <v>0</v>
      </c>
      <c r="J64" s="5" t="b">
        <v>0</v>
      </c>
      <c r="K64" s="5" t="b">
        <v>0</v>
      </c>
      <c r="L64" s="5" t="b">
        <v>0</v>
      </c>
      <c r="M64" s="5" t="b">
        <v>0</v>
      </c>
      <c r="N64" s="5" t="b">
        <v>1</v>
      </c>
      <c r="O64" s="5" t="b">
        <v>0</v>
      </c>
    </row>
    <row r="65" spans="1:15" ht="15.95" customHeight="1" x14ac:dyDescent="0.25">
      <c r="A65" s="8">
        <v>43504.639155092591</v>
      </c>
      <c r="B65" s="5" t="s">
        <v>2734</v>
      </c>
      <c r="C65" s="5" t="s">
        <v>2741</v>
      </c>
      <c r="D65" s="5"/>
      <c r="E65" s="5">
        <v>1</v>
      </c>
      <c r="F65" s="5">
        <v>3.34</v>
      </c>
      <c r="G65" s="5">
        <v>3.9</v>
      </c>
      <c r="H65" s="5">
        <v>3.13</v>
      </c>
      <c r="I65" s="5">
        <v>0</v>
      </c>
      <c r="J65" s="5" t="b">
        <v>0</v>
      </c>
      <c r="K65" s="5" t="b">
        <v>0</v>
      </c>
      <c r="L65" s="5" t="b">
        <v>0</v>
      </c>
      <c r="M65" s="5" t="b">
        <v>0</v>
      </c>
      <c r="N65" s="5" t="b">
        <v>1</v>
      </c>
      <c r="O65" s="5" t="b">
        <v>0</v>
      </c>
    </row>
    <row r="66" spans="1:15" ht="15.95" customHeight="1" x14ac:dyDescent="0.25">
      <c r="A66" s="8">
        <v>43504.639155092591</v>
      </c>
      <c r="B66" s="5" t="s">
        <v>2734</v>
      </c>
      <c r="C66" s="5" t="s">
        <v>2930</v>
      </c>
      <c r="D66" s="5"/>
      <c r="E66" s="5" t="s">
        <v>2742</v>
      </c>
      <c r="F66" s="5">
        <v>3.34</v>
      </c>
      <c r="G66" s="5">
        <v>3.9</v>
      </c>
      <c r="H66" s="5">
        <v>3.13</v>
      </c>
      <c r="I66" s="5">
        <v>0</v>
      </c>
      <c r="J66" s="5" t="b">
        <v>0</v>
      </c>
      <c r="K66" s="5" t="b">
        <v>0</v>
      </c>
      <c r="L66" s="5" t="b">
        <v>0</v>
      </c>
      <c r="M66" s="5" t="b">
        <v>0</v>
      </c>
      <c r="N66" s="5" t="b">
        <v>1</v>
      </c>
      <c r="O66" s="5" t="b">
        <v>0</v>
      </c>
    </row>
    <row r="67" spans="1:15" ht="15.95" customHeight="1" x14ac:dyDescent="0.25">
      <c r="A67" s="8">
        <v>43504.639155092591</v>
      </c>
      <c r="B67" s="5" t="s">
        <v>2734</v>
      </c>
      <c r="C67" s="5" t="s">
        <v>2929</v>
      </c>
      <c r="D67" s="5"/>
      <c r="E67" s="5" t="s">
        <v>2742</v>
      </c>
      <c r="F67" s="5">
        <v>3.34</v>
      </c>
      <c r="G67" s="5">
        <v>3.9</v>
      </c>
      <c r="H67" s="5">
        <v>3.13</v>
      </c>
      <c r="I67" s="5">
        <v>0</v>
      </c>
      <c r="J67" s="5" t="b">
        <v>0</v>
      </c>
      <c r="K67" s="5" t="b">
        <v>0</v>
      </c>
      <c r="L67" s="5" t="b">
        <v>0</v>
      </c>
      <c r="M67" s="5" t="b">
        <v>0</v>
      </c>
      <c r="N67" s="5" t="b">
        <v>1</v>
      </c>
      <c r="O67" s="5" t="b">
        <v>0</v>
      </c>
    </row>
    <row r="68" spans="1:15" ht="15.95" customHeight="1" x14ac:dyDescent="0.25">
      <c r="A68" s="8">
        <v>43504.639155092591</v>
      </c>
      <c r="B68" s="5" t="s">
        <v>2734</v>
      </c>
      <c r="C68" s="5" t="s">
        <v>2928</v>
      </c>
      <c r="D68" s="5"/>
      <c r="E68" s="5" t="s">
        <v>2742</v>
      </c>
      <c r="F68" s="5">
        <v>3.34</v>
      </c>
      <c r="G68" s="5">
        <v>3.9</v>
      </c>
      <c r="H68" s="5">
        <v>3.13</v>
      </c>
      <c r="I68" s="5">
        <v>0</v>
      </c>
      <c r="J68" s="5" t="b">
        <v>0</v>
      </c>
      <c r="K68" s="5" t="b">
        <v>0</v>
      </c>
      <c r="L68" s="5" t="b">
        <v>0</v>
      </c>
      <c r="M68" s="5" t="b">
        <v>0</v>
      </c>
      <c r="N68" s="5" t="b">
        <v>1</v>
      </c>
      <c r="O68" s="5" t="b">
        <v>0</v>
      </c>
    </row>
    <row r="69" spans="1:15" ht="15.95" customHeight="1" x14ac:dyDescent="0.25">
      <c r="A69" s="8">
        <v>43504.639155092591</v>
      </c>
      <c r="B69" s="5" t="s">
        <v>2734</v>
      </c>
      <c r="C69" s="5" t="s">
        <v>2927</v>
      </c>
      <c r="D69" s="5"/>
      <c r="E69" s="5" t="s">
        <v>2742</v>
      </c>
      <c r="F69" s="5">
        <v>3.34</v>
      </c>
      <c r="G69" s="5">
        <v>3.9</v>
      </c>
      <c r="H69" s="5">
        <v>3.13</v>
      </c>
      <c r="I69" s="5">
        <v>0</v>
      </c>
      <c r="J69" s="5" t="b">
        <v>0</v>
      </c>
      <c r="K69" s="5" t="b">
        <v>0</v>
      </c>
      <c r="L69" s="5" t="b">
        <v>0</v>
      </c>
      <c r="M69" s="5" t="b">
        <v>0</v>
      </c>
      <c r="N69" s="5" t="b">
        <v>1</v>
      </c>
      <c r="O69" s="5" t="b">
        <v>0</v>
      </c>
    </row>
    <row r="70" spans="1:15" ht="15.95" customHeight="1" x14ac:dyDescent="0.25">
      <c r="A70" s="8">
        <v>43504.639155092591</v>
      </c>
      <c r="B70" s="5" t="s">
        <v>2734</v>
      </c>
      <c r="C70" s="5" t="s">
        <v>2926</v>
      </c>
      <c r="D70" s="5"/>
      <c r="E70" s="5" t="s">
        <v>2742</v>
      </c>
      <c r="F70" s="5">
        <v>3.34</v>
      </c>
      <c r="G70" s="5">
        <v>3.9</v>
      </c>
      <c r="H70" s="5">
        <v>3.13</v>
      </c>
      <c r="I70" s="5">
        <v>0</v>
      </c>
      <c r="J70" s="5" t="b">
        <v>0</v>
      </c>
      <c r="K70" s="5" t="b">
        <v>0</v>
      </c>
      <c r="L70" s="5" t="b">
        <v>0</v>
      </c>
      <c r="M70" s="5" t="b">
        <v>0</v>
      </c>
      <c r="N70" s="5" t="b">
        <v>1</v>
      </c>
      <c r="O70" s="5" t="b">
        <v>0</v>
      </c>
    </row>
    <row r="71" spans="1:15" ht="15.95" customHeight="1" x14ac:dyDescent="0.25">
      <c r="A71" s="8">
        <v>43504.639155092591</v>
      </c>
      <c r="B71" s="5" t="s">
        <v>2734</v>
      </c>
      <c r="C71" s="5" t="s">
        <v>2925</v>
      </c>
      <c r="D71" s="5"/>
      <c r="E71" s="5" t="s">
        <v>2742</v>
      </c>
      <c r="F71" s="5">
        <v>3.34</v>
      </c>
      <c r="G71" s="5">
        <v>3.9</v>
      </c>
      <c r="H71" s="5">
        <v>3.13</v>
      </c>
      <c r="I71" s="5">
        <v>0</v>
      </c>
      <c r="J71" s="5" t="b">
        <v>0</v>
      </c>
      <c r="K71" s="5" t="b">
        <v>0</v>
      </c>
      <c r="L71" s="5" t="b">
        <v>0</v>
      </c>
      <c r="M71" s="5" t="b">
        <v>0</v>
      </c>
      <c r="N71" s="5" t="b">
        <v>1</v>
      </c>
      <c r="O71" s="5" t="b">
        <v>0</v>
      </c>
    </row>
    <row r="72" spans="1:15" ht="15.95" customHeight="1" x14ac:dyDescent="0.25">
      <c r="A72" s="8">
        <v>43504.639155092591</v>
      </c>
      <c r="B72" s="5" t="s">
        <v>2734</v>
      </c>
      <c r="C72" s="5" t="s">
        <v>2924</v>
      </c>
      <c r="D72" s="5"/>
      <c r="E72" s="5" t="s">
        <v>2742</v>
      </c>
      <c r="F72" s="5">
        <v>3.34</v>
      </c>
      <c r="G72" s="5">
        <v>3.9</v>
      </c>
      <c r="H72" s="5">
        <v>3.13</v>
      </c>
      <c r="I72" s="5">
        <v>0</v>
      </c>
      <c r="J72" s="5" t="b">
        <v>0</v>
      </c>
      <c r="K72" s="5" t="b">
        <v>0</v>
      </c>
      <c r="L72" s="5" t="b">
        <v>0</v>
      </c>
      <c r="M72" s="5" t="b">
        <v>0</v>
      </c>
      <c r="N72" s="5" t="b">
        <v>1</v>
      </c>
      <c r="O72" s="5" t="b">
        <v>0</v>
      </c>
    </row>
    <row r="73" spans="1:15" ht="15.95" customHeight="1" x14ac:dyDescent="0.25">
      <c r="A73" s="8">
        <v>43504.639155092591</v>
      </c>
      <c r="B73" s="5" t="s">
        <v>2734</v>
      </c>
      <c r="C73" s="5" t="s">
        <v>2923</v>
      </c>
      <c r="D73" s="5"/>
      <c r="E73" s="5" t="s">
        <v>2742</v>
      </c>
      <c r="F73" s="5">
        <v>3.34</v>
      </c>
      <c r="G73" s="5">
        <v>3.9</v>
      </c>
      <c r="H73" s="5">
        <v>3.13</v>
      </c>
      <c r="I73" s="5">
        <v>0</v>
      </c>
      <c r="J73" s="5" t="b">
        <v>0</v>
      </c>
      <c r="K73" s="5" t="b">
        <v>0</v>
      </c>
      <c r="L73" s="5" t="b">
        <v>0</v>
      </c>
      <c r="M73" s="5" t="b">
        <v>0</v>
      </c>
      <c r="N73" s="5" t="b">
        <v>1</v>
      </c>
      <c r="O73" s="5" t="b">
        <v>0</v>
      </c>
    </row>
    <row r="74" spans="1:15" ht="15.95" customHeight="1" x14ac:dyDescent="0.25">
      <c r="A74" s="8">
        <v>43504.639155092591</v>
      </c>
      <c r="B74" s="5" t="s">
        <v>2734</v>
      </c>
      <c r="C74" s="5" t="s">
        <v>2922</v>
      </c>
      <c r="D74" s="5"/>
      <c r="E74" s="5" t="s">
        <v>2742</v>
      </c>
      <c r="F74" s="5">
        <v>3.34</v>
      </c>
      <c r="G74" s="5">
        <v>3.9</v>
      </c>
      <c r="H74" s="5">
        <v>3.13</v>
      </c>
      <c r="I74" s="5">
        <v>0</v>
      </c>
      <c r="J74" s="5" t="b">
        <v>0</v>
      </c>
      <c r="K74" s="5" t="b">
        <v>0</v>
      </c>
      <c r="L74" s="5" t="b">
        <v>0</v>
      </c>
      <c r="M74" s="5" t="b">
        <v>0</v>
      </c>
      <c r="N74" s="5" t="b">
        <v>1</v>
      </c>
      <c r="O74" s="5" t="b">
        <v>0</v>
      </c>
    </row>
    <row r="75" spans="1:15" ht="15.95" customHeight="1" x14ac:dyDescent="0.25">
      <c r="A75" s="8">
        <v>43504.639155092591</v>
      </c>
      <c r="B75" s="5" t="s">
        <v>2734</v>
      </c>
      <c r="C75" s="5" t="s">
        <v>2921</v>
      </c>
      <c r="D75" s="5"/>
      <c r="E75" s="5" t="s">
        <v>2742</v>
      </c>
      <c r="F75" s="5">
        <v>3.34</v>
      </c>
      <c r="G75" s="5">
        <v>3.9</v>
      </c>
      <c r="H75" s="5">
        <v>3.13</v>
      </c>
      <c r="I75" s="5">
        <v>0</v>
      </c>
      <c r="J75" s="5" t="b">
        <v>0</v>
      </c>
      <c r="K75" s="5" t="b">
        <v>0</v>
      </c>
      <c r="L75" s="5" t="b">
        <v>0</v>
      </c>
      <c r="M75" s="5" t="b">
        <v>0</v>
      </c>
      <c r="N75" s="5" t="b">
        <v>1</v>
      </c>
      <c r="O75" s="5" t="b">
        <v>0</v>
      </c>
    </row>
    <row r="76" spans="1:15" ht="15.95" customHeight="1" x14ac:dyDescent="0.25">
      <c r="A76" s="8">
        <v>43504.639155092591</v>
      </c>
      <c r="B76" s="5" t="s">
        <v>2734</v>
      </c>
      <c r="C76" s="5" t="s">
        <v>2920</v>
      </c>
      <c r="D76" s="5"/>
      <c r="E76" s="5" t="s">
        <v>2742</v>
      </c>
      <c r="F76" s="5">
        <v>3.34</v>
      </c>
      <c r="G76" s="5">
        <v>3.9</v>
      </c>
      <c r="H76" s="5">
        <v>3.13</v>
      </c>
      <c r="I76" s="5">
        <v>0</v>
      </c>
      <c r="J76" s="5" t="b">
        <v>0</v>
      </c>
      <c r="K76" s="5" t="b">
        <v>0</v>
      </c>
      <c r="L76" s="5" t="b">
        <v>0</v>
      </c>
      <c r="M76" s="5" t="b">
        <v>0</v>
      </c>
      <c r="N76" s="5" t="b">
        <v>1</v>
      </c>
      <c r="O76" s="5" t="b">
        <v>0</v>
      </c>
    </row>
    <row r="77" spans="1:15" ht="15.95" customHeight="1" x14ac:dyDescent="0.25">
      <c r="A77" s="8">
        <v>43504.639155092591</v>
      </c>
      <c r="B77" s="5" t="s">
        <v>2734</v>
      </c>
      <c r="C77" s="5" t="s">
        <v>2919</v>
      </c>
      <c r="D77" s="5"/>
      <c r="E77" s="5" t="s">
        <v>2742</v>
      </c>
      <c r="F77" s="5">
        <v>3.34</v>
      </c>
      <c r="G77" s="5">
        <v>3.9</v>
      </c>
      <c r="H77" s="5">
        <v>3.13</v>
      </c>
      <c r="I77" s="5">
        <v>0</v>
      </c>
      <c r="J77" s="5" t="b">
        <v>0</v>
      </c>
      <c r="K77" s="5" t="b">
        <v>0</v>
      </c>
      <c r="L77" s="5" t="b">
        <v>0</v>
      </c>
      <c r="M77" s="5" t="b">
        <v>0</v>
      </c>
      <c r="N77" s="5" t="b">
        <v>1</v>
      </c>
      <c r="O77" s="5" t="b">
        <v>0</v>
      </c>
    </row>
    <row r="78" spans="1:15" ht="15.95" customHeight="1" x14ac:dyDescent="0.25">
      <c r="A78" s="8">
        <v>43504.639155092591</v>
      </c>
      <c r="B78" s="5" t="s">
        <v>2734</v>
      </c>
      <c r="C78" s="5" t="s">
        <v>2918</v>
      </c>
      <c r="D78" s="5"/>
      <c r="E78" s="5" t="s">
        <v>2742</v>
      </c>
      <c r="F78" s="5">
        <v>3.34</v>
      </c>
      <c r="G78" s="5">
        <v>3.9</v>
      </c>
      <c r="H78" s="5">
        <v>3.13</v>
      </c>
      <c r="I78" s="5">
        <v>0</v>
      </c>
      <c r="J78" s="5" t="b">
        <v>0</v>
      </c>
      <c r="K78" s="5" t="b">
        <v>0</v>
      </c>
      <c r="L78" s="5" t="b">
        <v>0</v>
      </c>
      <c r="M78" s="5" t="b">
        <v>0</v>
      </c>
      <c r="N78" s="5" t="b">
        <v>1</v>
      </c>
      <c r="O78" s="5" t="b">
        <v>0</v>
      </c>
    </row>
    <row r="79" spans="1:15" ht="15.95" customHeight="1" x14ac:dyDescent="0.25">
      <c r="A79" s="8">
        <v>43504.639155092591</v>
      </c>
      <c r="B79" s="5" t="s">
        <v>2734</v>
      </c>
      <c r="C79" s="5" t="s">
        <v>2917</v>
      </c>
      <c r="D79" s="5"/>
      <c r="E79" s="5" t="s">
        <v>2742</v>
      </c>
      <c r="F79" s="5">
        <v>3.34</v>
      </c>
      <c r="G79" s="5">
        <v>3.9</v>
      </c>
      <c r="H79" s="5">
        <v>3.13</v>
      </c>
      <c r="I79" s="5">
        <v>0</v>
      </c>
      <c r="J79" s="5" t="b">
        <v>0</v>
      </c>
      <c r="K79" s="5" t="b">
        <v>0</v>
      </c>
      <c r="L79" s="5" t="b">
        <v>0</v>
      </c>
      <c r="M79" s="5" t="b">
        <v>0</v>
      </c>
      <c r="N79" s="5" t="b">
        <v>1</v>
      </c>
      <c r="O79" s="5" t="b">
        <v>0</v>
      </c>
    </row>
    <row r="80" spans="1:15" ht="15.95" customHeight="1" x14ac:dyDescent="0.25">
      <c r="A80" s="8">
        <v>43504.639155092591</v>
      </c>
      <c r="B80" s="5" t="s">
        <v>2734</v>
      </c>
      <c r="C80" s="5" t="s">
        <v>2916</v>
      </c>
      <c r="D80" s="5"/>
      <c r="E80" s="5" t="s">
        <v>2742</v>
      </c>
      <c r="F80" s="5">
        <v>3.34</v>
      </c>
      <c r="G80" s="5">
        <v>3.9</v>
      </c>
      <c r="H80" s="5">
        <v>3.13</v>
      </c>
      <c r="I80" s="5">
        <v>0</v>
      </c>
      <c r="J80" s="5" t="b">
        <v>0</v>
      </c>
      <c r="K80" s="5" t="b">
        <v>0</v>
      </c>
      <c r="L80" s="5" t="b">
        <v>0</v>
      </c>
      <c r="M80" s="5" t="b">
        <v>0</v>
      </c>
      <c r="N80" s="5" t="b">
        <v>1</v>
      </c>
      <c r="O80" s="5" t="b">
        <v>0</v>
      </c>
    </row>
    <row r="81" spans="1:15" ht="15.95" customHeight="1" x14ac:dyDescent="0.25">
      <c r="A81" s="8">
        <v>43504.639155092591</v>
      </c>
      <c r="B81" s="5" t="s">
        <v>2734</v>
      </c>
      <c r="C81" s="5" t="s">
        <v>2915</v>
      </c>
      <c r="D81" s="5"/>
      <c r="E81" s="5" t="s">
        <v>2742</v>
      </c>
      <c r="F81" s="5">
        <v>3.34</v>
      </c>
      <c r="G81" s="5">
        <v>3.9</v>
      </c>
      <c r="H81" s="5">
        <v>3.13</v>
      </c>
      <c r="I81" s="5">
        <v>0</v>
      </c>
      <c r="J81" s="5" t="b">
        <v>0</v>
      </c>
      <c r="K81" s="5" t="b">
        <v>0</v>
      </c>
      <c r="L81" s="5" t="b">
        <v>0</v>
      </c>
      <c r="M81" s="5" t="b">
        <v>0</v>
      </c>
      <c r="N81" s="5" t="b">
        <v>1</v>
      </c>
      <c r="O81" s="5" t="b">
        <v>0</v>
      </c>
    </row>
    <row r="82" spans="1:15" ht="15.95" customHeight="1" x14ac:dyDescent="0.25">
      <c r="A82" s="8">
        <v>43504.639155092591</v>
      </c>
      <c r="B82" s="5" t="s">
        <v>2734</v>
      </c>
      <c r="C82" s="5" t="s">
        <v>2914</v>
      </c>
      <c r="D82" s="5"/>
      <c r="E82" s="5" t="s">
        <v>2742</v>
      </c>
      <c r="F82" s="5">
        <v>3.34</v>
      </c>
      <c r="G82" s="5">
        <v>3.9</v>
      </c>
      <c r="H82" s="5">
        <v>3.13</v>
      </c>
      <c r="I82" s="5">
        <v>0</v>
      </c>
      <c r="J82" s="5" t="b">
        <v>0</v>
      </c>
      <c r="K82" s="5" t="b">
        <v>0</v>
      </c>
      <c r="L82" s="5" t="b">
        <v>0</v>
      </c>
      <c r="M82" s="5" t="b">
        <v>0</v>
      </c>
      <c r="N82" s="5" t="b">
        <v>1</v>
      </c>
      <c r="O82" s="5" t="b">
        <v>0</v>
      </c>
    </row>
    <row r="83" spans="1:15" ht="15.95" customHeight="1" x14ac:dyDescent="0.25">
      <c r="A83" s="8">
        <v>43504.639155092591</v>
      </c>
      <c r="B83" s="5" t="s">
        <v>2734</v>
      </c>
      <c r="C83" s="5" t="s">
        <v>2913</v>
      </c>
      <c r="D83" s="5"/>
      <c r="E83" s="5" t="s">
        <v>2742</v>
      </c>
      <c r="F83" s="5">
        <v>3.34</v>
      </c>
      <c r="G83" s="5">
        <v>3.9</v>
      </c>
      <c r="H83" s="5">
        <v>3.13</v>
      </c>
      <c r="I83" s="5">
        <v>0</v>
      </c>
      <c r="J83" s="5" t="b">
        <v>0</v>
      </c>
      <c r="K83" s="5" t="b">
        <v>0</v>
      </c>
      <c r="L83" s="5" t="b">
        <v>0</v>
      </c>
      <c r="M83" s="5" t="b">
        <v>0</v>
      </c>
      <c r="N83" s="5" t="b">
        <v>1</v>
      </c>
      <c r="O83" s="5" t="b">
        <v>0</v>
      </c>
    </row>
    <row r="84" spans="1:15" ht="15.95" customHeight="1" x14ac:dyDescent="0.25">
      <c r="A84" s="8">
        <v>43504.639155092591</v>
      </c>
      <c r="B84" s="5" t="s">
        <v>2734</v>
      </c>
      <c r="C84" s="5" t="s">
        <v>2912</v>
      </c>
      <c r="D84" s="5"/>
      <c r="E84" s="5" t="s">
        <v>2742</v>
      </c>
      <c r="F84" s="5">
        <v>3.34</v>
      </c>
      <c r="G84" s="5">
        <v>3.9</v>
      </c>
      <c r="H84" s="5">
        <v>3.13</v>
      </c>
      <c r="I84" s="5">
        <v>0</v>
      </c>
      <c r="J84" s="5" t="b">
        <v>0</v>
      </c>
      <c r="K84" s="5" t="b">
        <v>0</v>
      </c>
      <c r="L84" s="5" t="b">
        <v>0</v>
      </c>
      <c r="M84" s="5" t="b">
        <v>0</v>
      </c>
      <c r="N84" s="5" t="b">
        <v>1</v>
      </c>
      <c r="O84" s="5" t="b">
        <v>0</v>
      </c>
    </row>
    <row r="85" spans="1:15" ht="15.95" customHeight="1" x14ac:dyDescent="0.25">
      <c r="A85" s="8">
        <v>43504.639155092591</v>
      </c>
      <c r="B85" s="5" t="s">
        <v>2734</v>
      </c>
      <c r="C85" s="5" t="s">
        <v>2908</v>
      </c>
      <c r="D85" s="5"/>
      <c r="E85" s="5" t="s">
        <v>2742</v>
      </c>
      <c r="F85" s="5">
        <v>3.34</v>
      </c>
      <c r="G85" s="5">
        <v>3.9</v>
      </c>
      <c r="H85" s="5">
        <v>3.13</v>
      </c>
      <c r="I85" s="5">
        <v>0</v>
      </c>
      <c r="J85" s="5" t="b">
        <v>0</v>
      </c>
      <c r="K85" s="5" t="b">
        <v>0</v>
      </c>
      <c r="L85" s="5" t="b">
        <v>0</v>
      </c>
      <c r="M85" s="5" t="b">
        <v>0</v>
      </c>
      <c r="N85" s="5" t="b">
        <v>1</v>
      </c>
      <c r="O85" s="5" t="b">
        <v>0</v>
      </c>
    </row>
    <row r="86" spans="1:15" ht="15.95" customHeight="1" x14ac:dyDescent="0.25">
      <c r="A86" s="8">
        <v>43504.639155092591</v>
      </c>
      <c r="B86" s="5" t="s">
        <v>2734</v>
      </c>
      <c r="C86" s="5" t="s">
        <v>2907</v>
      </c>
      <c r="D86" s="5"/>
      <c r="E86" s="5" t="s">
        <v>2742</v>
      </c>
      <c r="F86" s="5">
        <v>3.34</v>
      </c>
      <c r="G86" s="5">
        <v>3.9</v>
      </c>
      <c r="H86" s="5">
        <v>3.13</v>
      </c>
      <c r="I86" s="5">
        <v>0</v>
      </c>
      <c r="J86" s="5" t="b">
        <v>0</v>
      </c>
      <c r="K86" s="5" t="b">
        <v>0</v>
      </c>
      <c r="L86" s="5" t="b">
        <v>0</v>
      </c>
      <c r="M86" s="5" t="b">
        <v>0</v>
      </c>
      <c r="N86" s="5" t="b">
        <v>1</v>
      </c>
      <c r="O86" s="5" t="b">
        <v>0</v>
      </c>
    </row>
    <row r="87" spans="1:15" ht="15.95" customHeight="1" x14ac:dyDescent="0.25">
      <c r="A87" s="8">
        <v>43504.639155092591</v>
      </c>
      <c r="B87" s="5" t="s">
        <v>2734</v>
      </c>
      <c r="C87" s="5" t="s">
        <v>2905</v>
      </c>
      <c r="D87" s="5"/>
      <c r="E87" s="5" t="s">
        <v>2742</v>
      </c>
      <c r="F87" s="5">
        <v>3.34</v>
      </c>
      <c r="G87" s="5">
        <v>3.9</v>
      </c>
      <c r="H87" s="5">
        <v>3.13</v>
      </c>
      <c r="I87" s="5">
        <v>0</v>
      </c>
      <c r="J87" s="5" t="b">
        <v>0</v>
      </c>
      <c r="K87" s="5" t="b">
        <v>0</v>
      </c>
      <c r="L87" s="5" t="b">
        <v>0</v>
      </c>
      <c r="M87" s="5" t="b">
        <v>0</v>
      </c>
      <c r="N87" s="5" t="b">
        <v>1</v>
      </c>
      <c r="O87" s="5" t="b">
        <v>0</v>
      </c>
    </row>
    <row r="88" spans="1:15" ht="15.95" customHeight="1" x14ac:dyDescent="0.25">
      <c r="A88" s="8">
        <v>43504.639155092591</v>
      </c>
      <c r="B88" s="5" t="s">
        <v>2734</v>
      </c>
      <c r="C88" s="5" t="s">
        <v>2904</v>
      </c>
      <c r="D88" s="5"/>
      <c r="E88" s="5" t="s">
        <v>2742</v>
      </c>
      <c r="F88" s="5">
        <v>3.34</v>
      </c>
      <c r="G88" s="5">
        <v>3.9</v>
      </c>
      <c r="H88" s="5">
        <v>3.13</v>
      </c>
      <c r="I88" s="5">
        <v>0</v>
      </c>
      <c r="J88" s="5" t="b">
        <v>0</v>
      </c>
      <c r="K88" s="5" t="b">
        <v>0</v>
      </c>
      <c r="L88" s="5" t="b">
        <v>0</v>
      </c>
      <c r="M88" s="5" t="b">
        <v>0</v>
      </c>
      <c r="N88" s="5" t="b">
        <v>1</v>
      </c>
      <c r="O88" s="5" t="b">
        <v>0</v>
      </c>
    </row>
    <row r="89" spans="1:15" ht="15.95" customHeight="1" x14ac:dyDescent="0.25">
      <c r="A89" s="8">
        <v>43504.639155092591</v>
      </c>
      <c r="B89" s="5" t="s">
        <v>2734</v>
      </c>
      <c r="C89" s="5" t="s">
        <v>2902</v>
      </c>
      <c r="D89" s="5"/>
      <c r="E89" s="5" t="s">
        <v>2742</v>
      </c>
      <c r="F89" s="5">
        <v>3.34</v>
      </c>
      <c r="G89" s="5">
        <v>3.9</v>
      </c>
      <c r="H89" s="5">
        <v>3.13</v>
      </c>
      <c r="I89" s="5">
        <v>0</v>
      </c>
      <c r="J89" s="5" t="b">
        <v>0</v>
      </c>
      <c r="K89" s="5" t="b">
        <v>0</v>
      </c>
      <c r="L89" s="5" t="b">
        <v>0</v>
      </c>
      <c r="M89" s="5" t="b">
        <v>0</v>
      </c>
      <c r="N89" s="5" t="b">
        <v>1</v>
      </c>
      <c r="O89" s="5" t="b">
        <v>0</v>
      </c>
    </row>
    <row r="90" spans="1:15" ht="15.95" customHeight="1" x14ac:dyDescent="0.25">
      <c r="A90" s="8">
        <v>43504.639155092591</v>
      </c>
      <c r="B90" s="5" t="s">
        <v>2734</v>
      </c>
      <c r="C90" s="5" t="s">
        <v>2901</v>
      </c>
      <c r="D90" s="5"/>
      <c r="E90" s="5" t="s">
        <v>2742</v>
      </c>
      <c r="F90" s="5">
        <v>3.34</v>
      </c>
      <c r="G90" s="5">
        <v>3.9</v>
      </c>
      <c r="H90" s="5">
        <v>3.13</v>
      </c>
      <c r="I90" s="5">
        <v>0</v>
      </c>
      <c r="J90" s="5" t="b">
        <v>0</v>
      </c>
      <c r="K90" s="5" t="b">
        <v>0</v>
      </c>
      <c r="L90" s="5" t="b">
        <v>0</v>
      </c>
      <c r="M90" s="5" t="b">
        <v>0</v>
      </c>
      <c r="N90" s="5" t="b">
        <v>1</v>
      </c>
      <c r="O90" s="5" t="b">
        <v>0</v>
      </c>
    </row>
    <row r="91" spans="1:15" ht="15.95" customHeight="1" x14ac:dyDescent="0.25">
      <c r="A91" s="8">
        <v>43504.639155092591</v>
      </c>
      <c r="B91" s="5" t="s">
        <v>2734</v>
      </c>
      <c r="C91" s="5" t="s">
        <v>2898</v>
      </c>
      <c r="D91" s="5"/>
      <c r="E91" s="5" t="s">
        <v>2742</v>
      </c>
      <c r="F91" s="5">
        <v>3.34</v>
      </c>
      <c r="G91" s="5">
        <v>3.9</v>
      </c>
      <c r="H91" s="5">
        <v>3.13</v>
      </c>
      <c r="I91" s="5">
        <v>0</v>
      </c>
      <c r="J91" s="5" t="b">
        <v>0</v>
      </c>
      <c r="K91" s="5" t="b">
        <v>0</v>
      </c>
      <c r="L91" s="5" t="b">
        <v>0</v>
      </c>
      <c r="M91" s="5" t="b">
        <v>0</v>
      </c>
      <c r="N91" s="5" t="b">
        <v>1</v>
      </c>
      <c r="O91" s="5" t="b">
        <v>0</v>
      </c>
    </row>
    <row r="92" spans="1:15" ht="15.95" customHeight="1" x14ac:dyDescent="0.25">
      <c r="A92" s="8">
        <v>43504.639155092591</v>
      </c>
      <c r="B92" s="5" t="s">
        <v>2734</v>
      </c>
      <c r="C92" s="5" t="s">
        <v>2932</v>
      </c>
      <c r="D92" s="5"/>
      <c r="E92" s="5">
        <v>1</v>
      </c>
      <c r="F92" s="5">
        <v>3.34</v>
      </c>
      <c r="G92" s="5">
        <v>3.9</v>
      </c>
      <c r="H92" s="5">
        <v>3.13</v>
      </c>
      <c r="I92" s="5">
        <v>0</v>
      </c>
      <c r="J92" s="5" t="b">
        <v>0</v>
      </c>
      <c r="K92" s="5" t="b">
        <v>0</v>
      </c>
      <c r="L92" s="5" t="b">
        <v>0</v>
      </c>
      <c r="M92" s="5" t="b">
        <v>0</v>
      </c>
      <c r="N92" s="5" t="b">
        <v>1</v>
      </c>
      <c r="O92" s="5" t="b">
        <v>0</v>
      </c>
    </row>
    <row r="93" spans="1:15" ht="15.95" customHeight="1" x14ac:dyDescent="0.25">
      <c r="A93" s="8">
        <v>43504.639317129629</v>
      </c>
      <c r="B93" s="5" t="s">
        <v>2734</v>
      </c>
      <c r="C93" s="5" t="s">
        <v>2909</v>
      </c>
      <c r="D93" s="5" t="s">
        <v>307</v>
      </c>
      <c r="E93" s="5">
        <v>9</v>
      </c>
      <c r="F93" s="5">
        <v>3.34</v>
      </c>
      <c r="G93" s="5">
        <v>3.9</v>
      </c>
      <c r="H93" s="5">
        <v>3.13</v>
      </c>
      <c r="I93" s="5">
        <v>0</v>
      </c>
      <c r="J93" s="5" t="b">
        <v>0</v>
      </c>
      <c r="K93" s="5" t="b">
        <v>0</v>
      </c>
      <c r="L93" s="5" t="b">
        <v>0</v>
      </c>
      <c r="M93" s="5" t="b">
        <v>0</v>
      </c>
      <c r="N93" s="5" t="b">
        <v>1</v>
      </c>
      <c r="O93" s="5" t="b">
        <v>0</v>
      </c>
    </row>
    <row r="94" spans="1:15" ht="15.95" customHeight="1" x14ac:dyDescent="0.25">
      <c r="A94" s="8">
        <v>43504.639374999999</v>
      </c>
      <c r="B94" s="5" t="s">
        <v>2734</v>
      </c>
      <c r="C94" s="5" t="s">
        <v>2906</v>
      </c>
      <c r="D94" s="5" t="s">
        <v>307</v>
      </c>
      <c r="E94" s="5">
        <v>0</v>
      </c>
      <c r="F94" s="5">
        <v>3.34</v>
      </c>
      <c r="G94" s="5">
        <v>3.9</v>
      </c>
      <c r="H94" s="5">
        <v>3.13</v>
      </c>
      <c r="I94" s="5">
        <v>0</v>
      </c>
      <c r="J94" s="5" t="b">
        <v>0</v>
      </c>
      <c r="K94" s="5" t="b">
        <v>0</v>
      </c>
      <c r="L94" s="5" t="b">
        <v>0</v>
      </c>
      <c r="M94" s="5" t="b">
        <v>0</v>
      </c>
      <c r="N94" s="5" t="b">
        <v>1</v>
      </c>
      <c r="O94" s="5" t="b">
        <v>0</v>
      </c>
    </row>
    <row r="95" spans="1:15" ht="15.95" customHeight="1" x14ac:dyDescent="0.25">
      <c r="A95" s="8">
        <v>43504.639479166668</v>
      </c>
      <c r="B95" s="5" t="s">
        <v>2734</v>
      </c>
      <c r="C95" s="5" t="s">
        <v>2903</v>
      </c>
      <c r="D95" s="5" t="s">
        <v>307</v>
      </c>
      <c r="E95" s="5">
        <v>5</v>
      </c>
      <c r="F95" s="5">
        <v>3.34</v>
      </c>
      <c r="G95" s="5">
        <v>3.9</v>
      </c>
      <c r="H95" s="5">
        <v>3.13</v>
      </c>
      <c r="I95" s="5">
        <v>0</v>
      </c>
      <c r="J95" s="5" t="b">
        <v>0</v>
      </c>
      <c r="K95" s="5" t="b">
        <v>0</v>
      </c>
      <c r="L95" s="5" t="b">
        <v>0</v>
      </c>
      <c r="M95" s="5" t="b">
        <v>0</v>
      </c>
      <c r="N95" s="5" t="b">
        <v>1</v>
      </c>
      <c r="O95" s="5" t="b">
        <v>0</v>
      </c>
    </row>
    <row r="96" spans="1:15" ht="15.95" customHeight="1" x14ac:dyDescent="0.25">
      <c r="A96" s="8">
        <v>43504.65421296296</v>
      </c>
      <c r="B96" s="5" t="s">
        <v>2734</v>
      </c>
      <c r="C96" s="5" t="s">
        <v>2903</v>
      </c>
      <c r="D96" s="5" t="s">
        <v>307</v>
      </c>
      <c r="E96" s="5">
        <v>2</v>
      </c>
      <c r="F96" s="5">
        <v>3.34</v>
      </c>
      <c r="G96" s="5">
        <v>3.9</v>
      </c>
      <c r="H96" s="5">
        <v>3.13</v>
      </c>
      <c r="I96" s="5">
        <v>0</v>
      </c>
      <c r="J96" s="5" t="b">
        <v>0</v>
      </c>
      <c r="K96" s="5" t="b">
        <v>0</v>
      </c>
      <c r="L96" s="5" t="b">
        <v>0</v>
      </c>
      <c r="M96" s="5" t="b">
        <v>0</v>
      </c>
      <c r="N96" s="5" t="b">
        <v>1</v>
      </c>
      <c r="O96" s="5" t="b">
        <v>0</v>
      </c>
    </row>
    <row r="97" spans="1:15" ht="15.95" customHeight="1" x14ac:dyDescent="0.25">
      <c r="A97" s="8">
        <v>43504.656504629631</v>
      </c>
      <c r="B97" s="5" t="s">
        <v>2734</v>
      </c>
      <c r="C97" s="5" t="s">
        <v>2903</v>
      </c>
      <c r="D97" s="5" t="s">
        <v>307</v>
      </c>
      <c r="E97" s="5">
        <v>2</v>
      </c>
      <c r="F97" s="5">
        <v>3.35</v>
      </c>
      <c r="G97" s="5">
        <v>3.9</v>
      </c>
      <c r="H97" s="5">
        <v>3.13</v>
      </c>
      <c r="I97" s="5">
        <v>0</v>
      </c>
      <c r="J97" s="5" t="b">
        <v>0</v>
      </c>
      <c r="K97" s="5" t="b">
        <v>0</v>
      </c>
      <c r="L97" s="5" t="b">
        <v>0</v>
      </c>
      <c r="M97" s="5" t="b">
        <v>0</v>
      </c>
      <c r="N97" s="5" t="b">
        <v>1</v>
      </c>
      <c r="O97" s="5" t="b">
        <v>0</v>
      </c>
    </row>
    <row r="98" spans="1:15" ht="15.95" customHeight="1" x14ac:dyDescent="0.25">
      <c r="A98" s="8">
        <v>43504.656782407408</v>
      </c>
      <c r="B98" s="5" t="s">
        <v>2734</v>
      </c>
      <c r="C98" s="5" t="s">
        <v>2911</v>
      </c>
      <c r="D98" s="5" t="s">
        <v>307</v>
      </c>
      <c r="E98" s="5">
        <v>8</v>
      </c>
      <c r="F98" s="5">
        <v>3.35</v>
      </c>
      <c r="G98" s="5">
        <v>3.9</v>
      </c>
      <c r="H98" s="5">
        <v>3.13</v>
      </c>
      <c r="I98" s="5">
        <v>0</v>
      </c>
      <c r="J98" s="5" t="b">
        <v>0</v>
      </c>
      <c r="K98" s="5" t="b">
        <v>0</v>
      </c>
      <c r="L98" s="5" t="b">
        <v>0</v>
      </c>
      <c r="M98" s="5" t="b">
        <v>0</v>
      </c>
      <c r="N98" s="5" t="b">
        <v>1</v>
      </c>
      <c r="O98" s="5" t="b">
        <v>0</v>
      </c>
    </row>
    <row r="99" spans="1:15" ht="15.95" customHeight="1" x14ac:dyDescent="0.25">
      <c r="A99" s="8">
        <v>43504.65824074074</v>
      </c>
      <c r="B99" s="5" t="s">
        <v>2734</v>
      </c>
      <c r="C99" s="5" t="s">
        <v>2911</v>
      </c>
      <c r="D99" s="5" t="s">
        <v>307</v>
      </c>
      <c r="E99" s="5">
        <v>0</v>
      </c>
      <c r="F99" s="5">
        <v>3.35</v>
      </c>
      <c r="G99" s="5">
        <v>3.9</v>
      </c>
      <c r="H99" s="5">
        <v>3.13</v>
      </c>
      <c r="I99" s="5">
        <v>0</v>
      </c>
      <c r="J99" s="5" t="b">
        <v>0</v>
      </c>
      <c r="K99" s="5" t="b">
        <v>0</v>
      </c>
      <c r="L99" s="5" t="b">
        <v>0</v>
      </c>
      <c r="M99" s="5" t="b">
        <v>0</v>
      </c>
      <c r="N99" s="5" t="b">
        <v>1</v>
      </c>
      <c r="O99" s="5" t="b">
        <v>0</v>
      </c>
    </row>
    <row r="100" spans="1:15" ht="15.95" customHeight="1" x14ac:dyDescent="0.25">
      <c r="A100" s="8">
        <v>43507.620891203704</v>
      </c>
      <c r="B100" s="5" t="s">
        <v>2734</v>
      </c>
      <c r="C100" s="5" t="s">
        <v>2911</v>
      </c>
      <c r="D100" s="5" t="s">
        <v>2744</v>
      </c>
      <c r="E100" s="5" t="s">
        <v>65</v>
      </c>
      <c r="F100" s="5">
        <v>3.35</v>
      </c>
      <c r="G100" s="5">
        <v>3.9</v>
      </c>
      <c r="H100" s="5">
        <v>3.13</v>
      </c>
      <c r="I100" s="5">
        <v>1</v>
      </c>
      <c r="J100" s="5" t="b">
        <v>0</v>
      </c>
      <c r="K100" s="5" t="b">
        <v>0</v>
      </c>
      <c r="L100" s="5" t="b">
        <v>0</v>
      </c>
      <c r="M100" s="5" t="b">
        <v>0</v>
      </c>
      <c r="N100" s="5" t="b">
        <v>1</v>
      </c>
      <c r="O100" s="5" t="b">
        <v>0</v>
      </c>
    </row>
    <row r="101" spans="1:15" ht="15.95" customHeight="1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 ht="15.9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 ht="15.95" customHeight="1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 ht="15.95" customHeight="1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 ht="15.9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 ht="15.9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 ht="15.95" customHeight="1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 ht="15.95" customHeight="1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 ht="15.95" customHeight="1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 ht="15.9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 ht="15.95" customHeight="1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 ht="15.9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 ht="15.9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 ht="15.95" customHeight="1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 ht="15.95" customHeight="1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 ht="15.95" customHeight="1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 ht="15.95" customHeight="1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 ht="15.9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 ht="15.95" customHeight="1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 ht="15.9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 ht="15.95" customHeight="1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 ht="15.95" customHeight="1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 ht="15.95" customHeight="1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 ht="15.95" customHeight="1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 ht="15.95" customHeight="1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 ht="15.95" customHeight="1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 ht="15.9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 ht="15.95" customHeight="1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 ht="15.95" customHeight="1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 ht="15.95" customHeight="1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5.95" customHeight="1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 ht="15.95" customHeight="1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 ht="15.9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 ht="15.95" customHeight="1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 ht="15.95" customHeight="1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 ht="15.95" customHeight="1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 ht="15.95" customHeight="1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 ht="15.95" customHeight="1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 ht="15.95" customHeight="1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 ht="15.95" customHeight="1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 ht="15.9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 ht="15.95" customHeight="1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 ht="15.95" customHeight="1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 ht="15.95" customHeight="1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 ht="15.95" customHeight="1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 ht="15.95" customHeight="1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 ht="15.9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 ht="15.95" customHeight="1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 ht="15.95" customHeight="1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 ht="15.95" customHeight="1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 ht="15.95" customHeight="1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 ht="15.95" customHeight="1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 ht="15.95" customHeight="1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 ht="15.95" customHeight="1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 ht="15.95" customHeight="1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 ht="15.9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 ht="15.95" customHeight="1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 ht="15.95" customHeight="1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 ht="15.95" customHeight="1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 ht="15.95" customHeight="1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 ht="15.95" customHeight="1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 ht="15.95" customHeight="1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 ht="15.95" customHeight="1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 ht="15.95" customHeight="1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 ht="15.9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 ht="15.95" customHeight="1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 ht="15.95" customHeight="1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 ht="15.95" customHeight="1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 ht="15.95" customHeight="1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 ht="15.95" customHeight="1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 ht="15.95" customHeight="1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 ht="15.95" customHeight="1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 ht="15.95" customHeight="1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 ht="15.9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 ht="15.95" customHeight="1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 ht="15.95" customHeight="1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 ht="15.95" customHeight="1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 ht="15.95" customHeight="1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 ht="15.95" customHeight="1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 ht="15.9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 ht="15.95" customHeight="1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 ht="15.95" customHeight="1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 ht="15.95" customHeight="1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 ht="15.95" customHeight="1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 ht="15.95" customHeight="1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 ht="15.95" customHeight="1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 ht="15.95" customHeight="1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 ht="15.9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 ht="15.95" customHeight="1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 ht="15.95" customHeight="1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 ht="15.95" customHeight="1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 ht="15.95" customHeight="1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 ht="15.95" customHeight="1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 ht="15.9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 ht="15.95" customHeight="1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 ht="15.95" customHeight="1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 ht="15.95" customHeight="1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 ht="15.95" customHeight="1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 ht="15.95" customHeight="1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 ht="15.95" customHeight="1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 ht="15.95" customHeight="1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 ht="15.95" customHeight="1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 ht="15.9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 ht="15.95" customHeight="1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 ht="15.95" customHeight="1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 ht="15.95" customHeight="1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 ht="15.95" customHeight="1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 ht="15.95" customHeight="1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 ht="15.95" customHeight="1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 ht="15.9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 ht="15.95" customHeight="1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 ht="15.95" customHeight="1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 ht="15.95" customHeight="1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 ht="15.95" customHeight="1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 ht="15.95" customHeight="1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 ht="15.95" customHeight="1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 ht="15.9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 ht="15.95" customHeight="1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 ht="15.95" customHeight="1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 ht="15.95" customHeight="1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 ht="15.95" customHeight="1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 ht="15.95" customHeight="1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 ht="15.95" customHeight="1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 ht="15.95" customHeight="1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 ht="15.95" customHeight="1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 ht="15.95" customHeight="1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 ht="15.95" customHeight="1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 ht="15.95" customHeight="1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 ht="15.95" customHeight="1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 ht="15.95" customHeight="1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 ht="15.95" customHeight="1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 ht="15.95" customHeight="1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 ht="15.95" customHeight="1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 ht="15.95" customHeight="1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 ht="15.95" customHeight="1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 ht="15.95" customHeight="1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 ht="15.95" customHeight="1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5.95" customHeight="1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 ht="15.95" customHeight="1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 ht="15.95" customHeight="1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 ht="15.95" customHeight="1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 ht="15.95" customHeight="1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 ht="15.95" customHeight="1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 ht="15.95" customHeight="1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 ht="15.95" customHeight="1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 ht="15.95" customHeight="1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 ht="15.95" customHeight="1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 ht="15.95" customHeight="1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 ht="15.95" customHeight="1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 ht="15.95" customHeight="1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 ht="15.95" customHeight="1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 ht="15.95" customHeight="1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 ht="15.95" customHeight="1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 ht="15.95" customHeight="1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 ht="15.95" customHeight="1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5.95" customHeight="1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 ht="15.95" customHeight="1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5.95" customHeight="1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 ht="15.95" customHeight="1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5.95" customHeight="1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 ht="15.95" customHeight="1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5.95" customHeight="1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 ht="15.95" customHeight="1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 ht="15.95" customHeight="1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 ht="15.95" customHeight="1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 ht="15.95" customHeight="1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 ht="15.95" customHeight="1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 ht="15.95" customHeight="1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 ht="15.95" customHeight="1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 ht="15.95" customHeight="1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 ht="15.95" customHeight="1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 ht="15.95" customHeight="1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 ht="15.95" customHeight="1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 ht="15.95" customHeight="1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 ht="15.95" customHeight="1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 ht="15.95" customHeight="1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 ht="15.95" customHeight="1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 ht="15.95" customHeight="1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 ht="15.95" customHeight="1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 ht="15.95" customHeight="1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 ht="15.95" customHeight="1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 ht="15.95" customHeight="1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 ht="15.95" customHeight="1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 ht="15.95" customHeight="1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 ht="15.95" customHeight="1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 ht="15.95" customHeight="1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 ht="15.95" customHeight="1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 ht="15.95" customHeight="1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 ht="15.95" customHeight="1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 ht="15.95" customHeight="1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 ht="15.95" customHeight="1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 ht="15.95" customHeight="1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 ht="15.95" customHeight="1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 ht="15.95" customHeight="1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 ht="15.95" customHeight="1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 ht="15.95" customHeight="1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 ht="15.95" customHeight="1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 ht="15.95" customHeight="1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 ht="15.95" customHeight="1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 ht="15.95" customHeight="1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 ht="15.95" customHeight="1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 ht="15.95" customHeight="1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 ht="15.95" customHeight="1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 ht="15.95" customHeight="1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 ht="15.95" customHeight="1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 ht="15.95" customHeight="1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 ht="15.95" customHeight="1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 ht="15.95" customHeight="1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 ht="15.95" customHeight="1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 ht="15.95" customHeight="1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 ht="15.95" customHeight="1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 ht="15.95" customHeight="1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 ht="15.95" customHeight="1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 ht="15.95" customHeight="1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 ht="15.95" customHeight="1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 ht="15.95" customHeight="1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 ht="15.95" customHeight="1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 ht="15.95" customHeight="1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 ht="15.95" customHeight="1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 ht="15.95" customHeight="1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 ht="15.95" customHeight="1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 ht="15.95" customHeight="1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 ht="15.95" customHeight="1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 ht="15.95" customHeight="1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 ht="15.95" customHeight="1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 ht="15.95" customHeight="1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 ht="15.95" customHeight="1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 ht="15.95" customHeight="1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 ht="15.95" customHeight="1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 ht="15.95" customHeight="1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 ht="15.95" customHeight="1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 ht="15.95" customHeight="1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 ht="15.95" customHeight="1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 ht="15.95" customHeight="1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 ht="15.95" customHeight="1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 ht="15.95" customHeight="1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 ht="15.95" customHeight="1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 ht="15.95" customHeight="1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 ht="15.95" customHeight="1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 ht="15.95" customHeight="1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 ht="15.95" customHeight="1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 ht="15.95" customHeight="1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 ht="15.95" customHeight="1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 ht="15.95" customHeight="1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 ht="15.95" customHeight="1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 ht="15.95" customHeight="1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 ht="15.95" customHeight="1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 ht="15.95" customHeight="1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 ht="15.95" customHeight="1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 ht="15.95" customHeight="1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 ht="15.95" customHeight="1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 ht="15.95" customHeight="1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 ht="15.95" customHeight="1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 ht="15.95" customHeight="1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 ht="15.95" customHeight="1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 ht="15.95" customHeight="1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 ht="15.95" customHeight="1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 ht="15.95" customHeight="1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 ht="15.95" customHeight="1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 ht="15.95" customHeight="1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 ht="15.95" customHeight="1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 ht="15.95" customHeight="1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 ht="15.95" customHeight="1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 ht="15.95" customHeight="1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 ht="15.95" customHeight="1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 ht="15.95" customHeight="1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 ht="15.95" customHeight="1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 ht="15.95" customHeight="1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 ht="15.95" customHeight="1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 ht="15.95" customHeight="1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 ht="15.95" customHeight="1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 ht="15.95" customHeight="1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 ht="15.95" customHeight="1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 ht="15.95" customHeight="1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 ht="15.95" customHeight="1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 ht="15.95" customHeight="1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 ht="15.95" customHeight="1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 ht="15.95" customHeight="1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 ht="15.95" customHeight="1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 ht="15.95" customHeight="1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 ht="15.95" customHeight="1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 ht="15.95" customHeight="1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 ht="15.95" customHeight="1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 ht="15.95" customHeight="1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 ht="15.95" customHeight="1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 ht="15.95" customHeight="1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 ht="15.95" customHeight="1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 ht="15.95" customHeight="1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 ht="15.95" customHeight="1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 ht="15.95" customHeight="1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 ht="15.95" customHeight="1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 ht="15.95" customHeight="1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 ht="15.95" customHeight="1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 ht="15.95" customHeight="1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 ht="15.95" customHeight="1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 ht="15.95" customHeight="1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 ht="15.95" customHeight="1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 ht="15.95" customHeight="1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 ht="15.95" customHeight="1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 ht="15.95" customHeight="1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 ht="15.95" customHeight="1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 ht="15.95" customHeight="1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 ht="15.95" customHeight="1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 ht="15.95" customHeight="1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 ht="15.95" customHeight="1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 ht="15.95" customHeight="1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 ht="15.95" customHeight="1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 ht="15.95" customHeight="1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 ht="15.95" customHeight="1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 ht="15.95" customHeight="1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 ht="15.95" customHeight="1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 ht="15.95" customHeight="1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 ht="15.95" customHeight="1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 ht="15.95" customHeight="1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 ht="15.95" customHeight="1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 ht="15.95" customHeight="1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 ht="15.95" customHeight="1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 ht="15.95" customHeight="1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 ht="15.95" customHeight="1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 ht="15.95" customHeight="1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 ht="15.95" customHeight="1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 ht="15.95" customHeight="1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 ht="15.95" customHeight="1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 ht="15.95" customHeight="1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 ht="15.95" customHeight="1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 ht="15.95" customHeight="1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 ht="15.95" customHeight="1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 ht="15.95" customHeight="1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 ht="15.95" customHeight="1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 ht="15.95" customHeight="1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 ht="15.95" customHeight="1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 ht="15.95" customHeight="1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 ht="15.95" customHeight="1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 ht="15.95" customHeight="1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 ht="15.95" customHeight="1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 ht="15.95" customHeight="1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 ht="15.95" customHeight="1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 ht="15.95" customHeight="1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 ht="15.95" customHeight="1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 ht="15.95" customHeight="1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 ht="15.95" customHeight="1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 ht="15.95" customHeight="1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 ht="15.95" customHeight="1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 ht="15.95" customHeight="1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 ht="15.95" customHeight="1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 ht="15.95" customHeight="1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 ht="15.95" customHeight="1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 ht="15.95" customHeight="1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 ht="15.95" customHeight="1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 ht="15.95" customHeight="1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 ht="15.95" customHeight="1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 ht="15.95" customHeight="1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 ht="15.95" customHeight="1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 ht="15.95" customHeight="1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 ht="15.95" customHeight="1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 ht="15.95" customHeight="1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 ht="15.95" customHeight="1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 ht="15.95" customHeight="1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 ht="15.95" customHeight="1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 ht="15.95" customHeight="1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 ht="15.95" customHeight="1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 ht="15.95" customHeight="1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 ht="15.95" customHeight="1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 ht="15.95" customHeight="1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 ht="15.95" customHeight="1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 ht="15.95" customHeight="1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 ht="15.95" customHeight="1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 ht="15.95" customHeight="1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 ht="15.95" customHeight="1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 ht="15.95" customHeight="1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 ht="15.95" customHeight="1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 ht="15.95" customHeight="1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 ht="15.95" customHeight="1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 ht="15.95" customHeight="1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 ht="15.95" customHeight="1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 ht="15.95" customHeight="1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 ht="15.95" customHeight="1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 ht="15.95" customHeight="1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 ht="15.95" customHeight="1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 ht="15.95" customHeight="1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 ht="15.95" customHeight="1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 ht="15.95" customHeight="1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 ht="15.95" customHeight="1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 ht="15.95" customHeight="1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 ht="15.95" customHeight="1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 ht="15.95" customHeight="1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 ht="15.95" customHeight="1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 ht="15.95" customHeight="1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 ht="15.95" customHeight="1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 ht="15.95" customHeight="1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 ht="15.95" customHeight="1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 ht="15.95" customHeight="1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 ht="15.95" customHeight="1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 ht="15.95" customHeight="1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 ht="15.95" customHeight="1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 ht="15.95" customHeight="1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 ht="15.95" customHeight="1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 ht="15.95" customHeight="1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 ht="15.95" customHeight="1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 ht="15.95" customHeight="1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 ht="15.95" customHeight="1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 ht="15.95" customHeight="1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 ht="15.95" customHeight="1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 ht="15.95" customHeight="1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 ht="15.95" customHeight="1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 ht="15.95" customHeight="1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 ht="15.95" customHeight="1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 ht="15.95" customHeight="1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 ht="15.95" customHeight="1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 ht="15.95" customHeight="1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 ht="15.95" customHeight="1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 ht="15.95" customHeight="1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 ht="15.95" customHeight="1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 ht="15.95" customHeight="1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 ht="15.95" customHeight="1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 ht="15.95" customHeight="1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 ht="15.95" customHeight="1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 ht="15.95" customHeight="1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 ht="15.95" customHeight="1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 ht="15.95" customHeight="1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 ht="15.95" customHeight="1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 ht="15.95" customHeight="1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 ht="15.95" customHeight="1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 ht="15.95" customHeight="1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 ht="15.95" customHeight="1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 ht="15.95" customHeight="1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 ht="15.95" customHeight="1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 ht="15.95" customHeight="1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 ht="15.95" customHeight="1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 ht="15.95" customHeight="1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 ht="15.95" customHeight="1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 ht="15.95" customHeight="1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 ht="15.95" customHeight="1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 ht="15.95" customHeight="1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 ht="15.95" customHeight="1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 ht="15.95" customHeight="1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 ht="15.95" customHeight="1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 ht="15.95" customHeight="1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 ht="15.95" customHeight="1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 ht="15.95" customHeight="1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 ht="15.95" customHeight="1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 ht="15.95" customHeight="1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 ht="15.95" customHeight="1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 ht="15.95" customHeight="1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 ht="15.95" customHeight="1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 ht="15.95" customHeight="1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 ht="15.95" customHeight="1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 ht="15.95" customHeight="1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 ht="15.95" customHeight="1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 ht="15.95" customHeight="1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 ht="15.95" customHeight="1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 ht="15.95" customHeight="1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 ht="15.95" customHeight="1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 ht="15.95" customHeight="1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 ht="15.95" customHeight="1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 ht="15.95" customHeight="1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 ht="15.95" customHeight="1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 ht="15.95" customHeight="1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 ht="15.95" customHeight="1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 ht="15.95" customHeight="1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 ht="15.95" customHeight="1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 ht="15.95" customHeight="1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 ht="15.95" customHeight="1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 ht="15.95" customHeight="1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 ht="15.95" customHeight="1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 ht="15.95" customHeight="1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 ht="15.95" customHeight="1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 ht="15.95" customHeight="1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 ht="15.95" customHeight="1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 ht="15.95" customHeight="1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 ht="15.95" customHeight="1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 ht="15.95" customHeight="1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 ht="15.95" customHeight="1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 ht="15.95" customHeight="1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 ht="15.95" customHeight="1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 ht="15.95" customHeight="1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 ht="15.95" customHeight="1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 ht="15.95" customHeight="1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 ht="15.95" customHeight="1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 ht="15.95" customHeight="1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 ht="15.95" customHeight="1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 ht="15.95" customHeight="1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 ht="15.95" customHeight="1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 ht="15.95" customHeight="1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 ht="15.95" customHeight="1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 ht="15.95" customHeight="1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 ht="15.95" customHeight="1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 ht="15.95" customHeight="1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 ht="15.95" customHeight="1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 ht="15.95" customHeight="1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 ht="15.95" customHeight="1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 ht="15.95" customHeight="1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 ht="15.95" customHeight="1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 ht="15.95" customHeight="1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 ht="15.95" customHeight="1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 ht="15.95" customHeight="1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 ht="15.95" customHeight="1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 ht="15.95" customHeight="1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 ht="15.95" customHeight="1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 ht="15.95" customHeight="1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 ht="15.95" customHeight="1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 ht="15.95" customHeight="1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 ht="15.95" customHeight="1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 ht="15.95" customHeight="1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 ht="15.95" customHeight="1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 ht="15.95" customHeight="1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 ht="15.95" customHeight="1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 ht="15.95" customHeight="1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 ht="15.95" customHeight="1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 ht="15.95" customHeight="1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 ht="15.95" customHeight="1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 ht="15.95" customHeight="1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 ht="15.95" customHeight="1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 ht="15.95" customHeight="1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 ht="15.95" customHeight="1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 ht="15.95" customHeight="1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 ht="15.95" customHeight="1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 ht="15.95" customHeight="1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 ht="15.95" customHeight="1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 ht="15.95" customHeight="1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 ht="15.95" customHeight="1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 ht="15.95" customHeight="1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 ht="15.95" customHeight="1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 ht="15.95" customHeight="1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 ht="15.95" customHeight="1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 ht="15.95" customHeight="1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 ht="15.95" customHeight="1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 ht="15.95" customHeight="1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 ht="15.95" customHeight="1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 ht="15.95" customHeight="1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 ht="15.95" customHeight="1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 ht="15.95" customHeight="1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 ht="15.95" customHeight="1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 ht="15.95" customHeight="1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 ht="15.95" customHeight="1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 ht="15.95" customHeight="1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 ht="15.95" customHeight="1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 ht="15.95" customHeight="1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 ht="15.95" customHeight="1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 ht="15.95" customHeight="1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 ht="15.95" customHeight="1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 ht="15.95" customHeight="1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 ht="15.95" customHeight="1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 ht="15.95" customHeight="1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 ht="15.95" customHeight="1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 ht="15.95" customHeight="1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 ht="15.95" customHeight="1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 ht="15.95" customHeight="1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 ht="15.95" customHeight="1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 ht="15.95" customHeight="1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 ht="15.95" customHeight="1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 ht="15.95" customHeight="1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 ht="15.95" customHeight="1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 ht="15.95" customHeight="1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 ht="15.95" customHeight="1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 ht="15.95" customHeight="1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 ht="15.95" customHeight="1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 ht="15.95" customHeight="1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 ht="15.95" customHeight="1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 ht="15.95" customHeight="1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 ht="15.95" customHeight="1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 ht="15.95" customHeight="1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 ht="15.95" customHeight="1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 ht="15.95" customHeight="1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 ht="15.95" customHeight="1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 ht="15.95" customHeight="1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 ht="15.95" customHeight="1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 ht="15.95" customHeight="1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 ht="15.95" customHeight="1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 ht="15.95" customHeight="1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 ht="15.95" customHeight="1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 ht="15.95" customHeight="1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 ht="15.95" customHeight="1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 ht="15.95" customHeight="1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 ht="15.95" customHeight="1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 ht="15.95" customHeight="1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 ht="15.95" customHeight="1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 ht="15.95" customHeight="1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 ht="15.95" customHeight="1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 ht="15.95" customHeight="1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 ht="15.95" customHeight="1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 ht="15.95" customHeight="1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 ht="15.95" customHeight="1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 ht="15.95" customHeight="1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 ht="15.95" customHeight="1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 ht="15.95" customHeight="1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 ht="15.95" customHeight="1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 ht="15.95" customHeight="1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 ht="15.95" customHeight="1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 ht="15.95" customHeight="1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 ht="15.95" customHeight="1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 ht="15.95" customHeight="1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 ht="15.95" customHeight="1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 ht="15.95" customHeight="1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 ht="15.95" customHeight="1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 ht="15.95" customHeight="1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 ht="15.95" customHeight="1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 ht="15.95" customHeight="1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 ht="15.95" customHeight="1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 ht="15.95" customHeight="1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 ht="15.95" customHeight="1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 ht="15.95" customHeight="1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 ht="15.95" customHeight="1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 ht="15.95" customHeight="1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 ht="15.95" customHeight="1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 ht="15.95" customHeight="1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 ht="15.95" customHeight="1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 ht="15.95" customHeight="1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 ht="15.95" customHeight="1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 ht="15.95" customHeight="1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 ht="15.95" customHeight="1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 ht="15.95" customHeight="1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 ht="15.95" customHeight="1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 ht="15.95" customHeight="1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 ht="15.95" customHeight="1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 ht="15.95" customHeight="1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 ht="15.95" customHeight="1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 ht="15.95" customHeight="1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 ht="15.95" customHeight="1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 ht="15.95" customHeight="1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 ht="15.95" customHeight="1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 ht="15.95" customHeight="1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 ht="15.95" customHeight="1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 ht="15.95" customHeight="1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 ht="15.95" customHeight="1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 ht="15.95" customHeight="1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 ht="15.95" customHeight="1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 ht="15.95" customHeight="1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 ht="15.95" customHeight="1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 ht="15.95" customHeight="1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 ht="15.95" customHeight="1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 ht="15.95" customHeight="1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 ht="15.95" customHeight="1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 ht="15.95" customHeight="1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 ht="15.95" customHeight="1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 ht="15.95" customHeight="1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 ht="15.95" customHeight="1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 ht="15.95" customHeight="1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 ht="15.95" customHeight="1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 ht="15.95" customHeight="1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 ht="15.95" customHeight="1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 ht="15.95" customHeight="1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 ht="15.95" customHeight="1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 ht="15.95" customHeight="1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 ht="15.95" customHeight="1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 ht="15.95" customHeight="1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 ht="15.95" customHeight="1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 ht="15.95" customHeight="1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 ht="15.95" customHeight="1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 ht="15.95" customHeight="1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 ht="15.95" customHeight="1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 ht="15.95" customHeight="1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 ht="15.95" customHeight="1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 ht="15.95" customHeight="1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 ht="15.95" customHeight="1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 ht="15.95" customHeight="1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 ht="15.95" customHeight="1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 ht="15.95" customHeight="1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 ht="15.95" customHeight="1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 ht="15.95" customHeight="1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 ht="15.95" customHeight="1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 ht="15.95" customHeight="1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 ht="15.95" customHeight="1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 ht="15.95" customHeight="1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 ht="15.95" customHeight="1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 ht="15.95" customHeight="1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 ht="15.95" customHeight="1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 ht="15.95" customHeight="1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 ht="15.95" customHeight="1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 ht="15.95" customHeight="1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 ht="15.95" customHeight="1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 ht="15.95" customHeight="1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 ht="15.95" customHeight="1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 ht="15.95" customHeight="1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 ht="15.95" customHeight="1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 ht="15.95" customHeight="1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 ht="15.95" customHeight="1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 ht="15.95" customHeight="1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 ht="15.95" customHeight="1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 ht="15.95" customHeight="1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 ht="15.95" customHeight="1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 ht="15.95" customHeight="1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 ht="15.95" customHeight="1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 ht="15.95" customHeight="1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 ht="15.95" customHeight="1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 ht="15.95" customHeight="1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 ht="15.95" customHeight="1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 ht="15.95" customHeight="1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 ht="15.95" customHeight="1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 ht="15.95" customHeight="1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 ht="15.95" customHeight="1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 ht="15.95" customHeight="1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 ht="15.95" customHeight="1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 ht="15.95" customHeight="1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 ht="15.95" customHeight="1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 ht="15.95" customHeight="1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 ht="15.95" customHeight="1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 ht="15.95" customHeight="1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 ht="15.95" customHeight="1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 ht="15.95" customHeight="1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 ht="15.95" customHeight="1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 ht="15.95" customHeight="1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 ht="15.95" customHeight="1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 ht="15.95" customHeight="1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 ht="15.95" customHeight="1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 ht="15.95" customHeight="1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 ht="15.95" customHeight="1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 ht="15.95" customHeight="1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 ht="15.95" customHeight="1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 ht="15.95" customHeight="1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 ht="15.95" customHeight="1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 ht="15.95" customHeight="1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 ht="15.95" customHeight="1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 ht="15.95" customHeight="1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 ht="15.95" customHeight="1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 ht="15.95" customHeight="1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 ht="15.95" customHeight="1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 ht="15.95" customHeight="1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 ht="15.95" customHeight="1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 ht="15.95" customHeight="1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 ht="15.95" customHeight="1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 ht="15.95" customHeight="1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 ht="15.95" customHeight="1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 ht="15.95" customHeight="1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 ht="15.95" customHeight="1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 ht="15.95" customHeight="1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 ht="15.95" customHeight="1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 ht="15.95" customHeight="1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 ht="15.95" customHeight="1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 ht="15.95" customHeight="1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 ht="15.95" customHeight="1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 ht="15.95" customHeight="1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 ht="15.95" customHeight="1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 ht="15.95" customHeight="1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 ht="15.95" customHeight="1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 ht="15.95" customHeight="1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 ht="15.95" customHeight="1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 ht="15.95" customHeight="1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 ht="15.95" customHeight="1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 ht="15.95" customHeight="1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 ht="15.95" customHeight="1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 ht="15.95" customHeight="1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 ht="15.95" customHeight="1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 ht="15.95" customHeight="1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 ht="15.95" customHeight="1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 ht="15.95" customHeight="1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 ht="15.95" customHeight="1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 ht="15.95" customHeight="1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 ht="15.95" customHeight="1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 ht="15.95" customHeight="1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 ht="15.95" customHeight="1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 ht="15.95" customHeight="1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 ht="15.95" customHeight="1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 ht="15.95" customHeight="1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 ht="15.95" customHeight="1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 ht="15.95" customHeight="1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 ht="15.95" customHeight="1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 ht="15.95" customHeight="1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 ht="15.95" customHeight="1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 ht="15.95" customHeight="1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 ht="15.95" customHeight="1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 ht="15.95" customHeight="1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 ht="15.95" customHeight="1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 ht="15.95" customHeight="1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 ht="15.95" customHeight="1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 ht="15.95" customHeight="1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 ht="15.95" customHeight="1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 ht="15.95" customHeight="1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 ht="15.95" customHeight="1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 ht="15.95" customHeight="1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 ht="15.95" customHeight="1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 ht="15.95" customHeight="1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 ht="15.95" customHeight="1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 ht="15.95" customHeight="1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 ht="15.95" customHeight="1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 ht="15.95" customHeight="1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 ht="15.95" customHeight="1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 ht="15.95" customHeight="1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 ht="15.95" customHeight="1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 ht="15.95" customHeight="1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 ht="15.95" customHeight="1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 ht="15.95" customHeight="1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 ht="15.95" customHeight="1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 ht="15.95" customHeight="1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 ht="15.95" customHeight="1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 ht="15.95" customHeight="1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 ht="15.95" customHeight="1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 ht="15.95" customHeight="1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 ht="15.95" customHeight="1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 ht="15.95" customHeight="1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 ht="15.95" customHeight="1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 ht="15.95" customHeight="1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 ht="15.95" customHeight="1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 ht="15.95" customHeight="1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 ht="15.95" customHeight="1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 ht="15.95" customHeight="1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 ht="15.95" customHeight="1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 ht="15.95" customHeight="1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 ht="15.95" customHeight="1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 ht="15.95" customHeight="1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 ht="15.95" customHeight="1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 ht="15.95" customHeight="1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 ht="15.95" customHeight="1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 ht="15.95" customHeight="1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 ht="15.95" customHeight="1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 ht="15.95" customHeight="1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 ht="15.95" customHeight="1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 ht="15.95" customHeight="1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 ht="15.95" customHeight="1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 ht="15.95" customHeight="1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 ht="15.95" customHeight="1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 ht="15.95" customHeight="1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 ht="15.95" customHeight="1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 ht="15.95" customHeight="1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 ht="15.95" customHeight="1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 ht="15.95" customHeight="1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 ht="15.95" customHeight="1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 ht="15.95" customHeight="1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 ht="15.95" customHeight="1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 ht="15.95" customHeight="1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 ht="15.95" customHeight="1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 ht="15.95" customHeight="1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 ht="15.95" customHeight="1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 ht="15.95" customHeight="1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 ht="15.95" customHeight="1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 ht="15.95" customHeight="1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 ht="15.95" customHeight="1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 ht="15.95" customHeight="1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 ht="15.95" customHeight="1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 ht="15.95" customHeight="1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 ht="15.95" customHeight="1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 ht="15.95" customHeight="1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 ht="15.95" customHeight="1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 ht="15.95" customHeight="1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 ht="15.95" customHeight="1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 ht="15.95" customHeight="1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 ht="15.95" customHeight="1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 ht="15.95" customHeight="1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 ht="15.95" customHeight="1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 ht="15.95" customHeight="1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 ht="15.95" customHeight="1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 ht="15.95" customHeight="1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 ht="15.95" customHeight="1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 ht="15.95" customHeight="1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 ht="15.95" customHeight="1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 ht="15.95" customHeight="1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 ht="15.95" customHeight="1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 ht="15.95" customHeight="1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 ht="15.95" customHeight="1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 ht="15.95" customHeight="1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 ht="15.95" customHeight="1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 ht="15.95" customHeight="1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 ht="15.95" customHeight="1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 ht="15.95" customHeight="1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 ht="15.95" customHeight="1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 ht="15.95" customHeight="1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 ht="15.95" customHeight="1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 ht="15.95" customHeight="1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 ht="15.95" customHeight="1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 ht="15.95" customHeight="1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 ht="15.95" customHeight="1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 ht="15.95" customHeight="1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 ht="15.95" customHeight="1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 ht="15.95" customHeight="1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 ht="15.95" customHeight="1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 ht="15.95" customHeight="1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 ht="15.95" customHeight="1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 ht="15.95" customHeight="1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 ht="15.95" customHeight="1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 ht="15.95" customHeight="1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 ht="15.95" customHeight="1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 ht="15.95" customHeight="1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 ht="15.95" customHeight="1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 ht="15.95" customHeight="1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 ht="15.95" customHeight="1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 ht="15.95" customHeight="1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 ht="15.95" customHeight="1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 ht="15.95" customHeight="1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 ht="15.95" customHeight="1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 ht="15.95" customHeight="1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 ht="15.95" customHeight="1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 ht="15.95" customHeight="1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 ht="15.95" customHeight="1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 ht="15.95" customHeight="1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 ht="15.95" customHeight="1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 ht="15.95" customHeight="1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 ht="15.95" customHeight="1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 ht="15.95" customHeight="1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 ht="15.95" customHeight="1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 ht="15.95" customHeight="1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 ht="15.95" customHeight="1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 ht="15.95" customHeight="1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 ht="15.95" customHeight="1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 ht="15.95" customHeight="1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 ht="15.95" customHeight="1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 ht="15.95" customHeight="1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 ht="15.95" customHeight="1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 ht="15.95" customHeight="1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 ht="15.95" customHeight="1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 ht="15.95" customHeight="1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G30"/>
  <sheetViews>
    <sheetView workbookViewId="0">
      <selection activeCell="G24" sqref="G24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138</v>
      </c>
    </row>
    <row r="2" spans="1:7" x14ac:dyDescent="0.25">
      <c r="A2" t="s">
        <v>139</v>
      </c>
      <c r="B2" t="s">
        <v>140</v>
      </c>
      <c r="C2" t="s">
        <v>141</v>
      </c>
      <c r="D2" t="s">
        <v>142</v>
      </c>
      <c r="E2" t="s">
        <v>143</v>
      </c>
      <c r="F2" t="s">
        <v>144</v>
      </c>
      <c r="G2" t="s">
        <v>145</v>
      </c>
    </row>
    <row r="3" spans="1:7" x14ac:dyDescent="0.25">
      <c r="A3" t="s">
        <v>146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146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146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147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147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148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148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149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150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150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150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151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151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152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152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152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153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153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153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153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153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153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154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154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155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156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156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157</v>
      </c>
      <c r="G30" t="s">
        <v>158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C33"/>
  <sheetViews>
    <sheetView workbookViewId="0">
      <selection activeCell="F14" sqref="F14"/>
    </sheetView>
  </sheetViews>
  <sheetFormatPr defaultRowHeight="15" x14ac:dyDescent="0.25"/>
  <cols>
    <col min="1" max="1" width="60.7109375" style="1" customWidth="1"/>
    <col min="2" max="2" width="35.7109375" style="1" customWidth="1"/>
    <col min="3" max="3" width="12.28515625" style="1" customWidth="1"/>
    <col min="4" max="16384" width="9.140625" style="1"/>
  </cols>
  <sheetData>
    <row r="1" spans="1:3" ht="45" x14ac:dyDescent="0.25">
      <c r="A1" s="18" t="s">
        <v>130</v>
      </c>
      <c r="B1" s="19" t="s">
        <v>131</v>
      </c>
      <c r="C1" s="20" t="s">
        <v>132</v>
      </c>
    </row>
    <row r="2" spans="1:3" ht="15.75" thickBot="1" x14ac:dyDescent="0.3">
      <c r="A2" s="4" t="s">
        <v>135</v>
      </c>
      <c r="B2" s="3" t="s">
        <v>134</v>
      </c>
      <c r="C2" s="2">
        <v>18</v>
      </c>
    </row>
    <row r="3" spans="1:3" ht="15.75" thickBot="1" x14ac:dyDescent="0.3">
      <c r="A3" s="4" t="s">
        <v>137</v>
      </c>
      <c r="B3" s="3" t="s">
        <v>133</v>
      </c>
      <c r="C3" s="2">
        <v>18</v>
      </c>
    </row>
    <row r="4" spans="1:3" x14ac:dyDescent="0.25">
      <c r="A4" s="14"/>
      <c r="B4" s="13"/>
      <c r="C4" s="15"/>
    </row>
    <row r="5" spans="1:3" x14ac:dyDescent="0.25">
      <c r="A5" s="14"/>
      <c r="B5" s="13"/>
      <c r="C5" s="15"/>
    </row>
    <row r="6" spans="1:3" x14ac:dyDescent="0.25">
      <c r="A6" s="14"/>
      <c r="B6" s="13"/>
      <c r="C6" s="15"/>
    </row>
    <row r="7" spans="1:3" x14ac:dyDescent="0.25">
      <c r="A7" s="14"/>
      <c r="B7" s="13"/>
      <c r="C7" s="15"/>
    </row>
    <row r="8" spans="1:3" x14ac:dyDescent="0.25">
      <c r="A8" s="14"/>
      <c r="B8" s="13"/>
      <c r="C8" s="15"/>
    </row>
    <row r="9" spans="1:3" x14ac:dyDescent="0.25">
      <c r="A9" s="14"/>
      <c r="B9" s="13"/>
      <c r="C9" s="15"/>
    </row>
    <row r="10" spans="1:3" x14ac:dyDescent="0.25">
      <c r="A10" s="14"/>
      <c r="B10" s="13"/>
      <c r="C10" s="15"/>
    </row>
    <row r="11" spans="1:3" x14ac:dyDescent="0.25">
      <c r="A11" s="14"/>
      <c r="B11" s="13"/>
      <c r="C11" s="15"/>
    </row>
    <row r="12" spans="1:3" x14ac:dyDescent="0.25">
      <c r="A12" s="14"/>
      <c r="B12" s="13"/>
      <c r="C12" s="15"/>
    </row>
    <row r="13" spans="1:3" x14ac:dyDescent="0.25">
      <c r="A13" s="14"/>
      <c r="B13" s="13"/>
      <c r="C13" s="15"/>
    </row>
    <row r="14" spans="1:3" x14ac:dyDescent="0.25">
      <c r="A14" s="14"/>
      <c r="B14" s="13"/>
      <c r="C14" s="15"/>
    </row>
    <row r="15" spans="1:3" x14ac:dyDescent="0.25">
      <c r="A15" s="14"/>
      <c r="B15" s="13"/>
      <c r="C15" s="15"/>
    </row>
    <row r="16" spans="1:3" x14ac:dyDescent="0.25">
      <c r="A16" s="14"/>
      <c r="B16" s="13"/>
      <c r="C16" s="15"/>
    </row>
    <row r="17" spans="1:3" x14ac:dyDescent="0.25">
      <c r="A17" s="14"/>
      <c r="B17" s="13"/>
      <c r="C17" s="15"/>
    </row>
    <row r="18" spans="1:3" x14ac:dyDescent="0.25">
      <c r="A18" s="14"/>
      <c r="B18" s="13"/>
      <c r="C18" s="15"/>
    </row>
    <row r="19" spans="1:3" x14ac:dyDescent="0.25">
      <c r="A19" s="14"/>
      <c r="B19" s="13"/>
      <c r="C19" s="15"/>
    </row>
    <row r="20" spans="1:3" x14ac:dyDescent="0.25">
      <c r="A20" s="14"/>
      <c r="B20" s="13"/>
      <c r="C20" s="15"/>
    </row>
    <row r="21" spans="1:3" x14ac:dyDescent="0.25">
      <c r="A21" s="14"/>
      <c r="B21" s="13"/>
      <c r="C21" s="15"/>
    </row>
    <row r="22" spans="1:3" x14ac:dyDescent="0.25">
      <c r="A22" s="14"/>
      <c r="B22" s="13"/>
      <c r="C22" s="15"/>
    </row>
    <row r="23" spans="1:3" x14ac:dyDescent="0.25">
      <c r="A23" s="14"/>
      <c r="B23" s="13"/>
      <c r="C23" s="15"/>
    </row>
    <row r="24" spans="1:3" x14ac:dyDescent="0.25">
      <c r="A24" s="14"/>
      <c r="B24" s="13"/>
      <c r="C24" s="15"/>
    </row>
    <row r="25" spans="1:3" x14ac:dyDescent="0.25">
      <c r="A25" s="14"/>
      <c r="B25" s="13"/>
      <c r="C25" s="15"/>
    </row>
    <row r="26" spans="1:3" x14ac:dyDescent="0.25">
      <c r="A26" s="14"/>
      <c r="B26" s="13"/>
      <c r="C26" s="15"/>
    </row>
    <row r="27" spans="1:3" x14ac:dyDescent="0.25">
      <c r="A27" s="14"/>
      <c r="B27" s="13"/>
      <c r="C27" s="15"/>
    </row>
    <row r="28" spans="1:3" x14ac:dyDescent="0.25">
      <c r="A28" s="14"/>
      <c r="B28" s="13"/>
      <c r="C28" s="15"/>
    </row>
    <row r="29" spans="1:3" x14ac:dyDescent="0.25">
      <c r="A29" s="14"/>
      <c r="B29" s="13"/>
      <c r="C29" s="15"/>
    </row>
    <row r="30" spans="1:3" x14ac:dyDescent="0.25">
      <c r="A30" s="14"/>
      <c r="B30" s="13"/>
      <c r="C30" s="15"/>
    </row>
    <row r="31" spans="1:3" x14ac:dyDescent="0.25">
      <c r="A31" s="14"/>
      <c r="B31" s="13"/>
      <c r="C31" s="15"/>
    </row>
    <row r="32" spans="1:3" x14ac:dyDescent="0.25">
      <c r="A32" s="14"/>
      <c r="B32" s="13"/>
      <c r="C32" s="15"/>
    </row>
    <row r="33" spans="1:3" ht="15.75" thickBot="1" x14ac:dyDescent="0.3">
      <c r="A33" s="4"/>
      <c r="B33" s="3"/>
      <c r="C33" s="2"/>
    </row>
  </sheetData>
  <conditionalFormatting sqref="A1:C33">
    <cfRule type="containsText" dxfId="53" priority="1" operator="containsText" text="Добавить">
      <formula>NOT(ISERROR(SEARCH("Добавить",A1)))</formula>
    </cfRule>
    <cfRule type="containsText" dxfId="52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K16"/>
  <sheetViews>
    <sheetView tabSelected="1" workbookViewId="0">
      <selection activeCell="O11" sqref="O11"/>
    </sheetView>
  </sheetViews>
  <sheetFormatPr defaultRowHeight="15" x14ac:dyDescent="0.25"/>
  <cols>
    <col min="1" max="1" width="16.28515625" style="44" customWidth="1"/>
    <col min="2" max="11" width="8.140625" style="44" customWidth="1"/>
    <col min="12" max="16384" width="9.140625" style="44"/>
  </cols>
  <sheetData>
    <row r="1" spans="1:11" ht="22.7" customHeight="1" x14ac:dyDescent="0.25">
      <c r="A1" s="152" t="s">
        <v>2714</v>
      </c>
      <c r="B1" s="153" t="s">
        <v>2933</v>
      </c>
      <c r="C1" s="153"/>
      <c r="D1" s="153"/>
      <c r="E1" s="153"/>
      <c r="F1" s="153"/>
      <c r="G1" s="153"/>
      <c r="H1" s="140" t="s">
        <v>2934</v>
      </c>
      <c r="I1" s="152" t="s">
        <v>2935</v>
      </c>
      <c r="J1" s="153"/>
      <c r="K1" s="154" t="s">
        <v>2934</v>
      </c>
    </row>
    <row r="2" spans="1:11" ht="22.7" customHeight="1" x14ac:dyDescent="0.25">
      <c r="A2" s="155"/>
      <c r="B2" s="156" t="s">
        <v>2937</v>
      </c>
      <c r="C2" s="156"/>
      <c r="D2" s="156"/>
      <c r="E2" s="156"/>
      <c r="F2" s="156"/>
      <c r="G2" s="156" t="s">
        <v>2934</v>
      </c>
      <c r="H2" s="166"/>
      <c r="I2" s="172" t="s">
        <v>2820</v>
      </c>
      <c r="J2" s="173" t="s">
        <v>2819</v>
      </c>
      <c r="K2" s="157"/>
    </row>
    <row r="3" spans="1:11" ht="22.7" customHeight="1" x14ac:dyDescent="0.25">
      <c r="A3" s="155"/>
      <c r="B3" s="156" t="s">
        <v>2</v>
      </c>
      <c r="C3" s="156"/>
      <c r="D3" s="156" t="s">
        <v>1</v>
      </c>
      <c r="E3" s="156"/>
      <c r="F3" s="156"/>
      <c r="G3" s="156"/>
      <c r="H3" s="166"/>
      <c r="I3" s="172"/>
      <c r="J3" s="173"/>
      <c r="K3" s="157"/>
    </row>
    <row r="4" spans="1:11" ht="22.7" customHeight="1" x14ac:dyDescent="0.25">
      <c r="A4" s="155"/>
      <c r="B4" s="156" t="s">
        <v>258</v>
      </c>
      <c r="C4" s="156"/>
      <c r="D4" s="156" t="s">
        <v>190</v>
      </c>
      <c r="E4" s="156"/>
      <c r="F4" s="156"/>
      <c r="G4" s="156"/>
      <c r="H4" s="166"/>
      <c r="I4" s="172"/>
      <c r="J4" s="173"/>
      <c r="K4" s="157"/>
    </row>
    <row r="5" spans="1:11" ht="22.7" customHeight="1" thickBot="1" x14ac:dyDescent="0.3">
      <c r="A5" s="158"/>
      <c r="B5" s="159" t="s">
        <v>2938</v>
      </c>
      <c r="C5" s="159" t="s">
        <v>2934</v>
      </c>
      <c r="D5" s="159" t="s">
        <v>2939</v>
      </c>
      <c r="E5" s="159" t="s">
        <v>2940</v>
      </c>
      <c r="F5" s="159" t="s">
        <v>2934</v>
      </c>
      <c r="G5" s="160"/>
      <c r="H5" s="167"/>
      <c r="I5" s="172"/>
      <c r="J5" s="173"/>
      <c r="K5" s="157"/>
    </row>
    <row r="6" spans="1:11" ht="22.7" customHeight="1" x14ac:dyDescent="0.25">
      <c r="A6" s="161" t="s">
        <v>2941</v>
      </c>
      <c r="B6" s="162" t="s">
        <v>4</v>
      </c>
      <c r="C6" s="162" t="s">
        <v>4</v>
      </c>
      <c r="D6" s="162" t="s">
        <v>4</v>
      </c>
      <c r="E6" s="162">
        <v>1.76</v>
      </c>
      <c r="F6" s="162">
        <v>1.76</v>
      </c>
      <c r="G6" s="162">
        <v>1.76</v>
      </c>
      <c r="H6" s="168">
        <v>1.76</v>
      </c>
      <c r="I6" s="45" t="s">
        <v>4</v>
      </c>
      <c r="J6" s="46" t="s">
        <v>4</v>
      </c>
      <c r="K6" s="48" t="s">
        <v>2936</v>
      </c>
    </row>
    <row r="7" spans="1:11" ht="22.7" customHeight="1" x14ac:dyDescent="0.25">
      <c r="A7" s="45" t="s">
        <v>2942</v>
      </c>
      <c r="B7" s="163">
        <v>317.7</v>
      </c>
      <c r="C7" s="163">
        <v>317.7</v>
      </c>
      <c r="D7" s="163">
        <v>20.680000000000003</v>
      </c>
      <c r="E7" s="163" t="s">
        <v>4</v>
      </c>
      <c r="F7" s="163">
        <v>20.680000000000003</v>
      </c>
      <c r="G7" s="163">
        <v>338.37</v>
      </c>
      <c r="H7" s="169">
        <v>338.37</v>
      </c>
      <c r="I7" s="45">
        <v>0.8</v>
      </c>
      <c r="J7" s="46">
        <v>6.6</v>
      </c>
      <c r="K7" s="48">
        <v>7.4</v>
      </c>
    </row>
    <row r="8" spans="1:11" ht="22.7" customHeight="1" x14ac:dyDescent="0.25">
      <c r="A8" s="45" t="s">
        <v>2943</v>
      </c>
      <c r="B8" s="163">
        <v>668.03</v>
      </c>
      <c r="C8" s="163">
        <v>668.03</v>
      </c>
      <c r="D8" s="163">
        <v>38.53</v>
      </c>
      <c r="E8" s="163" t="s">
        <v>4</v>
      </c>
      <c r="F8" s="163">
        <v>38.53</v>
      </c>
      <c r="G8" s="163">
        <v>706.55</v>
      </c>
      <c r="H8" s="169">
        <v>706.55</v>
      </c>
      <c r="I8" s="45">
        <v>14.5</v>
      </c>
      <c r="J8" s="46">
        <v>1.8</v>
      </c>
      <c r="K8" s="48">
        <v>16.3</v>
      </c>
    </row>
    <row r="9" spans="1:11" ht="22.7" customHeight="1" x14ac:dyDescent="0.25">
      <c r="A9" s="45" t="s">
        <v>2944</v>
      </c>
      <c r="B9" s="163">
        <v>729.38</v>
      </c>
      <c r="C9" s="163">
        <v>729.38</v>
      </c>
      <c r="D9" s="163">
        <v>42.29</v>
      </c>
      <c r="E9" s="163" t="s">
        <v>4</v>
      </c>
      <c r="F9" s="163">
        <v>42.29</v>
      </c>
      <c r="G9" s="163">
        <v>771.66</v>
      </c>
      <c r="H9" s="169">
        <v>771.66</v>
      </c>
      <c r="I9" s="45">
        <v>16.5</v>
      </c>
      <c r="J9" s="46">
        <v>2.2000000000000002</v>
      </c>
      <c r="K9" s="48">
        <v>18.7</v>
      </c>
    </row>
    <row r="10" spans="1:11" ht="22.7" customHeight="1" x14ac:dyDescent="0.25">
      <c r="A10" s="45" t="s">
        <v>2945</v>
      </c>
      <c r="B10" s="163">
        <v>780.38</v>
      </c>
      <c r="C10" s="163">
        <v>780.38</v>
      </c>
      <c r="D10" s="163">
        <v>44.53</v>
      </c>
      <c r="E10" s="163" t="s">
        <v>4</v>
      </c>
      <c r="F10" s="163">
        <v>44.53</v>
      </c>
      <c r="G10" s="163">
        <v>824.91</v>
      </c>
      <c r="H10" s="169">
        <v>824.91</v>
      </c>
      <c r="I10" s="45">
        <v>17.41</v>
      </c>
      <c r="J10" s="46">
        <v>2.3099999999999996</v>
      </c>
      <c r="K10" s="48">
        <v>19.72</v>
      </c>
    </row>
    <row r="11" spans="1:11" ht="22.7" customHeight="1" x14ac:dyDescent="0.25">
      <c r="A11" s="45" t="s">
        <v>2946</v>
      </c>
      <c r="B11" s="163">
        <v>336.93</v>
      </c>
      <c r="C11" s="163">
        <v>336.93</v>
      </c>
      <c r="D11" s="163">
        <v>15.2</v>
      </c>
      <c r="E11" s="163" t="s">
        <v>4</v>
      </c>
      <c r="F11" s="163">
        <v>15.2</v>
      </c>
      <c r="G11" s="163">
        <v>352.12</v>
      </c>
      <c r="H11" s="169">
        <v>352.12</v>
      </c>
      <c r="I11" s="45">
        <v>5.9</v>
      </c>
      <c r="J11" s="46">
        <v>0.8</v>
      </c>
      <c r="K11" s="48">
        <v>6.7</v>
      </c>
    </row>
    <row r="12" spans="1:11" ht="22.7" customHeight="1" x14ac:dyDescent="0.25">
      <c r="A12" s="45" t="s">
        <v>2947</v>
      </c>
      <c r="B12" s="163">
        <v>207.25</v>
      </c>
      <c r="C12" s="163">
        <v>207.25</v>
      </c>
      <c r="D12" s="163">
        <v>10.6</v>
      </c>
      <c r="E12" s="163" t="s">
        <v>4</v>
      </c>
      <c r="F12" s="163">
        <v>10.6</v>
      </c>
      <c r="G12" s="163">
        <v>217.84</v>
      </c>
      <c r="H12" s="169">
        <v>217.84</v>
      </c>
      <c r="I12" s="45">
        <v>3.4</v>
      </c>
      <c r="J12" s="46">
        <v>0.4</v>
      </c>
      <c r="K12" s="48">
        <v>3.8</v>
      </c>
    </row>
    <row r="13" spans="1:11" ht="22.7" customHeight="1" x14ac:dyDescent="0.25">
      <c r="A13" s="45" t="s">
        <v>2948</v>
      </c>
      <c r="B13" s="163">
        <v>207.25</v>
      </c>
      <c r="C13" s="163">
        <v>207.25</v>
      </c>
      <c r="D13" s="163">
        <v>10.6</v>
      </c>
      <c r="E13" s="163" t="s">
        <v>4</v>
      </c>
      <c r="F13" s="163">
        <v>10.6</v>
      </c>
      <c r="G13" s="163">
        <v>217.84</v>
      </c>
      <c r="H13" s="169">
        <v>217.84</v>
      </c>
      <c r="I13" s="45">
        <v>3.4</v>
      </c>
      <c r="J13" s="46">
        <v>0.4</v>
      </c>
      <c r="K13" s="48">
        <v>3.8</v>
      </c>
    </row>
    <row r="14" spans="1:11" ht="22.7" customHeight="1" x14ac:dyDescent="0.25">
      <c r="A14" s="45" t="s">
        <v>2949</v>
      </c>
      <c r="B14" s="163">
        <v>234.04999999999998</v>
      </c>
      <c r="C14" s="163">
        <v>234.04999999999998</v>
      </c>
      <c r="D14" s="163">
        <v>12.24</v>
      </c>
      <c r="E14" s="163" t="s">
        <v>4</v>
      </c>
      <c r="F14" s="163">
        <v>12.24</v>
      </c>
      <c r="G14" s="163">
        <v>246.28</v>
      </c>
      <c r="H14" s="169">
        <v>246.28</v>
      </c>
      <c r="I14" s="45">
        <v>3.9</v>
      </c>
      <c r="J14" s="46">
        <v>0.5</v>
      </c>
      <c r="K14" s="48">
        <v>4.4000000000000004</v>
      </c>
    </row>
    <row r="15" spans="1:11" ht="22.7" customHeight="1" thickBot="1" x14ac:dyDescent="0.3">
      <c r="A15" s="164" t="s">
        <v>2950</v>
      </c>
      <c r="B15" s="165">
        <v>3480.9700000000003</v>
      </c>
      <c r="C15" s="165">
        <v>3480.9700000000003</v>
      </c>
      <c r="D15" s="165">
        <v>194.67</v>
      </c>
      <c r="E15" s="165">
        <v>1.76</v>
      </c>
      <c r="F15" s="165">
        <v>196.43</v>
      </c>
      <c r="G15" s="165">
        <v>3677.33</v>
      </c>
      <c r="H15" s="170">
        <v>3677.33</v>
      </c>
      <c r="I15" s="40">
        <v>65.81</v>
      </c>
      <c r="J15" s="41">
        <v>15.010000000000002</v>
      </c>
      <c r="K15" s="171">
        <v>80.820000000000007</v>
      </c>
    </row>
    <row r="16" spans="1:11" ht="22.7" customHeight="1" x14ac:dyDescent="0.25"/>
  </sheetData>
  <mergeCells count="13">
    <mergeCell ref="B4:C4"/>
    <mergeCell ref="D4:F4"/>
    <mergeCell ref="G2:G5"/>
    <mergeCell ref="I1:J1"/>
    <mergeCell ref="K1:K5"/>
    <mergeCell ref="I2:I5"/>
    <mergeCell ref="J2:J5"/>
    <mergeCell ref="A1:A5"/>
    <mergeCell ref="H1:H5"/>
    <mergeCell ref="B1:G1"/>
    <mergeCell ref="B2:F2"/>
    <mergeCell ref="B3:C3"/>
    <mergeCell ref="D3:F3"/>
  </mergeCells>
  <conditionalFormatting sqref="A1:H5">
    <cfRule type="containsText" dxfId="33" priority="27" stopIfTrue="1" operator="containsText" text="шт.)">
      <formula>NOT(ISERROR(SEARCH("шт.)",A1)))</formula>
    </cfRule>
    <cfRule type="containsText" dxfId="32" priority="26" stopIfTrue="1" operator="containsText" text=", на ">
      <formula>NOT(ISERROR(SEARCH(", на ",A1)))</formula>
    </cfRule>
    <cfRule type="containsText" dxfId="31" priority="25" stopIfTrue="1" operator="containsText" text=" Материалы ">
      <formula>NOT(ISERROR(SEARCH(" Материалы ",A1)))</formula>
    </cfRule>
    <cfRule type="containsText" dxfId="30" priority="24" stopIfTrue="1" operator="containsText" text=" Сборочные единицы ">
      <formula>NOT(ISERROR(SEARCH(" Сборочные единицы ",A1)))</formula>
    </cfRule>
    <cfRule type="containsText" dxfId="29" priority="23" stopIfTrue="1" operator="containsText" text=" Прокат ">
      <formula>NOT(ISERROR(SEARCH(" Прокат ",A1)))</formula>
    </cfRule>
    <cfRule type="containsText" dxfId="28" priority="22" stopIfTrue="1" operator="containsText" text=" Изделия ">
      <formula>NOT(ISERROR(SEARCH(" Изделия ",A1)))</formula>
    </cfRule>
    <cfRule type="containsText" dxfId="27" priority="21" stopIfTrue="1" operator="containsText" text="!!!">
      <formula>NOT(ISERROR(SEARCH("!!!",A1)))</formula>
    </cfRule>
    <cfRule type="containsText" dxfId="26" priority="20" stopIfTrue="1" operator="containsText" text="ИЗ ФАЙЛА">
      <formula>NOT(ISERROR(SEARCH("ИЗ ФАЙЛА",A1)))</formula>
    </cfRule>
    <cfRule type="containsText" dxfId="25" priority="19" stopIfTrue="1" operator="containsText" text="С ЛИСТА">
      <formula>NOT(ISERROR(SEARCH("С ЛИСТА",A1)))</formula>
    </cfRule>
  </conditionalFormatting>
  <conditionalFormatting sqref="A6:H15">
    <cfRule type="containsText" dxfId="24" priority="18" stopIfTrue="1" operator="containsText" text="шт.)">
      <formula>NOT(ISERROR(SEARCH("шт.)",A6)))</formula>
    </cfRule>
    <cfRule type="containsText" dxfId="23" priority="17" stopIfTrue="1" operator="containsText" text=", на ">
      <formula>NOT(ISERROR(SEARCH(", на ",A6)))</formula>
    </cfRule>
    <cfRule type="containsText" dxfId="22" priority="16" stopIfTrue="1" operator="containsText" text=" Материалы ">
      <formula>NOT(ISERROR(SEARCH(" Материалы ",A6)))</formula>
    </cfRule>
    <cfRule type="containsText" dxfId="21" priority="15" stopIfTrue="1" operator="containsText" text=" Сборочные единицы ">
      <formula>NOT(ISERROR(SEARCH(" Сборочные единицы ",A6)))</formula>
    </cfRule>
    <cfRule type="containsText" dxfId="20" priority="14" stopIfTrue="1" operator="containsText" text=" Прокат ">
      <formula>NOT(ISERROR(SEARCH(" Прокат ",A6)))</formula>
    </cfRule>
    <cfRule type="containsText" dxfId="19" priority="13" stopIfTrue="1" operator="containsText" text=" Изделия ">
      <formula>NOT(ISERROR(SEARCH(" Изделия ",A6)))</formula>
    </cfRule>
    <cfRule type="containsText" dxfId="18" priority="12" stopIfTrue="1" operator="containsText" text="!!!">
      <formula>NOT(ISERROR(SEARCH("!!!",A6)))</formula>
    </cfRule>
    <cfRule type="containsText" dxfId="17" priority="11" stopIfTrue="1" operator="containsText" text="ИЗ ФАЙЛА">
      <formula>NOT(ISERROR(SEARCH("ИЗ ФАЙЛА",A6)))</formula>
    </cfRule>
    <cfRule type="containsText" dxfId="16" priority="10" stopIfTrue="1" operator="containsText" text="С ЛИСТА">
      <formula>NOT(ISERROR(SEARCH("С ЛИСТА",A6)))</formula>
    </cfRule>
  </conditionalFormatting>
  <conditionalFormatting sqref="I1:K15">
    <cfRule type="containsText" dxfId="15" priority="9" stopIfTrue="1" operator="containsText" text="шт.)">
      <formula>NOT(ISERROR(SEARCH("шт.)",I1)))</formula>
    </cfRule>
    <cfRule type="containsText" dxfId="14" priority="8" stopIfTrue="1" operator="containsText" text=", на ">
      <formula>NOT(ISERROR(SEARCH(", на ",I1)))</formula>
    </cfRule>
    <cfRule type="containsText" dxfId="13" priority="7" stopIfTrue="1" operator="containsText" text=" Материалы ">
      <formula>NOT(ISERROR(SEARCH(" Материалы ",I1)))</formula>
    </cfRule>
    <cfRule type="containsText" dxfId="12" priority="6" stopIfTrue="1" operator="containsText" text=" Сборочные единицы ">
      <formula>NOT(ISERROR(SEARCH(" Сборочные единицы ",I1)))</formula>
    </cfRule>
    <cfRule type="containsText" dxfId="11" priority="5" stopIfTrue="1" operator="containsText" text=" Прокат ">
      <formula>NOT(ISERROR(SEARCH(" Прокат ",I1)))</formula>
    </cfRule>
    <cfRule type="containsText" dxfId="10" priority="4" stopIfTrue="1" operator="containsText" text=" Изделия ">
      <formula>NOT(ISERROR(SEARCH(" Изделия ",I1)))</formula>
    </cfRule>
    <cfRule type="containsText" dxfId="9" priority="3" stopIfTrue="1" operator="containsText" text="!!!">
      <formula>NOT(ISERROR(SEARCH("!!!",I1)))</formula>
    </cfRule>
    <cfRule type="containsText" dxfId="8" priority="2" stopIfTrue="1" operator="containsText" text="ИЗ ФАЙЛА">
      <formula>NOT(ISERROR(SEARCH("ИЗ ФАЙЛА",I1)))</formula>
    </cfRule>
    <cfRule type="containsText" dxfId="7" priority="1" stopIfTrue="1" operator="containsText" text="С ЛИСТА">
      <formula>NOT(ISERROR(SEARCH("С ЛИСТА",I1)))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2</vt:i4>
      </vt:variant>
    </vt:vector>
  </HeadingPairs>
  <TitlesOfParts>
    <vt:vector size="23" baseType="lpstr">
      <vt:lpstr>|Содержание|</vt:lpstr>
      <vt:lpstr>Таблица из архикада</vt:lpstr>
      <vt:lpstr>Пс8.7_спец</vt:lpstr>
      <vt:lpstr>Пс8.6_спец</vt:lpstr>
      <vt:lpstr>Пс8.5_спец</vt:lpstr>
      <vt:lpstr>Пс8.4_спец</vt:lpstr>
      <vt:lpstr>Пс8.3_спец</vt:lpstr>
      <vt:lpstr>Пс8.2_спец</vt:lpstr>
      <vt:lpstr>Пм1.1_спец</vt:lpstr>
      <vt:lpstr>Км1234_спец</vt:lpstr>
      <vt:lpstr>Км(2)_спец</vt:lpstr>
      <vt:lpstr>Изделия_спец.И</vt:lpstr>
      <vt:lpstr>Ведомость отделки_правила</vt:lpstr>
      <vt:lpstr> 1 Изделия_спец.И</vt:lpstr>
      <vt:lpstr>Исх.Таблица из архикада</vt:lpstr>
      <vt:lpstr> 1 Из архикада плиты</vt:lpstr>
      <vt:lpstr>!System</vt:lpstr>
      <vt:lpstr>|Лог|</vt:lpstr>
      <vt:lpstr>Из архикада плиты</vt:lpstr>
      <vt:lpstr>Ведомость отделки_разб</vt:lpstr>
      <vt:lpstr>Пс8.7_кж</vt:lpstr>
      <vt:lpstr>' 1 Из архикада плиты'!КЖ_сист_ЖБ_Плиты</vt:lpstr>
      <vt:lpstr>'Из архикада 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2019-02-08T08:11:24Z</cp:lastPrinted>
  <dcterms:created xsi:type="dcterms:W3CDTF">2014-07-19T16:57:30Z</dcterms:created>
  <dcterms:modified xsi:type="dcterms:W3CDTF">2019-02-11T11:54:41Z</dcterms:modified>
</cp:coreProperties>
</file>