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2"/>
  </bookViews>
  <sheets>
    <sheet name="|Содержание|" sheetId="661" r:id="rId1"/>
    <sheet name="|Лог|" sheetId="721" state="hidden" r:id="rId2"/>
    <sheet name="Пример плиты_спец" sheetId="656" r:id="rId3"/>
    <sheet name="Изделия_спец.И" sheetId="720" r:id="rId4"/>
    <sheet name="Ведомость отделки АБК_правила" sheetId="660" r:id="rId5"/>
    <sheet name="Из архикада_плиты" sheetId="711" r:id="rId6"/>
    <sheet name="Пример плиты_грс" sheetId="717" r:id="rId7"/>
    <sheet name="Пример плиты_кж" sheetId="713" r:id="rId8"/>
    <sheet name="Пример плиты_об" sheetId="716" r:id="rId9"/>
    <sheet name="Пример плиты_гр" sheetId="718" r:id="rId10"/>
    <sheet name="!System" sheetId="413" state="hidden" r:id="rId11"/>
  </sheets>
  <functionGroups builtInGroupCount="18"/>
  <definedNames>
    <definedName name="КЖ_сист_ЖБ_Плиты" localSheetId="5">'Из архикада_плиты'!$A$1:$H$30</definedName>
  </definedNames>
  <calcPr calcId="162913"/>
</workbook>
</file>

<file path=xl/calcChain.xml><?xml version="1.0" encoding="utf-8"?>
<calcChain xmlns="http://schemas.openxmlformats.org/spreadsheetml/2006/main">
  <c r="A12" i="720" l="1"/>
  <c r="A9" i="720"/>
  <c r="A10" i="720"/>
  <c r="A11" i="720"/>
  <c r="A13" i="720"/>
  <c r="A14" i="720"/>
  <c r="A6" i="720"/>
  <c r="A7" i="720" s="1"/>
  <c r="A8" i="720" s="1"/>
  <c r="D20" i="656"/>
  <c r="C20" i="656"/>
  <c r="E20" i="656"/>
  <c r="B20" i="656"/>
  <c r="D61" i="656" l="1"/>
  <c r="A61" i="656"/>
  <c r="A62" i="656" s="1"/>
  <c r="E60" i="656"/>
  <c r="E57" i="656"/>
  <c r="E58" i="656" s="1"/>
  <c r="E59" i="656" s="1"/>
  <c r="D38" i="656"/>
  <c r="A38" i="656"/>
  <c r="A39" i="656" s="1"/>
  <c r="E37" i="656"/>
  <c r="E34" i="656"/>
  <c r="E35" i="656" s="1"/>
  <c r="E36" i="656" s="1"/>
  <c r="E13" i="656"/>
  <c r="E10" i="656"/>
  <c r="E11" i="656" s="1"/>
  <c r="E12" i="656" s="1"/>
  <c r="D14" i="656"/>
  <c r="A14" i="656"/>
  <c r="A7" i="656" s="1"/>
  <c r="A6" i="656" s="1"/>
  <c r="A5" i="656" s="1"/>
  <c r="A4" i="656" s="1"/>
  <c r="A3" i="656" s="1"/>
  <c r="E7" i="656"/>
  <c r="E5" i="656"/>
  <c r="E4" i="656"/>
  <c r="H15" i="656"/>
  <c r="H16" i="656"/>
  <c r="H17" i="656"/>
  <c r="H18" i="656"/>
  <c r="A54" i="656" l="1"/>
  <c r="A63" i="656"/>
  <c r="A56" i="656"/>
  <c r="A55" i="656"/>
  <c r="A40" i="656"/>
  <c r="A33" i="656"/>
  <c r="A32" i="656"/>
  <c r="A31" i="656"/>
  <c r="E6" i="656"/>
  <c r="E21" i="656"/>
  <c r="E19" i="656"/>
  <c r="A15" i="656"/>
  <c r="A8" i="656" s="1"/>
  <c r="E54" i="656"/>
  <c r="E31" i="656"/>
  <c r="H19" i="656"/>
  <c r="E67" i="656" l="1"/>
  <c r="A53" i="656"/>
  <c r="A64" i="656"/>
  <c r="A57" i="656"/>
  <c r="E44" i="656"/>
  <c r="A30" i="656"/>
  <c r="A34" i="656"/>
  <c r="A41" i="656"/>
  <c r="A16" i="656"/>
  <c r="A9" i="656"/>
  <c r="E53" i="656" l="1"/>
  <c r="A52" i="656"/>
  <c r="A58" i="656"/>
  <c r="A65" i="656"/>
  <c r="E30" i="656"/>
  <c r="A29" i="656"/>
  <c r="A42" i="656"/>
  <c r="A35" i="656"/>
  <c r="A17" i="656"/>
  <c r="A10" i="656"/>
  <c r="E29" i="656"/>
  <c r="H40" i="656" s="1"/>
  <c r="H41" i="656"/>
  <c r="H42" i="656"/>
  <c r="H39" i="656"/>
  <c r="H66" i="656"/>
  <c r="E52" i="656"/>
  <c r="H43" i="656"/>
  <c r="H64" i="656"/>
  <c r="H63" i="656"/>
  <c r="H62" i="656"/>
  <c r="H65" i="656"/>
  <c r="A51" i="656" l="1"/>
  <c r="A66" i="656"/>
  <c r="A67" i="656" s="1"/>
  <c r="A59" i="656"/>
  <c r="A43" i="656"/>
  <c r="A44" i="656" s="1"/>
  <c r="A36" i="656"/>
  <c r="A28" i="656"/>
  <c r="A18" i="656"/>
  <c r="A11" i="656"/>
  <c r="E28" i="656"/>
  <c r="E51" i="656"/>
  <c r="E66" i="656" l="1"/>
  <c r="A50" i="656"/>
  <c r="A60" i="656"/>
  <c r="E43" i="656"/>
  <c r="A27" i="656"/>
  <c r="A37" i="656"/>
  <c r="A19" i="656"/>
  <c r="A12" i="656"/>
  <c r="A20" i="656" l="1"/>
  <c r="A21" i="656" s="1"/>
  <c r="A13" i="656"/>
</calcChain>
</file>

<file path=xl/comments1.xml><?xml version="1.0" encoding="utf-8"?>
<comments xmlns="http://schemas.openxmlformats.org/spreadsheetml/2006/main">
  <authors>
    <author>admin</author>
  </authors>
  <commentList>
    <comment ref="C21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44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67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6" background="1" saveData="1">
    <textPr codePage="1251" sourceFile="D:\Рогожин ДА\prog\YandexDisk\Работа\material-specification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<sst xmlns="http://schemas.openxmlformats.org/spreadsheetml/2006/main" count="3133" uniqueCount="2566">
  <si>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</si>
  <si>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</si>
  <si>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</si>
  <si>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</si>
  <si>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</si>
  <si>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</si>
  <si>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</si>
  <si>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</si>
  <si>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</si>
  <si>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</si>
  <si>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</si>
  <si>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</si>
  <si>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</si>
  <si>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</si>
  <si>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</si>
  <si>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</si>
  <si>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</si>
  <si>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</si>
  <si>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</si>
  <si>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</si>
  <si>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</si>
  <si>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</si>
  <si>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</si>
  <si>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</si>
  <si>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</si>
  <si>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</si>
  <si>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</si>
  <si>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</si>
  <si>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</si>
  <si>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</si>
  <si>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</si>
  <si>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</si>
  <si>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</si>
  <si>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</si>
  <si>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</si>
  <si>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</si>
  <si>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</si>
  <si>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</si>
  <si>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</si>
  <si>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</si>
  <si>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</si>
  <si>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</si>
  <si>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</si>
  <si>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</si>
  <si>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</si>
  <si>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</si>
  <si>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</si>
  <si>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</si>
  <si>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</si>
  <si>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</si>
  <si>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</si>
  <si>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</si>
  <si>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</si>
  <si>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</si>
  <si>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</si>
  <si>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</si>
  <si>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</si>
  <si>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</si>
  <si>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</si>
  <si>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</si>
  <si>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</si>
  <si>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</si>
  <si>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</si>
  <si>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</si>
  <si>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</si>
  <si>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</si>
  <si>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</si>
  <si>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</si>
  <si>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</si>
  <si>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</si>
  <si>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</si>
  <si>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</si>
  <si>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</si>
  <si>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</si>
  <si>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</si>
  <si>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</si>
  <si>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</si>
  <si>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</si>
  <si>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</si>
  <si>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</si>
  <si>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</si>
  <si>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</si>
  <si>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</si>
  <si>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</si>
  <si>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</si>
  <si>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</si>
  <si>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</si>
  <si>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</si>
  <si>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</si>
  <si>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</si>
  <si>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</si>
  <si>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</si>
  <si>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</si>
  <si>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</si>
  <si>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</si>
  <si>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</si>
  <si>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</si>
  <si>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</si>
  <si>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</si>
  <si>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</si>
  <si>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</si>
  <si>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</si>
  <si>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</si>
  <si>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</si>
  <si>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</si>
  <si>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</si>
  <si>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</si>
  <si>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</si>
  <si>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</si>
  <si>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</si>
  <si>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</si>
  <si>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</si>
  <si>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</si>
  <si>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</si>
  <si>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</si>
  <si>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</si>
  <si>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</si>
  <si>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</si>
  <si>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</si>
  <si>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</si>
  <si>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</si>
  <si>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</si>
  <si>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</si>
  <si>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</si>
  <si>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</si>
  <si>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</si>
  <si>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</si>
  <si>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</si>
  <si>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</si>
  <si>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</si>
  <si>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</si>
  <si>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</si>
  <si>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</si>
  <si>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</si>
  <si>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</si>
  <si>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</si>
  <si>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</si>
  <si>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</si>
  <si>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</si>
  <si>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</si>
  <si>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</si>
  <si>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</si>
  <si>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</si>
  <si>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</si>
  <si>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</si>
  <si>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</si>
  <si>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</si>
  <si>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</si>
  <si>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</si>
  <si>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</si>
  <si>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</si>
  <si>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</si>
  <si>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</si>
  <si>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</si>
  <si>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</si>
  <si>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</si>
  <si>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</si>
  <si>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</si>
  <si>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</si>
  <si>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</si>
  <si>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</si>
  <si>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</si>
  <si>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</si>
  <si>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</si>
  <si>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</si>
  <si>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</si>
  <si>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</si>
  <si>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</si>
  <si>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</si>
  <si>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</si>
  <si>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</si>
  <si>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</si>
  <si>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</si>
  <si>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</si>
  <si>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</si>
  <si>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</si>
  <si>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</si>
  <si>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</si>
  <si>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</si>
  <si>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</si>
  <si>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</si>
  <si>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</si>
  <si>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</si>
  <si>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</si>
  <si>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</si>
  <si>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</si>
  <si>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</si>
  <si>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</si>
  <si>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</si>
  <si>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</si>
  <si>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</si>
  <si>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</si>
  <si>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</si>
  <si>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</si>
  <si>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</si>
  <si>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</si>
  <si>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</si>
  <si>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</si>
  <si>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</si>
  <si>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</si>
  <si>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</si>
  <si>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</si>
  <si>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</si>
  <si>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</si>
  <si>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</si>
  <si>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</si>
  <si>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</si>
  <si>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</si>
  <si>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</si>
  <si>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</si>
  <si>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</si>
  <si>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</si>
  <si>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</si>
  <si>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</si>
  <si>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</si>
  <si>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</si>
  <si>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</si>
  <si>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</si>
  <si>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</si>
  <si>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</si>
  <si>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</si>
  <si>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</si>
  <si>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</si>
  <si>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</si>
  <si>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</si>
  <si>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</si>
  <si>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</si>
  <si>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</si>
  <si>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</si>
  <si>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</si>
  <si>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</si>
  <si>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</si>
  <si>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</si>
  <si>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</si>
  <si>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</si>
  <si>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</si>
  <si>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</si>
  <si>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</si>
  <si>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</si>
  <si>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</si>
  <si>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</si>
  <si>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</si>
  <si>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</si>
  <si>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</si>
  <si>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</si>
  <si>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</si>
  <si>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</si>
  <si>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</si>
  <si>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</si>
  <si>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</si>
  <si>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</si>
  <si>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</si>
  <si>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</si>
  <si>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</si>
  <si>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</si>
  <si>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</si>
  <si>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</si>
  <si>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</si>
  <si>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</si>
  <si>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</si>
  <si>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</si>
  <si>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</si>
  <si>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</si>
  <si>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</si>
  <si>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</si>
  <si>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</si>
  <si>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</si>
  <si>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</si>
  <si>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</si>
  <si>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</si>
  <si>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</si>
  <si>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</si>
  <si>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</si>
  <si>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</si>
  <si>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</si>
  <si>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</si>
  <si>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</si>
  <si>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</si>
  <si>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</si>
  <si>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</si>
  <si>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</si>
  <si>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</si>
  <si>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</si>
  <si>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</si>
  <si>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</si>
  <si>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</si>
  <si>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</si>
  <si>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</si>
  <si>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</si>
  <si>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</si>
  <si>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</si>
  <si>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</si>
  <si>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</si>
  <si>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</si>
  <si>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</si>
  <si>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</si>
  <si>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</si>
  <si>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</si>
  <si>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</si>
  <si>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</si>
  <si>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</si>
  <si>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</si>
  <si>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</si>
  <si>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</si>
  <si>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</si>
  <si>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</si>
  <si>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</si>
  <si>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</si>
  <si>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</si>
  <si>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</si>
  <si>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</si>
  <si>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</si>
  <si>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</si>
  <si>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</si>
  <si>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</si>
  <si>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</si>
  <si>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</si>
  <si>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</si>
  <si>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</si>
  <si>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</si>
  <si>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</si>
  <si>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</si>
  <si>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</si>
  <si>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</si>
  <si>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</si>
  <si>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</si>
  <si>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</si>
  <si>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</si>
  <si>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</si>
  <si>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</si>
  <si>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</si>
  <si>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</si>
  <si>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</si>
  <si>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</si>
  <si>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</si>
  <si>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</si>
  <si>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</si>
  <si>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</si>
  <si>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</si>
  <si>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</si>
  <si>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</si>
  <si>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</si>
  <si>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</si>
  <si>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</si>
  <si>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</si>
  <si>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</si>
  <si>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</si>
  <si>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</si>
  <si>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</si>
  <si>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</si>
  <si>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</si>
  <si>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</si>
  <si>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</si>
  <si>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</si>
  <si>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</si>
  <si>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</si>
  <si>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</si>
  <si>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</si>
  <si>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</si>
  <si>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</si>
  <si>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</si>
  <si>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</si>
  <si>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</si>
  <si>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</si>
  <si>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</si>
  <si>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</si>
  <si>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</si>
  <si>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</si>
  <si>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</si>
  <si>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</si>
  <si>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</si>
  <si>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</si>
  <si>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</si>
  <si>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</si>
  <si>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</si>
  <si>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</si>
  <si>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</si>
  <si>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</si>
  <si>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</si>
  <si>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</si>
  <si>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</si>
  <si>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</si>
  <si>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</si>
  <si>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</si>
  <si>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</si>
  <si>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</si>
  <si>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</si>
  <si>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</si>
  <si>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</si>
  <si>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</si>
  <si>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</si>
  <si>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</si>
  <si>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</si>
  <si>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</si>
  <si>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</si>
  <si>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</si>
  <si>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</si>
  <si>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</si>
  <si>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</si>
  <si>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</si>
  <si>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</si>
  <si>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</si>
  <si>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</si>
  <si>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</si>
  <si>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</si>
  <si>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</si>
  <si>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</si>
  <si>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</si>
  <si>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</si>
  <si>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</si>
  <si>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</si>
  <si>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</si>
  <si>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</si>
  <si>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</si>
  <si>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</si>
  <si>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</si>
  <si>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</si>
  <si>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</si>
  <si>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</si>
  <si>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</si>
  <si>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</si>
  <si>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</si>
  <si>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</si>
  <si>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</si>
  <si>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</si>
  <si>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</si>
  <si>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</si>
  <si>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</si>
  <si>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</si>
  <si>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</si>
  <si>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</si>
  <si>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</si>
  <si>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</si>
  <si>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</si>
  <si>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</si>
  <si>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</si>
  <si>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</si>
  <si>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</si>
  <si>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</si>
  <si>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</si>
  <si>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</si>
  <si>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</si>
  <si>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</si>
  <si>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</si>
  <si>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</si>
  <si>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</si>
  <si>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</si>
  <si>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</si>
  <si>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</si>
  <si>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</si>
  <si>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</si>
  <si>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</si>
  <si>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</si>
  <si>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</si>
  <si>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</si>
  <si>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</si>
  <si>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</si>
  <si>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</si>
  <si>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</si>
  <si>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</si>
  <si>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</si>
  <si>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</si>
  <si>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</si>
  <si>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</si>
  <si>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</si>
  <si>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</si>
  <si>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</si>
  <si>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</si>
  <si>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</si>
  <si>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</si>
  <si>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</si>
  <si>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</si>
  <si>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</si>
  <si>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</si>
  <si>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</si>
  <si>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</si>
  <si>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</si>
  <si>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</si>
  <si>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</si>
  <si>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</si>
  <si>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</si>
  <si>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</si>
  <si>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</si>
  <si>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</si>
  <si>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</si>
  <si>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</si>
  <si>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</si>
  <si>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</si>
  <si>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</si>
  <si>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</si>
  <si>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</si>
  <si>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</si>
  <si>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</si>
  <si>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</si>
  <si>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</si>
  <si>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</si>
  <si>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</si>
  <si>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</si>
  <si>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</si>
  <si>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</si>
  <si>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</si>
  <si>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</si>
  <si>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</si>
  <si>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</si>
  <si>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</si>
  <si>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</si>
  <si>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</si>
  <si>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</si>
  <si>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</si>
  <si>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</si>
  <si>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</si>
  <si>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</si>
  <si>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</si>
  <si>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</si>
  <si>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</si>
  <si>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</si>
  <si>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</si>
  <si>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</si>
  <si>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</si>
  <si>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</si>
  <si>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</si>
  <si>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</si>
  <si>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</si>
  <si>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</si>
  <si>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</si>
  <si>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</si>
  <si>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</si>
  <si>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</si>
  <si>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</si>
  <si>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</si>
  <si>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</si>
  <si>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</si>
  <si>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</si>
  <si>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</si>
  <si>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</si>
  <si>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</si>
  <si>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</si>
  <si>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</si>
  <si>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</si>
  <si>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</si>
  <si>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</si>
  <si>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</si>
  <si>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</si>
  <si>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</si>
  <si>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</si>
  <si>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</si>
  <si>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</si>
  <si>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</si>
  <si>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</si>
  <si>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</si>
  <si>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</si>
  <si>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</si>
  <si>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</si>
  <si>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</si>
  <si>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</si>
  <si>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</si>
  <si>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</si>
  <si>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</si>
  <si>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</si>
  <si>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</si>
  <si>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</si>
  <si>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</si>
  <si>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</si>
  <si>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</si>
  <si>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</si>
  <si>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</si>
  <si>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</si>
  <si>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</si>
  <si>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</si>
  <si>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</si>
  <si>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</si>
  <si>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</si>
  <si>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</si>
  <si>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</si>
  <si>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</si>
  <si>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</si>
  <si>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</si>
  <si>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</si>
  <si>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</si>
  <si>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</si>
  <si>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</si>
  <si>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</si>
  <si>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</si>
  <si>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</si>
  <si>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</si>
  <si>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</si>
  <si>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</si>
  <si>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</si>
  <si>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</si>
  <si>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</si>
  <si>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</si>
  <si>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</si>
  <si>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</si>
  <si>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</si>
  <si>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</si>
  <si>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</si>
  <si>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</si>
  <si>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</si>
  <si>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</si>
  <si>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</si>
  <si>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</si>
  <si>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</si>
  <si>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</si>
  <si>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</si>
  <si>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</si>
  <si>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</si>
  <si>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</si>
  <si>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</si>
  <si>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</si>
  <si>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</si>
  <si>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</si>
  <si>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</si>
  <si>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</si>
  <si>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</si>
  <si>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</si>
  <si>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</si>
  <si>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</si>
  <si>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</si>
  <si>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</si>
  <si>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</si>
  <si>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</si>
  <si>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</si>
  <si>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</si>
  <si>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</si>
  <si>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</si>
  <si>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</si>
  <si>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</si>
  <si>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</si>
  <si>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</si>
  <si>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</si>
  <si>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</si>
  <si>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</si>
  <si>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</si>
  <si>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</si>
  <si>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</si>
  <si>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</si>
  <si>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</si>
  <si>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</si>
  <si>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</si>
  <si>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</si>
  <si>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</si>
  <si>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</si>
  <si>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</si>
  <si>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</si>
  <si>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</si>
  <si>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</si>
  <si>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</si>
  <si>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</si>
  <si>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</si>
  <si>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</si>
  <si>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</si>
  <si>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</si>
  <si>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</si>
  <si>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</si>
  <si>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</si>
  <si>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</si>
  <si>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</si>
  <si>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</si>
  <si>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</si>
  <si>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</si>
  <si>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</si>
  <si>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</si>
  <si>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</si>
  <si>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</si>
  <si>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</si>
  <si>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</si>
  <si>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</si>
  <si>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</si>
  <si>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</si>
  <si>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</si>
  <si>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</si>
  <si>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</si>
  <si>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</si>
  <si>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</si>
  <si>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</si>
  <si>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</si>
  <si>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</si>
  <si>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</si>
  <si>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</si>
  <si>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</si>
  <si>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</si>
  <si>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</si>
  <si>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</si>
  <si>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</si>
  <si>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</si>
  <si>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</si>
  <si>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</si>
  <si>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</si>
  <si>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</si>
  <si>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</si>
  <si>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</si>
  <si>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</si>
  <si>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</si>
  <si>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</si>
  <si>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</si>
  <si>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</si>
  <si>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</si>
  <si>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</si>
  <si>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</si>
  <si>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</si>
  <si>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</si>
  <si>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</si>
  <si>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</si>
  <si>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</si>
  <si>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</si>
  <si>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</si>
  <si>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</si>
  <si>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</si>
  <si>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</si>
  <si>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</si>
  <si>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</si>
  <si>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</si>
  <si>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</si>
  <si>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</si>
  <si>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</si>
  <si>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</si>
  <si>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</si>
  <si>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</si>
  <si>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</si>
  <si>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</si>
  <si>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</si>
  <si>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</si>
  <si>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</si>
  <si>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</si>
  <si>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</si>
  <si>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</si>
  <si>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</si>
  <si>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</si>
  <si>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</si>
  <si>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</si>
  <si>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</si>
  <si>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</si>
  <si>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</si>
  <si>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</si>
  <si>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</si>
  <si>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</si>
  <si>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</si>
  <si>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</si>
  <si>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</si>
  <si>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</si>
  <si>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</si>
  <si>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</si>
  <si>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</si>
  <si>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</si>
  <si>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</si>
  <si>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</si>
  <si>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</si>
  <si>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</si>
  <si>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</si>
  <si>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</si>
  <si>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</si>
  <si>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</si>
  <si>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</si>
  <si>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</si>
  <si>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</si>
  <si>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</si>
  <si>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</si>
  <si>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</si>
  <si>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</si>
  <si>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</si>
  <si>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</si>
  <si>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</si>
  <si>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</si>
  <si>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</si>
  <si>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</si>
  <si>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</si>
  <si>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</si>
  <si>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</si>
  <si>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</si>
  <si>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</si>
  <si>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</si>
  <si>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</si>
  <si>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</si>
  <si>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</si>
  <si>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</si>
  <si>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</si>
  <si>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</si>
  <si>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</si>
  <si>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</si>
  <si>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</si>
  <si>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</si>
  <si>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</si>
  <si>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</si>
  <si>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</si>
  <si>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</si>
  <si>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</si>
  <si>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</si>
  <si>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</si>
  <si>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</si>
  <si>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</si>
  <si>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</si>
  <si>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</si>
  <si>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</si>
  <si>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</si>
  <si>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</si>
  <si>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</si>
  <si>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</si>
  <si>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</si>
  <si>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</si>
  <si>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</si>
  <si>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</si>
  <si>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</si>
  <si>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</si>
  <si>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</si>
  <si>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</si>
  <si>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</si>
  <si>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</si>
  <si>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</si>
  <si>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</si>
  <si>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</si>
  <si>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</si>
  <si>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</si>
  <si>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</si>
  <si>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</si>
  <si>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</si>
  <si>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</si>
  <si>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</si>
  <si>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</si>
  <si>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</si>
  <si>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</si>
  <si>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</si>
  <si>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</si>
  <si>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</si>
  <si>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</si>
  <si>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</si>
  <si>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</si>
  <si>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</si>
  <si>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</si>
  <si>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</si>
  <si>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</si>
  <si>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</si>
  <si>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</si>
  <si>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</si>
  <si>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</si>
  <si>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</si>
  <si>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</si>
  <si>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</si>
  <si>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</si>
  <si>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</si>
  <si>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</si>
  <si>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</si>
  <si>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</si>
  <si>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</si>
  <si>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</si>
  <si>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</si>
  <si>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</si>
  <si>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</si>
  <si>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</si>
  <si>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</si>
  <si>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</si>
  <si>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</si>
  <si>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</si>
  <si>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</si>
  <si>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</si>
  <si>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</si>
  <si>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</si>
  <si>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</si>
  <si>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</si>
  <si>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</si>
  <si>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</si>
  <si>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</si>
  <si>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</si>
  <si>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</si>
  <si>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</si>
  <si>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</si>
  <si>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</si>
  <si>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</si>
  <si>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</si>
  <si>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</si>
  <si>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</si>
  <si>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</si>
  <si>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</si>
  <si>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</si>
  <si>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</si>
  <si>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</si>
  <si>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</si>
  <si>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</si>
  <si>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</si>
  <si>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</si>
  <si>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</si>
  <si>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</si>
  <si>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</si>
  <si>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</si>
  <si>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</si>
  <si>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</si>
  <si>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</si>
  <si>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</si>
  <si>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</si>
  <si>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</si>
  <si>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</si>
  <si>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</si>
  <si>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</si>
  <si>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</si>
  <si>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</si>
  <si>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</si>
  <si>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</si>
  <si>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</si>
  <si>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</si>
  <si>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</si>
  <si>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</si>
  <si>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</si>
  <si>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</si>
  <si>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</si>
  <si>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</si>
  <si>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</si>
  <si>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</si>
  <si>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</si>
  <si>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</si>
  <si>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</si>
  <si>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</si>
  <si>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</si>
  <si>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</si>
  <si>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</si>
  <si>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</si>
  <si>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</si>
  <si>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</si>
  <si>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</si>
  <si>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</si>
  <si>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</si>
  <si>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</si>
  <si>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</si>
  <si>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</si>
  <si>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</si>
  <si>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</si>
  <si>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</si>
  <si>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</si>
  <si>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</si>
  <si>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</si>
  <si>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</si>
  <si>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</si>
  <si>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</si>
  <si>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</si>
  <si>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</si>
  <si>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</si>
  <si>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</si>
  <si>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</si>
  <si>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</si>
  <si>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</si>
  <si>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</si>
  <si>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</si>
  <si>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</si>
  <si>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</si>
  <si>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</si>
  <si>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</si>
  <si>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</si>
  <si>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</si>
  <si>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</si>
  <si>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</si>
  <si>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</si>
  <si>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</si>
  <si>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</si>
  <si>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</si>
  <si>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</si>
  <si>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</si>
  <si>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</si>
  <si>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</si>
  <si>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</si>
  <si>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</si>
  <si>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</si>
  <si>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</si>
  <si>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</si>
  <si>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</si>
  <si>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</si>
  <si>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</si>
  <si>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</si>
  <si>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</si>
  <si>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</si>
  <si>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</si>
  <si>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</si>
  <si>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</si>
  <si>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</si>
  <si>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</si>
  <si>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</si>
  <si>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</si>
  <si>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</si>
  <si>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</si>
  <si>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</si>
  <si>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</si>
  <si>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</si>
  <si>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</si>
  <si>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</si>
  <si>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</si>
  <si>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</si>
  <si>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</si>
  <si>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</si>
  <si>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</si>
  <si>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</si>
  <si>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</si>
  <si>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</si>
  <si>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</si>
  <si>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</si>
  <si>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</si>
  <si>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</si>
  <si>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</si>
  <si>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</si>
  <si>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</si>
  <si>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</si>
  <si>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</si>
  <si>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</si>
  <si>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</si>
  <si>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</si>
  <si>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</si>
  <si>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</si>
  <si>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</si>
  <si>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</si>
  <si>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</si>
  <si>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</si>
  <si>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</si>
  <si>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</si>
  <si>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</si>
  <si>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</si>
  <si>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</si>
  <si>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</si>
  <si>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</si>
  <si>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</si>
  <si>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</si>
  <si>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</si>
  <si>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</si>
  <si>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</si>
  <si>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</si>
  <si>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</si>
  <si>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</si>
  <si>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</si>
  <si>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</si>
  <si>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</si>
  <si>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</si>
  <si>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</si>
  <si>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</si>
  <si>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</si>
  <si>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</si>
  <si>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</si>
  <si>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</si>
  <si>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</si>
  <si>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</si>
  <si>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</si>
  <si>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</si>
  <si>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</si>
  <si>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</si>
  <si>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</si>
  <si>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</si>
  <si>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</si>
  <si>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</si>
  <si>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</si>
  <si>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</si>
  <si>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</si>
  <si>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</si>
  <si>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</si>
  <si>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</si>
  <si>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</si>
  <si>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</si>
  <si>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</si>
  <si>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</si>
  <si>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</si>
  <si>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</si>
  <si>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</si>
  <si>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</si>
  <si>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</si>
  <si>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</si>
  <si>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</si>
  <si>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</si>
  <si>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</si>
  <si>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</si>
  <si>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</si>
  <si>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</si>
  <si>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</si>
  <si>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</si>
  <si>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</si>
  <si>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</si>
  <si>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</si>
  <si>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</si>
  <si>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</si>
  <si>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</si>
  <si>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</si>
  <si>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</si>
  <si>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</si>
  <si>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</si>
  <si>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</si>
  <si>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</si>
  <si>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</si>
  <si>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</si>
  <si>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</si>
  <si>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</si>
  <si>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</si>
  <si>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</si>
  <si>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</si>
  <si>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</si>
  <si>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</si>
  <si>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</si>
  <si>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</si>
  <si>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</si>
  <si>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</si>
  <si>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</si>
  <si>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</si>
  <si>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</si>
  <si>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</si>
  <si>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</si>
  <si>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</si>
  <si>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</si>
  <si>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</si>
  <si>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</si>
  <si>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</si>
  <si>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</si>
  <si>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</si>
  <si>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</si>
  <si>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</si>
  <si>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</si>
  <si>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</si>
  <si>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</si>
  <si>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</si>
  <si>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</si>
  <si>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</si>
  <si>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</si>
  <si>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</si>
  <si>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</si>
  <si>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</si>
  <si>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</si>
  <si>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</si>
  <si>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</si>
  <si>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</si>
  <si>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</si>
  <si>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</si>
  <si>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</si>
  <si>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</si>
  <si>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</si>
  <si>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</si>
  <si>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</si>
  <si>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</si>
  <si>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</si>
  <si>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</si>
  <si>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</si>
  <si>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</si>
  <si>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</si>
  <si>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</si>
  <si>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</si>
  <si>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</si>
  <si>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</si>
  <si>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</si>
  <si>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</si>
  <si>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</si>
  <si>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</si>
  <si>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</si>
  <si>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</si>
  <si>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</si>
  <si>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</si>
  <si>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</si>
  <si>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</si>
  <si>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</si>
  <si>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</si>
  <si>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</si>
  <si>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</si>
  <si>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</si>
  <si>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</si>
  <si>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</si>
  <si>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</si>
  <si>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</si>
  <si>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</si>
  <si>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</si>
  <si>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</si>
  <si>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</si>
  <si>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</si>
  <si>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</si>
  <si>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</si>
  <si>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</si>
  <si>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</si>
  <si>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</si>
  <si>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</si>
  <si>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</si>
  <si>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</si>
  <si>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</si>
  <si>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</si>
  <si>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</si>
  <si>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</si>
  <si>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</si>
  <si>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</si>
  <si>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</si>
  <si>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</si>
  <si>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</si>
  <si>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</si>
  <si>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</si>
  <si>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</si>
  <si>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</si>
  <si>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</si>
  <si>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</si>
  <si>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</si>
  <si>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</si>
  <si>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</si>
  <si>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</si>
  <si>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</si>
  <si>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</si>
  <si>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</si>
  <si>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</si>
  <si>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</si>
  <si>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</si>
  <si>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</si>
  <si>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</si>
  <si>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</si>
  <si>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</si>
  <si>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</si>
  <si>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</si>
  <si>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</si>
  <si>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</si>
  <si>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</si>
  <si>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</si>
  <si>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</si>
  <si>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</si>
  <si>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</si>
  <si>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</si>
  <si>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</si>
  <si>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</si>
  <si>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</si>
  <si>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</si>
  <si>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</si>
  <si>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</si>
  <si>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</si>
  <si>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</si>
  <si>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</si>
  <si>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</si>
  <si>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</si>
  <si>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</si>
  <si>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</si>
  <si>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</si>
  <si>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</si>
  <si>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</si>
  <si>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</si>
  <si>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</si>
  <si>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</si>
  <si>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</si>
  <si>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</si>
  <si>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</si>
  <si>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</si>
  <si>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</si>
  <si>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</si>
  <si>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</si>
  <si>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</si>
  <si>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</si>
  <si>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</si>
  <si>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</si>
  <si>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</si>
  <si>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</si>
  <si>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</si>
  <si>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</si>
  <si>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</si>
  <si>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</si>
  <si>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</si>
  <si>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</si>
  <si>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</si>
  <si>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</si>
  <si>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</si>
  <si>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</si>
  <si>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</si>
  <si>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</si>
  <si>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</si>
  <si>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</si>
  <si>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</si>
  <si>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</si>
  <si>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</si>
  <si>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</si>
  <si>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</si>
  <si>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</si>
  <si>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</si>
  <si>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</si>
  <si>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</si>
  <si>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</si>
  <si>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</si>
  <si>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</si>
  <si>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</si>
  <si>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</si>
  <si>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</si>
  <si>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</si>
  <si>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</si>
  <si>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</si>
  <si>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</si>
  <si>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</si>
  <si>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</si>
  <si>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</si>
  <si>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</si>
  <si>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</si>
  <si>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</si>
  <si>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</si>
  <si>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</si>
  <si>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</si>
  <si>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</si>
  <si>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</si>
  <si>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</si>
  <si>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</si>
  <si>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</si>
  <si>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</si>
  <si>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</si>
  <si>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</si>
  <si>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</si>
  <si>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</si>
  <si>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</si>
  <si>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</si>
  <si>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</si>
  <si>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</si>
  <si>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</si>
  <si>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</si>
  <si>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</si>
  <si>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</si>
  <si>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</si>
  <si>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</si>
  <si>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</si>
  <si>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</si>
  <si>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</si>
  <si>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</si>
  <si>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</si>
  <si>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</si>
  <si>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</si>
  <si>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</si>
  <si>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</si>
  <si>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</si>
  <si>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</si>
  <si>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</si>
  <si>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</si>
  <si>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</si>
  <si>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</si>
  <si>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</si>
  <si>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</si>
  <si>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</si>
  <si>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</si>
  <si>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</si>
  <si>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</si>
  <si>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</si>
  <si>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</si>
  <si>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</si>
  <si>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</si>
  <si>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</si>
  <si>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</si>
  <si>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</si>
  <si>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</si>
  <si>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</si>
  <si>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</si>
  <si>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</si>
  <si>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</si>
  <si>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</si>
  <si>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</si>
  <si>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</si>
  <si>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</si>
  <si>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</si>
  <si>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</si>
  <si>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</si>
  <si>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</si>
  <si>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</si>
  <si>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</si>
  <si>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</si>
  <si>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</si>
  <si>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</si>
  <si>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</si>
  <si>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</si>
  <si>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</si>
  <si>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</si>
  <si>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</si>
  <si>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</si>
  <si>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</si>
  <si>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</si>
  <si>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</si>
  <si>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</si>
  <si>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</si>
  <si>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</si>
  <si>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</si>
  <si>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</si>
  <si>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</si>
  <si>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</si>
  <si>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</si>
  <si>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</si>
  <si>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</si>
  <si>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</si>
  <si>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</si>
  <si>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</si>
  <si>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</si>
  <si>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</si>
  <si>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</si>
  <si>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</si>
  <si>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</si>
  <si>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</si>
  <si>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</si>
  <si>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</si>
  <si>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</si>
  <si>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</si>
  <si>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</si>
  <si>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</si>
  <si>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</si>
  <si>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</si>
  <si>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</si>
  <si>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</si>
  <si>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</si>
  <si>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</si>
  <si>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</si>
  <si>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</si>
  <si>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</si>
  <si>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</si>
  <si>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</si>
  <si>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</si>
  <si>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</si>
  <si>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</si>
  <si>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</si>
  <si>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</si>
  <si>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</si>
  <si>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</si>
  <si>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</si>
  <si>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</si>
  <si>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</si>
  <si>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</si>
  <si>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</si>
  <si>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</si>
  <si>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</si>
  <si>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</si>
  <si>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</si>
  <si>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</si>
  <si>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</si>
  <si>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</si>
  <si>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</si>
  <si>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</si>
  <si>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</si>
  <si>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</si>
  <si>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</si>
  <si>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</si>
  <si>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</si>
  <si>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</si>
  <si>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</si>
  <si>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</si>
  <si>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</si>
  <si>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</si>
  <si>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</si>
  <si>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</si>
  <si>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</si>
  <si>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</si>
  <si>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</si>
  <si>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</si>
  <si>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</si>
  <si>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</si>
  <si>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</si>
  <si>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</si>
  <si>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</si>
  <si>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</si>
  <si>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</si>
  <si>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</si>
  <si>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</si>
  <si>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</si>
  <si>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</si>
  <si>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</si>
  <si>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</si>
  <si>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</si>
  <si>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</si>
  <si>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</si>
  <si>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</si>
  <si>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</si>
  <si>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</si>
  <si>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</si>
  <si>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</si>
  <si>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</si>
  <si>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</si>
  <si>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</si>
  <si>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</si>
  <si>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</si>
  <si>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</si>
  <si>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</si>
  <si>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</si>
  <si>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</si>
  <si>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</si>
  <si>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</si>
  <si>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</si>
  <si>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</si>
  <si>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</si>
  <si>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</si>
  <si>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</si>
  <si>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</si>
  <si>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</si>
  <si>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</si>
  <si>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</si>
  <si>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</si>
  <si>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</si>
  <si>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</si>
  <si>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</si>
  <si>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</si>
  <si>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</si>
  <si>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</si>
  <si>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</si>
  <si>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</si>
  <si>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</si>
  <si>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</si>
  <si>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</si>
  <si>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</si>
  <si>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</si>
  <si>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</si>
  <si>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</si>
  <si>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</si>
  <si>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</si>
  <si>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</si>
  <si>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</si>
  <si>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</si>
  <si>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</si>
  <si>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</si>
  <si>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</si>
  <si>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</si>
  <si>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</si>
  <si>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</si>
  <si>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</si>
  <si>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</si>
  <si>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</si>
  <si>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</si>
  <si>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</si>
  <si>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</si>
  <si>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</si>
  <si>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</si>
  <si>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</si>
  <si>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</si>
  <si>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</si>
  <si>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</si>
  <si>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</si>
  <si>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</si>
  <si>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</si>
  <si>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</si>
  <si>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</si>
  <si>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</si>
  <si>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</si>
  <si>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</si>
  <si>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</si>
  <si>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</si>
  <si>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</si>
  <si>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</si>
  <si>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</si>
  <si>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</si>
  <si>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</si>
  <si>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</si>
  <si>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</si>
  <si>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</si>
  <si>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</si>
  <si>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</si>
  <si>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</si>
  <si>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</si>
  <si>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</si>
  <si>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</si>
  <si>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</si>
  <si>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</si>
  <si>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</si>
  <si>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</si>
  <si>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</si>
  <si>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</si>
  <si>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</si>
  <si>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</si>
  <si>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</si>
  <si>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</si>
  <si>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</si>
  <si>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</si>
  <si>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</si>
  <si>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</si>
  <si>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</si>
  <si>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</si>
  <si>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</si>
  <si>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</si>
  <si>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</si>
  <si>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</si>
  <si>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</si>
  <si>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</si>
  <si>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</si>
  <si>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</si>
  <si>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</si>
  <si>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</si>
  <si>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</si>
  <si>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</si>
  <si>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</si>
  <si>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</si>
  <si>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</si>
  <si>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</si>
  <si>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</si>
  <si>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</si>
  <si>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</si>
  <si>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</si>
  <si>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</si>
  <si>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</si>
  <si>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</si>
  <si>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</si>
  <si>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</si>
  <si>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</si>
  <si>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</si>
  <si>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</si>
  <si>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</si>
  <si>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</si>
  <si>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</si>
  <si>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</si>
  <si>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</si>
  <si>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</si>
  <si>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</si>
  <si>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</si>
  <si>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</si>
  <si>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</si>
  <si>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</si>
  <si>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</si>
  <si>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</si>
  <si>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</si>
  <si>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</si>
  <si>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</si>
  <si>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</si>
  <si>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</si>
  <si>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</si>
  <si>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</si>
  <si>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</si>
  <si>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</si>
  <si>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</si>
  <si>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</si>
  <si>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</si>
  <si>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</si>
  <si>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</si>
  <si>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</si>
  <si>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</si>
  <si>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</si>
  <si>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</si>
  <si>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</si>
  <si>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</si>
  <si>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</si>
  <si>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</si>
  <si>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</si>
  <si>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</si>
  <si>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</si>
  <si>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</si>
  <si>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</si>
  <si>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</si>
  <si>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</si>
  <si>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</si>
  <si>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</si>
  <si>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</si>
  <si>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</si>
  <si>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</si>
  <si>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</si>
  <si>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</si>
  <si>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</si>
  <si>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</si>
  <si>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</si>
  <si>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</si>
  <si>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</si>
  <si>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</si>
  <si>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</si>
  <si>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</si>
  <si>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</si>
  <si>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</si>
  <si>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</si>
  <si>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</si>
  <si>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</si>
  <si>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</si>
  <si>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</si>
  <si>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</si>
  <si>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</si>
  <si>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</si>
  <si>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</si>
  <si>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</si>
  <si>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</si>
  <si>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</si>
  <si>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</si>
  <si>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</si>
  <si>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</si>
  <si>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</si>
  <si>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</si>
  <si>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</si>
  <si>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</si>
  <si>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</si>
  <si>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</si>
  <si>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</si>
  <si>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</si>
  <si>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</si>
  <si>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</si>
  <si>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</si>
  <si>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</si>
  <si>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</si>
  <si>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</si>
  <si>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</si>
  <si>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</si>
  <si>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</si>
  <si>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</si>
  <si>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</si>
  <si>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</si>
  <si>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</si>
  <si>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</si>
  <si>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</si>
  <si>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</si>
  <si>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</si>
  <si>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</si>
  <si>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</si>
  <si>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</si>
  <si>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</si>
  <si>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</si>
  <si>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</si>
  <si>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</si>
  <si>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</si>
  <si>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</si>
  <si>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</si>
  <si>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</si>
  <si>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</si>
  <si>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</si>
  <si>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</si>
  <si>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</si>
  <si>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</si>
  <si>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</si>
  <si>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</si>
  <si>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</si>
  <si>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</si>
  <si>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</si>
  <si>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</si>
  <si>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</si>
  <si>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</si>
  <si>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</si>
  <si>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</si>
  <si>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</si>
  <si>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</si>
  <si>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</si>
  <si>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</si>
  <si>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</si>
  <si>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</si>
  <si>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</si>
  <si>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</si>
  <si>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</si>
  <si>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</si>
  <si>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</si>
  <si>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</si>
  <si>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</si>
  <si>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</si>
  <si>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</si>
  <si>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</si>
  <si>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</si>
  <si>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</si>
  <si>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</si>
  <si>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</si>
  <si>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</si>
  <si>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</si>
  <si>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</si>
  <si>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</si>
  <si>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</si>
  <si>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</si>
  <si>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</si>
  <si>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</si>
  <si>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</si>
  <si>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</si>
  <si>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</si>
  <si>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</si>
  <si>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</si>
  <si>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</si>
  <si>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</si>
  <si>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</si>
  <si>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</si>
  <si>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</si>
  <si>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</si>
  <si>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</si>
  <si>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</si>
  <si>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</si>
  <si>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</si>
  <si>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</si>
  <si>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</si>
  <si>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</si>
  <si>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</si>
  <si>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</si>
  <si>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</si>
  <si>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</si>
  <si>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</si>
  <si>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</si>
  <si>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</si>
  <si>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</si>
  <si>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</si>
  <si>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</si>
  <si>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</si>
  <si>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</si>
  <si>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</si>
  <si>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</si>
  <si>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</si>
  <si>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</si>
  <si>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</si>
  <si>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</si>
  <si>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</si>
  <si>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</si>
  <si>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</si>
  <si>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</si>
  <si>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</si>
  <si>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</si>
  <si>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</si>
  <si>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</si>
  <si>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</si>
  <si>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</si>
  <si>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</si>
  <si>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</si>
  <si>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</si>
  <si>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</si>
  <si>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</si>
  <si>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</si>
  <si>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</si>
  <si>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</si>
  <si>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</si>
  <si>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</si>
  <si>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</si>
  <si>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</si>
  <si>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</si>
  <si>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</si>
  <si>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</si>
  <si>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</si>
  <si>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</si>
  <si>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</si>
  <si>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</si>
  <si>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</si>
  <si>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</si>
  <si>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</si>
  <si>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</si>
  <si>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</si>
  <si>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</si>
  <si>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</si>
  <si>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</si>
  <si>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</si>
  <si>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</si>
  <si>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</si>
  <si>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</si>
  <si>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</si>
  <si>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</si>
  <si>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</si>
  <si>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</si>
  <si>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</si>
  <si>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</si>
  <si>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</si>
  <si>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</si>
  <si>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</si>
  <si>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</si>
  <si>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</si>
  <si>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</si>
  <si>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</si>
  <si>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</si>
  <si>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</si>
  <si>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</si>
  <si>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</si>
  <si>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</si>
  <si>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</si>
  <si>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</si>
  <si>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</si>
  <si>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</si>
  <si>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</si>
  <si>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</si>
  <si>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</si>
  <si>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</si>
  <si>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</si>
  <si>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</si>
  <si>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</si>
  <si>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</si>
  <si>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</si>
  <si>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</si>
  <si>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</si>
  <si>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</si>
  <si>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</si>
  <si>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</si>
  <si>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</si>
  <si>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</si>
  <si>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</si>
  <si>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</si>
  <si>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</si>
  <si>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</si>
  <si>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</si>
  <si>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</si>
  <si>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</si>
  <si>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</si>
  <si>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</si>
  <si>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</si>
  <si>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</si>
  <si>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</si>
  <si>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</si>
  <si>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</si>
  <si>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</si>
  <si>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</si>
  <si>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</si>
  <si>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</si>
  <si>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</si>
  <si>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</si>
  <si>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</si>
  <si>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</si>
  <si>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</si>
  <si>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</si>
  <si>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</si>
  <si>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</si>
  <si>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</si>
  <si>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</si>
  <si>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</si>
  <si>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</si>
  <si>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</si>
  <si>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</si>
  <si>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</si>
  <si>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</si>
  <si>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</si>
  <si>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</si>
  <si>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</si>
  <si>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</si>
  <si>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</si>
  <si>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</si>
  <si>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</si>
  <si>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</si>
  <si>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</si>
  <si>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</si>
  <si>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</si>
  <si>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</si>
  <si>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</si>
  <si>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</si>
  <si>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</si>
  <si>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</si>
  <si>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</si>
  <si>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</si>
  <si>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</si>
  <si>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</si>
  <si>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</si>
  <si>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</si>
  <si>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</si>
  <si>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</si>
  <si>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</si>
  <si>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</si>
  <si>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</si>
  <si>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</si>
  <si>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</si>
  <si>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</si>
  <si>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</si>
  <si>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</si>
  <si>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</si>
  <si>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</si>
  <si>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</si>
  <si>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</si>
  <si>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</si>
  <si>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</si>
  <si>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</si>
  <si>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</si>
  <si>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</si>
  <si>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</si>
  <si>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</si>
  <si>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</si>
  <si>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</si>
  <si>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</si>
  <si>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</si>
  <si>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</si>
  <si>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</si>
  <si>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</si>
  <si>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</si>
  <si>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</si>
  <si>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</si>
  <si>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</si>
  <si>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</si>
  <si>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</si>
  <si>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</si>
  <si>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</si>
  <si>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</si>
  <si>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</si>
  <si>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</si>
  <si>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</si>
  <si>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</si>
  <si>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</si>
  <si>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</si>
  <si>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</si>
  <si>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</si>
  <si>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</si>
  <si>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</si>
  <si>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</si>
  <si>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</si>
  <si>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</si>
  <si>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</si>
  <si>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</si>
  <si>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</si>
  <si>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</si>
  <si>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</si>
  <si>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</si>
  <si>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</si>
  <si>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</si>
  <si>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</si>
  <si>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</si>
  <si>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</si>
  <si>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</si>
  <si>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</si>
  <si>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</si>
  <si>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</si>
  <si>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</si>
  <si>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</si>
  <si>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</si>
  <si>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</si>
  <si>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</si>
  <si>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</si>
  <si>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</si>
  <si>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</si>
  <si>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</si>
  <si>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</si>
  <si>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</si>
  <si>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</si>
  <si>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</si>
  <si>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</si>
  <si>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</si>
  <si>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</si>
  <si>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</si>
  <si>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</si>
  <si>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</si>
  <si>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</si>
  <si>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</si>
  <si>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</si>
  <si>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</si>
  <si>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</si>
  <si>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</si>
  <si>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</si>
  <si>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</si>
  <si>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</si>
  <si>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</si>
  <si>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</si>
  <si>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</si>
  <si>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</si>
  <si>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</si>
  <si>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</si>
  <si>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</si>
  <si>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</si>
  <si>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</si>
  <si>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</si>
  <si>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</si>
  <si>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</si>
  <si>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</si>
  <si>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</si>
  <si>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</si>
  <si>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</si>
  <si>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</si>
  <si>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</si>
  <si>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</si>
  <si>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</si>
  <si>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</si>
  <si>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</si>
  <si>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</si>
  <si>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</si>
  <si>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</si>
  <si>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</si>
  <si>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</si>
  <si>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</si>
  <si>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</si>
  <si>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</si>
  <si>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</si>
  <si>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</si>
  <si>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</si>
  <si>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</si>
  <si>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</si>
  <si>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</si>
  <si>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</si>
  <si>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</si>
  <si>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</si>
  <si>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</si>
  <si>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</si>
  <si>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</si>
  <si>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</si>
  <si>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</si>
  <si>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</si>
  <si>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</si>
  <si>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</si>
  <si>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</si>
  <si>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</si>
  <si>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</si>
  <si>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</si>
  <si>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</si>
  <si>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</si>
  <si>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</si>
  <si>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</si>
  <si>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</si>
  <si>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</si>
  <si>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</si>
  <si>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</si>
  <si>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</si>
  <si>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</si>
  <si>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</si>
  <si>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</si>
  <si>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</si>
  <si>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</si>
  <si>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</si>
  <si>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</si>
  <si>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</si>
  <si>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</si>
  <si>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</si>
  <si>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</si>
  <si>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</si>
  <si>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</si>
  <si>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</si>
  <si>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</si>
  <si>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</si>
  <si>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</si>
  <si>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</si>
  <si>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</si>
  <si>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</si>
  <si>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</si>
  <si>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</si>
  <si>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</si>
  <si>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</si>
  <si>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</si>
  <si>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</si>
  <si>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</si>
  <si>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</si>
  <si>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</si>
  <si>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</si>
  <si>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</si>
  <si>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</si>
  <si>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</si>
  <si>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</si>
  <si>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</si>
  <si>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</si>
  <si>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</si>
  <si>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</si>
  <si>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</si>
  <si>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</si>
  <si>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</si>
  <si>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</si>
  <si>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</si>
  <si>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</si>
  <si>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</si>
  <si>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</si>
  <si>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</si>
  <si>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</si>
  <si>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</si>
  <si>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</si>
  <si>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</si>
  <si>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</si>
  <si>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</si>
  <si>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</si>
  <si>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</si>
  <si>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</si>
  <si>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</si>
  <si>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</si>
  <si>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</si>
  <si>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</si>
  <si>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</si>
  <si>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</si>
  <si>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</si>
  <si>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</si>
  <si>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</si>
  <si>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</si>
  <si>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</si>
  <si>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</si>
  <si>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</si>
  <si>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</si>
  <si>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</si>
  <si>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</si>
  <si>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</si>
  <si>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</si>
  <si>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</si>
  <si>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</si>
  <si>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</si>
  <si>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</si>
  <si>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</si>
  <si>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</si>
  <si>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</si>
  <si>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</si>
  <si>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</si>
  <si>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</si>
  <si>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</si>
  <si>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</si>
  <si>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</si>
  <si>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</si>
  <si>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</si>
  <si>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</si>
  <si>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</si>
  <si>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</si>
  <si>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</si>
  <si>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</si>
  <si>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</si>
  <si>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</si>
  <si>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</si>
  <si>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</si>
  <si>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</si>
  <si>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</si>
  <si>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</si>
  <si>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</si>
  <si>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</si>
  <si>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</si>
  <si>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</si>
  <si>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</si>
  <si>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</si>
  <si>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</si>
  <si>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</si>
  <si>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</si>
  <si>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</si>
  <si>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</si>
  <si>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</si>
  <si>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</si>
  <si>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</si>
  <si>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</si>
  <si>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</si>
  <si>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</si>
  <si>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</si>
  <si>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</si>
  <si>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</si>
  <si>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</si>
  <si>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</si>
  <si>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</si>
  <si>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</si>
  <si>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</si>
  <si>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</si>
  <si>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</si>
  <si>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</si>
  <si>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</si>
  <si>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</si>
  <si>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</si>
  <si>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</si>
  <si>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</si>
  <si>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</si>
  <si>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</si>
  <si>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</si>
  <si>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</si>
  <si>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</si>
  <si>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</si>
  <si>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</si>
  <si>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</si>
  <si>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</si>
  <si>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</si>
  <si>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</si>
  <si>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</si>
  <si>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</si>
  <si>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</si>
  <si>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</si>
  <si>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</si>
  <si>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</si>
  <si>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</si>
  <si>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</si>
  <si>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</si>
  <si>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</si>
  <si>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</si>
  <si>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</si>
  <si>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</si>
  <si>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</si>
  <si>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</si>
  <si>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</si>
  <si>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</si>
  <si>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</si>
  <si>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</si>
  <si>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</si>
  <si>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</si>
  <si>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</si>
  <si>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</si>
  <si>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</si>
  <si>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</si>
  <si>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</si>
  <si>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</si>
  <si>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</si>
  <si>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</si>
  <si>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</si>
  <si>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</si>
  <si>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</si>
  <si>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</si>
  <si>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</si>
  <si>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</si>
  <si>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</si>
  <si>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</si>
  <si>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</si>
  <si>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</si>
  <si>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</si>
  <si>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</si>
  <si>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</si>
  <si>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</si>
  <si>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</si>
  <si>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</si>
  <si>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</si>
  <si>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</si>
  <si>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</si>
  <si>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</si>
  <si>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</si>
  <si>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</si>
  <si>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</si>
  <si>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</si>
  <si>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</si>
  <si>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</si>
  <si>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</si>
  <si>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</si>
  <si>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</si>
  <si>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</si>
  <si>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</si>
  <si>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</si>
  <si>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</si>
  <si>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</si>
  <si>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</si>
  <si>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</si>
  <si>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</si>
  <si>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</si>
  <si>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</si>
  <si>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</si>
  <si>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</si>
  <si>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</si>
  <si>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</si>
  <si>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</si>
  <si>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</si>
  <si>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</si>
  <si>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</si>
  <si>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</si>
  <si>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</si>
  <si>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</si>
  <si>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</si>
  <si>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</si>
  <si>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</si>
  <si>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</si>
  <si>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</si>
  <si>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</si>
  <si>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</si>
  <si>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</si>
  <si>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</si>
  <si>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</si>
  <si>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</si>
  <si>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</si>
  <si>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</si>
  <si>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</si>
  <si>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</si>
  <si>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</si>
  <si>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</si>
  <si>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</si>
  <si>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</si>
  <si>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</si>
  <si>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</si>
  <si>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</si>
  <si>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</si>
  <si>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</si>
  <si>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</si>
  <si>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</si>
  <si>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</si>
  <si>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</si>
  <si>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</si>
  <si>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</si>
  <si>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</si>
  <si>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</si>
  <si>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</si>
  <si>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</si>
  <si>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</si>
  <si>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</si>
  <si>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</si>
  <si>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</si>
  <si>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</si>
  <si>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</si>
  <si>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</si>
  <si>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</si>
  <si>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</si>
  <si>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</si>
  <si>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</si>
  <si>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</si>
  <si>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</si>
  <si>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</si>
  <si>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</si>
  <si>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</si>
  <si>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</si>
  <si>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</si>
  <si>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</si>
  <si>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</si>
  <si>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</si>
  <si>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</si>
  <si>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</si>
  <si>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</si>
  <si>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</si>
  <si>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</si>
  <si>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</si>
  <si>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</si>
  <si>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</si>
  <si>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</si>
  <si>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</si>
  <si>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</si>
  <si>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</si>
  <si>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</si>
  <si>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</si>
  <si>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</si>
  <si>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</si>
  <si>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</si>
  <si>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</si>
  <si>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</si>
  <si>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</si>
  <si>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</si>
  <si>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</si>
  <si>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</si>
  <si>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</si>
  <si>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</si>
  <si>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</si>
  <si>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</si>
  <si>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</si>
  <si>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</si>
  <si>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</si>
  <si>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</si>
  <si>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</si>
  <si>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</si>
  <si>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</si>
  <si>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</si>
  <si>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</si>
  <si>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</si>
  <si>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</si>
  <si>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</si>
  <si>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</si>
  <si>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</si>
  <si>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</si>
  <si>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</si>
  <si>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</si>
  <si>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</si>
  <si>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</si>
  <si>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</si>
  <si>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</si>
  <si>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</si>
  <si>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</si>
  <si>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</si>
  <si>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</si>
  <si>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</si>
  <si>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</si>
  <si>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</si>
  <si>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</si>
  <si>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</si>
  <si>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</si>
  <si>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</si>
  <si>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</si>
  <si>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Облицовка керам. плиткой</t>
  </si>
  <si>
    <t>Поз.</t>
  </si>
  <si>
    <t>Обозначение</t>
  </si>
  <si>
    <t>Наименование</t>
  </si>
  <si>
    <t>Кол-во</t>
  </si>
  <si>
    <t>Масса ед., кг.</t>
  </si>
  <si>
    <t>ГОСТ Р 52544—2006</t>
  </si>
  <si>
    <t>ГОСТ 5781-82*</t>
  </si>
  <si>
    <t>Марка
изделия.</t>
  </si>
  <si>
    <t>Поз.
дет.</t>
  </si>
  <si>
    <t>Кол-во*</t>
  </si>
  <si>
    <t>Марка элемента</t>
  </si>
  <si>
    <t>Изделия арматурные</t>
  </si>
  <si>
    <t>Всего</t>
  </si>
  <si>
    <t>Арматура класса</t>
  </si>
  <si>
    <t>Прокат</t>
  </si>
  <si>
    <t>Ведомость отделки АБК_правила</t>
  </si>
  <si>
    <t>данный лист</t>
  </si>
  <si>
    <t>Итого</t>
  </si>
  <si>
    <t>Кол-во на все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</si>
  <si>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</si>
  <si>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</si>
  <si>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</si>
  <si>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</si>
  <si>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</si>
  <si>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</si>
  <si>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</si>
  <si>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</si>
  <si>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</si>
  <si>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</si>
  <si>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</si>
  <si>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</si>
  <si>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</si>
  <si>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</si>
  <si>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</si>
  <si>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</si>
  <si>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</si>
  <si>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</si>
  <si>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</si>
  <si>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</si>
  <si>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!!!</t>
  </si>
  <si>
    <t>Основной</t>
  </si>
  <si>
    <t>НЕТ БЕТОНА</t>
  </si>
  <si>
    <t>Вертикальный стержень</t>
  </si>
  <si>
    <t>Горизонтальный стержень</t>
  </si>
  <si>
    <t>⌀12 A500C L= п.м.</t>
  </si>
  <si>
    <t>⌀12</t>
  </si>
  <si>
    <t>|Лог|</t>
  </si>
  <si>
    <t>admin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</si>
  <si>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</si>
  <si>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</si>
  <si>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</si>
  <si>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</si>
  <si>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</si>
  <si>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</si>
  <si>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</si>
  <si>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</si>
  <si>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</si>
  <si>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</si>
  <si>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</si>
  <si>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</si>
  <si>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</si>
  <si>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</si>
  <si>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</si>
  <si>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</si>
  <si>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</si>
  <si>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Бетон В25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</si>
  <si>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</si>
  <si>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</si>
  <si>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</si>
  <si>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</si>
  <si>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</si>
  <si>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Кирпич 510 штукатурка с 2х сторон с навесным фасадом</t>
  </si>
  <si>
    <t>Кирпич 510 штукатурка с 2х сторон</t>
  </si>
  <si>
    <t>Шпатлёвка под плиткой</t>
  </si>
  <si>
    <t>check</t>
  </si>
  <si>
    <t>decode</t>
  </si>
  <si>
    <t>---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</si>
  <si>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</si>
  <si>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</si>
  <si>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</si>
  <si>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</si>
  <si>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</si>
  <si>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</si>
  <si>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</si>
  <si>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</si>
  <si>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</si>
  <si>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</si>
  <si>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</si>
  <si>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</si>
  <si>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</si>
  <si>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</si>
  <si>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Изделия_спец.И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</si>
  <si>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</si>
  <si>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</si>
  <si>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</si>
  <si>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</si>
  <si>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</si>
  <si>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</si>
  <si>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</si>
  <si>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</si>
  <si>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</si>
  <si>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</si>
  <si>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</si>
  <si>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</si>
  <si>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</si>
  <si>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</si>
  <si>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</si>
  <si>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</si>
  <si>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</si>
  <si>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</si>
  <si>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</si>
  <si>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</si>
  <si>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</si>
  <si>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Периметр, мм</t>
  </si>
  <si>
    <t>Площадь, кв.мм.</t>
  </si>
  <si>
    <t>см. лист</t>
  </si>
  <si>
    <t>Толщина, мм</t>
  </si>
  <si>
    <t>Шаг фона слой 1, мм.</t>
  </si>
  <si>
    <t>Шаг фона слой 2, мм.</t>
  </si>
  <si>
    <t>Шаг фона слой 3, мм.</t>
  </si>
  <si>
    <t>Шаг фона слой 4, мм.</t>
  </si>
  <si>
    <t>Фон, слой 1</t>
  </si>
  <si>
    <t>Фон, слой 2</t>
  </si>
  <si>
    <t>Фон, слой 3</t>
  </si>
  <si>
    <t>Фон, слой 4</t>
  </si>
  <si>
    <t>⌀8</t>
  </si>
  <si>
    <t>Пм1.1, на все</t>
  </si>
  <si>
    <t>Пример плиты_спец</t>
  </si>
  <si>
    <t>Из архикада_плиты</t>
  </si>
  <si>
    <t>Пример плиты_кж</t>
  </si>
  <si>
    <t>19 1 15/ 11 4 18</t>
  </si>
  <si>
    <t>П-ка по периметру</t>
  </si>
  <si>
    <t>Защитный слой, мм</t>
  </si>
  <si>
    <t>Объём бетона, куб.м.</t>
  </si>
  <si>
    <t>Шаг П-шек по периметру, мм</t>
  </si>
  <si>
    <t xml:space="preserve"> 21871.55 кг.</t>
  </si>
  <si>
    <t>⌀12 A500C L=1160мм.</t>
  </si>
  <si>
    <t xml:space="preserve"> 2038.4 кг.</t>
  </si>
  <si>
    <t>Кп25</t>
  </si>
  <si>
    <t>Каркас поддерживающий Кп25</t>
  </si>
  <si>
    <t xml:space="preserve"> 57.6 кг.</t>
  </si>
  <si>
    <t>Пример плиты_об</t>
  </si>
  <si>
    <t>19 1 15/ 11 31 32</t>
  </si>
  <si>
    <t>Пм1.3, на все</t>
  </si>
  <si>
    <t>Пм2.1, на все</t>
  </si>
  <si>
    <t xml:space="preserve"> 205.38 кг.</t>
  </si>
  <si>
    <t>⌀12 A500C L=1410мм.</t>
  </si>
  <si>
    <t xml:space="preserve"> 162.54 кг.</t>
  </si>
  <si>
    <t xml:space="preserve"> 21958.11 кг.</t>
  </si>
  <si>
    <t xml:space="preserve"> 2717.52 кг.</t>
  </si>
  <si>
    <t xml:space="preserve"> 44035.04 кг.</t>
  </si>
  <si>
    <t xml:space="preserve"> 4755.92 кг.</t>
  </si>
  <si>
    <t>Пример плиты_грс</t>
  </si>
  <si>
    <t>19 1 15/ 11 34 8</t>
  </si>
  <si>
    <t>⌀8 A-I(A240) L=250мм.</t>
  </si>
  <si>
    <t>⌀8 A-I(A240) L=1280мм.</t>
  </si>
  <si>
    <t>Пример плиты_гр</t>
  </si>
  <si>
    <t>19 1 15/ 11 35 55</t>
  </si>
  <si>
    <t xml:space="preserve"> 1.92 кг.</t>
  </si>
  <si>
    <t>Плита монолитная Пм1.1, на все</t>
  </si>
  <si>
    <t>Плита монолитная Пм1.3, на все</t>
  </si>
  <si>
    <t>Плита монолитная Пм2.1, на все</t>
  </si>
  <si>
    <t>Кп30</t>
  </si>
  <si>
    <t>Кп35</t>
  </si>
  <si>
    <t>Кп36</t>
  </si>
  <si>
    <t>Каркас поддерживающий Кп30</t>
  </si>
  <si>
    <t>Каркас поддерживающий Кп35</t>
  </si>
  <si>
    <t>Каркас поддерживающий Кп36</t>
  </si>
  <si>
    <t>Масса, кг.</t>
  </si>
  <si>
    <t>Масса изделий, кг.</t>
  </si>
  <si>
    <t>Кп25,
на все</t>
  </si>
  <si>
    <t xml:space="preserve">                                                            * расход на все изделия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</si>
</sst>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23" fillId="0" borderId="12" xfId="0" applyFont="1" applyFill="1" applyBorder="1" applyAlignment="1">
      <alignment horizontal="center" vertical="center" wrapText="1"/>
    </xf>
    <xf numFmtId="0" fontId="23" fillId="0" borderId="13" xfId="0" applyFont="1" applyFill="1" applyBorder="1" applyAlignment="1">
      <alignment horizontal="center" vertical="center" shrinkToFit="1"/>
    </xf>
    <xf numFmtId="0" fontId="23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4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39" borderId="10" xfId="0" applyFont="1" applyFill="1" applyBorder="1" applyAlignment="1">
      <alignment horizontal="center" vertical="center" wrapText="1"/>
    </xf>
    <xf numFmtId="0" fontId="20" fillId="39" borderId="13" xfId="0" applyFont="1" applyFill="1" applyBorder="1" applyAlignment="1">
      <alignment horizontal="center" vertical="center" wrapText="1"/>
    </xf>
    <xf numFmtId="0" fontId="20" fillId="36" borderId="13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14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2"/>
  <sheetViews>
    <sheetView topLeftCell="D1" workbookViewId="0"/>
  </sheetViews>
  <sheetFormatPr defaultRowHeight="15" x14ac:dyDescent="0.25"/>
  <cols>
    <col min="1" max="5" width="36.7109375" style="34" customWidth="1"/>
    <col min="6" max="6" width="9.140625" style="34"/>
    <col min="7" max="7" width="8.7109375" style="34" customWidth="1"/>
    <col min="8" max="8" width="15.7109375" style="34" customWidth="1"/>
    <col min="9" max="22" width="10.7109375" style="34" customWidth="1"/>
    <col min="23" max="16384" width="9.140625" style="1"/>
  </cols>
  <sheetData>
    <row r="1" spans="1:22" s="32" customFormat="1" ht="27.95" customHeight="1" x14ac:dyDescent="0.25">
      <c r="A1" s="33" t="s">
        <v>2442</v>
      </c>
      <c r="B1" s="33" t="s">
        <v>2443</v>
      </c>
      <c r="C1" s="33" t="s">
        <v>2365</v>
      </c>
      <c r="D1" s="33" t="s">
        <v>2366</v>
      </c>
      <c r="E1" s="33" t="s">
        <v>2367</v>
      </c>
      <c r="F1" s="33"/>
      <c r="G1" s="33" t="s">
        <v>2444</v>
      </c>
      <c r="H1" s="33" t="s">
        <v>2445</v>
      </c>
      <c r="I1" s="33" t="s">
        <v>2446</v>
      </c>
      <c r="J1" s="33" t="s">
        <v>2447</v>
      </c>
      <c r="K1" s="33" t="s">
        <v>2448</v>
      </c>
      <c r="L1" s="33" t="s">
        <v>2449</v>
      </c>
      <c r="M1" s="33" t="s">
        <v>2450</v>
      </c>
      <c r="N1" s="33" t="s">
        <v>2451</v>
      </c>
      <c r="O1" s="33" t="s">
        <v>2452</v>
      </c>
      <c r="P1" s="33" t="s">
        <v>2453</v>
      </c>
      <c r="Q1" s="33" t="s">
        <v>2454</v>
      </c>
      <c r="R1" s="33" t="s">
        <v>2455</v>
      </c>
      <c r="S1" s="33" t="s">
        <v>2456</v>
      </c>
      <c r="T1" s="33" t="s">
        <v>2457</v>
      </c>
      <c r="U1" s="33" t="s">
        <v>2458</v>
      </c>
      <c r="V1" s="33" t="s">
        <v>2469</v>
      </c>
    </row>
    <row r="2" spans="1:22" x14ac:dyDescent="0.25">
      <c r="E2" s="35" t="s">
        <v>2409</v>
      </c>
      <c r="G2" s="34">
        <v>1.2</v>
      </c>
      <c r="H2" s="34" t="s">
        <v>2470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1</v>
      </c>
      <c r="N2" s="34" t="b">
        <v>0</v>
      </c>
      <c r="O2" s="34" t="b">
        <v>1</v>
      </c>
      <c r="P2" s="34" t="b">
        <v>1</v>
      </c>
      <c r="Q2" s="34" t="b">
        <v>0</v>
      </c>
      <c r="R2" s="34" t="b">
        <v>0</v>
      </c>
      <c r="S2" s="34" t="b">
        <v>1</v>
      </c>
      <c r="T2" s="34" t="b">
        <v>0</v>
      </c>
      <c r="U2" s="34" t="b">
        <v>0</v>
      </c>
      <c r="V2" s="34" t="b">
        <v>1</v>
      </c>
    </row>
    <row r="3" spans="1:22" x14ac:dyDescent="0.25">
      <c r="C3" s="35" t="s">
        <v>2485</v>
      </c>
      <c r="G3" s="34">
        <v>1</v>
      </c>
      <c r="H3" s="34" t="s">
        <v>2470</v>
      </c>
      <c r="I3" s="34" t="b">
        <v>0</v>
      </c>
      <c r="J3" s="34" t="b">
        <v>0</v>
      </c>
      <c r="K3" s="34" t="b">
        <v>0</v>
      </c>
      <c r="L3" s="34" t="b">
        <v>0</v>
      </c>
      <c r="M3" s="34" t="b">
        <v>1</v>
      </c>
      <c r="N3" s="34" t="b">
        <v>0</v>
      </c>
      <c r="O3" s="34" t="b">
        <v>1</v>
      </c>
      <c r="P3" s="34" t="b">
        <v>1</v>
      </c>
      <c r="Q3" s="34" t="b">
        <v>0</v>
      </c>
      <c r="R3" s="34" t="b">
        <v>0</v>
      </c>
      <c r="S3" s="34" t="b">
        <v>1</v>
      </c>
      <c r="T3" s="34" t="b">
        <v>0</v>
      </c>
      <c r="U3" s="34" t="b">
        <v>0</v>
      </c>
      <c r="V3" s="34" t="b">
        <v>0</v>
      </c>
    </row>
    <row r="4" spans="1:22" x14ac:dyDescent="0.25">
      <c r="D4" s="35" t="s">
        <v>2522</v>
      </c>
      <c r="G4" s="34">
        <v>1</v>
      </c>
      <c r="H4" s="34" t="s">
        <v>2470</v>
      </c>
      <c r="I4" s="34" t="b">
        <v>0</v>
      </c>
      <c r="J4" s="34" t="b">
        <v>0</v>
      </c>
      <c r="K4" s="34" t="b">
        <v>0</v>
      </c>
      <c r="L4" s="34" t="b">
        <v>0</v>
      </c>
      <c r="M4" s="34" t="b">
        <v>1</v>
      </c>
      <c r="N4" s="34" t="b">
        <v>0</v>
      </c>
      <c r="O4" s="34" t="b">
        <v>1</v>
      </c>
      <c r="P4" s="34" t="b">
        <v>1</v>
      </c>
      <c r="Q4" s="34" t="b">
        <v>0</v>
      </c>
      <c r="R4" s="34" t="b">
        <v>0</v>
      </c>
      <c r="S4" s="34" t="b">
        <v>1</v>
      </c>
      <c r="T4" s="34" t="b">
        <v>0</v>
      </c>
      <c r="U4" s="34" t="b">
        <v>0</v>
      </c>
      <c r="V4" s="34" t="b">
        <v>0</v>
      </c>
    </row>
    <row r="5" spans="1:22" x14ac:dyDescent="0.25">
      <c r="E5" s="35" t="s">
        <v>2521</v>
      </c>
      <c r="G5" s="34">
        <v>1</v>
      </c>
      <c r="H5" s="34" t="s">
        <v>2470</v>
      </c>
      <c r="I5" s="34" t="b">
        <v>0</v>
      </c>
      <c r="J5" s="34" t="b">
        <v>0</v>
      </c>
      <c r="K5" s="34" t="b">
        <v>0</v>
      </c>
      <c r="L5" s="34" t="b">
        <v>0</v>
      </c>
      <c r="M5" s="34" t="b">
        <v>1</v>
      </c>
      <c r="N5" s="34" t="b">
        <v>0</v>
      </c>
      <c r="O5" s="34" t="b">
        <v>1</v>
      </c>
      <c r="P5" s="34" t="b">
        <v>1</v>
      </c>
      <c r="Q5" s="34" t="b">
        <v>0</v>
      </c>
      <c r="R5" s="34" t="b">
        <v>0</v>
      </c>
      <c r="S5" s="34" t="b">
        <v>1</v>
      </c>
      <c r="T5" s="34" t="b">
        <v>0</v>
      </c>
      <c r="U5" s="34" t="b">
        <v>0</v>
      </c>
      <c r="V5" s="34" t="b">
        <v>0</v>
      </c>
    </row>
    <row r="6" spans="1:22" x14ac:dyDescent="0.25">
      <c r="D6" s="35" t="s">
        <v>2535</v>
      </c>
      <c r="G6" s="34">
        <v>1</v>
      </c>
      <c r="H6" s="34" t="s">
        <v>2536</v>
      </c>
      <c r="I6" s="34" t="b">
        <v>0</v>
      </c>
      <c r="J6" s="34" t="b">
        <v>0</v>
      </c>
      <c r="K6" s="34" t="b">
        <v>0</v>
      </c>
      <c r="L6" s="34" t="b">
        <v>0</v>
      </c>
      <c r="M6" s="34" t="b">
        <v>1</v>
      </c>
      <c r="N6" s="34" t="b">
        <v>0</v>
      </c>
      <c r="O6" s="34" t="b">
        <v>1</v>
      </c>
      <c r="P6" s="34" t="b">
        <v>1</v>
      </c>
      <c r="Q6" s="34" t="b">
        <v>0</v>
      </c>
      <c r="R6" s="34" t="b">
        <v>0</v>
      </c>
      <c r="S6" s="34" t="b">
        <v>1</v>
      </c>
      <c r="T6" s="34" t="b">
        <v>0</v>
      </c>
      <c r="U6" s="34" t="b">
        <v>0</v>
      </c>
      <c r="V6" s="34" t="b">
        <v>1</v>
      </c>
    </row>
    <row r="7" spans="1:22" x14ac:dyDescent="0.25">
      <c r="D7" s="35" t="s">
        <v>2546</v>
      </c>
      <c r="G7" s="34">
        <v>1</v>
      </c>
      <c r="H7" s="34" t="s">
        <v>2547</v>
      </c>
      <c r="I7" s="34" t="b">
        <v>0</v>
      </c>
      <c r="J7" s="34" t="b">
        <v>0</v>
      </c>
      <c r="K7" s="34" t="b">
        <v>0</v>
      </c>
      <c r="L7" s="34" t="b">
        <v>0</v>
      </c>
      <c r="M7" s="34" t="b">
        <v>1</v>
      </c>
      <c r="N7" s="34" t="b">
        <v>0</v>
      </c>
      <c r="O7" s="34" t="b">
        <v>1</v>
      </c>
      <c r="P7" s="34" t="b">
        <v>1</v>
      </c>
      <c r="Q7" s="34" t="b">
        <v>0</v>
      </c>
      <c r="R7" s="34" t="b">
        <v>0</v>
      </c>
      <c r="S7" s="34" t="b">
        <v>1</v>
      </c>
      <c r="T7" s="34" t="b">
        <v>0</v>
      </c>
      <c r="U7" s="34" t="b">
        <v>0</v>
      </c>
      <c r="V7" s="34" t="b">
        <v>1</v>
      </c>
    </row>
    <row r="8" spans="1:22" x14ac:dyDescent="0.25">
      <c r="D8" s="35" t="s">
        <v>2550</v>
      </c>
      <c r="G8" s="34">
        <v>1</v>
      </c>
      <c r="H8" s="34" t="s">
        <v>2551</v>
      </c>
      <c r="I8" s="34" t="b">
        <v>0</v>
      </c>
      <c r="J8" s="34" t="b">
        <v>0</v>
      </c>
      <c r="K8" s="34" t="b">
        <v>0</v>
      </c>
      <c r="L8" s="34" t="b">
        <v>0</v>
      </c>
      <c r="M8" s="34" t="b">
        <v>1</v>
      </c>
      <c r="N8" s="34" t="b">
        <v>0</v>
      </c>
      <c r="O8" s="34" t="b">
        <v>1</v>
      </c>
      <c r="P8" s="34" t="b">
        <v>1</v>
      </c>
      <c r="Q8" s="34" t="b">
        <v>0</v>
      </c>
      <c r="R8" s="34" t="b">
        <v>0</v>
      </c>
      <c r="S8" s="34" t="b">
        <v>1</v>
      </c>
      <c r="T8" s="34" t="b">
        <v>0</v>
      </c>
      <c r="U8" s="34" t="b">
        <v>0</v>
      </c>
      <c r="V8" s="34" t="b">
        <v>1</v>
      </c>
    </row>
    <row r="9" spans="1:22" x14ac:dyDescent="0.25">
      <c r="D9" s="35" t="s">
        <v>2523</v>
      </c>
      <c r="G9" s="34">
        <v>1</v>
      </c>
      <c r="H9" s="34" t="s">
        <v>2524</v>
      </c>
      <c r="I9" s="34" t="b">
        <v>0</v>
      </c>
      <c r="J9" s="34" t="b">
        <v>0</v>
      </c>
      <c r="K9" s="34" t="b">
        <v>0</v>
      </c>
      <c r="L9" s="34" t="b">
        <v>0</v>
      </c>
      <c r="M9" s="34" t="b">
        <v>1</v>
      </c>
      <c r="N9" s="34" t="b">
        <v>0</v>
      </c>
      <c r="O9" s="34" t="b">
        <v>1</v>
      </c>
      <c r="P9" s="34" t="b">
        <v>1</v>
      </c>
      <c r="Q9" s="34" t="b">
        <v>0</v>
      </c>
      <c r="R9" s="34" t="b">
        <v>0</v>
      </c>
      <c r="S9" s="34" t="b">
        <v>1</v>
      </c>
      <c r="T9" s="34" t="b">
        <v>0</v>
      </c>
      <c r="U9" s="34" t="b">
        <v>0</v>
      </c>
      <c r="V9" s="34" t="b">
        <v>0</v>
      </c>
    </row>
    <row r="10" spans="1:22" x14ac:dyDescent="0.25">
      <c r="B10" s="35" t="s">
        <v>2374</v>
      </c>
    </row>
    <row r="11" spans="1:22" x14ac:dyDescent="0.25">
      <c r="A11" s="35" t="s">
        <v>2373</v>
      </c>
    </row>
    <row r="12" spans="1:22" x14ac:dyDescent="0.25">
      <c r="A12" s="35" t="s">
        <v>2440</v>
      </c>
    </row>
  </sheetData>
  <sortState ref="A2:V12">
    <sortCondition ref="H2:H600"/>
  </sortState>
  <conditionalFormatting sqref="A1:V1048576">
    <cfRule type="containsText" dxfId="15" priority="7" operator="containsText" text="_спец">
      <formula>NOT(ISERROR(SEARCH("_спец",A1)))</formula>
    </cfRule>
    <cfRule type="containsText" dxfId="14" priority="6" operator="containsText" text="!">
      <formula>NOT(ISERROR(SEARCH("!",A1)))</formula>
    </cfRule>
    <cfRule type="expression" dxfId="13" priority="5">
      <formula>LEN(TRIM(A1))=0</formula>
    </cfRule>
    <cfRule type="containsText" dxfId="12" priority="4" operator="containsText" text="|">
      <formula>NOT(ISERROR(SEARCH("|",A1)))</formula>
    </cfRule>
    <cfRule type="containsText" dxfId="11" priority="3" operator="containsText" text="_кж">
      <formula>NOT(ISERROR(SEARCH("_кж",A1)))</formula>
    </cfRule>
    <cfRule type="containsText" dxfId="10" priority="2" operator="containsText" text="_км">
      <formula>NOT(ISERROR(SEARCH("_км",A1)))</formula>
    </cfRule>
    <cfRule type="containsText" dxfId="9" priority="1" operator="containsText" text="_поз">
      <formula>NOT(ISERROR(SEARCH("_поз",A1)))</formula>
    </cfRule>
  </conditionalFormatting>
  <hyperlinks>
    <hyperlink ref="B10" location="'!System'!B2" display="'!System'!B2"/>
    <hyperlink ref="A11" location="'|Содержание|'!A1" display="'|Содержание|'!A1"/>
    <hyperlink ref="A12" location="'|Лог|'!A1" display="'|Лог|'!A1"/>
    <hyperlink ref="E2" location="'Ведомость отделки АБК_правила'!E3" display="'Ведомость отделки АБК_правила'!E3"/>
    <hyperlink ref="C3" location="'Изделия_спец.И'!C3" display="'Изделия_спец.И'!C3"/>
    <hyperlink ref="D4" location="'Из архикада_плиты'!D4" display="'Из архикада_плиты'!D4"/>
    <hyperlink ref="E5" location="'Пример плиты_спец'!E3" display="'Пример плиты_спец'!E3"/>
    <hyperlink ref="D7" location="'Пример плиты_грс'!D4" display="'Пример плиты_грс'!D4"/>
    <hyperlink ref="D9" location="'Пример плиты_кж'!D4" display="'Пример плиты_кж'!D4"/>
    <hyperlink ref="D6" location="'Пример плиты_об'!D4" display="'Пример плиты_об'!D4"/>
    <hyperlink ref="D8" location="'Пример плиты_гр'!D4" display="'Пример плиты_гр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6" t="s">
        <v>2471</v>
      </c>
      <c r="B1" s="16" t="s">
        <v>2472</v>
      </c>
      <c r="C1" s="16" t="s">
        <v>2473</v>
      </c>
      <c r="D1" s="16" t="s">
        <v>2370</v>
      </c>
      <c r="E1" s="17" t="s">
        <v>2474</v>
      </c>
      <c r="F1" s="17" t="s">
        <v>2475</v>
      </c>
      <c r="G1" s="17" t="s">
        <v>2476</v>
      </c>
      <c r="H1" s="17" t="s">
        <v>2477</v>
      </c>
      <c r="I1" s="17" t="s">
        <v>2478</v>
      </c>
      <c r="J1" s="17" t="s">
        <v>2479</v>
      </c>
      <c r="K1" s="17" t="s">
        <v>2480</v>
      </c>
      <c r="L1" s="17" t="s">
        <v>2481</v>
      </c>
      <c r="M1" s="17" t="s">
        <v>2482</v>
      </c>
      <c r="N1" s="17" t="s">
        <v>2483</v>
      </c>
      <c r="O1" s="17" t="s">
        <v>2484</v>
      </c>
    </row>
    <row r="2" spans="1:15" ht="15.95" customHeight="1" x14ac:dyDescent="0.25">
      <c r="A2" s="18">
        <v>43480.591249999998</v>
      </c>
      <c r="B2" s="15" t="s">
        <v>2441</v>
      </c>
      <c r="C2" s="15" t="s">
        <v>2521</v>
      </c>
      <c r="D2" s="15" t="s">
        <v>2468</v>
      </c>
      <c r="E2" s="15">
        <v>3</v>
      </c>
      <c r="F2" s="15">
        <v>3.29</v>
      </c>
      <c r="G2" s="15">
        <v>3.8</v>
      </c>
      <c r="H2" s="15">
        <v>3.9</v>
      </c>
      <c r="I2" s="15">
        <v>1</v>
      </c>
      <c r="J2" s="15" t="b">
        <v>0</v>
      </c>
      <c r="K2" s="15" t="b">
        <v>0</v>
      </c>
      <c r="L2" s="15" t="b">
        <v>0</v>
      </c>
      <c r="M2" s="15" t="b">
        <v>0</v>
      </c>
      <c r="N2" s="15" t="b">
        <v>1</v>
      </c>
      <c r="O2" s="15" t="b">
        <v>0</v>
      </c>
    </row>
    <row r="3" spans="1:15" ht="15.95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5" ht="15.95" customHeight="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ht="15.95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5" ht="15.9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1:15" ht="15.95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</row>
    <row r="8" spans="1:15" ht="15.9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15" ht="15.95" customHeight="1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</row>
    <row r="10" spans="1:15" ht="15.95" customHeight="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1:15" ht="15.95" customHeight="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1:15" ht="15.95" customHeight="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1:15" ht="15.95" customHeight="1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1:15" ht="15.95" customHeight="1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1:15" ht="15.95" customHeight="1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1:15" ht="15.95" customHeight="1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1:15" ht="15.95" customHeight="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1:15" ht="15.95" customHeight="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1:15" ht="15.95" customHeigh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1:15" ht="15.9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5" ht="15.95" customHeight="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5" ht="15.95" customHeight="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5" ht="15.95" customHeight="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5" ht="15.95" customHeight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5" ht="15.95" customHeight="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5" ht="15.9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5" ht="15.95" customHeight="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5" ht="15.95" customHeight="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5" ht="15.9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5" ht="15.95" customHeight="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5" ht="15.9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5" ht="15.95" customHeight="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ht="15.9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ht="15.9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ht="15.95" customHeight="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ht="15.95" customHeight="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</row>
    <row r="37" spans="1:15" ht="15.95" customHeight="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1:15" ht="15.95" customHeight="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</row>
    <row r="39" spans="1:15" ht="15.95" customHeight="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</row>
    <row r="40" spans="1:15" ht="15.95" customHeight="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1:15" ht="15.95" customHeight="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</row>
    <row r="42" spans="1:15" ht="15.95" customHeight="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1:15" ht="15.95" customHeight="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</row>
    <row r="44" spans="1:15" ht="15.95" customHeight="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</row>
    <row r="45" spans="1:15" ht="15.95" customHeight="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</row>
    <row r="46" spans="1:15" ht="15.95" customHeight="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</row>
    <row r="47" spans="1:15" ht="15.95" customHeight="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</row>
    <row r="48" spans="1:15" ht="15.95" customHeight="1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</row>
    <row r="49" spans="1:15" ht="15.95" customHeight="1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</row>
    <row r="50" spans="1:15" ht="15.95" customHeight="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</row>
    <row r="51" spans="1:15" ht="15.95" customHeight="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</row>
    <row r="52" spans="1:15" ht="15.95" customHeight="1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</row>
    <row r="53" spans="1:15" ht="15.95" customHeight="1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</row>
    <row r="54" spans="1:15" ht="15.95" customHeight="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</row>
    <row r="55" spans="1:15" ht="15.95" customHeight="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</row>
    <row r="56" spans="1:15" ht="15.95" customHeight="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</row>
    <row r="57" spans="1:15" ht="15.95" customHeight="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</row>
    <row r="58" spans="1:15" ht="15.95" customHeight="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</row>
    <row r="59" spans="1:15" ht="15.95" customHeight="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</row>
    <row r="60" spans="1:15" ht="15.95" customHeight="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</row>
    <row r="61" spans="1:15" ht="15.95" customHeight="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</row>
    <row r="62" spans="1:15" ht="15.95" customHeight="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</row>
    <row r="63" spans="1:15" ht="15.95" customHeight="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</row>
    <row r="64" spans="1:15" ht="15.95" customHeight="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</row>
    <row r="65" spans="1:15" ht="15.95" customHeight="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</row>
    <row r="66" spans="1:15" ht="15.95" customHeight="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</row>
    <row r="67" spans="1:15" ht="15.95" customHeight="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</row>
    <row r="68" spans="1:15" ht="15.95" customHeight="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</row>
    <row r="69" spans="1:15" ht="15.95" customHeight="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</row>
    <row r="70" spans="1:15" ht="15.95" customHeight="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</row>
    <row r="71" spans="1:15" ht="15.95" customHeight="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</row>
    <row r="72" spans="1:15" ht="15.95" customHeight="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</row>
    <row r="73" spans="1:15" ht="15.95" customHeight="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</row>
    <row r="74" spans="1:15" ht="15.95" customHeight="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15" ht="15.95" customHeight="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</row>
    <row r="76" spans="1:15" ht="15.95" customHeight="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</row>
    <row r="77" spans="1:15" ht="15.95" customHeight="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</row>
    <row r="78" spans="1:15" ht="15.95" customHeight="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</row>
    <row r="79" spans="1:15" ht="15.9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</row>
    <row r="80" spans="1:15" ht="15.9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</row>
    <row r="81" spans="1:15" ht="15.9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</row>
    <row r="82" spans="1:15" ht="15.95" customHeight="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</row>
    <row r="83" spans="1:15" ht="15.95" customHeight="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</row>
    <row r="84" spans="1:15" ht="15.95" customHeight="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</row>
    <row r="85" spans="1:15" ht="15.95" customHeight="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</row>
    <row r="86" spans="1:15" ht="15.95" customHeight="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</row>
    <row r="87" spans="1:15" ht="15.95" customHeight="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</row>
    <row r="88" spans="1:15" ht="15.95" customHeight="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</row>
    <row r="89" spans="1:15" ht="15.95" customHeight="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</row>
    <row r="90" spans="1:15" ht="15.95" customHeight="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</row>
    <row r="91" spans="1:15" ht="15.95" customHeight="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</row>
    <row r="92" spans="1:15" ht="15.95" customHeight="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</row>
    <row r="93" spans="1:15" ht="15.95" customHeight="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</row>
    <row r="94" spans="1:15" ht="15.95" customHeight="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</row>
    <row r="95" spans="1:15" ht="15.95" customHeight="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</row>
    <row r="96" spans="1:15" ht="15.95" customHeight="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</row>
    <row r="97" spans="1:15" ht="15.95" customHeight="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</row>
    <row r="98" spans="1:15" ht="15.95" customHeight="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</row>
    <row r="99" spans="1:15" ht="15.95" customHeight="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15" ht="15.95" customHeight="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</row>
    <row r="101" spans="1:15" ht="15.95" customHeight="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</row>
    <row r="102" spans="1:15" ht="15.95" customHeight="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</row>
    <row r="103" spans="1:15" ht="15.95" customHeight="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</row>
    <row r="104" spans="1:15" ht="15.95" customHeight="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</row>
    <row r="105" spans="1:15" ht="15.95" customHeight="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</row>
    <row r="106" spans="1:15" ht="15.95" customHeight="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</row>
    <row r="107" spans="1:15" ht="15.95" customHeight="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</row>
    <row r="108" spans="1:15" ht="15.95" customHeight="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</row>
    <row r="109" spans="1:15" ht="15.95" customHeight="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</row>
    <row r="110" spans="1:15" ht="15.95" customHeight="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</row>
    <row r="111" spans="1:15" ht="15.95" customHeight="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</row>
    <row r="112" spans="1:15" ht="15.95" customHeight="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</row>
    <row r="113" spans="1:15" ht="15.95" customHeight="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</row>
    <row r="114" spans="1:15" ht="15.95" customHeight="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</row>
    <row r="115" spans="1:15" ht="15.95" customHeight="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</row>
    <row r="116" spans="1:15" ht="15.95" customHeight="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</row>
    <row r="117" spans="1:15" ht="15.95" customHeight="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</row>
    <row r="118" spans="1:15" ht="15.95" customHeight="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</row>
    <row r="119" spans="1:15" ht="15.95" customHeight="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</row>
    <row r="120" spans="1:15" ht="15.95" customHeight="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</row>
    <row r="121" spans="1:15" ht="15.95" customHeight="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</row>
    <row r="122" spans="1:15" ht="15.95" customHeight="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</row>
    <row r="123" spans="1:15" ht="15.95" customHeight="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</row>
    <row r="124" spans="1:15" ht="15.95" customHeight="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</row>
    <row r="125" spans="1:15" ht="15.95" customHeight="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</row>
    <row r="126" spans="1:15" ht="15.95" customHeight="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</row>
    <row r="127" spans="1:15" ht="15.95" customHeight="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</row>
    <row r="128" spans="1:15" ht="15.95" customHeight="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5.95" customHeight="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</row>
    <row r="130" spans="1:15" ht="15.95" customHeight="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</row>
    <row r="131" spans="1:15" ht="15.95" customHeight="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</row>
    <row r="132" spans="1:15" ht="15.95" customHeight="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</row>
    <row r="133" spans="1:15" ht="15.95" customHeight="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</row>
    <row r="134" spans="1:15" ht="15.95" customHeight="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</row>
    <row r="135" spans="1:15" ht="15.95" customHeight="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</row>
    <row r="136" spans="1:15" ht="15.95" customHeight="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</row>
    <row r="137" spans="1:15" ht="15.95" customHeight="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</row>
    <row r="138" spans="1:15" ht="15.95" customHeight="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</row>
    <row r="139" spans="1:15" ht="15.95" customHeight="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</row>
    <row r="140" spans="1:15" ht="15.95" customHeight="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</row>
    <row r="141" spans="1:15" ht="15.95" customHeight="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</row>
    <row r="142" spans="1:15" ht="15.95" customHeight="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</row>
    <row r="143" spans="1:15" ht="15.95" customHeight="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</row>
    <row r="144" spans="1:15" ht="15.95" customHeight="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</row>
    <row r="145" spans="1:15" ht="15.95" customHeight="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</row>
    <row r="146" spans="1:15" ht="15.95" customHeight="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</row>
    <row r="147" spans="1:15" ht="15.95" customHeight="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</row>
    <row r="148" spans="1:15" ht="15.95" customHeight="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</row>
    <row r="149" spans="1:15" ht="15.95" customHeight="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</row>
    <row r="150" spans="1:15" ht="15.95" customHeight="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</row>
    <row r="151" spans="1:15" ht="15.95" customHeight="1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</row>
    <row r="152" spans="1:15" ht="15.95" customHeight="1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</row>
    <row r="153" spans="1:15" ht="15.95" customHeight="1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</row>
    <row r="154" spans="1:15" ht="15.95" customHeight="1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</row>
    <row r="155" spans="1:15" ht="15.95" customHeight="1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</row>
    <row r="156" spans="1:15" ht="15.95" customHeight="1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</row>
    <row r="157" spans="1:15" ht="15.95" customHeight="1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</row>
    <row r="158" spans="1:15" ht="15.95" customHeight="1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</row>
    <row r="159" spans="1:15" ht="15.95" customHeight="1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</row>
    <row r="160" spans="1:15" ht="15.95" customHeight="1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5.95" customHeight="1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</row>
    <row r="162" spans="1:15" ht="15.95" customHeight="1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</row>
    <row r="163" spans="1:15" ht="15.95" customHeight="1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</row>
    <row r="164" spans="1:15" ht="15.95" customHeight="1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</row>
    <row r="165" spans="1:15" ht="15.95" customHeight="1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</row>
    <row r="166" spans="1:15" ht="15.95" customHeight="1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</row>
    <row r="167" spans="1:15" ht="15.95" customHeight="1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</row>
    <row r="168" spans="1:15" ht="15.95" customHeight="1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</row>
    <row r="169" spans="1:15" ht="15.95" customHeight="1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</row>
    <row r="170" spans="1:15" ht="15.95" customHeight="1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</row>
    <row r="171" spans="1:15" ht="15.95" customHeight="1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</row>
    <row r="172" spans="1:15" ht="15.95" customHeight="1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</row>
    <row r="173" spans="1:15" ht="15.95" customHeight="1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</row>
    <row r="174" spans="1:15" ht="15.95" customHeight="1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</row>
    <row r="175" spans="1:15" ht="15.95" customHeight="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</row>
    <row r="176" spans="1:15" ht="15.95" customHeight="1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</row>
    <row r="177" spans="1:15" ht="15.95" customHeight="1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</row>
    <row r="178" spans="1:15" ht="15.95" customHeight="1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</row>
    <row r="179" spans="1:15" ht="15.95" customHeight="1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</row>
    <row r="180" spans="1:15" ht="15.95" customHeight="1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</row>
    <row r="181" spans="1:15" ht="15.95" customHeight="1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</row>
    <row r="182" spans="1:15" ht="15.95" customHeight="1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</row>
    <row r="183" spans="1:15" ht="15.95" customHeight="1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</row>
    <row r="184" spans="1:15" ht="15.95" customHeight="1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</row>
    <row r="185" spans="1:15" ht="15.95" customHeight="1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</row>
    <row r="186" spans="1:15" ht="15.95" customHeight="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</row>
    <row r="187" spans="1:15" ht="15.95" customHeight="1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</row>
    <row r="188" spans="1:15" ht="15.95" customHeight="1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</row>
    <row r="189" spans="1:15" ht="15.95" customHeight="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</row>
    <row r="190" spans="1:15" ht="15.95" customHeight="1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</row>
    <row r="191" spans="1:15" ht="15.95" customHeight="1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</row>
    <row r="192" spans="1:15" ht="15.95" customHeight="1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</row>
    <row r="193" spans="1:15" ht="15.95" customHeight="1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</row>
    <row r="194" spans="1:15" ht="15.95" customHeight="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</row>
    <row r="195" spans="1:15" ht="15.95" customHeight="1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</row>
    <row r="196" spans="1:15" ht="15.95" customHeight="1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</row>
    <row r="197" spans="1:15" ht="15.95" customHeight="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</row>
    <row r="198" spans="1:15" ht="15.95" customHeight="1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</row>
    <row r="199" spans="1:15" ht="15.95" customHeight="1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</row>
    <row r="200" spans="1:15" ht="15.95" customHeight="1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</row>
    <row r="201" spans="1:15" ht="15.95" customHeight="1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</row>
    <row r="202" spans="1:15" ht="15.95" customHeight="1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</row>
    <row r="203" spans="1:15" ht="15.95" customHeight="1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</row>
    <row r="204" spans="1:15" ht="15.95" customHeight="1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</row>
    <row r="205" spans="1:15" ht="15.95" customHeight="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</row>
    <row r="206" spans="1:15" ht="15.95" customHeight="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</row>
    <row r="207" spans="1:15" ht="15.95" customHeight="1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</row>
    <row r="208" spans="1:15" ht="15.95" customHeight="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</row>
    <row r="209" spans="1:15" ht="15.95" customHeight="1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</row>
    <row r="210" spans="1:15" ht="15.95" customHeight="1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</row>
    <row r="211" spans="1:15" ht="15.95" customHeight="1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</row>
    <row r="212" spans="1:15" ht="15.95" customHeight="1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</row>
    <row r="213" spans="1:15" ht="15.95" customHeight="1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</row>
    <row r="214" spans="1:15" ht="15.95" customHeight="1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</row>
    <row r="215" spans="1:15" ht="15.95" customHeight="1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</row>
    <row r="216" spans="1:15" ht="15.95" customHeight="1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</row>
    <row r="217" spans="1:15" ht="15.95" customHeight="1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</row>
    <row r="218" spans="1:15" ht="15.95" customHeight="1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</row>
    <row r="219" spans="1:15" ht="15.95" customHeight="1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</row>
    <row r="220" spans="1:15" ht="15.95" customHeight="1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</row>
    <row r="221" spans="1:15" ht="15.95" customHeight="1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</row>
    <row r="222" spans="1:15" ht="15.95" customHeight="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</row>
    <row r="223" spans="1:15" ht="15.95" customHeight="1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</row>
    <row r="224" spans="1:15" ht="15.95" customHeight="1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</row>
    <row r="225" spans="1:15" ht="15.95" customHeight="1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</row>
    <row r="226" spans="1:15" ht="15.95" customHeight="1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</row>
    <row r="227" spans="1:15" ht="15.95" customHeight="1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</row>
    <row r="228" spans="1:15" ht="15.95" customHeight="1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</row>
    <row r="229" spans="1:15" ht="15.95" customHeight="1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</row>
    <row r="230" spans="1:15" ht="15.95" customHeight="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</row>
    <row r="231" spans="1:15" ht="15.95" customHeight="1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</row>
    <row r="232" spans="1:15" ht="15.95" customHeight="1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</row>
    <row r="233" spans="1:15" ht="15.95" customHeight="1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</row>
    <row r="234" spans="1:15" ht="15.95" customHeight="1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</row>
    <row r="235" spans="1:15" ht="15.95" customHeight="1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</row>
    <row r="236" spans="1:15" ht="15.95" customHeight="1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</row>
    <row r="237" spans="1:15" ht="15.95" customHeight="1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</row>
    <row r="238" spans="1:15" ht="15.95" customHeight="1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</row>
    <row r="239" spans="1:15" ht="15.95" customHeight="1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</row>
    <row r="240" spans="1:15" ht="15.95" customHeight="1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</row>
    <row r="241" spans="1:15" ht="15.95" customHeight="1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</row>
    <row r="242" spans="1:15" ht="15.95" customHeight="1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</row>
    <row r="243" spans="1:15" ht="15.95" customHeight="1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</row>
    <row r="244" spans="1:15" ht="15.95" customHeight="1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</row>
    <row r="245" spans="1:15" ht="15.95" customHeight="1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</row>
    <row r="246" spans="1:15" ht="15.95" customHeight="1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</row>
    <row r="247" spans="1:15" ht="15.95" customHeight="1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</row>
    <row r="248" spans="1:15" ht="15.95" customHeight="1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</row>
    <row r="249" spans="1:15" ht="15.95" customHeight="1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</row>
    <row r="250" spans="1:15" ht="15.95" customHeight="1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</row>
    <row r="251" spans="1:15" ht="15.95" customHeight="1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</row>
    <row r="252" spans="1:15" ht="15.95" customHeight="1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</row>
    <row r="253" spans="1:15" ht="15.95" customHeight="1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</row>
    <row r="254" spans="1:15" ht="15.95" customHeight="1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</row>
    <row r="255" spans="1:15" ht="15.95" customHeight="1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</row>
    <row r="256" spans="1:15" ht="15.95" customHeight="1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</row>
    <row r="257" spans="1:15" ht="15.95" customHeight="1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</row>
    <row r="258" spans="1:15" ht="15.95" customHeight="1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</row>
    <row r="259" spans="1:15" ht="15.95" customHeight="1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</row>
    <row r="260" spans="1:15" ht="15.95" customHeight="1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</row>
    <row r="261" spans="1:15" ht="15.95" customHeight="1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</row>
    <row r="262" spans="1:15" ht="15.95" customHeight="1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</row>
    <row r="263" spans="1:15" ht="15.95" customHeight="1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</row>
    <row r="264" spans="1:15" ht="15.95" customHeight="1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</row>
    <row r="265" spans="1:15" ht="15.95" customHeight="1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</row>
    <row r="266" spans="1:15" ht="15.95" customHeight="1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</row>
    <row r="267" spans="1:15" ht="15.95" customHeight="1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</row>
    <row r="268" spans="1:15" ht="15.95" customHeight="1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</row>
    <row r="269" spans="1:15" ht="15.95" customHeight="1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</row>
    <row r="270" spans="1:15" ht="15.95" customHeight="1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</row>
    <row r="271" spans="1:15" ht="15.95" customHeight="1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</row>
    <row r="272" spans="1:15" ht="15.95" customHeight="1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</row>
    <row r="273" spans="1:15" ht="15.95" customHeight="1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</row>
    <row r="274" spans="1:15" ht="15.95" customHeight="1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</row>
    <row r="275" spans="1:15" ht="15.95" customHeight="1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</row>
    <row r="276" spans="1:15" ht="15.95" customHeight="1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</row>
    <row r="277" spans="1:15" ht="15.95" customHeight="1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</row>
    <row r="278" spans="1:15" ht="15.95" customHeight="1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</row>
    <row r="279" spans="1:15" ht="15.95" customHeight="1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</row>
    <row r="280" spans="1:15" ht="15.95" customHeight="1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</row>
    <row r="281" spans="1:15" ht="15.95" customHeight="1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</row>
    <row r="282" spans="1:15" ht="15.95" customHeight="1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</row>
    <row r="283" spans="1:15" ht="15.95" customHeight="1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</row>
    <row r="284" spans="1:15" ht="15.95" customHeight="1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</row>
    <row r="285" spans="1:15" ht="15.95" customHeight="1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</row>
    <row r="286" spans="1:15" ht="15.95" customHeight="1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</row>
    <row r="287" spans="1:15" ht="15.95" customHeight="1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</row>
    <row r="288" spans="1:15" ht="15.95" customHeight="1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</row>
    <row r="289" spans="1:15" ht="15.95" customHeight="1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</row>
    <row r="290" spans="1:15" ht="15.95" customHeight="1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</row>
    <row r="291" spans="1:15" ht="15.95" customHeight="1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</row>
    <row r="292" spans="1:15" ht="15.95" customHeight="1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</row>
    <row r="293" spans="1:15" ht="15.95" customHeight="1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</row>
    <row r="294" spans="1:15" ht="15.95" customHeight="1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</row>
    <row r="295" spans="1:15" ht="15.95" customHeight="1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</row>
    <row r="296" spans="1:15" ht="15.95" customHeight="1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</row>
    <row r="297" spans="1:15" ht="15.95" customHeight="1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</row>
    <row r="298" spans="1:15" ht="15.95" customHeight="1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</row>
    <row r="299" spans="1:15" ht="15.95" customHeight="1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</row>
    <row r="300" spans="1:15" ht="15.95" customHeight="1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</row>
    <row r="301" spans="1:15" ht="15.95" customHeight="1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</row>
    <row r="302" spans="1:15" ht="15.95" customHeight="1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</row>
    <row r="303" spans="1:15" ht="15.95" customHeight="1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</row>
    <row r="304" spans="1:15" ht="15.95" customHeight="1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</row>
    <row r="305" spans="1:15" ht="15.95" customHeight="1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</row>
    <row r="306" spans="1:15" ht="15.95" customHeight="1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</row>
    <row r="307" spans="1:15" ht="15.95" customHeight="1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</row>
    <row r="308" spans="1:15" ht="15.95" customHeight="1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</row>
    <row r="309" spans="1:15" ht="15.95" customHeight="1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</row>
    <row r="310" spans="1:15" ht="15.95" customHeight="1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</row>
    <row r="311" spans="1:15" ht="15.95" customHeight="1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</row>
    <row r="312" spans="1:15" ht="15.95" customHeight="1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</row>
    <row r="313" spans="1:15" ht="15.95" customHeight="1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</row>
    <row r="314" spans="1:15" ht="15.95" customHeight="1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</row>
    <row r="315" spans="1:15" ht="15.95" customHeight="1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</row>
    <row r="316" spans="1:15" ht="15.95" customHeight="1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</row>
    <row r="317" spans="1:15" ht="15.95" customHeight="1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</row>
    <row r="318" spans="1:15" ht="15.95" customHeight="1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</row>
    <row r="319" spans="1:15" ht="15.95" customHeight="1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</row>
    <row r="320" spans="1:15" ht="15.95" customHeight="1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</row>
    <row r="321" spans="1:15" ht="15.95" customHeight="1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</row>
    <row r="322" spans="1:15" ht="15.95" customHeight="1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</row>
    <row r="323" spans="1:15" ht="15.95" customHeight="1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</row>
    <row r="324" spans="1:15" ht="15.95" customHeight="1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</row>
    <row r="325" spans="1:15" ht="15.95" customHeight="1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</row>
    <row r="326" spans="1:15" ht="15.95" customHeight="1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</row>
    <row r="327" spans="1:15" ht="15.95" customHeight="1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</row>
    <row r="328" spans="1:15" ht="15.95" customHeight="1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</row>
    <row r="329" spans="1:15" ht="15.95" customHeight="1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</row>
    <row r="330" spans="1:15" ht="15.95" customHeight="1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</row>
    <row r="331" spans="1:15" ht="15.95" customHeight="1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</row>
    <row r="332" spans="1:15" ht="15.95" customHeight="1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</row>
    <row r="333" spans="1:15" ht="15.95" customHeight="1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</row>
    <row r="334" spans="1:15" ht="15.95" customHeight="1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</row>
    <row r="335" spans="1:15" ht="15.95" customHeight="1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</row>
    <row r="336" spans="1:15" ht="15.95" customHeight="1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</row>
    <row r="337" spans="1:15" ht="15.95" customHeight="1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</row>
    <row r="338" spans="1:15" ht="15.95" customHeight="1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</row>
    <row r="339" spans="1:15" ht="15.95" customHeight="1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</row>
    <row r="340" spans="1:15" ht="15.95" customHeight="1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</row>
    <row r="341" spans="1:15" ht="15.95" customHeight="1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</row>
    <row r="342" spans="1:15" ht="15.95" customHeight="1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</row>
    <row r="343" spans="1:15" ht="15.95" customHeight="1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</row>
    <row r="344" spans="1:15" ht="15.95" customHeight="1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</row>
    <row r="345" spans="1:15" ht="15.95" customHeight="1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</row>
    <row r="346" spans="1:15" ht="15.95" customHeight="1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</row>
    <row r="347" spans="1:15" ht="15.95" customHeight="1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</row>
    <row r="348" spans="1:15" ht="15.95" customHeight="1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</row>
    <row r="349" spans="1:15" ht="15.95" customHeight="1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</row>
    <row r="350" spans="1:15" ht="15.95" customHeight="1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</row>
    <row r="351" spans="1:15" ht="15.95" customHeight="1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</row>
    <row r="352" spans="1:15" ht="15.95" customHeight="1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</row>
    <row r="353" spans="1:15" ht="15.95" customHeight="1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</row>
    <row r="354" spans="1:15" ht="15.95" customHeight="1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</row>
    <row r="355" spans="1:15" ht="15.95" customHeight="1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</row>
    <row r="356" spans="1:15" ht="15.95" customHeight="1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</row>
    <row r="357" spans="1:15" ht="15.95" customHeight="1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</row>
    <row r="358" spans="1:15" ht="15.95" customHeight="1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</row>
    <row r="359" spans="1:15" ht="15.95" customHeight="1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</row>
    <row r="360" spans="1:15" ht="15.95" customHeight="1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</row>
    <row r="361" spans="1:15" ht="15.95" customHeight="1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</row>
    <row r="362" spans="1:15" ht="15.95" customHeight="1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</row>
    <row r="363" spans="1:15" ht="15.95" customHeight="1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</row>
    <row r="364" spans="1:15" ht="15.95" customHeight="1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</row>
    <row r="365" spans="1:15" ht="15.95" customHeight="1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</row>
    <row r="366" spans="1:15" ht="15.95" customHeight="1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</row>
    <row r="367" spans="1:15" ht="15.95" customHeight="1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</row>
    <row r="368" spans="1:15" ht="15.95" customHeight="1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</row>
    <row r="369" spans="1:15" ht="15.95" customHeight="1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</row>
    <row r="370" spans="1:15" ht="15.95" customHeight="1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</row>
    <row r="371" spans="1:15" ht="15.95" customHeight="1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</row>
    <row r="372" spans="1:15" ht="15.95" customHeight="1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</row>
    <row r="373" spans="1:15" ht="15.95" customHeight="1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</row>
    <row r="374" spans="1:15" ht="15.95" customHeight="1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</row>
    <row r="375" spans="1:15" ht="15.95" customHeight="1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</row>
    <row r="376" spans="1:15" ht="15.95" customHeight="1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</row>
    <row r="377" spans="1:15" ht="15.95" customHeight="1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</row>
    <row r="378" spans="1:15" ht="15.95" customHeight="1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</row>
    <row r="379" spans="1:15" ht="15.95" customHeight="1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</row>
    <row r="380" spans="1:15" ht="15.95" customHeight="1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</row>
    <row r="381" spans="1:15" ht="15.95" customHeight="1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</row>
    <row r="382" spans="1:15" ht="15.95" customHeight="1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</row>
    <row r="383" spans="1:15" ht="15.95" customHeight="1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</row>
    <row r="384" spans="1:15" ht="15.95" customHeight="1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</row>
    <row r="385" spans="1:15" ht="15.95" customHeight="1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</row>
    <row r="386" spans="1:15" ht="15.95" customHeight="1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</row>
    <row r="387" spans="1:15" ht="15.95" customHeight="1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</row>
    <row r="388" spans="1:15" ht="15.95" customHeight="1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</row>
    <row r="389" spans="1:15" ht="15.95" customHeight="1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</row>
    <row r="390" spans="1:15" ht="15.95" customHeight="1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</row>
    <row r="391" spans="1:15" ht="15.95" customHeight="1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</row>
    <row r="392" spans="1:15" ht="15.95" customHeight="1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</row>
    <row r="393" spans="1:15" ht="15.95" customHeight="1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</row>
    <row r="394" spans="1:15" ht="15.95" customHeight="1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</row>
    <row r="395" spans="1:15" ht="15.95" customHeight="1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</row>
    <row r="396" spans="1:15" ht="15.95" customHeight="1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</row>
    <row r="397" spans="1:15" ht="15.95" customHeight="1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</row>
    <row r="398" spans="1:15" ht="15.95" customHeight="1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</row>
    <row r="399" spans="1:15" ht="15.95" customHeight="1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</row>
    <row r="400" spans="1:15" ht="15.95" customHeight="1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</row>
    <row r="401" spans="1:15" ht="15.95" customHeight="1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</row>
    <row r="402" spans="1:15" ht="15.95" customHeight="1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</row>
    <row r="403" spans="1:15" ht="15.95" customHeight="1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</row>
    <row r="404" spans="1:15" ht="15.95" customHeight="1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</row>
    <row r="405" spans="1:15" ht="15.95" customHeight="1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spans="1:15" ht="15.95" customHeight="1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spans="1:15" ht="15.95" customHeight="1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spans="1:15" ht="15.95" customHeight="1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spans="1:15" ht="15.95" customHeight="1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spans="1:15" ht="15.95" customHeight="1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spans="1:15" ht="15.95" customHeight="1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spans="1:15" ht="15.95" customHeight="1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spans="1:15" ht="15.95" customHeight="1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spans="1:15" ht="15.95" customHeight="1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spans="1:15" ht="15.95" customHeight="1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spans="1:15" ht="15.95" customHeight="1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spans="1:15" ht="15.95" customHeight="1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spans="1:15" ht="15.95" customHeight="1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spans="1:15" ht="15.95" customHeight="1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spans="1:15" ht="15.95" customHeight="1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spans="1:15" ht="15.95" customHeight="1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spans="1:15" ht="15.95" customHeight="1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spans="1:15" ht="15.95" customHeight="1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spans="1:15" ht="15.95" customHeight="1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spans="1:15" ht="15.95" customHeight="1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spans="1:15" ht="15.95" customHeight="1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spans="1:15" ht="15.95" customHeight="1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spans="1:15" ht="15.95" customHeight="1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spans="1:15" ht="15.95" customHeight="1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spans="1:15" ht="15.95" customHeight="1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spans="1:15" ht="15.95" customHeight="1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spans="1:15" ht="15.95" customHeight="1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spans="1:15" ht="15.95" customHeight="1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spans="1:15" ht="15.95" customHeight="1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spans="1:15" ht="15.95" customHeight="1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</row>
    <row r="436" spans="1:15" ht="15.95" customHeight="1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</row>
    <row r="437" spans="1:15" ht="15.95" customHeight="1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</row>
    <row r="438" spans="1:15" ht="15.95" customHeight="1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</row>
    <row r="439" spans="1:15" ht="15.95" customHeight="1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</row>
    <row r="440" spans="1:15" ht="15.95" customHeight="1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</row>
    <row r="441" spans="1:15" ht="15.95" customHeight="1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</row>
    <row r="442" spans="1:15" ht="15.95" customHeight="1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</row>
    <row r="443" spans="1:15" ht="15.95" customHeight="1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</row>
    <row r="444" spans="1:15" ht="15.95" customHeight="1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</row>
    <row r="445" spans="1:15" ht="15.95" customHeight="1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</row>
    <row r="446" spans="1:15" ht="15.95" customHeight="1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</row>
    <row r="447" spans="1:15" ht="15.95" customHeight="1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</row>
    <row r="448" spans="1:15" ht="15.95" customHeight="1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</row>
    <row r="449" spans="1:15" ht="15.95" customHeight="1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</row>
    <row r="450" spans="1:15" ht="15.95" customHeight="1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</row>
    <row r="451" spans="1:15" ht="15.95" customHeight="1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</row>
    <row r="452" spans="1:15" ht="15.95" customHeight="1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</row>
    <row r="453" spans="1:15" ht="15.95" customHeight="1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</row>
    <row r="454" spans="1:15" ht="15.95" customHeight="1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</row>
    <row r="455" spans="1:15" ht="15.95" customHeight="1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</row>
    <row r="456" spans="1:15" ht="15.95" customHeight="1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</row>
    <row r="457" spans="1:15" ht="15.95" customHeight="1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</row>
    <row r="458" spans="1:15" ht="15.95" customHeight="1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</row>
    <row r="459" spans="1:15" ht="15.95" customHeight="1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</row>
    <row r="460" spans="1:15" ht="15.95" customHeight="1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</row>
    <row r="461" spans="1:15" ht="15.95" customHeight="1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</row>
    <row r="462" spans="1:15" ht="15.95" customHeight="1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</row>
    <row r="463" spans="1:15" ht="15.95" customHeight="1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</row>
    <row r="464" spans="1:15" ht="15.95" customHeight="1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</row>
    <row r="465" spans="1:15" ht="15.95" customHeight="1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</row>
    <row r="466" spans="1:15" ht="15.95" customHeight="1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</row>
    <row r="467" spans="1:15" ht="15.95" customHeight="1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</row>
    <row r="468" spans="1:15" ht="15.95" customHeight="1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</row>
    <row r="469" spans="1:15" ht="15.95" customHeight="1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</row>
    <row r="470" spans="1:15" ht="15.95" customHeight="1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</row>
    <row r="471" spans="1:15" ht="15.95" customHeight="1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</row>
    <row r="472" spans="1:15" ht="15.95" customHeight="1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</row>
    <row r="473" spans="1:15" ht="15.95" customHeight="1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</row>
    <row r="474" spans="1:15" ht="15.95" customHeight="1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</row>
    <row r="475" spans="1:15" ht="15.95" customHeight="1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</row>
    <row r="476" spans="1:15" ht="15.95" customHeight="1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</row>
    <row r="477" spans="1:15" ht="15.95" customHeight="1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</row>
    <row r="478" spans="1:15" ht="15.95" customHeight="1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</row>
    <row r="479" spans="1:15" ht="15.95" customHeight="1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</row>
    <row r="480" spans="1:15" ht="15.95" customHeight="1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</row>
    <row r="481" spans="1:15" ht="15.95" customHeight="1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</row>
    <row r="482" spans="1:15" ht="15.95" customHeight="1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</row>
    <row r="483" spans="1:15" ht="15.95" customHeight="1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</row>
    <row r="484" spans="1:15" ht="15.95" customHeight="1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</row>
    <row r="485" spans="1:15" ht="15.95" customHeight="1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</row>
    <row r="486" spans="1:15" ht="15.95" customHeight="1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</row>
    <row r="487" spans="1:15" ht="15.95" customHeight="1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</row>
    <row r="488" spans="1:15" ht="15.95" customHeight="1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</row>
    <row r="489" spans="1:15" ht="15.95" customHeight="1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</row>
    <row r="490" spans="1:15" ht="15.95" customHeight="1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</row>
    <row r="491" spans="1:15" ht="15.95" customHeight="1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</row>
    <row r="492" spans="1:15" ht="15.95" customHeight="1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</row>
    <row r="493" spans="1:15" ht="15.95" customHeight="1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</row>
    <row r="494" spans="1:15" ht="15.95" customHeight="1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</row>
    <row r="495" spans="1:15" ht="15.95" customHeight="1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</row>
    <row r="496" spans="1:15" ht="15.95" customHeight="1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</row>
    <row r="497" spans="1:15" ht="15.95" customHeight="1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</row>
    <row r="498" spans="1:15" ht="15.95" customHeight="1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</row>
    <row r="499" spans="1:15" ht="15.95" customHeight="1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</row>
    <row r="500" spans="1:15" ht="15.95" customHeight="1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</row>
    <row r="501" spans="1:15" ht="15.95" customHeight="1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</row>
    <row r="502" spans="1:15" ht="15.95" customHeight="1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</row>
    <row r="503" spans="1:15" ht="15.95" customHeight="1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</row>
    <row r="504" spans="1:15" ht="15.95" customHeight="1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</row>
    <row r="505" spans="1:15" ht="15.95" customHeight="1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</row>
    <row r="506" spans="1:15" ht="15.95" customHeight="1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</row>
    <row r="507" spans="1:15" ht="15.95" customHeight="1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</row>
    <row r="508" spans="1:15" ht="15.95" customHeight="1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</row>
    <row r="509" spans="1:15" ht="15.95" customHeight="1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</row>
    <row r="510" spans="1:15" ht="15.95" customHeight="1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</row>
    <row r="511" spans="1:15" ht="15.95" customHeight="1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</row>
    <row r="512" spans="1:15" ht="15.95" customHeight="1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</row>
    <row r="513" spans="1:15" ht="15.95" customHeight="1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</row>
    <row r="514" spans="1:15" ht="15.95" customHeight="1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</row>
    <row r="515" spans="1:15" ht="15.95" customHeight="1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</row>
    <row r="516" spans="1:15" ht="15.95" customHeight="1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</row>
    <row r="517" spans="1:15" ht="15.95" customHeight="1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</row>
    <row r="518" spans="1:15" ht="15.95" customHeight="1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</row>
    <row r="519" spans="1:15" ht="15.95" customHeight="1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</row>
    <row r="520" spans="1:15" ht="15.95" customHeight="1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</row>
    <row r="521" spans="1:15" ht="15.95" customHeight="1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</row>
    <row r="522" spans="1:15" ht="15.95" customHeight="1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</row>
    <row r="523" spans="1:15" ht="15.95" customHeight="1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</row>
    <row r="524" spans="1:15" ht="15.95" customHeight="1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</row>
    <row r="525" spans="1:15" ht="15.95" customHeight="1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</row>
    <row r="526" spans="1:15" ht="15.95" customHeight="1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</row>
    <row r="527" spans="1:15" ht="15.95" customHeight="1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</row>
    <row r="528" spans="1:15" ht="15.95" customHeight="1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</row>
    <row r="529" spans="1:15" ht="15.95" customHeight="1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</row>
    <row r="530" spans="1:15" ht="15.95" customHeight="1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</row>
    <row r="531" spans="1:15" ht="15.95" customHeight="1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</row>
    <row r="532" spans="1:15" ht="15.95" customHeight="1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</row>
    <row r="533" spans="1:15" ht="15.95" customHeight="1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</row>
    <row r="534" spans="1:15" ht="15.95" customHeight="1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</row>
    <row r="535" spans="1:15" ht="15.95" customHeight="1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</row>
    <row r="536" spans="1:15" ht="15.95" customHeight="1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</row>
    <row r="537" spans="1:15" ht="15.95" customHeight="1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</row>
    <row r="538" spans="1:15" ht="15.95" customHeight="1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</row>
    <row r="539" spans="1:15" ht="15.95" customHeight="1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</row>
    <row r="540" spans="1:15" ht="15.95" customHeight="1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</row>
    <row r="541" spans="1:15" ht="15.95" customHeight="1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</row>
    <row r="542" spans="1:15" ht="15.95" customHeight="1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</row>
    <row r="543" spans="1:15" ht="15.95" customHeight="1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</row>
    <row r="544" spans="1:15" ht="15.95" customHeight="1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</row>
    <row r="545" spans="1:15" ht="15.95" customHeight="1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</row>
    <row r="546" spans="1:15" ht="15.95" customHeight="1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</row>
    <row r="547" spans="1:15" ht="15.95" customHeight="1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</row>
    <row r="548" spans="1:15" ht="15.95" customHeight="1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</row>
    <row r="549" spans="1:15" ht="15.95" customHeight="1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</row>
    <row r="550" spans="1:15" ht="15.95" customHeight="1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</row>
    <row r="551" spans="1:15" ht="15.95" customHeight="1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</row>
    <row r="552" spans="1:15" ht="15.95" customHeight="1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</row>
    <row r="553" spans="1:15" ht="15.95" customHeight="1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</row>
    <row r="554" spans="1:15" ht="15.95" customHeight="1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</row>
    <row r="555" spans="1:15" ht="15.95" customHeight="1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</row>
    <row r="556" spans="1:15" ht="15.95" customHeight="1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</row>
    <row r="557" spans="1:15" ht="15.95" customHeight="1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</row>
    <row r="558" spans="1:15" ht="15.95" customHeight="1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</row>
    <row r="559" spans="1:15" ht="15.95" customHeight="1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</row>
    <row r="560" spans="1:15" ht="15.95" customHeight="1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</row>
    <row r="561" spans="1:15" ht="15.95" customHeight="1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</row>
    <row r="562" spans="1:15" ht="15.95" customHeight="1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</row>
    <row r="563" spans="1:15" ht="15.95" customHeight="1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</row>
    <row r="564" spans="1:15" ht="15.95" customHeight="1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</row>
    <row r="565" spans="1:15" ht="15.95" customHeight="1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</row>
    <row r="566" spans="1:15" ht="15.95" customHeight="1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</row>
    <row r="567" spans="1:15" ht="15.95" customHeight="1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</row>
    <row r="568" spans="1:15" ht="15.95" customHeight="1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</row>
    <row r="569" spans="1:15" ht="15.95" customHeight="1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</row>
    <row r="570" spans="1:15" ht="15.95" customHeight="1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</row>
    <row r="571" spans="1:15" ht="15.95" customHeight="1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</row>
    <row r="572" spans="1:15" ht="15.95" customHeight="1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</row>
    <row r="573" spans="1:15" ht="15.95" customHeight="1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</row>
    <row r="574" spans="1:15" ht="15.95" customHeight="1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</row>
    <row r="575" spans="1:15" ht="15.95" customHeight="1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</row>
    <row r="576" spans="1:15" ht="15.95" customHeight="1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</row>
    <row r="577" spans="1:15" ht="15.95" customHeight="1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</row>
    <row r="578" spans="1:15" ht="15.95" customHeight="1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</row>
    <row r="579" spans="1:15" ht="15.95" customHeight="1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</row>
    <row r="580" spans="1:15" ht="15.95" customHeight="1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</row>
    <row r="581" spans="1:15" ht="15.95" customHeight="1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</row>
    <row r="582" spans="1:15" ht="15.95" customHeight="1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</row>
    <row r="583" spans="1:15" ht="15.95" customHeight="1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</row>
    <row r="584" spans="1:15" ht="15.95" customHeight="1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</row>
    <row r="585" spans="1:15" ht="15.95" customHeight="1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</row>
    <row r="586" spans="1:15" ht="15.95" customHeight="1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</row>
    <row r="587" spans="1:15" ht="15.95" customHeight="1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</row>
    <row r="588" spans="1:15" ht="15.95" customHeight="1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</row>
    <row r="589" spans="1:15" ht="15.95" customHeight="1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</row>
    <row r="590" spans="1:15" ht="15.95" customHeight="1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</row>
    <row r="591" spans="1:15" ht="15.95" customHeight="1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</row>
    <row r="592" spans="1:15" ht="15.95" customHeight="1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</row>
    <row r="593" spans="1:15" ht="15.95" customHeight="1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</row>
    <row r="594" spans="1:15" ht="15.95" customHeight="1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</row>
    <row r="595" spans="1:15" ht="15.95" customHeight="1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</row>
    <row r="596" spans="1:15" ht="15.95" customHeight="1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</row>
    <row r="597" spans="1:15" ht="15.95" customHeight="1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</row>
    <row r="598" spans="1:15" ht="15.95" customHeight="1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</row>
    <row r="599" spans="1:15" ht="15.95" customHeight="1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</row>
    <row r="600" spans="1:15" ht="15.95" customHeight="1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</row>
    <row r="601" spans="1:15" ht="15.95" customHeight="1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</row>
    <row r="602" spans="1:15" ht="15.95" customHeight="1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</row>
    <row r="603" spans="1:15" ht="15.95" customHeight="1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</row>
    <row r="604" spans="1:15" ht="15.95" customHeight="1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</row>
    <row r="605" spans="1:15" ht="15.95" customHeight="1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</row>
    <row r="606" spans="1:15" ht="15.95" customHeight="1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</row>
    <row r="607" spans="1:15" ht="15.95" customHeight="1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</row>
    <row r="608" spans="1:15" ht="15.95" customHeight="1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</row>
    <row r="609" spans="1:15" ht="15.95" customHeight="1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</row>
    <row r="610" spans="1:15" ht="15.95" customHeight="1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</row>
    <row r="611" spans="1:15" ht="15.95" customHeight="1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</row>
    <row r="612" spans="1:15" ht="15.95" customHeight="1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</row>
    <row r="613" spans="1:15" ht="15.95" customHeight="1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</row>
    <row r="614" spans="1:15" ht="15.95" customHeight="1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</row>
    <row r="615" spans="1:15" ht="15.95" customHeight="1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</row>
    <row r="616" spans="1:15" ht="15.95" customHeight="1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</row>
    <row r="617" spans="1:15" ht="15.95" customHeight="1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</row>
    <row r="618" spans="1:15" ht="15.95" customHeight="1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</row>
    <row r="619" spans="1:15" ht="15.95" customHeight="1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</row>
    <row r="620" spans="1:15" ht="15.95" customHeight="1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</row>
    <row r="621" spans="1:15" ht="15.95" customHeight="1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</row>
    <row r="622" spans="1:15" ht="15.95" customHeight="1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</row>
    <row r="623" spans="1:15" ht="15.95" customHeight="1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</row>
    <row r="624" spans="1:15" ht="15.95" customHeight="1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</row>
    <row r="625" spans="1:15" ht="15.95" customHeight="1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</row>
    <row r="626" spans="1:15" ht="15.95" customHeight="1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</row>
    <row r="627" spans="1:15" ht="15.95" customHeight="1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</row>
    <row r="628" spans="1:15" ht="15.95" customHeight="1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</row>
    <row r="629" spans="1:15" ht="15.95" customHeight="1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</row>
    <row r="630" spans="1:15" ht="15.95" customHeight="1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</row>
    <row r="631" spans="1:15" ht="15.95" customHeight="1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</row>
    <row r="632" spans="1:15" ht="15.95" customHeight="1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</row>
    <row r="633" spans="1:15" ht="15.95" customHeight="1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</row>
    <row r="634" spans="1:15" ht="15.95" customHeight="1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</row>
    <row r="635" spans="1:15" ht="15.95" customHeight="1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</row>
    <row r="636" spans="1:15" ht="15.95" customHeight="1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</row>
    <row r="637" spans="1:15" ht="15.95" customHeight="1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</row>
    <row r="638" spans="1:15" ht="15.95" customHeight="1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</row>
    <row r="639" spans="1:15" ht="15.95" customHeight="1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</row>
    <row r="640" spans="1:15" ht="15.95" customHeight="1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</row>
    <row r="641" spans="1:15" ht="15.95" customHeight="1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</row>
    <row r="642" spans="1:15" ht="15.95" customHeight="1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</row>
    <row r="643" spans="1:15" ht="15.95" customHeight="1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</row>
    <row r="644" spans="1:15" ht="15.95" customHeight="1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</row>
    <row r="645" spans="1:15" ht="15.95" customHeight="1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</row>
    <row r="646" spans="1:15" ht="15.95" customHeight="1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</row>
    <row r="647" spans="1:15" ht="15.95" customHeight="1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</row>
    <row r="648" spans="1:15" ht="15.95" customHeight="1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</row>
    <row r="649" spans="1:15" ht="15.95" customHeight="1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</row>
    <row r="650" spans="1:15" ht="15.95" customHeight="1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</row>
    <row r="651" spans="1:15" ht="15.95" customHeight="1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</row>
    <row r="652" spans="1:15" ht="15.95" customHeight="1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</row>
    <row r="653" spans="1:15" ht="15.95" customHeight="1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</row>
    <row r="654" spans="1:15" ht="15.95" customHeight="1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</row>
    <row r="655" spans="1:15" ht="15.95" customHeight="1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</row>
    <row r="656" spans="1:15" ht="15.95" customHeight="1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</row>
    <row r="657" spans="1:15" ht="15.95" customHeight="1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</row>
    <row r="658" spans="1:15" ht="15.95" customHeight="1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</row>
    <row r="659" spans="1:15" ht="15.95" customHeight="1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</row>
    <row r="660" spans="1:15" ht="15.95" customHeight="1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</row>
    <row r="661" spans="1:15" ht="15.95" customHeight="1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</row>
    <row r="662" spans="1:15" ht="15.95" customHeight="1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</row>
    <row r="663" spans="1:15" ht="15.95" customHeight="1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</row>
    <row r="664" spans="1:15" ht="15.95" customHeight="1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</row>
    <row r="665" spans="1:15" ht="15.95" customHeight="1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</row>
    <row r="666" spans="1:15" ht="15.95" customHeight="1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</row>
    <row r="667" spans="1:15" ht="15.95" customHeight="1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</row>
    <row r="668" spans="1:15" ht="15.95" customHeight="1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</row>
    <row r="669" spans="1:15" ht="15.95" customHeight="1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</row>
    <row r="670" spans="1:15" ht="15.95" customHeight="1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</row>
    <row r="671" spans="1:15" ht="15.95" customHeight="1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</row>
    <row r="672" spans="1:15" ht="15.95" customHeight="1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</row>
    <row r="673" spans="1:15" ht="15.95" customHeight="1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</row>
    <row r="674" spans="1:15" ht="15.95" customHeight="1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</row>
    <row r="675" spans="1:15" ht="15.95" customHeight="1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</row>
    <row r="676" spans="1:15" ht="15.95" customHeight="1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</row>
    <row r="677" spans="1:15" ht="15.95" customHeight="1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</row>
    <row r="678" spans="1:15" ht="15.95" customHeight="1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</row>
    <row r="679" spans="1:15" ht="15.95" customHeight="1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</row>
    <row r="680" spans="1:15" ht="15.95" customHeight="1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</row>
    <row r="681" spans="1:15" ht="15.95" customHeight="1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</row>
    <row r="682" spans="1:15" ht="15.95" customHeight="1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</row>
    <row r="683" spans="1:15" ht="15.95" customHeight="1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</row>
    <row r="684" spans="1:15" ht="15.95" customHeight="1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</row>
    <row r="685" spans="1:15" ht="15.95" customHeight="1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</row>
    <row r="686" spans="1:15" ht="15.95" customHeight="1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</row>
    <row r="687" spans="1:15" ht="15.95" customHeight="1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</row>
    <row r="688" spans="1:15" ht="15.95" customHeight="1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</row>
    <row r="689" spans="1:15" ht="15.95" customHeight="1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</row>
    <row r="690" spans="1:15" ht="15.95" customHeight="1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</row>
    <row r="691" spans="1:15" ht="15.95" customHeight="1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</row>
    <row r="692" spans="1:15" ht="15.95" customHeight="1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</row>
    <row r="693" spans="1:15" ht="15.95" customHeight="1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</row>
    <row r="694" spans="1:15" ht="15.95" customHeight="1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</row>
    <row r="695" spans="1:15" ht="15.95" customHeight="1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</row>
    <row r="696" spans="1:15" ht="15.95" customHeight="1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</row>
    <row r="697" spans="1:15" ht="15.95" customHeight="1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</row>
    <row r="698" spans="1:15" ht="15.95" customHeight="1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</row>
    <row r="699" spans="1:15" ht="15.95" customHeight="1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</row>
    <row r="700" spans="1:15" ht="15.95" customHeight="1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</row>
    <row r="701" spans="1:15" ht="15.95" customHeight="1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</row>
    <row r="702" spans="1:15" ht="15.95" customHeight="1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</row>
    <row r="703" spans="1:15" ht="15.95" customHeight="1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</row>
    <row r="704" spans="1:15" ht="15.95" customHeight="1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</row>
    <row r="705" spans="1:15" ht="15.95" customHeight="1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</row>
    <row r="706" spans="1:15" ht="15.95" customHeight="1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</row>
    <row r="707" spans="1:15" ht="15.95" customHeight="1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</row>
    <row r="708" spans="1:15" ht="15.95" customHeight="1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</row>
    <row r="709" spans="1:15" ht="15.95" customHeight="1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</row>
    <row r="710" spans="1:15" ht="15.95" customHeight="1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</row>
    <row r="711" spans="1:15" ht="15.95" customHeight="1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</row>
    <row r="712" spans="1:15" ht="15.95" customHeight="1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</row>
    <row r="713" spans="1:15" ht="15.95" customHeight="1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</row>
    <row r="714" spans="1:15" ht="15.95" customHeight="1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</row>
    <row r="715" spans="1:15" ht="15.95" customHeight="1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</row>
    <row r="716" spans="1:15" ht="15.95" customHeight="1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</row>
    <row r="717" spans="1:15" ht="15.95" customHeight="1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</row>
    <row r="718" spans="1:15" ht="15.95" customHeight="1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</row>
    <row r="719" spans="1:15" ht="15.95" customHeight="1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</row>
    <row r="720" spans="1:15" ht="15.95" customHeight="1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</row>
    <row r="721" spans="1:15" ht="15.95" customHeight="1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</row>
    <row r="722" spans="1:15" ht="15.95" customHeight="1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</row>
    <row r="723" spans="1:15" ht="15.95" customHeight="1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</row>
    <row r="724" spans="1:15" ht="15.95" customHeight="1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</row>
    <row r="725" spans="1:15" ht="15.95" customHeight="1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</row>
    <row r="726" spans="1:15" ht="15.95" customHeight="1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</row>
    <row r="727" spans="1:15" ht="15.95" customHeight="1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</row>
    <row r="728" spans="1:15" ht="15.95" customHeight="1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</row>
    <row r="729" spans="1:15" ht="15.95" customHeight="1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</row>
    <row r="730" spans="1:15" ht="15.95" customHeight="1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</row>
    <row r="731" spans="1:15" ht="15.95" customHeight="1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</row>
    <row r="732" spans="1:15" ht="15.95" customHeight="1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</row>
    <row r="733" spans="1:15" ht="15.95" customHeight="1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</row>
    <row r="734" spans="1:15" ht="15.95" customHeight="1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</row>
    <row r="735" spans="1:15" ht="15.95" customHeight="1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</row>
    <row r="736" spans="1:15" ht="15.95" customHeight="1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</row>
    <row r="737" spans="1:15" ht="15.95" customHeight="1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</row>
    <row r="738" spans="1:15" ht="15.95" customHeight="1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</row>
    <row r="739" spans="1:15" ht="15.95" customHeight="1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</row>
    <row r="740" spans="1:15" ht="15.95" customHeight="1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</row>
    <row r="741" spans="1:15" ht="15.95" customHeight="1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</row>
    <row r="742" spans="1:15" ht="15.95" customHeight="1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</row>
    <row r="743" spans="1:15" ht="15.95" customHeight="1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</row>
    <row r="744" spans="1:15" ht="15.95" customHeight="1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</row>
    <row r="745" spans="1:15" ht="15.95" customHeight="1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</row>
    <row r="746" spans="1:15" ht="15.95" customHeight="1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</row>
    <row r="747" spans="1:15" ht="15.95" customHeight="1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</row>
    <row r="748" spans="1:15" ht="15.95" customHeight="1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</row>
    <row r="749" spans="1:15" ht="15.95" customHeight="1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</row>
    <row r="750" spans="1:15" ht="15.95" customHeight="1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</row>
    <row r="751" spans="1:15" ht="15.95" customHeight="1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</row>
    <row r="752" spans="1:15" ht="15.95" customHeight="1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</row>
    <row r="753" spans="1:15" ht="15.95" customHeight="1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</row>
    <row r="754" spans="1:15" ht="15.95" customHeight="1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</row>
    <row r="755" spans="1:15" ht="15.95" customHeight="1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</row>
    <row r="756" spans="1:15" ht="15.95" customHeight="1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</row>
    <row r="757" spans="1:15" ht="15.95" customHeight="1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</row>
    <row r="758" spans="1:15" ht="15.95" customHeight="1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</row>
    <row r="759" spans="1:15" ht="15.95" customHeight="1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</row>
    <row r="760" spans="1:15" ht="15.95" customHeight="1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</row>
    <row r="761" spans="1:15" ht="15.95" customHeight="1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</row>
    <row r="762" spans="1:15" ht="15.95" customHeight="1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</row>
    <row r="763" spans="1:15" ht="15.95" customHeight="1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</row>
    <row r="764" spans="1:15" ht="15.95" customHeight="1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</row>
    <row r="765" spans="1:15" ht="15.95" customHeight="1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</row>
    <row r="766" spans="1:15" ht="15.95" customHeight="1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</row>
    <row r="767" spans="1:15" ht="15.95" customHeight="1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</row>
    <row r="768" spans="1:15" ht="15.95" customHeight="1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</row>
    <row r="769" spans="1:15" ht="15.95" customHeight="1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</row>
    <row r="770" spans="1:15" ht="15.95" customHeight="1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</row>
    <row r="771" spans="1:15" ht="15.95" customHeight="1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</row>
    <row r="772" spans="1:15" ht="15.95" customHeight="1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</row>
    <row r="773" spans="1:15" ht="15.95" customHeight="1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</row>
    <row r="774" spans="1:15" ht="15.95" customHeight="1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</row>
    <row r="775" spans="1:15" ht="15.95" customHeight="1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</row>
    <row r="776" spans="1:15" ht="15.95" customHeight="1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</row>
    <row r="777" spans="1:15" ht="15.95" customHeight="1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</row>
    <row r="778" spans="1:15" ht="15.95" customHeight="1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</row>
    <row r="779" spans="1:15" ht="15.95" customHeight="1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</row>
    <row r="780" spans="1:15" ht="15.95" customHeight="1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</row>
    <row r="781" spans="1:15" ht="15.95" customHeight="1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</row>
    <row r="782" spans="1:15" ht="15.95" customHeight="1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</row>
    <row r="783" spans="1:15" ht="15.95" customHeight="1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</row>
    <row r="784" spans="1:15" ht="15.95" customHeight="1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</row>
    <row r="785" spans="1:15" ht="15.95" customHeight="1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</row>
    <row r="786" spans="1:15" ht="15.95" customHeight="1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</row>
    <row r="787" spans="1:15" ht="15.95" customHeight="1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</row>
    <row r="788" spans="1:15" ht="15.95" customHeight="1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</row>
    <row r="789" spans="1:15" ht="15.95" customHeight="1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</row>
    <row r="790" spans="1:15" ht="15.95" customHeight="1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</row>
    <row r="791" spans="1:15" ht="15.95" customHeight="1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</row>
    <row r="792" spans="1:15" ht="15.95" customHeight="1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</row>
    <row r="793" spans="1:15" ht="15.95" customHeight="1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</row>
    <row r="794" spans="1:15" ht="15.95" customHeight="1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</row>
    <row r="795" spans="1:15" ht="15.95" customHeight="1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</row>
    <row r="796" spans="1:15" ht="15.95" customHeight="1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</row>
    <row r="797" spans="1:15" ht="15.95" customHeight="1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</row>
    <row r="798" spans="1:15" ht="15.95" customHeight="1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</row>
    <row r="799" spans="1:15" ht="15.95" customHeight="1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</row>
    <row r="800" spans="1:15" ht="15.95" customHeight="1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</row>
    <row r="801" spans="1:15" ht="15.95" customHeight="1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</row>
    <row r="802" spans="1:15" ht="15.95" customHeight="1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</row>
    <row r="803" spans="1:15" ht="15.95" customHeight="1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</row>
    <row r="804" spans="1:15" ht="15.95" customHeight="1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</row>
    <row r="805" spans="1:15" ht="15.95" customHeight="1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</row>
    <row r="806" spans="1:15" ht="15.95" customHeight="1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</row>
    <row r="807" spans="1:15" ht="15.95" customHeight="1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</row>
    <row r="808" spans="1:15" ht="15.95" customHeight="1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</row>
    <row r="809" spans="1:15" ht="15.95" customHeight="1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</row>
    <row r="810" spans="1:15" ht="15.95" customHeight="1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</row>
    <row r="811" spans="1:15" ht="15.95" customHeight="1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</row>
    <row r="812" spans="1:15" ht="15.95" customHeight="1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</row>
    <row r="813" spans="1:15" ht="15.95" customHeight="1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</row>
    <row r="814" spans="1:15" ht="15.95" customHeight="1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</row>
    <row r="815" spans="1:15" ht="15.95" customHeight="1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</row>
    <row r="816" spans="1:15" ht="15.95" customHeight="1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</row>
    <row r="817" spans="1:15" ht="15.95" customHeight="1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</row>
    <row r="818" spans="1:15" ht="15.95" customHeight="1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</row>
    <row r="819" spans="1:15" ht="15.95" customHeight="1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</row>
    <row r="820" spans="1:15" ht="15.95" customHeight="1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</row>
    <row r="821" spans="1:15" ht="15.95" customHeight="1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</row>
    <row r="822" spans="1:15" ht="15.95" customHeight="1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</row>
    <row r="823" spans="1:15" ht="15.95" customHeight="1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</row>
    <row r="824" spans="1:15" ht="15.95" customHeight="1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</row>
    <row r="825" spans="1:15" ht="15.95" customHeight="1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</row>
    <row r="826" spans="1:15" ht="15.95" customHeight="1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</row>
    <row r="827" spans="1:15" ht="15.95" customHeight="1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</row>
    <row r="828" spans="1:15" ht="15.95" customHeight="1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</row>
    <row r="829" spans="1:15" ht="15.95" customHeight="1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</row>
    <row r="830" spans="1:15" ht="15.95" customHeight="1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</row>
    <row r="831" spans="1:15" ht="15.95" customHeight="1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</row>
    <row r="832" spans="1:15" ht="15.95" customHeight="1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</row>
    <row r="833" spans="1:15" ht="15.95" customHeight="1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</row>
    <row r="834" spans="1:15" ht="15.95" customHeight="1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</row>
    <row r="835" spans="1:15" ht="15.95" customHeight="1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</row>
    <row r="836" spans="1:15" ht="15.95" customHeight="1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</row>
    <row r="837" spans="1:15" ht="15.95" customHeight="1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</row>
    <row r="838" spans="1:15" ht="15.95" customHeight="1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</row>
    <row r="839" spans="1:15" ht="15.95" customHeight="1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</row>
    <row r="840" spans="1:15" ht="15.95" customHeight="1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</row>
    <row r="841" spans="1:15" ht="15.95" customHeight="1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</row>
    <row r="842" spans="1:15" ht="15.95" customHeight="1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</row>
    <row r="843" spans="1:15" ht="15.95" customHeight="1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</row>
    <row r="844" spans="1:15" ht="15.95" customHeight="1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</row>
    <row r="845" spans="1:15" ht="15.95" customHeight="1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</row>
    <row r="846" spans="1:15" ht="15.95" customHeight="1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</row>
    <row r="847" spans="1:15" ht="15.95" customHeight="1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</row>
    <row r="848" spans="1:15" ht="15.95" customHeight="1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</row>
    <row r="849" spans="1:15" ht="15.95" customHeight="1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</row>
    <row r="850" spans="1:15" ht="15.95" customHeight="1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</row>
    <row r="851" spans="1:15" ht="15.95" customHeight="1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</row>
    <row r="852" spans="1:15" ht="15.95" customHeight="1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</row>
    <row r="853" spans="1:15" ht="15.95" customHeight="1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</row>
    <row r="854" spans="1:15" ht="15.95" customHeight="1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</row>
    <row r="855" spans="1:15" ht="15.95" customHeight="1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</row>
    <row r="856" spans="1:15" ht="15.95" customHeight="1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</row>
    <row r="857" spans="1:15" ht="15.95" customHeight="1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</row>
    <row r="858" spans="1:15" ht="15.95" customHeight="1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</row>
    <row r="859" spans="1:15" ht="15.95" customHeight="1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</row>
    <row r="860" spans="1:15" ht="15.95" customHeight="1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</row>
    <row r="861" spans="1:15" ht="15.95" customHeight="1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</row>
    <row r="862" spans="1:15" ht="15.95" customHeight="1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</row>
    <row r="863" spans="1:15" ht="15.95" customHeight="1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</row>
    <row r="864" spans="1:15" ht="15.95" customHeight="1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</row>
    <row r="865" spans="1:15" ht="15.95" customHeight="1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</row>
    <row r="866" spans="1:15" ht="15.95" customHeight="1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</row>
    <row r="867" spans="1:15" ht="15.95" customHeight="1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</row>
    <row r="868" spans="1:15" ht="15.95" customHeight="1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</row>
    <row r="869" spans="1:15" ht="15.95" customHeight="1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</row>
    <row r="870" spans="1:15" ht="15.95" customHeight="1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</row>
    <row r="871" spans="1:15" ht="15.95" customHeight="1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</row>
    <row r="872" spans="1:15" ht="15.95" customHeight="1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</row>
    <row r="873" spans="1:15" ht="15.95" customHeight="1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</row>
    <row r="874" spans="1:15" ht="15.95" customHeight="1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</row>
    <row r="875" spans="1:15" ht="15.95" customHeight="1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</row>
    <row r="876" spans="1:15" ht="15.95" customHeight="1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</row>
    <row r="877" spans="1:15" ht="15.95" customHeight="1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</row>
    <row r="878" spans="1:15" ht="15.95" customHeight="1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</row>
    <row r="879" spans="1:15" ht="15.95" customHeight="1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</row>
    <row r="880" spans="1:15" ht="15.95" customHeight="1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</row>
    <row r="881" spans="1:15" ht="15.95" customHeight="1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</row>
    <row r="882" spans="1:15" ht="15.95" customHeight="1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</row>
    <row r="883" spans="1:15" ht="15.95" customHeight="1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</row>
    <row r="884" spans="1:15" ht="15.95" customHeight="1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</row>
    <row r="885" spans="1:15" ht="15.95" customHeight="1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</row>
    <row r="886" spans="1:15" ht="15.95" customHeight="1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</row>
    <row r="887" spans="1:15" ht="15.95" customHeight="1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</row>
    <row r="888" spans="1:15" ht="15.95" customHeight="1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</row>
    <row r="889" spans="1:15" ht="15.95" customHeight="1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</row>
    <row r="890" spans="1:15" ht="15.95" customHeight="1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</row>
    <row r="891" spans="1:15" ht="15.95" customHeight="1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</row>
    <row r="892" spans="1:15" ht="15.95" customHeight="1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</row>
    <row r="893" spans="1:15" ht="15.95" customHeight="1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</row>
    <row r="894" spans="1:15" ht="15.95" customHeight="1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</row>
    <row r="895" spans="1:15" ht="15.95" customHeight="1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</row>
    <row r="896" spans="1:15" ht="15.95" customHeight="1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</row>
    <row r="897" spans="1:15" ht="15.95" customHeight="1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</row>
    <row r="898" spans="1:15" ht="15.95" customHeight="1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</row>
    <row r="899" spans="1:15" ht="15.95" customHeight="1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</row>
    <row r="900" spans="1:15" ht="15.95" customHeight="1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</row>
    <row r="901" spans="1:15" ht="15.95" customHeight="1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</row>
    <row r="902" spans="1:15" ht="15.95" customHeight="1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</row>
    <row r="903" spans="1:15" ht="15.95" customHeight="1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</row>
    <row r="904" spans="1:15" ht="15.95" customHeight="1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</row>
    <row r="905" spans="1:15" ht="15.95" customHeight="1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</row>
    <row r="906" spans="1:15" ht="15.95" customHeight="1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</row>
    <row r="907" spans="1:15" ht="15.95" customHeight="1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</row>
    <row r="908" spans="1:15" ht="15.95" customHeight="1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</row>
    <row r="909" spans="1:15" ht="15.95" customHeight="1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</row>
    <row r="910" spans="1:15" ht="15.95" customHeight="1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</row>
    <row r="911" spans="1:15" ht="15.95" customHeight="1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</row>
    <row r="912" spans="1:15" ht="15.95" customHeight="1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</row>
    <row r="913" spans="1:15" ht="15.95" customHeight="1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</row>
    <row r="914" spans="1:15" ht="15.95" customHeight="1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</row>
    <row r="915" spans="1:15" ht="15.95" customHeight="1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</row>
    <row r="916" spans="1:15" ht="15.95" customHeight="1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</row>
    <row r="917" spans="1:15" ht="15.95" customHeight="1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</row>
    <row r="918" spans="1:15" ht="15.95" customHeight="1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</row>
    <row r="919" spans="1:15" ht="15.95" customHeight="1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</row>
    <row r="920" spans="1:15" ht="15.95" customHeight="1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</row>
    <row r="921" spans="1:15" ht="15.95" customHeight="1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</row>
    <row r="922" spans="1:15" ht="15.95" customHeight="1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</row>
    <row r="923" spans="1:15" ht="15.95" customHeight="1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</row>
    <row r="924" spans="1:15" ht="15.95" customHeight="1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</row>
    <row r="925" spans="1:15" ht="15.95" customHeight="1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</row>
    <row r="926" spans="1:15" ht="15.95" customHeight="1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</row>
    <row r="927" spans="1:15" ht="15.95" customHeight="1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</row>
    <row r="928" spans="1:15" ht="15.95" customHeight="1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</row>
    <row r="929" spans="1:15" ht="15.95" customHeight="1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</row>
    <row r="930" spans="1:15" ht="15.95" customHeight="1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</row>
    <row r="931" spans="1:15" ht="15.95" customHeight="1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</row>
    <row r="932" spans="1:15" ht="15.95" customHeight="1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</row>
    <row r="933" spans="1:15" ht="15.95" customHeight="1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</row>
    <row r="934" spans="1:15" ht="15.95" customHeight="1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</row>
    <row r="935" spans="1:15" ht="15.95" customHeight="1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</row>
    <row r="936" spans="1:15" ht="15.95" customHeight="1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</row>
    <row r="937" spans="1:15" ht="15.95" customHeight="1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</row>
    <row r="938" spans="1:15" ht="15.95" customHeight="1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</row>
    <row r="939" spans="1:15" ht="15.95" customHeight="1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</row>
    <row r="940" spans="1:15" ht="15.95" customHeight="1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</row>
    <row r="941" spans="1:15" ht="15.95" customHeight="1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</row>
    <row r="942" spans="1:15" ht="15.95" customHeight="1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</row>
    <row r="943" spans="1:15" ht="15.95" customHeight="1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</row>
    <row r="944" spans="1:15" ht="15.95" customHeight="1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</row>
    <row r="945" spans="1:15" ht="15.95" customHeight="1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</row>
    <row r="946" spans="1:15" ht="15.95" customHeight="1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</row>
    <row r="947" spans="1:15" ht="15.95" customHeight="1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</row>
    <row r="948" spans="1:15" ht="15.95" customHeight="1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</row>
    <row r="949" spans="1:15" ht="15.95" customHeight="1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</row>
    <row r="950" spans="1:15" ht="15.95" customHeight="1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</row>
    <row r="951" spans="1:15" ht="15.95" customHeight="1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</row>
    <row r="952" spans="1:15" ht="15.95" customHeight="1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</row>
    <row r="953" spans="1:15" ht="15.95" customHeight="1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</row>
    <row r="954" spans="1:15" ht="15.95" customHeight="1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</row>
    <row r="955" spans="1:15" ht="15.95" customHeight="1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</row>
    <row r="956" spans="1:15" ht="15.95" customHeight="1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</row>
    <row r="957" spans="1:15" ht="15.95" customHeight="1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</row>
    <row r="958" spans="1:15" ht="15.95" customHeight="1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</row>
    <row r="959" spans="1:15" ht="15.95" customHeight="1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</row>
    <row r="960" spans="1:15" ht="15.95" customHeight="1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</row>
    <row r="961" spans="1:15" ht="15.95" customHeight="1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</row>
    <row r="962" spans="1:15" ht="15.95" customHeight="1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</row>
    <row r="963" spans="1:15" ht="15.95" customHeight="1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</row>
    <row r="964" spans="1:15" ht="15.95" customHeight="1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</row>
    <row r="965" spans="1:15" ht="15.95" customHeight="1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</row>
    <row r="966" spans="1:15" ht="15.95" customHeight="1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</row>
    <row r="967" spans="1:15" ht="15.95" customHeight="1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</row>
    <row r="968" spans="1:15" ht="15.95" customHeight="1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</row>
    <row r="969" spans="1:15" ht="15.95" customHeight="1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</row>
    <row r="970" spans="1:15" ht="15.95" customHeight="1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</row>
    <row r="971" spans="1:15" ht="15.95" customHeight="1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</row>
    <row r="972" spans="1:15" ht="15.95" customHeight="1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</row>
    <row r="973" spans="1:15" ht="15.95" customHeight="1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</row>
    <row r="974" spans="1:15" ht="15.95" customHeight="1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</row>
    <row r="975" spans="1:15" ht="15.95" customHeight="1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</row>
    <row r="976" spans="1:15" ht="15.95" customHeight="1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</row>
    <row r="977" spans="1:15" ht="15.95" customHeight="1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</row>
    <row r="978" spans="1:15" ht="15.95" customHeight="1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</row>
    <row r="979" spans="1:15" ht="15.95" customHeight="1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</row>
    <row r="980" spans="1:15" ht="15.95" customHeight="1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</row>
    <row r="981" spans="1:15" ht="15.95" customHeight="1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</row>
    <row r="982" spans="1:15" ht="15.95" customHeight="1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</row>
    <row r="983" spans="1:15" ht="15.95" customHeight="1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</row>
    <row r="984" spans="1:15" ht="15.95" customHeight="1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</row>
    <row r="985" spans="1:15" ht="15.95" customHeight="1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</row>
    <row r="986" spans="1:15" ht="15.95" customHeight="1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</row>
    <row r="987" spans="1:15" ht="15.95" customHeight="1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</row>
    <row r="988" spans="1:15" ht="15.95" customHeight="1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</row>
    <row r="989" spans="1:15" ht="15.95" customHeight="1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</row>
    <row r="990" spans="1:15" ht="15.95" customHeight="1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</row>
    <row r="991" spans="1:15" ht="15.95" customHeight="1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</row>
    <row r="992" spans="1:15" ht="15.95" customHeight="1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</row>
    <row r="993" spans="1:15" ht="15.95" customHeight="1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</row>
    <row r="994" spans="1:15" ht="15.95" customHeight="1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</row>
    <row r="995" spans="1:15" ht="15.95" customHeight="1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</row>
    <row r="996" spans="1:15" ht="15.95" customHeight="1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</row>
    <row r="997" spans="1:15" ht="15.95" customHeight="1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</row>
    <row r="998" spans="1:15" ht="15.95" customHeight="1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</row>
    <row r="999" spans="1:15" ht="15.95" customHeight="1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</row>
    <row r="1000" spans="1:15" ht="15.95" customHeight="1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67"/>
  <sheetViews>
    <sheetView tabSelected="1"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V18" sqref="V1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0" t="s">
        <v>2413</v>
      </c>
      <c r="B1" s="54" t="s">
        <v>2394</v>
      </c>
      <c r="C1" s="54" t="s">
        <v>2395</v>
      </c>
      <c r="D1" s="54" t="s">
        <v>2396</v>
      </c>
      <c r="E1" s="54" t="s">
        <v>2414</v>
      </c>
      <c r="F1" s="54" t="s">
        <v>2415</v>
      </c>
      <c r="G1" s="54" t="s">
        <v>2416</v>
      </c>
      <c r="H1" s="56" t="s">
        <v>2418</v>
      </c>
      <c r="I1" s="57"/>
      <c r="J1" s="59"/>
      <c r="K1" s="56" t="s">
        <v>2408</v>
      </c>
      <c r="L1" s="57"/>
      <c r="M1" s="57"/>
      <c r="N1" s="57"/>
      <c r="O1" s="57"/>
      <c r="P1" s="57"/>
      <c r="Q1" s="59"/>
      <c r="R1" s="54" t="s">
        <v>2417</v>
      </c>
      <c r="S1" s="56" t="s">
        <v>2429</v>
      </c>
      <c r="T1" s="57"/>
      <c r="U1" s="58"/>
    </row>
    <row r="2" spans="1:21" ht="66" x14ac:dyDescent="0.25">
      <c r="A2" s="61"/>
      <c r="B2" s="55"/>
      <c r="C2" s="55"/>
      <c r="D2" s="55"/>
      <c r="E2" s="55"/>
      <c r="F2" s="55"/>
      <c r="G2" s="55"/>
      <c r="H2" s="43" t="s">
        <v>2419</v>
      </c>
      <c r="I2" s="43" t="s">
        <v>2420</v>
      </c>
      <c r="J2" s="43" t="s">
        <v>2421</v>
      </c>
      <c r="K2" s="43" t="s">
        <v>2422</v>
      </c>
      <c r="L2" s="43" t="s">
        <v>2423</v>
      </c>
      <c r="M2" s="43" t="s">
        <v>2424</v>
      </c>
      <c r="N2" s="43" t="s">
        <v>2425</v>
      </c>
      <c r="O2" s="43" t="s">
        <v>2426</v>
      </c>
      <c r="P2" s="43" t="s">
        <v>2427</v>
      </c>
      <c r="Q2" s="43" t="s">
        <v>2428</v>
      </c>
      <c r="R2" s="55"/>
      <c r="S2" s="43" t="s">
        <v>2430</v>
      </c>
      <c r="T2" s="43" t="s">
        <v>2431</v>
      </c>
      <c r="U2" s="44" t="s">
        <v>2432</v>
      </c>
    </row>
    <row r="3" spans="1:21" ht="16.5" x14ac:dyDescent="0.25">
      <c r="A3" s="21" t="str">
        <f t="shared" ref="A3:A6" si="0">A4</f>
        <v>Пм1.1</v>
      </c>
      <c r="B3" s="22" t="s">
        <v>2433</v>
      </c>
      <c r="C3" s="22" t="s">
        <v>2434</v>
      </c>
      <c r="D3" s="22" t="s">
        <v>2459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6.5" x14ac:dyDescent="0.25">
      <c r="A4" s="21" t="str">
        <f t="shared" si="0"/>
        <v>Пм1.1</v>
      </c>
      <c r="B4" s="22" t="s">
        <v>2433</v>
      </c>
      <c r="C4" s="22"/>
      <c r="D4" s="22" t="s">
        <v>2507</v>
      </c>
      <c r="E4" s="22">
        <f>Сумма_ПоИД(A4,'Из архикада_плиты'!$A$1:$G$500,1,5)</f>
        <v>391928.3</v>
      </c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1" ht="16.5" x14ac:dyDescent="0.25">
      <c r="A5" s="21" t="str">
        <f t="shared" si="0"/>
        <v>Пм1.1</v>
      </c>
      <c r="B5" s="22" t="s">
        <v>2433</v>
      </c>
      <c r="C5" s="22"/>
      <c r="D5" s="22" t="s">
        <v>2508</v>
      </c>
      <c r="E5" s="22">
        <f>Сумма_ПоИД(A5,'Из архикада_плиты'!$A$1:$G$500,1,4)*1000*1000</f>
        <v>2333110000</v>
      </c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3"/>
    </row>
    <row r="6" spans="1:21" ht="16.5" x14ac:dyDescent="0.25">
      <c r="A6" s="21" t="str">
        <f t="shared" si="0"/>
        <v>Пм1.1</v>
      </c>
      <c r="B6" s="22" t="s">
        <v>2433</v>
      </c>
      <c r="C6" s="22"/>
      <c r="D6" s="22" t="s">
        <v>2510</v>
      </c>
      <c r="E6" s="22">
        <f>VLOOKUP(A6,'Из архикада_плиты'!$A$1:$G$500,3)</f>
        <v>250</v>
      </c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3"/>
    </row>
    <row r="7" spans="1:21" ht="16.5" x14ac:dyDescent="0.25">
      <c r="A7" s="21" t="str">
        <f>A14</f>
        <v>Пм1.1</v>
      </c>
      <c r="B7" s="22" t="s">
        <v>2433</v>
      </c>
      <c r="C7" s="22"/>
      <c r="D7" s="22" t="s">
        <v>2527</v>
      </c>
      <c r="E7" s="22">
        <f>Сумма_ПоИД(A7,'Из архикада_плиты'!$A$1:$G$500,1,6)</f>
        <v>583.30999999999995</v>
      </c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3"/>
    </row>
    <row r="8" spans="1:21" ht="16.5" x14ac:dyDescent="0.25">
      <c r="A8" s="21" t="str">
        <f>A15</f>
        <v>Пм1.1</v>
      </c>
      <c r="B8" s="22" t="s">
        <v>2433</v>
      </c>
      <c r="C8" s="22"/>
      <c r="D8" s="22" t="s">
        <v>2526</v>
      </c>
      <c r="E8" s="22">
        <v>30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3"/>
    </row>
    <row r="9" spans="1:21" ht="16.5" x14ac:dyDescent="0.25">
      <c r="A9" s="21" t="str">
        <f>A15</f>
        <v>Пм1.1</v>
      </c>
      <c r="B9" s="22" t="s">
        <v>2433</v>
      </c>
      <c r="C9" s="22"/>
      <c r="D9" s="22" t="s">
        <v>2511</v>
      </c>
      <c r="E9" s="22">
        <v>200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3"/>
    </row>
    <row r="10" spans="1:21" ht="16.5" x14ac:dyDescent="0.25">
      <c r="A10" s="21" t="str">
        <f>A16</f>
        <v>Пм1.1</v>
      </c>
      <c r="B10" s="22" t="s">
        <v>2433</v>
      </c>
      <c r="C10" s="22"/>
      <c r="D10" s="22" t="s">
        <v>2512</v>
      </c>
      <c r="E10" s="22">
        <f>E9</f>
        <v>200</v>
      </c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3"/>
    </row>
    <row r="11" spans="1:21" ht="16.5" x14ac:dyDescent="0.25">
      <c r="A11" s="21" t="str">
        <f>A17</f>
        <v>Пм1.1</v>
      </c>
      <c r="B11" s="22" t="s">
        <v>2433</v>
      </c>
      <c r="C11" s="22"/>
      <c r="D11" s="22" t="s">
        <v>2513</v>
      </c>
      <c r="E11" s="22">
        <f t="shared" ref="E11:E12" si="1">E10</f>
        <v>200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3"/>
    </row>
    <row r="12" spans="1:21" ht="16.5" x14ac:dyDescent="0.25">
      <c r="A12" s="21" t="str">
        <f>A18</f>
        <v>Пм1.1</v>
      </c>
      <c r="B12" s="22" t="s">
        <v>2433</v>
      </c>
      <c r="C12" s="22"/>
      <c r="D12" s="22" t="s">
        <v>2514</v>
      </c>
      <c r="E12" s="22">
        <f t="shared" si="1"/>
        <v>200</v>
      </c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3"/>
    </row>
    <row r="13" spans="1:21" ht="33" x14ac:dyDescent="0.25">
      <c r="A13" s="21" t="str">
        <f>A19</f>
        <v>Пм1.1</v>
      </c>
      <c r="B13" s="22" t="s">
        <v>2433</v>
      </c>
      <c r="C13" s="22"/>
      <c r="D13" s="22" t="s">
        <v>2528</v>
      </c>
      <c r="E13" s="22">
        <f>E9</f>
        <v>200</v>
      </c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3"/>
    </row>
    <row r="14" spans="1:21" ht="16.5" x14ac:dyDescent="0.25">
      <c r="A14" s="24" t="str">
        <f>B14</f>
        <v>Пм1.1</v>
      </c>
      <c r="B14" s="25" t="s">
        <v>2494</v>
      </c>
      <c r="C14" s="25" t="s">
        <v>2509</v>
      </c>
      <c r="D14" s="25" t="str">
        <f>CONCATENATE("Плита монолитная ",B14)</f>
        <v>Плита монолитная Пм1.1</v>
      </c>
      <c r="E14" s="25">
        <v>1</v>
      </c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6"/>
    </row>
    <row r="15" spans="1:21" ht="16.5" x14ac:dyDescent="0.25">
      <c r="A15" s="42" t="str">
        <f t="shared" ref="A15:A21" si="2">A14</f>
        <v>Пм1.1</v>
      </c>
      <c r="B15" s="43">
        <v>1</v>
      </c>
      <c r="C15" s="43" t="s">
        <v>2399</v>
      </c>
      <c r="D15" s="43" t="s">
        <v>2515</v>
      </c>
      <c r="E15" s="43">
        <v>1</v>
      </c>
      <c r="F15" s="22">
        <v>0.88800000000000001</v>
      </c>
      <c r="G15" s="43" t="s">
        <v>2361</v>
      </c>
      <c r="H15" s="43">
        <f>Арм_ПоПлощади(E5,E9,T15)</f>
        <v>12315060</v>
      </c>
      <c r="I15" s="43">
        <v>12</v>
      </c>
      <c r="J15" s="43" t="s">
        <v>2</v>
      </c>
      <c r="K15" s="43"/>
      <c r="L15" s="43"/>
      <c r="M15" s="43"/>
      <c r="N15" s="43"/>
      <c r="O15" s="43"/>
      <c r="P15" s="43"/>
      <c r="Q15" s="43"/>
      <c r="R15" s="43"/>
      <c r="S15" s="43">
        <v>500</v>
      </c>
      <c r="T15" s="43">
        <v>600</v>
      </c>
      <c r="U15" s="44">
        <v>30</v>
      </c>
    </row>
    <row r="16" spans="1:21" ht="16.5" x14ac:dyDescent="0.25">
      <c r="A16" s="42" t="str">
        <f t="shared" si="2"/>
        <v>Пм1.1</v>
      </c>
      <c r="B16" s="43">
        <v>1</v>
      </c>
      <c r="C16" s="43" t="s">
        <v>2399</v>
      </c>
      <c r="D16" s="43" t="s">
        <v>2516</v>
      </c>
      <c r="E16" s="43">
        <v>1</v>
      </c>
      <c r="F16" s="22">
        <v>0.88800000000000001</v>
      </c>
      <c r="G16" s="43" t="s">
        <v>2361</v>
      </c>
      <c r="H16" s="43">
        <f>Арм_ПоПлощади(E5,E10,T16)</f>
        <v>12315060</v>
      </c>
      <c r="I16" s="43">
        <v>12</v>
      </c>
      <c r="J16" s="43" t="s">
        <v>2</v>
      </c>
      <c r="K16" s="43"/>
      <c r="L16" s="43"/>
      <c r="M16" s="43"/>
      <c r="N16" s="43"/>
      <c r="O16" s="43"/>
      <c r="P16" s="43"/>
      <c r="Q16" s="43"/>
      <c r="R16" s="43"/>
      <c r="S16" s="43">
        <v>500</v>
      </c>
      <c r="T16" s="43">
        <v>600</v>
      </c>
      <c r="U16" s="44">
        <v>30</v>
      </c>
    </row>
    <row r="17" spans="1:21" ht="16.5" x14ac:dyDescent="0.25">
      <c r="A17" s="42" t="str">
        <f t="shared" si="2"/>
        <v>Пм1.1</v>
      </c>
      <c r="B17" s="43">
        <v>3</v>
      </c>
      <c r="C17" s="43" t="s">
        <v>2399</v>
      </c>
      <c r="D17" s="43" t="s">
        <v>2517</v>
      </c>
      <c r="E17" s="43">
        <v>1</v>
      </c>
      <c r="F17" s="22">
        <v>0.88800000000000001</v>
      </c>
      <c r="G17" s="43" t="s">
        <v>2361</v>
      </c>
      <c r="H17" s="43">
        <f>Арм_ПоПлощади(E5,E11,T17)</f>
        <v>12315060</v>
      </c>
      <c r="I17" s="43">
        <v>12</v>
      </c>
      <c r="J17" s="43" t="s">
        <v>2</v>
      </c>
      <c r="K17" s="43"/>
      <c r="L17" s="43"/>
      <c r="M17" s="43"/>
      <c r="N17" s="43"/>
      <c r="O17" s="43"/>
      <c r="P17" s="43"/>
      <c r="Q17" s="43"/>
      <c r="R17" s="43"/>
      <c r="S17" s="43">
        <v>500</v>
      </c>
      <c r="T17" s="43">
        <v>600</v>
      </c>
      <c r="U17" s="44">
        <v>30</v>
      </c>
    </row>
    <row r="18" spans="1:21" ht="16.5" x14ac:dyDescent="0.25">
      <c r="A18" s="42" t="str">
        <f t="shared" si="2"/>
        <v>Пм1.1</v>
      </c>
      <c r="B18" s="43">
        <v>3</v>
      </c>
      <c r="C18" s="43" t="s">
        <v>2399</v>
      </c>
      <c r="D18" s="43" t="s">
        <v>2518</v>
      </c>
      <c r="E18" s="43">
        <v>1</v>
      </c>
      <c r="F18" s="22">
        <v>0.88800000000000001</v>
      </c>
      <c r="G18" s="43" t="s">
        <v>2361</v>
      </c>
      <c r="H18" s="43">
        <f>Арм_ПоПлощади(E5,E12,T18)</f>
        <v>12315060</v>
      </c>
      <c r="I18" s="43">
        <v>12</v>
      </c>
      <c r="J18" s="43" t="s">
        <v>2</v>
      </c>
      <c r="K18" s="43"/>
      <c r="L18" s="43"/>
      <c r="M18" s="43"/>
      <c r="N18" s="43"/>
      <c r="O18" s="43"/>
      <c r="P18" s="43"/>
      <c r="Q18" s="43"/>
      <c r="R18" s="43"/>
      <c r="S18" s="43">
        <v>500</v>
      </c>
      <c r="T18" s="43">
        <v>600</v>
      </c>
      <c r="U18" s="44">
        <v>30</v>
      </c>
    </row>
    <row r="19" spans="1:21" ht="16.5" x14ac:dyDescent="0.25">
      <c r="A19" s="42" t="str">
        <f t="shared" si="2"/>
        <v>Пм1.1</v>
      </c>
      <c r="B19" s="43">
        <v>2</v>
      </c>
      <c r="C19" s="43" t="s">
        <v>2399</v>
      </c>
      <c r="D19" s="43" t="s">
        <v>2525</v>
      </c>
      <c r="E19" s="43">
        <f>ROUNDUP(E4/E13,0)</f>
        <v>1960</v>
      </c>
      <c r="F19" s="22">
        <v>0.88800000000000001</v>
      </c>
      <c r="G19" s="43"/>
      <c r="H19" s="43">
        <f>Арм_Элемент_П(S19,E6-E8-E8,I19,J19)</f>
        <v>1160</v>
      </c>
      <c r="I19" s="43">
        <v>12</v>
      </c>
      <c r="J19" s="43" t="s">
        <v>2</v>
      </c>
      <c r="K19" s="43"/>
      <c r="L19" s="43"/>
      <c r="M19" s="43"/>
      <c r="N19" s="43"/>
      <c r="O19" s="43"/>
      <c r="P19" s="43"/>
      <c r="Q19" s="43"/>
      <c r="R19" s="43"/>
      <c r="S19" s="43">
        <v>500</v>
      </c>
      <c r="T19" s="43">
        <v>600</v>
      </c>
      <c r="U19" s="44">
        <v>30</v>
      </c>
    </row>
    <row r="20" spans="1:21" ht="33" x14ac:dyDescent="0.25">
      <c r="A20" s="42" t="str">
        <f t="shared" si="2"/>
        <v>Пм1.1</v>
      </c>
      <c r="B20" s="43" t="str">
        <f>Изделия_спец.И!B3</f>
        <v>Кп25</v>
      </c>
      <c r="C20" s="43" t="str">
        <f>Изделия_спец.И!C3</f>
        <v>данный лист</v>
      </c>
      <c r="D20" s="43" t="str">
        <f>Изделия_спец.И!D3</f>
        <v>Каркас поддерживающий Кп25</v>
      </c>
      <c r="E20" s="43">
        <f>Изделия_спец.И!E3</f>
        <v>0</v>
      </c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4"/>
    </row>
    <row r="21" spans="1:21" ht="16.5" x14ac:dyDescent="0.25">
      <c r="A21" s="42" t="str">
        <f t="shared" si="2"/>
        <v>Пм1.1</v>
      </c>
      <c r="B21" s="43"/>
      <c r="C21" s="51"/>
      <c r="D21" s="27" t="s">
        <v>2459</v>
      </c>
      <c r="E21" s="27">
        <f>E7</f>
        <v>583.30999999999995</v>
      </c>
      <c r="F21" s="27" t="s">
        <v>4</v>
      </c>
      <c r="G21" s="27" t="s">
        <v>3</v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4"/>
    </row>
    <row r="22" spans="1:21" ht="16.5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</row>
    <row r="23" spans="1:21" ht="16.5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ht="16.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</row>
    <row r="25" spans="1:21" ht="16.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ht="16.5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</row>
    <row r="27" spans="1:21" ht="16.5" x14ac:dyDescent="0.25">
      <c r="A27" s="21" t="str">
        <f t="shared" ref="A27:A30" si="3">A28</f>
        <v>Пм1.3</v>
      </c>
      <c r="B27" s="22" t="s">
        <v>2433</v>
      </c>
      <c r="C27" s="22" t="s">
        <v>2434</v>
      </c>
      <c r="D27" s="22" t="s">
        <v>2459</v>
      </c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3"/>
    </row>
    <row r="28" spans="1:21" ht="16.5" x14ac:dyDescent="0.25">
      <c r="A28" s="21" t="str">
        <f t="shared" si="3"/>
        <v>Пм1.3</v>
      </c>
      <c r="B28" s="22" t="s">
        <v>2433</v>
      </c>
      <c r="C28" s="22"/>
      <c r="D28" s="22" t="s">
        <v>2507</v>
      </c>
      <c r="E28" s="22">
        <f>Сумма_ПоИД(A28,'Из архикада_плиты'!$A$1:$G$500,1,5)</f>
        <v>25800</v>
      </c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3"/>
    </row>
    <row r="29" spans="1:21" ht="16.5" x14ac:dyDescent="0.25">
      <c r="A29" s="21" t="str">
        <f t="shared" si="3"/>
        <v>Пм1.3</v>
      </c>
      <c r="B29" s="22" t="s">
        <v>2433</v>
      </c>
      <c r="C29" s="22"/>
      <c r="D29" s="22" t="s">
        <v>2508</v>
      </c>
      <c r="E29" s="22">
        <f>Сумма_ПоИД(A29,'Из архикада_плиты'!$A$1:$G$500,1,4)*1000*1000</f>
        <v>21010000</v>
      </c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3"/>
    </row>
    <row r="30" spans="1:21" ht="16.5" x14ac:dyDescent="0.25">
      <c r="A30" s="21" t="str">
        <f t="shared" si="3"/>
        <v>Пм1.3</v>
      </c>
      <c r="B30" s="22" t="s">
        <v>2433</v>
      </c>
      <c r="C30" s="22"/>
      <c r="D30" s="22" t="s">
        <v>2510</v>
      </c>
      <c r="E30" s="22">
        <f>VLOOKUP(A30,'Из архикада_плиты'!$A$1:$G$500,3)</f>
        <v>500</v>
      </c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3"/>
    </row>
    <row r="31" spans="1:21" ht="16.5" x14ac:dyDescent="0.25">
      <c r="A31" s="21" t="str">
        <f>A38</f>
        <v>Пм1.3</v>
      </c>
      <c r="B31" s="22" t="s">
        <v>2433</v>
      </c>
      <c r="C31" s="22"/>
      <c r="D31" s="22" t="s">
        <v>2527</v>
      </c>
      <c r="E31" s="22">
        <f>Сумма_ПоИД(A31,'Из архикада_плиты'!$A$1:$G$500,1,6)</f>
        <v>8.69</v>
      </c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3"/>
    </row>
    <row r="32" spans="1:21" ht="16.5" x14ac:dyDescent="0.25">
      <c r="A32" s="21" t="str">
        <f>A39</f>
        <v>Пм1.3</v>
      </c>
      <c r="B32" s="22" t="s">
        <v>2433</v>
      </c>
      <c r="C32" s="22"/>
      <c r="D32" s="22" t="s">
        <v>2526</v>
      </c>
      <c r="E32" s="22">
        <v>30</v>
      </c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3"/>
    </row>
    <row r="33" spans="1:21" ht="16.5" x14ac:dyDescent="0.25">
      <c r="A33" s="21" t="str">
        <f>A39</f>
        <v>Пм1.3</v>
      </c>
      <c r="B33" s="22" t="s">
        <v>2433</v>
      </c>
      <c r="C33" s="22"/>
      <c r="D33" s="22" t="s">
        <v>2511</v>
      </c>
      <c r="E33" s="22">
        <v>200</v>
      </c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3"/>
    </row>
    <row r="34" spans="1:21" ht="16.5" x14ac:dyDescent="0.25">
      <c r="A34" s="21" t="str">
        <f>A40</f>
        <v>Пм1.3</v>
      </c>
      <c r="B34" s="22" t="s">
        <v>2433</v>
      </c>
      <c r="C34" s="22"/>
      <c r="D34" s="22" t="s">
        <v>2512</v>
      </c>
      <c r="E34" s="22">
        <f>E33</f>
        <v>200</v>
      </c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3"/>
    </row>
    <row r="35" spans="1:21" ht="16.5" x14ac:dyDescent="0.25">
      <c r="A35" s="21" t="str">
        <f>A41</f>
        <v>Пм1.3</v>
      </c>
      <c r="B35" s="22" t="s">
        <v>2433</v>
      </c>
      <c r="C35" s="22"/>
      <c r="D35" s="22" t="s">
        <v>2513</v>
      </c>
      <c r="E35" s="22">
        <f t="shared" ref="E35:E36" si="4">E34</f>
        <v>200</v>
      </c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3"/>
    </row>
    <row r="36" spans="1:21" ht="16.5" x14ac:dyDescent="0.25">
      <c r="A36" s="21" t="str">
        <f>A42</f>
        <v>Пм1.3</v>
      </c>
      <c r="B36" s="22" t="s">
        <v>2433</v>
      </c>
      <c r="C36" s="22"/>
      <c r="D36" s="22" t="s">
        <v>2514</v>
      </c>
      <c r="E36" s="22">
        <f t="shared" si="4"/>
        <v>200</v>
      </c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3"/>
    </row>
    <row r="37" spans="1:21" ht="33" x14ac:dyDescent="0.25">
      <c r="A37" s="21" t="str">
        <f>A43</f>
        <v>Пм1.3</v>
      </c>
      <c r="B37" s="22" t="s">
        <v>2433</v>
      </c>
      <c r="C37" s="22"/>
      <c r="D37" s="22" t="s">
        <v>2528</v>
      </c>
      <c r="E37" s="22">
        <f>E33</f>
        <v>200</v>
      </c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3"/>
    </row>
    <row r="38" spans="1:21" ht="16.5" x14ac:dyDescent="0.25">
      <c r="A38" s="24" t="str">
        <f>B38</f>
        <v>Пм1.3</v>
      </c>
      <c r="B38" s="25" t="s">
        <v>2495</v>
      </c>
      <c r="C38" s="25" t="s">
        <v>2509</v>
      </c>
      <c r="D38" s="25" t="str">
        <f>CONCATENATE("Плита монолитная ",B38)</f>
        <v>Плита монолитная Пм1.3</v>
      </c>
      <c r="E38" s="25">
        <v>1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6"/>
    </row>
    <row r="39" spans="1:21" ht="16.5" x14ac:dyDescent="0.25">
      <c r="A39" s="42" t="str">
        <f t="shared" ref="A39:A44" si="5">A38</f>
        <v>Пм1.3</v>
      </c>
      <c r="B39" s="43">
        <v>1</v>
      </c>
      <c r="C39" s="43" t="s">
        <v>2399</v>
      </c>
      <c r="D39" s="43" t="s">
        <v>2515</v>
      </c>
      <c r="E39" s="43">
        <v>1</v>
      </c>
      <c r="F39" s="22">
        <v>0.88800000000000001</v>
      </c>
      <c r="G39" s="43" t="s">
        <v>2361</v>
      </c>
      <c r="H39" s="43">
        <f>Арм_ПоПлощади(E29,E33,T39)</f>
        <v>115640</v>
      </c>
      <c r="I39" s="43">
        <v>12</v>
      </c>
      <c r="J39" s="43" t="s">
        <v>2</v>
      </c>
      <c r="K39" s="43"/>
      <c r="L39" s="43"/>
      <c r="M39" s="43"/>
      <c r="N39" s="43"/>
      <c r="O39" s="43"/>
      <c r="P39" s="43"/>
      <c r="Q39" s="43"/>
      <c r="R39" s="43"/>
      <c r="S39" s="43">
        <v>500</v>
      </c>
      <c r="T39" s="43">
        <v>600</v>
      </c>
      <c r="U39" s="44">
        <v>30</v>
      </c>
    </row>
    <row r="40" spans="1:21" ht="16.5" x14ac:dyDescent="0.25">
      <c r="A40" s="42" t="str">
        <f t="shared" si="5"/>
        <v>Пм1.3</v>
      </c>
      <c r="B40" s="43">
        <v>1</v>
      </c>
      <c r="C40" s="43" t="s">
        <v>2399</v>
      </c>
      <c r="D40" s="43" t="s">
        <v>2516</v>
      </c>
      <c r="E40" s="43">
        <v>1</v>
      </c>
      <c r="F40" s="22">
        <v>0.88800000000000001</v>
      </c>
      <c r="G40" s="43" t="s">
        <v>2361</v>
      </c>
      <c r="H40" s="43">
        <f>Арм_ПоПлощади(E29,E34,T40)</f>
        <v>115640</v>
      </c>
      <c r="I40" s="43">
        <v>12</v>
      </c>
      <c r="J40" s="43" t="s">
        <v>2</v>
      </c>
      <c r="K40" s="43"/>
      <c r="L40" s="43"/>
      <c r="M40" s="43"/>
      <c r="N40" s="43"/>
      <c r="O40" s="43"/>
      <c r="P40" s="43"/>
      <c r="Q40" s="43"/>
      <c r="R40" s="43"/>
      <c r="S40" s="43">
        <v>500</v>
      </c>
      <c r="T40" s="43">
        <v>600</v>
      </c>
      <c r="U40" s="44">
        <v>30</v>
      </c>
    </row>
    <row r="41" spans="1:21" ht="16.5" x14ac:dyDescent="0.25">
      <c r="A41" s="42" t="str">
        <f t="shared" si="5"/>
        <v>Пм1.3</v>
      </c>
      <c r="B41" s="43">
        <v>3</v>
      </c>
      <c r="C41" s="43" t="s">
        <v>2399</v>
      </c>
      <c r="D41" s="43" t="s">
        <v>2517</v>
      </c>
      <c r="E41" s="43">
        <v>1</v>
      </c>
      <c r="F41" s="22">
        <v>0.88800000000000001</v>
      </c>
      <c r="G41" s="43" t="s">
        <v>2361</v>
      </c>
      <c r="H41" s="43">
        <f>Арм_ПоПлощади(E29,E35,T41)</f>
        <v>115640</v>
      </c>
      <c r="I41" s="43">
        <v>12</v>
      </c>
      <c r="J41" s="43" t="s">
        <v>2</v>
      </c>
      <c r="K41" s="43"/>
      <c r="L41" s="43"/>
      <c r="M41" s="43"/>
      <c r="N41" s="43"/>
      <c r="O41" s="43"/>
      <c r="P41" s="43"/>
      <c r="Q41" s="43"/>
      <c r="R41" s="43"/>
      <c r="S41" s="43">
        <v>500</v>
      </c>
      <c r="T41" s="43">
        <v>600</v>
      </c>
      <c r="U41" s="44">
        <v>30</v>
      </c>
    </row>
    <row r="42" spans="1:21" ht="16.5" x14ac:dyDescent="0.25">
      <c r="A42" s="42" t="str">
        <f t="shared" si="5"/>
        <v>Пм1.3</v>
      </c>
      <c r="B42" s="43">
        <v>3</v>
      </c>
      <c r="C42" s="43" t="s">
        <v>2399</v>
      </c>
      <c r="D42" s="43" t="s">
        <v>2518</v>
      </c>
      <c r="E42" s="43">
        <v>1</v>
      </c>
      <c r="F42" s="22">
        <v>0.88800000000000001</v>
      </c>
      <c r="G42" s="43" t="s">
        <v>2361</v>
      </c>
      <c r="H42" s="43">
        <f>Арм_ПоПлощади(E29,E36,T42)</f>
        <v>115640</v>
      </c>
      <c r="I42" s="43">
        <v>12</v>
      </c>
      <c r="J42" s="43" t="s">
        <v>2</v>
      </c>
      <c r="K42" s="43"/>
      <c r="L42" s="43"/>
      <c r="M42" s="43"/>
      <c r="N42" s="43"/>
      <c r="O42" s="43"/>
      <c r="P42" s="43"/>
      <c r="Q42" s="43"/>
      <c r="R42" s="43"/>
      <c r="S42" s="43">
        <v>500</v>
      </c>
      <c r="T42" s="43">
        <v>600</v>
      </c>
      <c r="U42" s="44">
        <v>30</v>
      </c>
    </row>
    <row r="43" spans="1:21" ht="16.5" x14ac:dyDescent="0.25">
      <c r="A43" s="42" t="str">
        <f t="shared" si="5"/>
        <v>Пм1.3</v>
      </c>
      <c r="B43" s="43">
        <v>2</v>
      </c>
      <c r="C43" s="43" t="s">
        <v>2399</v>
      </c>
      <c r="D43" s="43" t="s">
        <v>2525</v>
      </c>
      <c r="E43" s="43">
        <f>ROUNDUP(E28/E37,0)</f>
        <v>129</v>
      </c>
      <c r="F43" s="22">
        <v>0.88800000000000001</v>
      </c>
      <c r="G43" s="43"/>
      <c r="H43" s="43">
        <f>Арм_Элемент_П(S43,E30-E32-E32,I43,J43)</f>
        <v>1410</v>
      </c>
      <c r="I43" s="43">
        <v>12</v>
      </c>
      <c r="J43" s="43" t="s">
        <v>2</v>
      </c>
      <c r="K43" s="43"/>
      <c r="L43" s="43"/>
      <c r="M43" s="43"/>
      <c r="N43" s="43"/>
      <c r="O43" s="43"/>
      <c r="P43" s="43"/>
      <c r="Q43" s="43"/>
      <c r="R43" s="43"/>
      <c r="S43" s="43">
        <v>500</v>
      </c>
      <c r="T43" s="43">
        <v>600</v>
      </c>
      <c r="U43" s="44">
        <v>30</v>
      </c>
    </row>
    <row r="44" spans="1:21" ht="16.5" x14ac:dyDescent="0.25">
      <c r="A44" s="42" t="str">
        <f t="shared" si="5"/>
        <v>Пм1.3</v>
      </c>
      <c r="B44" s="43"/>
      <c r="C44" s="51"/>
      <c r="D44" s="27" t="s">
        <v>2459</v>
      </c>
      <c r="E44" s="27">
        <f>E31</f>
        <v>8.69</v>
      </c>
      <c r="F44" s="27" t="s">
        <v>4</v>
      </c>
      <c r="G44" s="27" t="s">
        <v>3</v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4"/>
    </row>
    <row r="45" spans="1:21" ht="16.5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</row>
    <row r="46" spans="1:21" ht="16.5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</row>
    <row r="47" spans="1:21" ht="16.5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</row>
    <row r="48" spans="1:21" ht="16.5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</row>
    <row r="49" spans="1:21" ht="16.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</row>
    <row r="50" spans="1:21" ht="16.5" x14ac:dyDescent="0.25">
      <c r="A50" s="21" t="str">
        <f t="shared" ref="A50:A53" si="6">A51</f>
        <v>Пм2.1</v>
      </c>
      <c r="B50" s="22" t="s">
        <v>2433</v>
      </c>
      <c r="C50" s="22" t="s">
        <v>2434</v>
      </c>
      <c r="D50" s="22" t="s">
        <v>2459</v>
      </c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3"/>
    </row>
    <row r="51" spans="1:21" ht="16.5" x14ac:dyDescent="0.25">
      <c r="A51" s="21" t="str">
        <f t="shared" si="6"/>
        <v>Пм2.1</v>
      </c>
      <c r="B51" s="22" t="s">
        <v>2433</v>
      </c>
      <c r="C51" s="22"/>
      <c r="D51" s="22" t="s">
        <v>2507</v>
      </c>
      <c r="E51" s="22">
        <f>Сумма_ПоИД(A51,'Из архикада_плиты'!$A$1:$G$500,1,5)</f>
        <v>522494.9</v>
      </c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3"/>
    </row>
    <row r="52" spans="1:21" ht="16.5" x14ac:dyDescent="0.25">
      <c r="A52" s="21" t="str">
        <f t="shared" si="6"/>
        <v>Пм2.1</v>
      </c>
      <c r="B52" s="22" t="s">
        <v>2433</v>
      </c>
      <c r="C52" s="22"/>
      <c r="D52" s="22" t="s">
        <v>2508</v>
      </c>
      <c r="E52" s="22">
        <f>Сумма_ПоИД(A52,'Из архикада_плиты'!$A$1:$G$500,1,4)*1000*1000</f>
        <v>2342359999.9999995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3"/>
    </row>
    <row r="53" spans="1:21" ht="16.5" x14ac:dyDescent="0.25">
      <c r="A53" s="21" t="str">
        <f t="shared" si="6"/>
        <v>Пм2.1</v>
      </c>
      <c r="B53" s="22" t="s">
        <v>2433</v>
      </c>
      <c r="C53" s="22"/>
      <c r="D53" s="22" t="s">
        <v>2510</v>
      </c>
      <c r="E53" s="22">
        <f>VLOOKUP(A53,'Из архикада_плиты'!$A$1:$G$500,3)</f>
        <v>250</v>
      </c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3"/>
    </row>
    <row r="54" spans="1:21" ht="16.5" x14ac:dyDescent="0.25">
      <c r="A54" s="21" t="str">
        <f>A61</f>
        <v>Пм2.1</v>
      </c>
      <c r="B54" s="22" t="s">
        <v>2433</v>
      </c>
      <c r="C54" s="22"/>
      <c r="D54" s="22" t="s">
        <v>2527</v>
      </c>
      <c r="E54" s="22">
        <f>Сумма_ПоИД(A54,'Из архикада_плиты'!$A$1:$G$500,1,6)</f>
        <v>585.66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3"/>
    </row>
    <row r="55" spans="1:21" ht="16.5" x14ac:dyDescent="0.25">
      <c r="A55" s="21" t="str">
        <f>A62</f>
        <v>Пм2.1</v>
      </c>
      <c r="B55" s="22" t="s">
        <v>2433</v>
      </c>
      <c r="C55" s="22"/>
      <c r="D55" s="22" t="s">
        <v>2526</v>
      </c>
      <c r="E55" s="22">
        <v>30</v>
      </c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3"/>
    </row>
    <row r="56" spans="1:21" ht="16.5" x14ac:dyDescent="0.25">
      <c r="A56" s="21" t="str">
        <f>A62</f>
        <v>Пм2.1</v>
      </c>
      <c r="B56" s="22" t="s">
        <v>2433</v>
      </c>
      <c r="C56" s="22"/>
      <c r="D56" s="22" t="s">
        <v>2511</v>
      </c>
      <c r="E56" s="22">
        <v>200</v>
      </c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3"/>
    </row>
    <row r="57" spans="1:21" ht="16.5" x14ac:dyDescent="0.25">
      <c r="A57" s="21" t="str">
        <f>A63</f>
        <v>Пм2.1</v>
      </c>
      <c r="B57" s="22" t="s">
        <v>2433</v>
      </c>
      <c r="C57" s="22"/>
      <c r="D57" s="22" t="s">
        <v>2512</v>
      </c>
      <c r="E57" s="22">
        <f>E56</f>
        <v>200</v>
      </c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3"/>
    </row>
    <row r="58" spans="1:21" ht="16.5" x14ac:dyDescent="0.25">
      <c r="A58" s="21" t="str">
        <f>A64</f>
        <v>Пм2.1</v>
      </c>
      <c r="B58" s="22" t="s">
        <v>2433</v>
      </c>
      <c r="C58" s="22"/>
      <c r="D58" s="22" t="s">
        <v>2513</v>
      </c>
      <c r="E58" s="22">
        <f t="shared" ref="E58:E59" si="7">E57</f>
        <v>200</v>
      </c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3"/>
    </row>
    <row r="59" spans="1:21" ht="16.5" x14ac:dyDescent="0.25">
      <c r="A59" s="21" t="str">
        <f>A65</f>
        <v>Пм2.1</v>
      </c>
      <c r="B59" s="22" t="s">
        <v>2433</v>
      </c>
      <c r="C59" s="22"/>
      <c r="D59" s="22" t="s">
        <v>2514</v>
      </c>
      <c r="E59" s="22">
        <f t="shared" si="7"/>
        <v>200</v>
      </c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3"/>
    </row>
    <row r="60" spans="1:21" ht="33" x14ac:dyDescent="0.25">
      <c r="A60" s="21" t="str">
        <f>A66</f>
        <v>Пм2.1</v>
      </c>
      <c r="B60" s="22" t="s">
        <v>2433</v>
      </c>
      <c r="C60" s="22"/>
      <c r="D60" s="22" t="s">
        <v>2528</v>
      </c>
      <c r="E60" s="22">
        <f>E56</f>
        <v>200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3"/>
    </row>
    <row r="61" spans="1:21" ht="16.5" x14ac:dyDescent="0.25">
      <c r="A61" s="24" t="str">
        <f>B61</f>
        <v>Пм2.1</v>
      </c>
      <c r="B61" s="25" t="s">
        <v>2496</v>
      </c>
      <c r="C61" s="25" t="s">
        <v>2509</v>
      </c>
      <c r="D61" s="25" t="str">
        <f>CONCATENATE("Плита монолитная ",B61)</f>
        <v>Плита монолитная Пм2.1</v>
      </c>
      <c r="E61" s="25">
        <v>1</v>
      </c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6"/>
    </row>
    <row r="62" spans="1:21" ht="16.5" x14ac:dyDescent="0.25">
      <c r="A62" s="42" t="str">
        <f t="shared" ref="A62:A67" si="8">A61</f>
        <v>Пм2.1</v>
      </c>
      <c r="B62" s="43">
        <v>1</v>
      </c>
      <c r="C62" s="43" t="s">
        <v>2399</v>
      </c>
      <c r="D62" s="43" t="s">
        <v>2515</v>
      </c>
      <c r="E62" s="43">
        <v>1</v>
      </c>
      <c r="F62" s="22">
        <v>0.88800000000000001</v>
      </c>
      <c r="G62" s="43" t="s">
        <v>2361</v>
      </c>
      <c r="H62" s="43">
        <f>Арм_ПоПлощади(E52,E56,T62)</f>
        <v>12363800</v>
      </c>
      <c r="I62" s="43">
        <v>12</v>
      </c>
      <c r="J62" s="43" t="s">
        <v>2</v>
      </c>
      <c r="K62" s="43"/>
      <c r="L62" s="43"/>
      <c r="M62" s="43"/>
      <c r="N62" s="43"/>
      <c r="O62" s="43"/>
      <c r="P62" s="43"/>
      <c r="Q62" s="43"/>
      <c r="R62" s="43"/>
      <c r="S62" s="43">
        <v>500</v>
      </c>
      <c r="T62" s="43">
        <v>600</v>
      </c>
      <c r="U62" s="44">
        <v>30</v>
      </c>
    </row>
    <row r="63" spans="1:21" ht="16.5" x14ac:dyDescent="0.25">
      <c r="A63" s="42" t="str">
        <f t="shared" si="8"/>
        <v>Пм2.1</v>
      </c>
      <c r="B63" s="43">
        <v>1</v>
      </c>
      <c r="C63" s="43" t="s">
        <v>2399</v>
      </c>
      <c r="D63" s="43" t="s">
        <v>2516</v>
      </c>
      <c r="E63" s="43">
        <v>1</v>
      </c>
      <c r="F63" s="22">
        <v>0.88800000000000001</v>
      </c>
      <c r="G63" s="43" t="s">
        <v>2361</v>
      </c>
      <c r="H63" s="43">
        <f>Арм_ПоПлощади(E52,E57,T63)</f>
        <v>12363800</v>
      </c>
      <c r="I63" s="43">
        <v>12</v>
      </c>
      <c r="J63" s="43" t="s">
        <v>2</v>
      </c>
      <c r="K63" s="43"/>
      <c r="L63" s="43"/>
      <c r="M63" s="43"/>
      <c r="N63" s="43"/>
      <c r="O63" s="43"/>
      <c r="P63" s="43"/>
      <c r="Q63" s="43"/>
      <c r="R63" s="43"/>
      <c r="S63" s="43">
        <v>500</v>
      </c>
      <c r="T63" s="43">
        <v>600</v>
      </c>
      <c r="U63" s="44">
        <v>30</v>
      </c>
    </row>
    <row r="64" spans="1:21" ht="16.5" x14ac:dyDescent="0.25">
      <c r="A64" s="42" t="str">
        <f t="shared" si="8"/>
        <v>Пм2.1</v>
      </c>
      <c r="B64" s="43">
        <v>3</v>
      </c>
      <c r="C64" s="43" t="s">
        <v>2399</v>
      </c>
      <c r="D64" s="43" t="s">
        <v>2517</v>
      </c>
      <c r="E64" s="43">
        <v>1</v>
      </c>
      <c r="F64" s="22">
        <v>0.88800000000000001</v>
      </c>
      <c r="G64" s="43" t="s">
        <v>2361</v>
      </c>
      <c r="H64" s="43">
        <f>Арм_ПоПлощади(E52,E58,T64)</f>
        <v>12363800</v>
      </c>
      <c r="I64" s="43">
        <v>12</v>
      </c>
      <c r="J64" s="43" t="s">
        <v>2</v>
      </c>
      <c r="K64" s="43"/>
      <c r="L64" s="43"/>
      <c r="M64" s="43"/>
      <c r="N64" s="43"/>
      <c r="O64" s="43"/>
      <c r="P64" s="43"/>
      <c r="Q64" s="43"/>
      <c r="R64" s="43"/>
      <c r="S64" s="43">
        <v>500</v>
      </c>
      <c r="T64" s="43">
        <v>600</v>
      </c>
      <c r="U64" s="44">
        <v>30</v>
      </c>
    </row>
    <row r="65" spans="1:21" ht="16.5" x14ac:dyDescent="0.25">
      <c r="A65" s="42" t="str">
        <f t="shared" si="8"/>
        <v>Пм2.1</v>
      </c>
      <c r="B65" s="43">
        <v>3</v>
      </c>
      <c r="C65" s="43" t="s">
        <v>2399</v>
      </c>
      <c r="D65" s="43" t="s">
        <v>2518</v>
      </c>
      <c r="E65" s="43">
        <v>1</v>
      </c>
      <c r="F65" s="22">
        <v>0.88800000000000001</v>
      </c>
      <c r="G65" s="43" t="s">
        <v>2361</v>
      </c>
      <c r="H65" s="43">
        <f>Арм_ПоПлощади(E52,E59,T65)</f>
        <v>12363800</v>
      </c>
      <c r="I65" s="43">
        <v>12</v>
      </c>
      <c r="J65" s="43" t="s">
        <v>2</v>
      </c>
      <c r="K65" s="43"/>
      <c r="L65" s="43"/>
      <c r="M65" s="43"/>
      <c r="N65" s="43"/>
      <c r="O65" s="43"/>
      <c r="P65" s="43"/>
      <c r="Q65" s="43"/>
      <c r="R65" s="43"/>
      <c r="S65" s="43">
        <v>500</v>
      </c>
      <c r="T65" s="43">
        <v>600</v>
      </c>
      <c r="U65" s="44">
        <v>30</v>
      </c>
    </row>
    <row r="66" spans="1:21" ht="16.5" x14ac:dyDescent="0.25">
      <c r="A66" s="42" t="str">
        <f t="shared" si="8"/>
        <v>Пм2.1</v>
      </c>
      <c r="B66" s="43">
        <v>2</v>
      </c>
      <c r="C66" s="43" t="s">
        <v>2399</v>
      </c>
      <c r="D66" s="43" t="s">
        <v>2525</v>
      </c>
      <c r="E66" s="43">
        <f>ROUNDUP(E51/E60,0)</f>
        <v>2613</v>
      </c>
      <c r="F66" s="22">
        <v>0.88800000000000001</v>
      </c>
      <c r="G66" s="43"/>
      <c r="H66" s="43">
        <f>Арм_Элемент_П(S66,E53-E55-E55,I66,J66)</f>
        <v>1160</v>
      </c>
      <c r="I66" s="43">
        <v>12</v>
      </c>
      <c r="J66" s="43" t="s">
        <v>2</v>
      </c>
      <c r="K66" s="43"/>
      <c r="L66" s="43"/>
      <c r="M66" s="43"/>
      <c r="N66" s="43"/>
      <c r="O66" s="43"/>
      <c r="P66" s="43"/>
      <c r="Q66" s="43"/>
      <c r="R66" s="43"/>
      <c r="S66" s="43">
        <v>500</v>
      </c>
      <c r="T66" s="43">
        <v>600</v>
      </c>
      <c r="U66" s="44">
        <v>30</v>
      </c>
    </row>
    <row r="67" spans="1:21" ht="17.25" thickBot="1" x14ac:dyDescent="0.3">
      <c r="A67" s="45" t="str">
        <f t="shared" si="8"/>
        <v>Пм2.1</v>
      </c>
      <c r="B67" s="46"/>
      <c r="C67" s="52"/>
      <c r="D67" s="53" t="s">
        <v>2459</v>
      </c>
      <c r="E67" s="53">
        <f>E54</f>
        <v>585.66</v>
      </c>
      <c r="F67" s="53" t="s">
        <v>4</v>
      </c>
      <c r="G67" s="53" t="s">
        <v>3</v>
      </c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7"/>
    </row>
  </sheetData>
  <mergeCells count="11">
    <mergeCell ref="A1:A2"/>
    <mergeCell ref="B1:B2"/>
    <mergeCell ref="C1:C2"/>
    <mergeCell ref="D1:D2"/>
    <mergeCell ref="E1:E2"/>
    <mergeCell ref="F1:F2"/>
    <mergeCell ref="S1:U1"/>
    <mergeCell ref="G1:G2"/>
    <mergeCell ref="H1:J1"/>
    <mergeCell ref="K1:Q1"/>
    <mergeCell ref="R1:R2"/>
  </mergeCells>
  <conditionalFormatting sqref="A1:H1 A3:U67 H2:Q2 K1 R1:S1 S2:U2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20">
        <x14:dataValidation type="list" errorStyle="warning" allowBlank="1" showInputMessage="1" showErrorMessage="1">
          <x14:formula1>
            <xm:f>'!System'!$AN$1:$AN$6</xm:f>
          </x14:formula1>
          <xm:sqref>G3:G67</xm:sqref>
        </x14:dataValidation>
        <x14:dataValidation type="list" allowBlank="1" showInputMessage="1" showErrorMessage="1">
          <x14:formula1>
            <xm:f>'!System'!$T$1:$AB$1</xm:f>
          </x14:formula1>
          <xm:sqref>J3:J67</xm:sqref>
        </x14:dataValidation>
        <x14:dataValidation type="list" allowBlank="1" showInputMessage="1" showErrorMessage="1">
          <x14:formula1>
            <xm:f>'!System'!$A$1:$R$1</xm:f>
          </x14:formula1>
          <xm:sqref>L3:L67</xm:sqref>
        </x14:dataValidation>
        <x14:dataValidation type="list" allowBlank="1" showInputMessage="1" showErrorMessage="1">
          <x14:formula1>
            <xm:f>'!System'!$AC$1:$AM$1</xm:f>
          </x14:formula1>
          <xm:sqref>O3:O67</xm:sqref>
        </x14:dataValidation>
        <x14:dataValidation type="list" allowBlank="1" showInputMessage="1" showErrorMessage="1">
          <x14:formula1>
            <xm:f>'!System'!$AO$1:$AO$5</xm:f>
          </x14:formula1>
          <xm:sqref>P3:P67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'!System'!$V$2:$V$17</xm:f>
          </x14:formula1>
          <xm:sqref>I19</xm:sqref>
        </x14:dataValidation>
        <x14:dataValidation type="list" allowBlank="1" showInputMessage="1" showErrorMessage="1">
          <x14:formula1>
            <xm:f>'!System'!$V$2:$V$17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I62</xm:sqref>
        </x14:dataValidation>
        <x14:dataValidation type="list" allowBlank="1" showInputMessage="1" showErrorMessage="1">
          <x14:formula1>
            <xm:f>'!System'!$V$2:$V$17</xm:f>
          </x14:formula1>
          <xm:sqref>I63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8" tint="0.499984740745262"/>
  </sheetPr>
  <dimension ref="A1:U14"/>
  <sheetViews>
    <sheetView workbookViewId="0">
      <selection activeCell="B3" sqref="B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0" t="s">
        <v>2413</v>
      </c>
      <c r="B1" s="54" t="s">
        <v>2394</v>
      </c>
      <c r="C1" s="54" t="s">
        <v>2395</v>
      </c>
      <c r="D1" s="54" t="s">
        <v>2396</v>
      </c>
      <c r="E1" s="54" t="s">
        <v>2414</v>
      </c>
      <c r="F1" s="54" t="s">
        <v>2415</v>
      </c>
      <c r="G1" s="54" t="s">
        <v>2416</v>
      </c>
      <c r="H1" s="56" t="s">
        <v>2418</v>
      </c>
      <c r="I1" s="57"/>
      <c r="J1" s="59"/>
      <c r="K1" s="56" t="s">
        <v>2408</v>
      </c>
      <c r="L1" s="57"/>
      <c r="M1" s="57"/>
      <c r="N1" s="57"/>
      <c r="O1" s="57"/>
      <c r="P1" s="57"/>
      <c r="Q1" s="59"/>
      <c r="R1" s="54" t="s">
        <v>2417</v>
      </c>
      <c r="S1" s="56" t="s">
        <v>2429</v>
      </c>
      <c r="T1" s="57"/>
      <c r="U1" s="58"/>
    </row>
    <row r="2" spans="1:21" ht="66" x14ac:dyDescent="0.25">
      <c r="A2" s="61"/>
      <c r="B2" s="55"/>
      <c r="C2" s="55"/>
      <c r="D2" s="55"/>
      <c r="E2" s="55"/>
      <c r="F2" s="55"/>
      <c r="G2" s="55"/>
      <c r="H2" s="43" t="s">
        <v>2419</v>
      </c>
      <c r="I2" s="43" t="s">
        <v>2420</v>
      </c>
      <c r="J2" s="43" t="s">
        <v>2421</v>
      </c>
      <c r="K2" s="43" t="s">
        <v>2422</v>
      </c>
      <c r="L2" s="43" t="s">
        <v>2423</v>
      </c>
      <c r="M2" s="43" t="s">
        <v>2424</v>
      </c>
      <c r="N2" s="43" t="s">
        <v>2425</v>
      </c>
      <c r="O2" s="43" t="s">
        <v>2426</v>
      </c>
      <c r="P2" s="43" t="s">
        <v>2427</v>
      </c>
      <c r="Q2" s="43" t="s">
        <v>2428</v>
      </c>
      <c r="R2" s="55"/>
      <c r="S2" s="43" t="s">
        <v>2430</v>
      </c>
      <c r="T2" s="43" t="s">
        <v>2431</v>
      </c>
      <c r="U2" s="44" t="s">
        <v>2432</v>
      </c>
    </row>
    <row r="3" spans="1:21" ht="33" x14ac:dyDescent="0.25">
      <c r="A3" s="29" t="s">
        <v>2532</v>
      </c>
      <c r="B3" s="30" t="s">
        <v>2532</v>
      </c>
      <c r="C3" s="30" t="s">
        <v>2410</v>
      </c>
      <c r="D3" s="30" t="s">
        <v>2533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1"/>
    </row>
    <row r="4" spans="1:21" ht="33" x14ac:dyDescent="0.25">
      <c r="A4" s="42" t="s">
        <v>2532</v>
      </c>
      <c r="B4" s="43">
        <v>1</v>
      </c>
      <c r="C4" s="43" t="s">
        <v>2400</v>
      </c>
      <c r="D4" s="43" t="s">
        <v>2436</v>
      </c>
      <c r="E4" s="43">
        <v>9</v>
      </c>
      <c r="F4" s="22">
        <v>0.39500000000000002</v>
      </c>
      <c r="G4" s="43"/>
      <c r="H4" s="43">
        <v>250</v>
      </c>
      <c r="I4" s="43">
        <v>8</v>
      </c>
      <c r="J4" s="43" t="s">
        <v>1</v>
      </c>
      <c r="K4" s="43"/>
      <c r="L4" s="43"/>
      <c r="M4" s="43"/>
      <c r="N4" s="43"/>
      <c r="O4" s="43"/>
      <c r="P4" s="43"/>
      <c r="Q4" s="43"/>
      <c r="R4" s="43"/>
      <c r="S4" s="43" t="s">
        <v>2435</v>
      </c>
      <c r="T4" s="43" t="s">
        <v>2435</v>
      </c>
      <c r="U4" s="44">
        <v>10</v>
      </c>
    </row>
    <row r="5" spans="1:21" ht="33.75" thickBot="1" x14ac:dyDescent="0.3">
      <c r="A5" s="45" t="s">
        <v>2532</v>
      </c>
      <c r="B5" s="46">
        <v>2</v>
      </c>
      <c r="C5" s="46" t="s">
        <v>2400</v>
      </c>
      <c r="D5" s="46" t="s">
        <v>2437</v>
      </c>
      <c r="E5" s="46">
        <v>2</v>
      </c>
      <c r="F5" s="73">
        <v>0.39500000000000002</v>
      </c>
      <c r="G5" s="46"/>
      <c r="H5" s="46">
        <v>1280</v>
      </c>
      <c r="I5" s="46">
        <v>8</v>
      </c>
      <c r="J5" s="46" t="s">
        <v>1</v>
      </c>
      <c r="K5" s="46"/>
      <c r="L5" s="46"/>
      <c r="M5" s="46"/>
      <c r="N5" s="46"/>
      <c r="O5" s="46"/>
      <c r="P5" s="46"/>
      <c r="Q5" s="46"/>
      <c r="R5" s="46"/>
      <c r="S5" s="46" t="s">
        <v>2435</v>
      </c>
      <c r="T5" s="46" t="s">
        <v>2435</v>
      </c>
      <c r="U5" s="47">
        <v>10</v>
      </c>
    </row>
    <row r="6" spans="1:21" ht="33" x14ac:dyDescent="0.25">
      <c r="A6" s="29" t="str">
        <f>B6</f>
        <v>Кп30</v>
      </c>
      <c r="B6" s="30" t="s">
        <v>2556</v>
      </c>
      <c r="C6" s="30" t="s">
        <v>2410</v>
      </c>
      <c r="D6" s="30" t="s">
        <v>2559</v>
      </c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1"/>
    </row>
    <row r="7" spans="1:21" ht="33" x14ac:dyDescent="0.25">
      <c r="A7" s="42" t="str">
        <f>A6</f>
        <v>Кп30</v>
      </c>
      <c r="B7" s="43">
        <v>1</v>
      </c>
      <c r="C7" s="43" t="s">
        <v>2400</v>
      </c>
      <c r="D7" s="43" t="s">
        <v>2436</v>
      </c>
      <c r="E7" s="43">
        <v>9</v>
      </c>
      <c r="F7" s="22">
        <v>0.39500000000000002</v>
      </c>
      <c r="G7" s="43"/>
      <c r="H7" s="43">
        <v>250</v>
      </c>
      <c r="I7" s="43">
        <v>8</v>
      </c>
      <c r="J7" s="43" t="s">
        <v>1</v>
      </c>
      <c r="K7" s="43"/>
      <c r="L7" s="43"/>
      <c r="M7" s="43"/>
      <c r="N7" s="43"/>
      <c r="O7" s="43"/>
      <c r="P7" s="43"/>
      <c r="Q7" s="43"/>
      <c r="R7" s="43"/>
      <c r="S7" s="43" t="s">
        <v>2435</v>
      </c>
      <c r="T7" s="43" t="s">
        <v>2435</v>
      </c>
      <c r="U7" s="44">
        <v>10</v>
      </c>
    </row>
    <row r="8" spans="1:21" ht="33.75" thickBot="1" x14ac:dyDescent="0.3">
      <c r="A8" s="45" t="str">
        <f>A7</f>
        <v>Кп30</v>
      </c>
      <c r="B8" s="46">
        <v>2</v>
      </c>
      <c r="C8" s="46" t="s">
        <v>2400</v>
      </c>
      <c r="D8" s="46" t="s">
        <v>2437</v>
      </c>
      <c r="E8" s="46">
        <v>2</v>
      </c>
      <c r="F8" s="73">
        <v>0.39500000000000002</v>
      </c>
      <c r="G8" s="46"/>
      <c r="H8" s="46">
        <v>1280</v>
      </c>
      <c r="I8" s="46">
        <v>8</v>
      </c>
      <c r="J8" s="46" t="s">
        <v>1</v>
      </c>
      <c r="K8" s="46"/>
      <c r="L8" s="46"/>
      <c r="M8" s="46"/>
      <c r="N8" s="46"/>
      <c r="O8" s="46"/>
      <c r="P8" s="46"/>
      <c r="Q8" s="46"/>
      <c r="R8" s="46"/>
      <c r="S8" s="46" t="s">
        <v>2435</v>
      </c>
      <c r="T8" s="46" t="s">
        <v>2435</v>
      </c>
      <c r="U8" s="47">
        <v>10</v>
      </c>
    </row>
    <row r="9" spans="1:21" ht="33.75" thickBot="1" x14ac:dyDescent="0.3">
      <c r="A9" s="45" t="str">
        <f>B9</f>
        <v>Кп35</v>
      </c>
      <c r="B9" s="30" t="s">
        <v>2557</v>
      </c>
      <c r="C9" s="30" t="s">
        <v>2410</v>
      </c>
      <c r="D9" s="30" t="s">
        <v>2560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1"/>
    </row>
    <row r="10" spans="1:21" ht="33.75" thickBot="1" x14ac:dyDescent="0.3">
      <c r="A10" s="45" t="str">
        <f t="shared" ref="A9:A14" si="0">A9</f>
        <v>Кп35</v>
      </c>
      <c r="B10" s="43">
        <v>1</v>
      </c>
      <c r="C10" s="43" t="s">
        <v>2400</v>
      </c>
      <c r="D10" s="43" t="s">
        <v>2436</v>
      </c>
      <c r="E10" s="43">
        <v>9</v>
      </c>
      <c r="F10" s="22">
        <v>0.39500000000000002</v>
      </c>
      <c r="G10" s="43"/>
      <c r="H10" s="43">
        <v>250</v>
      </c>
      <c r="I10" s="43">
        <v>8</v>
      </c>
      <c r="J10" s="43" t="s">
        <v>1</v>
      </c>
      <c r="K10" s="43"/>
      <c r="L10" s="43"/>
      <c r="M10" s="43"/>
      <c r="N10" s="43"/>
      <c r="O10" s="43"/>
      <c r="P10" s="43"/>
      <c r="Q10" s="43"/>
      <c r="R10" s="43"/>
      <c r="S10" s="43" t="s">
        <v>2435</v>
      </c>
      <c r="T10" s="43" t="s">
        <v>2435</v>
      </c>
      <c r="U10" s="44">
        <v>10</v>
      </c>
    </row>
    <row r="11" spans="1:21" ht="33.75" thickBot="1" x14ac:dyDescent="0.3">
      <c r="A11" s="45" t="str">
        <f t="shared" si="0"/>
        <v>Кп35</v>
      </c>
      <c r="B11" s="46">
        <v>2</v>
      </c>
      <c r="C11" s="46" t="s">
        <v>2400</v>
      </c>
      <c r="D11" s="46" t="s">
        <v>2437</v>
      </c>
      <c r="E11" s="46">
        <v>2</v>
      </c>
      <c r="F11" s="73">
        <v>0.39500000000000002</v>
      </c>
      <c r="G11" s="46"/>
      <c r="H11" s="46">
        <v>1280</v>
      </c>
      <c r="I11" s="46">
        <v>8</v>
      </c>
      <c r="J11" s="46" t="s">
        <v>1</v>
      </c>
      <c r="K11" s="46"/>
      <c r="L11" s="46"/>
      <c r="M11" s="46"/>
      <c r="N11" s="46"/>
      <c r="O11" s="46"/>
      <c r="P11" s="46"/>
      <c r="Q11" s="46"/>
      <c r="R11" s="46"/>
      <c r="S11" s="46" t="s">
        <v>2435</v>
      </c>
      <c r="T11" s="46" t="s">
        <v>2435</v>
      </c>
      <c r="U11" s="47">
        <v>10</v>
      </c>
    </row>
    <row r="12" spans="1:21" ht="33.75" thickBot="1" x14ac:dyDescent="0.3">
      <c r="A12" s="45" t="str">
        <f>B12</f>
        <v>Кп36</v>
      </c>
      <c r="B12" s="30" t="s">
        <v>2558</v>
      </c>
      <c r="C12" s="30" t="s">
        <v>2410</v>
      </c>
      <c r="D12" s="30" t="s">
        <v>2561</v>
      </c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1"/>
    </row>
    <row r="13" spans="1:21" ht="33.75" thickBot="1" x14ac:dyDescent="0.3">
      <c r="A13" s="45" t="str">
        <f t="shared" si="0"/>
        <v>Кп36</v>
      </c>
      <c r="B13" s="43">
        <v>1</v>
      </c>
      <c r="C13" s="43" t="s">
        <v>2400</v>
      </c>
      <c r="D13" s="43" t="s">
        <v>2436</v>
      </c>
      <c r="E13" s="43">
        <v>9</v>
      </c>
      <c r="F13" s="22">
        <v>0.39500000000000002</v>
      </c>
      <c r="G13" s="43"/>
      <c r="H13" s="43">
        <v>250</v>
      </c>
      <c r="I13" s="43">
        <v>8</v>
      </c>
      <c r="J13" s="43" t="s">
        <v>1</v>
      </c>
      <c r="K13" s="43"/>
      <c r="L13" s="43"/>
      <c r="M13" s="43"/>
      <c r="N13" s="43"/>
      <c r="O13" s="43"/>
      <c r="P13" s="43"/>
      <c r="Q13" s="43"/>
      <c r="R13" s="43"/>
      <c r="S13" s="43" t="s">
        <v>2435</v>
      </c>
      <c r="T13" s="43" t="s">
        <v>2435</v>
      </c>
      <c r="U13" s="44">
        <v>10</v>
      </c>
    </row>
    <row r="14" spans="1:21" ht="33.75" thickBot="1" x14ac:dyDescent="0.3">
      <c r="A14" s="45" t="str">
        <f t="shared" si="0"/>
        <v>Кп36</v>
      </c>
      <c r="B14" s="46">
        <v>2</v>
      </c>
      <c r="C14" s="46" t="s">
        <v>2400</v>
      </c>
      <c r="D14" s="46" t="s">
        <v>2437</v>
      </c>
      <c r="E14" s="46">
        <v>2</v>
      </c>
      <c r="F14" s="73">
        <v>0.39500000000000002</v>
      </c>
      <c r="G14" s="46"/>
      <c r="H14" s="46">
        <v>1280</v>
      </c>
      <c r="I14" s="46">
        <v>8</v>
      </c>
      <c r="J14" s="46" t="s">
        <v>1</v>
      </c>
      <c r="K14" s="46"/>
      <c r="L14" s="46"/>
      <c r="M14" s="46"/>
      <c r="N14" s="46"/>
      <c r="O14" s="46"/>
      <c r="P14" s="46"/>
      <c r="Q14" s="46"/>
      <c r="R14" s="46"/>
      <c r="S14" s="46" t="s">
        <v>2435</v>
      </c>
      <c r="T14" s="46" t="s">
        <v>2435</v>
      </c>
      <c r="U14" s="47">
        <v>10</v>
      </c>
    </row>
  </sheetData>
  <dataConsolidate/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H2:Q2 K1 R1:S1 S2:U2 A3:U5">
    <cfRule type="containsText" dxfId="297" priority="28" stopIfTrue="1" operator="containsText" text="С ЛИСТА">
      <formula>NOT(ISERROR(SEARCH("С ЛИСТА",A1)))</formula>
    </cfRule>
    <cfRule type="containsText" dxfId="296" priority="29" stopIfTrue="1" operator="containsText" text="ИЗ ФАЙЛА">
      <formula>NOT(ISERROR(SEARCH("ИЗ ФАЙЛА",A1)))</formula>
    </cfRule>
    <cfRule type="containsText" dxfId="295" priority="30" stopIfTrue="1" operator="containsText" text="!!!">
      <formula>NOT(ISERROR(SEARCH("!!!",A1)))</formula>
    </cfRule>
    <cfRule type="containsText" dxfId="294" priority="31" stopIfTrue="1" operator="containsText" text=" Изделия ">
      <formula>NOT(ISERROR(SEARCH(" Изделия ",A1)))</formula>
    </cfRule>
    <cfRule type="containsText" dxfId="293" priority="32" stopIfTrue="1" operator="containsText" text=" Прокат ">
      <formula>NOT(ISERROR(SEARCH(" Прокат ",A1)))</formula>
    </cfRule>
    <cfRule type="containsText" dxfId="292" priority="33" stopIfTrue="1" operator="containsText" text=" Сборочные единицы ">
      <formula>NOT(ISERROR(SEARCH(" Сборочные единицы ",A1)))</formula>
    </cfRule>
    <cfRule type="containsText" dxfId="291" priority="34" stopIfTrue="1" operator="containsText" text=" Материалы ">
      <formula>NOT(ISERROR(SEARCH(" Материалы ",A1)))</formula>
    </cfRule>
    <cfRule type="containsText" dxfId="290" priority="35" stopIfTrue="1" operator="containsText" text=", на ">
      <formula>NOT(ISERROR(SEARCH(", на ",A1)))</formula>
    </cfRule>
    <cfRule type="containsText" dxfId="289" priority="36" stopIfTrue="1" operator="containsText" text="шт.)">
      <formula>NOT(ISERROR(SEARCH("шт.)",A1)))</formula>
    </cfRule>
  </conditionalFormatting>
  <conditionalFormatting sqref="A6:U8 A9:A14">
    <cfRule type="containsText" dxfId="259" priority="19" stopIfTrue="1" operator="containsText" text="С ЛИСТА">
      <formula>NOT(ISERROR(SEARCH("С ЛИСТА",A6)))</formula>
    </cfRule>
    <cfRule type="containsText" dxfId="258" priority="20" stopIfTrue="1" operator="containsText" text="ИЗ ФАЙЛА">
      <formula>NOT(ISERROR(SEARCH("ИЗ ФАЙЛА",A6)))</formula>
    </cfRule>
    <cfRule type="containsText" dxfId="257" priority="21" stopIfTrue="1" operator="containsText" text="!!!">
      <formula>NOT(ISERROR(SEARCH("!!!",A6)))</formula>
    </cfRule>
    <cfRule type="containsText" dxfId="256" priority="22" stopIfTrue="1" operator="containsText" text=" Изделия ">
      <formula>NOT(ISERROR(SEARCH(" Изделия ",A6)))</formula>
    </cfRule>
    <cfRule type="containsText" dxfId="255" priority="23" stopIfTrue="1" operator="containsText" text=" Прокат ">
      <formula>NOT(ISERROR(SEARCH(" Прокат ",A6)))</formula>
    </cfRule>
    <cfRule type="containsText" dxfId="254" priority="24" stopIfTrue="1" operator="containsText" text=" Сборочные единицы ">
      <formula>NOT(ISERROR(SEARCH(" Сборочные единицы ",A6)))</formula>
    </cfRule>
    <cfRule type="containsText" dxfId="253" priority="25" stopIfTrue="1" operator="containsText" text=" Материалы ">
      <formula>NOT(ISERROR(SEARCH(" Материалы ",A6)))</formula>
    </cfRule>
    <cfRule type="containsText" dxfId="252" priority="26" stopIfTrue="1" operator="containsText" text=", на ">
      <formula>NOT(ISERROR(SEARCH(", на ",A6)))</formula>
    </cfRule>
    <cfRule type="containsText" dxfId="251" priority="27" stopIfTrue="1" operator="containsText" text="шт.)">
      <formula>NOT(ISERROR(SEARCH("шт.)",A6)))</formula>
    </cfRule>
  </conditionalFormatting>
  <conditionalFormatting sqref="B9:U11">
    <cfRule type="containsText" dxfId="250" priority="10" stopIfTrue="1" operator="containsText" text="С ЛИСТА">
      <formula>NOT(ISERROR(SEARCH("С ЛИСТА",B9)))</formula>
    </cfRule>
    <cfRule type="containsText" dxfId="249" priority="11" stopIfTrue="1" operator="containsText" text="ИЗ ФАЙЛА">
      <formula>NOT(ISERROR(SEARCH("ИЗ ФАЙЛА",B9)))</formula>
    </cfRule>
    <cfRule type="containsText" dxfId="248" priority="12" stopIfTrue="1" operator="containsText" text="!!!">
      <formula>NOT(ISERROR(SEARCH("!!!",B9)))</formula>
    </cfRule>
    <cfRule type="containsText" dxfId="247" priority="13" stopIfTrue="1" operator="containsText" text=" Изделия ">
      <formula>NOT(ISERROR(SEARCH(" Изделия ",B9)))</formula>
    </cfRule>
    <cfRule type="containsText" dxfId="246" priority="14" stopIfTrue="1" operator="containsText" text=" Прокат ">
      <formula>NOT(ISERROR(SEARCH(" Прокат ",B9)))</formula>
    </cfRule>
    <cfRule type="containsText" dxfId="245" priority="15" stopIfTrue="1" operator="containsText" text=" Сборочные единицы ">
      <formula>NOT(ISERROR(SEARCH(" Сборочные единицы ",B9)))</formula>
    </cfRule>
    <cfRule type="containsText" dxfId="244" priority="16" stopIfTrue="1" operator="containsText" text=" Материалы ">
      <formula>NOT(ISERROR(SEARCH(" Материалы ",B9)))</formula>
    </cfRule>
    <cfRule type="containsText" dxfId="243" priority="17" stopIfTrue="1" operator="containsText" text=", на ">
      <formula>NOT(ISERROR(SEARCH(", на ",B9)))</formula>
    </cfRule>
    <cfRule type="containsText" dxfId="242" priority="18" stopIfTrue="1" operator="containsText" text="шт.)">
      <formula>NOT(ISERROR(SEARCH("шт.)",B9)))</formula>
    </cfRule>
  </conditionalFormatting>
  <conditionalFormatting sqref="B12:U14">
    <cfRule type="containsText" dxfId="241" priority="1" stopIfTrue="1" operator="containsText" text="С ЛИСТА">
      <formula>NOT(ISERROR(SEARCH("С ЛИСТА",B12)))</formula>
    </cfRule>
    <cfRule type="containsText" dxfId="240" priority="2" stopIfTrue="1" operator="containsText" text="ИЗ ФАЙЛА">
      <formula>NOT(ISERROR(SEARCH("ИЗ ФАЙЛА",B12)))</formula>
    </cfRule>
    <cfRule type="containsText" dxfId="239" priority="3" stopIfTrue="1" operator="containsText" text="!!!">
      <formula>NOT(ISERROR(SEARCH("!!!",B12)))</formula>
    </cfRule>
    <cfRule type="containsText" dxfId="238" priority="4" stopIfTrue="1" operator="containsText" text=" Изделия ">
      <formula>NOT(ISERROR(SEARCH(" Изделия ",B12)))</formula>
    </cfRule>
    <cfRule type="containsText" dxfId="237" priority="5" stopIfTrue="1" operator="containsText" text=" Прокат ">
      <formula>NOT(ISERROR(SEARCH(" Прокат ",B12)))</formula>
    </cfRule>
    <cfRule type="containsText" dxfId="236" priority="6" stopIfTrue="1" operator="containsText" text=" Сборочные единицы ">
      <formula>NOT(ISERROR(SEARCH(" Сборочные единицы ",B12)))</formula>
    </cfRule>
    <cfRule type="containsText" dxfId="235" priority="7" stopIfTrue="1" operator="containsText" text=" Материалы ">
      <formula>NOT(ISERROR(SEARCH(" Материалы ",B12)))</formula>
    </cfRule>
    <cfRule type="containsText" dxfId="234" priority="8" stopIfTrue="1" operator="containsText" text=", на ">
      <formula>NOT(ISERROR(SEARCH(", на ",B12)))</formula>
    </cfRule>
    <cfRule type="containsText" dxfId="233" priority="9" stopIfTrue="1" operator="containsText" text="шт.)">
      <formula>NOT(ISERROR(SEARCH("шт.)",B12)))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'!System'!$T$2:$T$16</xm:f>
          </x14:formula1>
          <xm:sqref>I4:I5 I7:I8 I10:I11 I13:I14</xm:sqref>
        </x14:dataValidation>
        <x14:dataValidation type="list" errorStyle="warning" allowBlank="1" showInputMessage="1" showErrorMessage="1">
          <x14:formula1>
            <xm:f>'!System'!$AN$1:$AN$6</xm:f>
          </x14:formula1>
          <xm:sqref>G3:G14</xm:sqref>
        </x14:dataValidation>
        <x14:dataValidation type="list" allowBlank="1" showInputMessage="1" showErrorMessage="1">
          <x14:formula1>
            <xm:f>'!System'!$T$1:$AB$1</xm:f>
          </x14:formula1>
          <xm:sqref>J3:J14</xm:sqref>
        </x14:dataValidation>
        <x14:dataValidation type="list" allowBlank="1" showInputMessage="1" showErrorMessage="1">
          <x14:formula1>
            <xm:f>'!System'!$A$1:$R$1</xm:f>
          </x14:formula1>
          <xm:sqref>L3:L14</xm:sqref>
        </x14:dataValidation>
        <x14:dataValidation type="list" allowBlank="1" showInputMessage="1" showErrorMessage="1">
          <x14:formula1>
            <xm:f>'!System'!$AC$1:$AM$1</xm:f>
          </x14:formula1>
          <xm:sqref>O3:O14</xm:sqref>
        </x14:dataValidation>
        <x14:dataValidation type="list" allowBlank="1" showInputMessage="1" showErrorMessage="1">
          <x14:formula1>
            <xm:f>'!System'!$AO$1:$AO$5</xm:f>
          </x14:formula1>
          <xm:sqref>P3:P14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activeCell="A29" sqref="A29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2375</v>
      </c>
      <c r="B1" s="10" t="s">
        <v>2376</v>
      </c>
      <c r="C1" s="9" t="s">
        <v>2377</v>
      </c>
    </row>
    <row r="2" spans="1:3" x14ac:dyDescent="0.25">
      <c r="A2" s="8" t="s">
        <v>2463</v>
      </c>
      <c r="B2" s="7" t="s">
        <v>2393</v>
      </c>
      <c r="C2" s="6" t="s">
        <v>2460</v>
      </c>
    </row>
    <row r="3" spans="1:3" x14ac:dyDescent="0.25">
      <c r="A3" s="8" t="s">
        <v>2464</v>
      </c>
      <c r="B3" s="7" t="s">
        <v>2393</v>
      </c>
      <c r="C3" s="6" t="s">
        <v>2467</v>
      </c>
    </row>
    <row r="4" spans="1:3" x14ac:dyDescent="0.25">
      <c r="A4" s="8"/>
      <c r="B4" s="7"/>
      <c r="C4" s="6"/>
    </row>
    <row r="5" spans="1:3" x14ac:dyDescent="0.25">
      <c r="A5" s="8" t="s">
        <v>2378</v>
      </c>
      <c r="B5" s="7" t="s">
        <v>2379</v>
      </c>
      <c r="C5" s="6" t="s">
        <v>2461</v>
      </c>
    </row>
    <row r="6" spans="1:3" x14ac:dyDescent="0.25">
      <c r="A6" s="8" t="s">
        <v>2380</v>
      </c>
      <c r="B6" s="7" t="s">
        <v>2371</v>
      </c>
      <c r="C6" s="6" t="s">
        <v>2462</v>
      </c>
    </row>
    <row r="7" spans="1:3" x14ac:dyDescent="0.25">
      <c r="A7" s="8" t="s">
        <v>2382</v>
      </c>
      <c r="B7" s="7" t="s">
        <v>2383</v>
      </c>
      <c r="C7" s="6" t="s">
        <v>2461</v>
      </c>
    </row>
    <row r="8" spans="1:3" x14ac:dyDescent="0.25">
      <c r="A8" s="8" t="s">
        <v>2386</v>
      </c>
      <c r="B8" s="7" t="s">
        <v>2385</v>
      </c>
      <c r="C8" s="6" t="s">
        <v>2461</v>
      </c>
    </row>
    <row r="9" spans="1:3" x14ac:dyDescent="0.25">
      <c r="A9" s="8" t="s">
        <v>2465</v>
      </c>
      <c r="B9" s="7" t="s">
        <v>2381</v>
      </c>
      <c r="C9" s="6" t="s">
        <v>2461</v>
      </c>
    </row>
    <row r="10" spans="1:3" x14ac:dyDescent="0.25">
      <c r="A10" s="8" t="s">
        <v>2384</v>
      </c>
      <c r="B10" s="7" t="s">
        <v>2385</v>
      </c>
      <c r="C10" s="6" t="s">
        <v>2461</v>
      </c>
    </row>
    <row r="11" spans="1:3" x14ac:dyDescent="0.25">
      <c r="A11" s="8" t="s">
        <v>2387</v>
      </c>
      <c r="B11" s="7" t="s">
        <v>2388</v>
      </c>
      <c r="C11" s="6" t="s">
        <v>2461</v>
      </c>
    </row>
    <row r="12" spans="1:3" x14ac:dyDescent="0.25">
      <c r="A12" s="8" t="s">
        <v>2382</v>
      </c>
      <c r="B12" s="7" t="s">
        <v>2381</v>
      </c>
      <c r="C12" s="6" t="s">
        <v>2461</v>
      </c>
    </row>
    <row r="13" spans="1:3" x14ac:dyDescent="0.25">
      <c r="A13" s="8" t="s">
        <v>2389</v>
      </c>
      <c r="B13" s="7" t="s">
        <v>2390</v>
      </c>
      <c r="C13" s="6" t="s">
        <v>2461</v>
      </c>
    </row>
    <row r="14" spans="1:3" x14ac:dyDescent="0.25">
      <c r="A14" s="8" t="s">
        <v>2391</v>
      </c>
      <c r="B14" s="7" t="s">
        <v>2385</v>
      </c>
      <c r="C14" s="6" t="s">
        <v>2461</v>
      </c>
    </row>
    <row r="15" spans="1:3" x14ac:dyDescent="0.25">
      <c r="A15" s="8" t="s">
        <v>2466</v>
      </c>
      <c r="B15" s="7" t="s">
        <v>2381</v>
      </c>
      <c r="C15" s="6" t="s">
        <v>2461</v>
      </c>
    </row>
    <row r="16" spans="1:3" ht="15.75" thickBot="1" x14ac:dyDescent="0.3">
      <c r="A16" s="5" t="s">
        <v>2392</v>
      </c>
      <c r="B16" s="4" t="s">
        <v>2388</v>
      </c>
      <c r="C16" s="3" t="s">
        <v>2461</v>
      </c>
    </row>
    <row r="17" spans="1:3" x14ac:dyDescent="0.25">
      <c r="A17" s="2"/>
      <c r="B17" s="2"/>
      <c r="C17" s="2"/>
    </row>
  </sheetData>
  <conditionalFormatting sqref="A1:C16">
    <cfRule type="containsText" dxfId="288" priority="1" operator="containsText" text="Добавить">
      <formula>NOT(ISERROR(SEARCH("Добавить",A1)))</formula>
    </cfRule>
    <cfRule type="containsText" dxfId="287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G30"/>
  <sheetViews>
    <sheetView workbookViewId="0">
      <selection activeCell="D36" sqref="D36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2486</v>
      </c>
    </row>
    <row r="2" spans="1:7" x14ac:dyDescent="0.25">
      <c r="A2" t="s">
        <v>2487</v>
      </c>
      <c r="B2" t="s">
        <v>2488</v>
      </c>
      <c r="C2" t="s">
        <v>2489</v>
      </c>
      <c r="D2" t="s">
        <v>2490</v>
      </c>
      <c r="E2" t="s">
        <v>2491</v>
      </c>
      <c r="F2" t="s">
        <v>2492</v>
      </c>
      <c r="G2" t="s">
        <v>2493</v>
      </c>
    </row>
    <row r="3" spans="1:7" x14ac:dyDescent="0.25">
      <c r="A3" t="s">
        <v>2494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2494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2494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2495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2495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2496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2496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2497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2498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2498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2498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2499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2499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2500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2500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2500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2501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2501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2501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2501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2501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2501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2502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2502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2503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2504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2504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2505</v>
      </c>
      <c r="G30" t="s">
        <v>2506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8"/>
  <sheetViews>
    <sheetView workbookViewId="0">
      <selection activeCell="R14" sqref="R14"/>
    </sheetView>
  </sheetViews>
  <sheetFormatPr defaultRowHeight="15" outlineLevelCol="1" x14ac:dyDescent="0.25"/>
  <cols>
    <col min="1" max="1" width="7.85546875" style="1" customWidth="1"/>
    <col min="2" max="2" width="24.5703125" style="1" customWidth="1"/>
    <col min="3" max="3" width="29.42578125" style="1" customWidth="1"/>
    <col min="4" max="7" width="7.85546875" style="1" customWidth="1"/>
    <col min="8" max="8" width="10.28515625" style="1" customWidth="1"/>
    <col min="9" max="9" width="12.7109375" style="1" customWidth="1"/>
    <col min="10" max="10" width="9.140625" style="1"/>
    <col min="11" max="17" width="0" style="1" hidden="1" customWidth="1" outlineLevel="1"/>
    <col min="18" max="18" width="9.140625" style="1" collapsed="1"/>
    <col min="19" max="16384" width="9.140625" style="1"/>
  </cols>
  <sheetData>
    <row r="1" spans="1:9" ht="16.5" x14ac:dyDescent="0.25">
      <c r="A1" s="60" t="s">
        <v>2394</v>
      </c>
      <c r="B1" s="54" t="s">
        <v>2395</v>
      </c>
      <c r="C1" s="54" t="s">
        <v>2396</v>
      </c>
      <c r="D1" s="56" t="s">
        <v>2412</v>
      </c>
      <c r="E1" s="57"/>
      <c r="F1" s="59"/>
      <c r="G1" s="54" t="s">
        <v>2406</v>
      </c>
      <c r="H1" s="54" t="s">
        <v>2398</v>
      </c>
      <c r="I1" s="62" t="s">
        <v>2369</v>
      </c>
    </row>
    <row r="2" spans="1:9" ht="16.5" x14ac:dyDescent="0.25">
      <c r="A2" s="61"/>
      <c r="B2" s="55"/>
      <c r="C2" s="55"/>
      <c r="D2" s="37" t="s">
        <v>2494</v>
      </c>
      <c r="E2" s="37" t="s">
        <v>2495</v>
      </c>
      <c r="F2" s="37" t="s">
        <v>2496</v>
      </c>
      <c r="G2" s="55"/>
      <c r="H2" s="55"/>
      <c r="I2" s="63"/>
    </row>
    <row r="3" spans="1:9" ht="33" x14ac:dyDescent="0.25">
      <c r="A3" s="36">
        <v>1</v>
      </c>
      <c r="B3" s="37" t="s">
        <v>2399</v>
      </c>
      <c r="C3" s="37" t="s">
        <v>2438</v>
      </c>
      <c r="D3" s="37">
        <v>24630.12</v>
      </c>
      <c r="E3" s="37">
        <v>231.28</v>
      </c>
      <c r="F3" s="37">
        <v>24727.599999999999</v>
      </c>
      <c r="G3" s="37">
        <v>49589</v>
      </c>
      <c r="H3" s="37">
        <v>0.88800000000000001</v>
      </c>
      <c r="I3" s="38" t="s">
        <v>2544</v>
      </c>
    </row>
    <row r="4" spans="1:9" ht="16.5" x14ac:dyDescent="0.25">
      <c r="A4" s="36">
        <v>2</v>
      </c>
      <c r="B4" s="37" t="s">
        <v>2399</v>
      </c>
      <c r="C4" s="37" t="s">
        <v>2530</v>
      </c>
      <c r="D4" s="37">
        <v>1960</v>
      </c>
      <c r="E4" s="37" t="s">
        <v>4</v>
      </c>
      <c r="F4" s="37">
        <v>2613</v>
      </c>
      <c r="G4" s="37">
        <v>4573</v>
      </c>
      <c r="H4" s="37">
        <v>1.04</v>
      </c>
      <c r="I4" s="38" t="s">
        <v>2545</v>
      </c>
    </row>
    <row r="5" spans="1:9" ht="16.5" x14ac:dyDescent="0.25">
      <c r="A5" s="36">
        <v>2</v>
      </c>
      <c r="B5" s="37" t="s">
        <v>2399</v>
      </c>
      <c r="C5" s="37" t="s">
        <v>2540</v>
      </c>
      <c r="D5" s="37" t="s">
        <v>4</v>
      </c>
      <c r="E5" s="37">
        <v>129</v>
      </c>
      <c r="F5" s="37" t="s">
        <v>4</v>
      </c>
      <c r="G5" s="37">
        <v>129</v>
      </c>
      <c r="H5" s="37">
        <v>1.26</v>
      </c>
      <c r="I5" s="38" t="s">
        <v>2541</v>
      </c>
    </row>
    <row r="6" spans="1:9" ht="33" x14ac:dyDescent="0.25">
      <c r="A6" s="36">
        <v>3</v>
      </c>
      <c r="B6" s="37" t="s">
        <v>2399</v>
      </c>
      <c r="C6" s="37" t="s">
        <v>2438</v>
      </c>
      <c r="D6" s="37">
        <v>24630.12</v>
      </c>
      <c r="E6" s="37">
        <v>231.28</v>
      </c>
      <c r="F6" s="37">
        <v>24727.599999999999</v>
      </c>
      <c r="G6" s="37">
        <v>49589</v>
      </c>
      <c r="H6" s="37">
        <v>0.88800000000000001</v>
      </c>
      <c r="I6" s="38" t="s">
        <v>2544</v>
      </c>
    </row>
    <row r="7" spans="1:9" ht="16.5" x14ac:dyDescent="0.25">
      <c r="A7" s="36" t="s">
        <v>2372</v>
      </c>
      <c r="B7" s="37" t="s">
        <v>2372</v>
      </c>
      <c r="C7" s="37" t="s">
        <v>2459</v>
      </c>
      <c r="D7" s="37">
        <v>583.30999999999995</v>
      </c>
      <c r="E7" s="37">
        <v>8.69</v>
      </c>
      <c r="F7" s="37">
        <v>585.66</v>
      </c>
      <c r="G7" s="37">
        <v>1177.6599999999999</v>
      </c>
      <c r="H7" s="37" t="s">
        <v>4</v>
      </c>
      <c r="I7" s="38" t="s">
        <v>3</v>
      </c>
    </row>
    <row r="8" spans="1:9" ht="17.25" thickBot="1" x14ac:dyDescent="0.3">
      <c r="A8" s="39" t="s">
        <v>2532</v>
      </c>
      <c r="B8" s="40" t="s">
        <v>2410</v>
      </c>
      <c r="C8" s="40" t="s">
        <v>2533</v>
      </c>
      <c r="D8" s="40">
        <v>30</v>
      </c>
      <c r="E8" s="40" t="s">
        <v>4</v>
      </c>
      <c r="F8" s="40" t="s">
        <v>4</v>
      </c>
      <c r="G8" s="40">
        <v>30</v>
      </c>
      <c r="H8" s="40">
        <v>1.9200000000000002</v>
      </c>
      <c r="I8" s="41" t="s">
        <v>2534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8">
    <cfRule type="containsText" dxfId="286" priority="1" stopIfTrue="1" operator="containsText" text="С ЛИСТА">
      <formula>NOT(ISERROR(SEARCH("С ЛИСТА",A1)))</formula>
    </cfRule>
    <cfRule type="containsText" dxfId="285" priority="2" stopIfTrue="1" operator="containsText" text="ИЗ ФАЙЛА">
      <formula>NOT(ISERROR(SEARCH("ИЗ ФАЙЛА",A1)))</formula>
    </cfRule>
    <cfRule type="containsText" dxfId="284" priority="3" stopIfTrue="1" operator="containsText" text="!!!">
      <formula>NOT(ISERROR(SEARCH("!!!",A1)))</formula>
    </cfRule>
    <cfRule type="containsText" dxfId="283" priority="4" stopIfTrue="1" operator="containsText" text=" Изделия ">
      <formula>NOT(ISERROR(SEARCH(" Изделия ",A1)))</formula>
    </cfRule>
    <cfRule type="containsText" dxfId="282" priority="5" stopIfTrue="1" operator="containsText" text=" Прокат ">
      <formula>NOT(ISERROR(SEARCH(" Прокат ",A1)))</formula>
    </cfRule>
    <cfRule type="containsText" dxfId="281" priority="6" stopIfTrue="1" operator="containsText" text=" Сборочные единицы ">
      <formula>NOT(ISERROR(SEARCH(" Сборочные единицы ",A1)))</formula>
    </cfRule>
    <cfRule type="containsText" dxfId="280" priority="7" stopIfTrue="1" operator="containsText" text=" Материалы ">
      <formula>NOT(ISERROR(SEARCH(" Материалы ",A1)))</formula>
    </cfRule>
    <cfRule type="containsText" dxfId="279" priority="8" stopIfTrue="1" operator="containsText" text=", на ">
      <formula>NOT(ISERROR(SEARCH(", на ",A1)))</formula>
    </cfRule>
    <cfRule type="containsText" dxfId="27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R9"/>
  <sheetViews>
    <sheetView workbookViewId="0">
      <selection sqref="A1:A5"/>
    </sheetView>
  </sheetViews>
  <sheetFormatPr defaultRowHeight="15" outlineLevelCol="1" x14ac:dyDescent="0.25"/>
  <cols>
    <col min="1" max="1" width="16.28515625" style="1" customWidth="1"/>
    <col min="2" max="7" width="8.140625" style="1" customWidth="1"/>
    <col min="8" max="10" width="9.140625" style="1"/>
    <col min="11" max="17" width="9.140625" style="1" hidden="1" customWidth="1" outlineLevel="1"/>
    <col min="18" max="18" width="9.140625" style="1" collapsed="1"/>
    <col min="19" max="16384" width="9.140625" style="1"/>
  </cols>
  <sheetData>
    <row r="1" spans="1:7" ht="22.7" customHeight="1" x14ac:dyDescent="0.25">
      <c r="A1" s="70" t="s">
        <v>2404</v>
      </c>
      <c r="B1" s="72" t="s">
        <v>2405</v>
      </c>
      <c r="C1" s="72"/>
      <c r="D1" s="72"/>
      <c r="E1" s="72"/>
      <c r="F1" s="72"/>
      <c r="G1" s="71" t="s">
        <v>2406</v>
      </c>
    </row>
    <row r="2" spans="1:7" ht="22.7" customHeight="1" x14ac:dyDescent="0.25">
      <c r="A2" s="64"/>
      <c r="B2" s="69" t="s">
        <v>2407</v>
      </c>
      <c r="C2" s="69"/>
      <c r="D2" s="69"/>
      <c r="E2" s="69"/>
      <c r="F2" s="69" t="s">
        <v>2406</v>
      </c>
      <c r="G2" s="65"/>
    </row>
    <row r="3" spans="1:7" ht="22.7" customHeight="1" x14ac:dyDescent="0.25">
      <c r="A3" s="64"/>
      <c r="B3" s="69" t="s">
        <v>2</v>
      </c>
      <c r="C3" s="69"/>
      <c r="D3" s="69" t="s">
        <v>1</v>
      </c>
      <c r="E3" s="69"/>
      <c r="F3" s="69"/>
      <c r="G3" s="65"/>
    </row>
    <row r="4" spans="1:7" ht="22.7" customHeight="1" x14ac:dyDescent="0.25">
      <c r="A4" s="64"/>
      <c r="B4" s="69" t="s">
        <v>2399</v>
      </c>
      <c r="C4" s="69"/>
      <c r="D4" s="69" t="s">
        <v>2400</v>
      </c>
      <c r="E4" s="69"/>
      <c r="F4" s="69"/>
      <c r="G4" s="65"/>
    </row>
    <row r="5" spans="1:7" ht="22.7" customHeight="1" x14ac:dyDescent="0.25">
      <c r="A5" s="64"/>
      <c r="B5" s="37" t="s">
        <v>2439</v>
      </c>
      <c r="C5" s="37" t="s">
        <v>2406</v>
      </c>
      <c r="D5" s="37" t="s">
        <v>2519</v>
      </c>
      <c r="E5" s="37" t="s">
        <v>2406</v>
      </c>
      <c r="F5" s="69"/>
      <c r="G5" s="65"/>
    </row>
    <row r="6" spans="1:7" ht="22.7" customHeight="1" x14ac:dyDescent="0.25">
      <c r="A6" s="36" t="s">
        <v>2520</v>
      </c>
      <c r="B6" s="19">
        <v>45762.1</v>
      </c>
      <c r="C6" s="19">
        <v>45762.1</v>
      </c>
      <c r="D6" s="19">
        <v>57</v>
      </c>
      <c r="E6" s="19">
        <v>57</v>
      </c>
      <c r="F6" s="19">
        <v>45819.1</v>
      </c>
      <c r="G6" s="20">
        <v>45819.1</v>
      </c>
    </row>
    <row r="7" spans="1:7" ht="22.7" customHeight="1" x14ac:dyDescent="0.25">
      <c r="A7" s="36" t="s">
        <v>2537</v>
      </c>
      <c r="B7" s="19">
        <v>572.29999999999995</v>
      </c>
      <c r="C7" s="19">
        <v>572.29999999999995</v>
      </c>
      <c r="D7" s="19" t="s">
        <v>4</v>
      </c>
      <c r="E7" s="19" t="s">
        <v>4</v>
      </c>
      <c r="F7" s="19">
        <v>572.29999999999995</v>
      </c>
      <c r="G7" s="20">
        <v>572.29999999999995</v>
      </c>
    </row>
    <row r="8" spans="1:7" ht="22.7" customHeight="1" x14ac:dyDescent="0.25">
      <c r="A8" s="36" t="s">
        <v>2538</v>
      </c>
      <c r="B8" s="19">
        <v>46607.9</v>
      </c>
      <c r="C8" s="19">
        <v>46607.9</v>
      </c>
      <c r="D8" s="19" t="s">
        <v>4</v>
      </c>
      <c r="E8" s="19" t="s">
        <v>4</v>
      </c>
      <c r="F8" s="19">
        <v>46607.9</v>
      </c>
      <c r="G8" s="20">
        <v>46607.9</v>
      </c>
    </row>
    <row r="9" spans="1:7" ht="22.7" customHeight="1" thickBot="1" x14ac:dyDescent="0.3">
      <c r="A9" s="12" t="s">
        <v>2411</v>
      </c>
      <c r="B9" s="13">
        <v>92942.3</v>
      </c>
      <c r="C9" s="13">
        <v>92942.3</v>
      </c>
      <c r="D9" s="13">
        <v>57</v>
      </c>
      <c r="E9" s="13">
        <v>57</v>
      </c>
      <c r="F9" s="13">
        <v>92999.3</v>
      </c>
      <c r="G9" s="14">
        <v>92999.3</v>
      </c>
    </row>
  </sheetData>
  <mergeCells count="9">
    <mergeCell ref="A1:A5"/>
    <mergeCell ref="G1:G5"/>
    <mergeCell ref="B1:F1"/>
    <mergeCell ref="B2:E2"/>
    <mergeCell ref="B3:C3"/>
    <mergeCell ref="D3:E3"/>
    <mergeCell ref="B4:C4"/>
    <mergeCell ref="D4:E4"/>
    <mergeCell ref="F2:F5"/>
  </mergeCells>
  <conditionalFormatting sqref="A1:G9">
    <cfRule type="containsText" dxfId="268" priority="1" stopIfTrue="1" operator="containsText" text="С ЛИСТА">
      <formula>NOT(ISERROR(SEARCH("С ЛИСТА",A1)))</formula>
    </cfRule>
    <cfRule type="containsText" dxfId="267" priority="2" stopIfTrue="1" operator="containsText" text="ИЗ ФАЙЛА">
      <formula>NOT(ISERROR(SEARCH("ИЗ ФАЙЛА",A1)))</formula>
    </cfRule>
    <cfRule type="containsText" dxfId="266" priority="3" stopIfTrue="1" operator="containsText" text="!!!">
      <formula>NOT(ISERROR(SEARCH("!!!",A1)))</formula>
    </cfRule>
    <cfRule type="containsText" dxfId="265" priority="4" stopIfTrue="1" operator="containsText" text=" Изделия ">
      <formula>NOT(ISERROR(SEARCH(" Изделия ",A1)))</formula>
    </cfRule>
    <cfRule type="containsText" dxfId="264" priority="5" stopIfTrue="1" operator="containsText" text=" Прокат ">
      <formula>NOT(ISERROR(SEARCH(" Прокат ",A1)))</formula>
    </cfRule>
    <cfRule type="containsText" dxfId="263" priority="6" stopIfTrue="1" operator="containsText" text=" Сборочные единицы ">
      <formula>NOT(ISERROR(SEARCH(" Сборочные единицы ",A1)))</formula>
    </cfRule>
    <cfRule type="containsText" dxfId="262" priority="7" stopIfTrue="1" operator="containsText" text=" Материалы ">
      <formula>NOT(ISERROR(SEARCH(" Материалы ",A1)))</formula>
    </cfRule>
    <cfRule type="containsText" dxfId="261" priority="8" stopIfTrue="1" operator="containsText" text=", на ">
      <formula>NOT(ISERROR(SEARCH(", на ",A1)))</formula>
    </cfRule>
    <cfRule type="containsText" dxfId="26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R17"/>
  <sheetViews>
    <sheetView workbookViewId="0">
      <selection activeCell="G26" sqref="G26"/>
    </sheetView>
  </sheetViews>
  <sheetFormatPr defaultRowHeight="15" outlineLevelCol="1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0" width="9.140625" style="1"/>
    <col min="11" max="17" width="9.140625" style="1" hidden="1" customWidth="1" outlineLevel="1"/>
    <col min="18" max="18" width="9.140625" style="1" collapsed="1"/>
    <col min="19" max="16384" width="9.140625" style="1"/>
  </cols>
  <sheetData>
    <row r="1" spans="1:6" ht="33" x14ac:dyDescent="0.25">
      <c r="A1" s="48" t="s">
        <v>2394</v>
      </c>
      <c r="B1" s="50" t="s">
        <v>2395</v>
      </c>
      <c r="C1" s="50" t="s">
        <v>2396</v>
      </c>
      <c r="D1" s="50" t="s">
        <v>2397</v>
      </c>
      <c r="E1" s="50" t="s">
        <v>2398</v>
      </c>
      <c r="F1" s="49" t="s">
        <v>2369</v>
      </c>
    </row>
    <row r="2" spans="1:6" ht="16.5" x14ac:dyDescent="0.25">
      <c r="A2" s="64" t="s">
        <v>2553</v>
      </c>
      <c r="B2" s="69"/>
      <c r="C2" s="69"/>
      <c r="D2" s="69"/>
      <c r="E2" s="69"/>
      <c r="F2" s="65"/>
    </row>
    <row r="3" spans="1:6" ht="16.5" x14ac:dyDescent="0.25">
      <c r="A3" s="42">
        <v>1</v>
      </c>
      <c r="B3" s="43" t="s">
        <v>2399</v>
      </c>
      <c r="C3" s="43" t="s">
        <v>2438</v>
      </c>
      <c r="D3" s="43">
        <v>24630.12</v>
      </c>
      <c r="E3" s="43">
        <v>0.88800000000000001</v>
      </c>
      <c r="F3" s="44" t="s">
        <v>2529</v>
      </c>
    </row>
    <row r="4" spans="1:6" ht="16.5" x14ac:dyDescent="0.25">
      <c r="A4" s="42">
        <v>2</v>
      </c>
      <c r="B4" s="43" t="s">
        <v>2399</v>
      </c>
      <c r="C4" s="43" t="s">
        <v>2530</v>
      </c>
      <c r="D4" s="43">
        <v>1960</v>
      </c>
      <c r="E4" s="43">
        <v>1.04</v>
      </c>
      <c r="F4" s="44" t="s">
        <v>2531</v>
      </c>
    </row>
    <row r="5" spans="1:6" ht="16.5" x14ac:dyDescent="0.25">
      <c r="A5" s="42">
        <v>3</v>
      </c>
      <c r="B5" s="43" t="s">
        <v>2399</v>
      </c>
      <c r="C5" s="43" t="s">
        <v>2438</v>
      </c>
      <c r="D5" s="43">
        <v>24630.12</v>
      </c>
      <c r="E5" s="43">
        <v>0.88800000000000001</v>
      </c>
      <c r="F5" s="44" t="s">
        <v>2529</v>
      </c>
    </row>
    <row r="6" spans="1:6" ht="16.5" x14ac:dyDescent="0.25">
      <c r="A6" s="42" t="s">
        <v>2372</v>
      </c>
      <c r="B6" s="43" t="s">
        <v>2372</v>
      </c>
      <c r="C6" s="43" t="s">
        <v>2459</v>
      </c>
      <c r="D6" s="43">
        <v>583.30999999999995</v>
      </c>
      <c r="E6" s="43" t="s">
        <v>4</v>
      </c>
      <c r="F6" s="44" t="s">
        <v>3</v>
      </c>
    </row>
    <row r="7" spans="1:6" ht="16.5" x14ac:dyDescent="0.25">
      <c r="A7" s="42" t="s">
        <v>2532</v>
      </c>
      <c r="B7" s="43" t="s">
        <v>2410</v>
      </c>
      <c r="C7" s="43" t="s">
        <v>2533</v>
      </c>
      <c r="D7" s="43">
        <v>1</v>
      </c>
      <c r="E7" s="43">
        <v>1.92</v>
      </c>
      <c r="F7" s="44" t="s">
        <v>2552</v>
      </c>
    </row>
    <row r="8" spans="1:6" ht="16.5" x14ac:dyDescent="0.25">
      <c r="A8" s="64" t="s">
        <v>2554</v>
      </c>
      <c r="B8" s="69"/>
      <c r="C8" s="69"/>
      <c r="D8" s="69"/>
      <c r="E8" s="69"/>
      <c r="F8" s="65"/>
    </row>
    <row r="9" spans="1:6" ht="16.5" x14ac:dyDescent="0.25">
      <c r="A9" s="42">
        <v>1</v>
      </c>
      <c r="B9" s="43" t="s">
        <v>2399</v>
      </c>
      <c r="C9" s="43" t="s">
        <v>2438</v>
      </c>
      <c r="D9" s="43">
        <v>231.28</v>
      </c>
      <c r="E9" s="43">
        <v>0.88800000000000001</v>
      </c>
      <c r="F9" s="44" t="s">
        <v>2539</v>
      </c>
    </row>
    <row r="10" spans="1:6" ht="16.5" x14ac:dyDescent="0.25">
      <c r="A10" s="42">
        <v>2</v>
      </c>
      <c r="B10" s="43" t="s">
        <v>2399</v>
      </c>
      <c r="C10" s="43" t="s">
        <v>2540</v>
      </c>
      <c r="D10" s="43">
        <v>129</v>
      </c>
      <c r="E10" s="43">
        <v>1.26</v>
      </c>
      <c r="F10" s="44" t="s">
        <v>2541</v>
      </c>
    </row>
    <row r="11" spans="1:6" ht="16.5" x14ac:dyDescent="0.25">
      <c r="A11" s="42">
        <v>3</v>
      </c>
      <c r="B11" s="43" t="s">
        <v>2399</v>
      </c>
      <c r="C11" s="43" t="s">
        <v>2438</v>
      </c>
      <c r="D11" s="43">
        <v>231.28</v>
      </c>
      <c r="E11" s="43">
        <v>0.88800000000000001</v>
      </c>
      <c r="F11" s="44" t="s">
        <v>2539</v>
      </c>
    </row>
    <row r="12" spans="1:6" ht="16.5" x14ac:dyDescent="0.25">
      <c r="A12" s="42" t="s">
        <v>2372</v>
      </c>
      <c r="B12" s="43" t="s">
        <v>2372</v>
      </c>
      <c r="C12" s="43" t="s">
        <v>2459</v>
      </c>
      <c r="D12" s="43">
        <v>8.69</v>
      </c>
      <c r="E12" s="43" t="s">
        <v>4</v>
      </c>
      <c r="F12" s="44" t="s">
        <v>3</v>
      </c>
    </row>
    <row r="13" spans="1:6" ht="16.5" x14ac:dyDescent="0.25">
      <c r="A13" s="64" t="s">
        <v>2555</v>
      </c>
      <c r="B13" s="69"/>
      <c r="C13" s="69"/>
      <c r="D13" s="69"/>
      <c r="E13" s="69"/>
      <c r="F13" s="65"/>
    </row>
    <row r="14" spans="1:6" ht="16.5" x14ac:dyDescent="0.25">
      <c r="A14" s="42">
        <v>1</v>
      </c>
      <c r="B14" s="43" t="s">
        <v>2399</v>
      </c>
      <c r="C14" s="43" t="s">
        <v>2438</v>
      </c>
      <c r="D14" s="43">
        <v>24727.599999999999</v>
      </c>
      <c r="E14" s="43">
        <v>0.88800000000000001</v>
      </c>
      <c r="F14" s="44" t="s">
        <v>2542</v>
      </c>
    </row>
    <row r="15" spans="1:6" ht="16.5" x14ac:dyDescent="0.25">
      <c r="A15" s="42">
        <v>2</v>
      </c>
      <c r="B15" s="43" t="s">
        <v>2399</v>
      </c>
      <c r="C15" s="43" t="s">
        <v>2530</v>
      </c>
      <c r="D15" s="43">
        <v>2613</v>
      </c>
      <c r="E15" s="43">
        <v>1.04</v>
      </c>
      <c r="F15" s="44" t="s">
        <v>2543</v>
      </c>
    </row>
    <row r="16" spans="1:6" ht="16.5" x14ac:dyDescent="0.25">
      <c r="A16" s="42">
        <v>3</v>
      </c>
      <c r="B16" s="43" t="s">
        <v>2399</v>
      </c>
      <c r="C16" s="43" t="s">
        <v>2438</v>
      </c>
      <c r="D16" s="43">
        <v>24727.599999999999</v>
      </c>
      <c r="E16" s="43">
        <v>0.88800000000000001</v>
      </c>
      <c r="F16" s="44" t="s">
        <v>2542</v>
      </c>
    </row>
    <row r="17" spans="1:6" ht="17.25" thickBot="1" x14ac:dyDescent="0.3">
      <c r="A17" s="45" t="s">
        <v>2372</v>
      </c>
      <c r="B17" s="46" t="s">
        <v>2372</v>
      </c>
      <c r="C17" s="46" t="s">
        <v>2459</v>
      </c>
      <c r="D17" s="46">
        <v>585.66</v>
      </c>
      <c r="E17" s="46" t="s">
        <v>4</v>
      </c>
      <c r="F17" s="47" t="s">
        <v>3</v>
      </c>
    </row>
  </sheetData>
  <mergeCells count="3">
    <mergeCell ref="A8:F8"/>
    <mergeCell ref="A13:F13"/>
    <mergeCell ref="A2:F2"/>
  </mergeCells>
  <conditionalFormatting sqref="A1:F17">
    <cfRule type="containsText" dxfId="92" priority="9" stopIfTrue="1" operator="containsText" text="шт.)">
      <formula>NOT(ISERROR(SEARCH("шт.)",A1)))</formula>
    </cfRule>
    <cfRule type="containsText" dxfId="91" priority="8" stopIfTrue="1" operator="containsText" text=", на ">
      <formula>NOT(ISERROR(SEARCH(", на ",A1)))</formula>
    </cfRule>
    <cfRule type="containsText" dxfId="90" priority="7" stopIfTrue="1" operator="containsText" text=" Материалы ">
      <formula>NOT(ISERROR(SEARCH(" Материалы ",A1)))</formula>
    </cfRule>
    <cfRule type="containsText" dxfId="89" priority="6" stopIfTrue="1" operator="containsText" text=" Сборочные единицы ">
      <formula>NOT(ISERROR(SEARCH(" Сборочные единицы ",A1)))</formula>
    </cfRule>
    <cfRule type="containsText" dxfId="88" priority="5" stopIfTrue="1" operator="containsText" text=" Прокат ">
      <formula>NOT(ISERROR(SEARCH(" Прокат ",A1)))</formula>
    </cfRule>
    <cfRule type="containsText" dxfId="87" priority="4" stopIfTrue="1" operator="containsText" text=" Изделия ">
      <formula>NOT(ISERROR(SEARCH(" Изделия ",A1)))</formula>
    </cfRule>
    <cfRule type="containsText" dxfId="86" priority="3" stopIfTrue="1" operator="containsText" text="!!!">
      <formula>NOT(ISERROR(SEARCH("!!!",A1)))</formula>
    </cfRule>
    <cfRule type="containsText" dxfId="85" priority="2" stopIfTrue="1" operator="containsText" text="ИЗ ФАЙЛА">
      <formula>NOT(ISERROR(SEARCH("ИЗ ФАЙЛА",A1)))</formula>
    </cfRule>
    <cfRule type="containsText" dxfId="8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R4"/>
  <sheetViews>
    <sheetView workbookViewId="0"/>
  </sheetViews>
  <sheetFormatPr defaultRowHeight="15" outlineLevelCol="1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0" width="9.140625" style="1"/>
    <col min="11" max="17" width="9.140625" style="1" hidden="1" customWidth="1" outlineLevel="1"/>
    <col min="18" max="18" width="9.140625" style="1" collapsed="1"/>
    <col min="19" max="16384" width="9.140625" style="1"/>
  </cols>
  <sheetData>
    <row r="1" spans="1:6" ht="49.5" x14ac:dyDescent="0.25">
      <c r="A1" s="48" t="s">
        <v>2401</v>
      </c>
      <c r="B1" s="50" t="s">
        <v>2402</v>
      </c>
      <c r="C1" s="50" t="s">
        <v>2396</v>
      </c>
      <c r="D1" s="50" t="s">
        <v>2403</v>
      </c>
      <c r="E1" s="50" t="s">
        <v>2562</v>
      </c>
      <c r="F1" s="49" t="s">
        <v>2563</v>
      </c>
    </row>
    <row r="2" spans="1:6" ht="16.5" x14ac:dyDescent="0.25">
      <c r="A2" s="64" t="s">
        <v>2564</v>
      </c>
      <c r="B2" s="43">
        <v>1</v>
      </c>
      <c r="C2" s="43" t="s">
        <v>2548</v>
      </c>
      <c r="D2" s="43">
        <v>9</v>
      </c>
      <c r="E2" s="43">
        <v>0.1</v>
      </c>
      <c r="F2" s="65" t="s">
        <v>2552</v>
      </c>
    </row>
    <row r="3" spans="1:6" ht="16.5" x14ac:dyDescent="0.25">
      <c r="A3" s="64"/>
      <c r="B3" s="43">
        <v>2</v>
      </c>
      <c r="C3" s="43" t="s">
        <v>2549</v>
      </c>
      <c r="D3" s="43">
        <v>2</v>
      </c>
      <c r="E3" s="43">
        <v>0.51</v>
      </c>
      <c r="F3" s="65"/>
    </row>
    <row r="4" spans="1:6" ht="17.25" thickBot="1" x14ac:dyDescent="0.3">
      <c r="A4" s="66" t="s">
        <v>2565</v>
      </c>
      <c r="B4" s="67"/>
      <c r="C4" s="67"/>
      <c r="D4" s="67"/>
      <c r="E4" s="67"/>
      <c r="F4" s="68"/>
    </row>
  </sheetData>
  <mergeCells count="3">
    <mergeCell ref="A2:A3"/>
    <mergeCell ref="F2:F3"/>
    <mergeCell ref="A4:F4"/>
  </mergeCells>
  <conditionalFormatting sqref="A1:F4">
    <cfRule type="containsText" dxfId="24" priority="9" stopIfTrue="1" operator="containsText" text="шт.)">
      <formula>NOT(ISERROR(SEARCH("шт.)",A1)))</formula>
    </cfRule>
    <cfRule type="containsText" dxfId="23" priority="8" stopIfTrue="1" operator="containsText" text=", на ">
      <formula>NOT(ISERROR(SEARCH(", на ",A1)))</formula>
    </cfRule>
    <cfRule type="containsText" dxfId="22" priority="7" stopIfTrue="1" operator="containsText" text=" Материалы ">
      <formula>NOT(ISERROR(SEARCH(" Материалы ",A1)))</formula>
    </cfRule>
    <cfRule type="containsText" dxfId="21" priority="6" stopIfTrue="1" operator="containsText" text=" Сборочные единицы ">
      <formula>NOT(ISERROR(SEARCH(" Сборочные единицы ",A1)))</formula>
    </cfRule>
    <cfRule type="containsText" dxfId="20" priority="5" stopIfTrue="1" operator="containsText" text=" Прокат ">
      <formula>NOT(ISERROR(SEARCH(" Прокат ",A1)))</formula>
    </cfRule>
    <cfRule type="containsText" dxfId="19" priority="4" stopIfTrue="1" operator="containsText" text=" Изделия ">
      <formula>NOT(ISERROR(SEARCH(" Изделия ",A1)))</formula>
    </cfRule>
    <cfRule type="containsText" dxfId="18" priority="3" stopIfTrue="1" operator="containsText" text="!!!">
      <formula>NOT(ISERROR(SEARCH("!!!",A1)))</formula>
    </cfRule>
    <cfRule type="containsText" dxfId="17" priority="2" stopIfTrue="1" operator="containsText" text="ИЗ ФАЙЛА">
      <formula>NOT(ISERROR(SEARCH("ИЗ ФАЙЛА",A1)))</formula>
    </cfRule>
    <cfRule type="containsText" dxfId="1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|Содержание|</vt:lpstr>
      <vt:lpstr>|Лог|</vt:lpstr>
      <vt:lpstr>Пример плиты_спец</vt:lpstr>
      <vt:lpstr>Изделия_спец.И</vt:lpstr>
      <vt:lpstr>Ведомость отделки АБК_правила</vt:lpstr>
      <vt:lpstr>Из архикада_плиты</vt:lpstr>
      <vt:lpstr>Пример плиты_грс</vt:lpstr>
      <vt:lpstr>Пример плиты_кж</vt:lpstr>
      <vt:lpstr>Пример плиты_об</vt:lpstr>
      <vt:lpstr>Пример плиты_гр</vt:lpstr>
      <vt:lpstr>!System</vt:lpstr>
      <vt:lpstr>'Из архикада_плиты'!КЖ_сист_ЖБ_Плиты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2019-01-15T11:11:48Z</dcterms:modified>
</cp:coreProperties>
</file>