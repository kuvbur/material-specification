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2"/>
  </bookViews>
  <sheets>
    <sheet name="|Содержание|" sheetId="661" r:id="rId1"/>
    <sheet name="|Лог|" sheetId="948" state="hidden" r:id="rId2"/>
    <sheet name="Пфм1_спец" sheetId="951" r:id="rId3"/>
    <sheet name="Vedomost otdelki11_правила" sheetId="955" r:id="rId4"/>
    <sheet name="Vedomost otdelki11_вед" sheetId="956" r:id="rId5"/>
    <sheet name="Vedomost otdelki_правила" sheetId="953" r:id="rId6"/>
    <sheet name="Vedomost otdelki_вед" sheetId="954" r:id="rId7"/>
    <sheet name="Vedomost otdelk3i_правила" sheetId="957" r:id="rId8"/>
    <sheet name="Vedomost otdelk3i_вед" sheetId="958" r:id="rId9"/>
    <sheet name="Ведомость заполненийзап" sheetId="949" r:id="rId10"/>
    <sheet name="Ведомость заполнений_зап" sheetId="950" r:id="rId11"/>
    <sheet name="Пфм1_кж" sheetId="952" r:id="rId12"/>
    <sheet name="Пфм1" sheetId="959" r:id="rId13"/>
    <sheet name="!System" sheetId="932" state="hidden" r:id="rId14"/>
  </sheets>
  <functionGroups builtInGroupCount="18"/>
  <externalReferences>
    <externalReference r:id="rId15"/>
  </externalReferences>
  <definedNames>
    <definedName name="_xlnm.Print_Titles" localSheetId="10">'Ведомость заполнений_зап'!$1:$2</definedName>
  </definedNames>
  <calcPr calcId="162913"/>
</workbook>
</file>

<file path=xl/calcChain.xml><?xml version="1.0" encoding="utf-8"?>
<calcChain xmlns="http://schemas.openxmlformats.org/spreadsheetml/2006/main">
  <c r="A3" i="951" l="1"/>
  <c r="B13" i="951" l="1"/>
  <c r="C13" i="951"/>
  <c r="D13" i="951"/>
  <c r="B14" i="951"/>
  <c r="C14" i="951"/>
  <c r="D14" i="951"/>
</calcChain>
</file>

<file path=xl/comments1.xml><?xml version="1.0" encoding="utf-8"?>
<comments xmlns="http://schemas.openxmlformats.org/spreadsheetml/2006/main">
  <authors>
    <author>admin</author>
  </authors>
  <commentList>
    <comment ref="D17" authorId="0" shapeId="0">
      <text>
        <r>
          <rPr>
            <sz val="9"/>
            <color indexed="81"/>
            <rFont val="Tahoma"/>
            <family val="2"/>
            <charset val="204"/>
          </rPr>
          <t>Марка отличается от марки для расчёта анкеровки (Бетон В30)</t>
        </r>
      </text>
    </comment>
  </commentList>
</comments>
</file>

<file path=xl/sharedStrings.xml><?xml version="1.0" encoding="utf-8"?>
<sst xmlns="http://schemas.openxmlformats.org/spreadsheetml/2006/main" count="4685" uniqueCount="2997">
  <si>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</si>
  <si>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</si>
  <si>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</si>
  <si>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</si>
  <si>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</si>
  <si>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</si>
  <si>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</si>
  <si>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</si>
  <si>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</si>
  <si>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</si>
  <si>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</si>
  <si>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</si>
  <si>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</si>
  <si>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</si>
  <si>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</si>
  <si>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</si>
  <si>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</si>
  <si>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</si>
  <si>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</si>
  <si>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</si>
  <si>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</si>
  <si>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</si>
  <si>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</si>
  <si>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</si>
  <si>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</si>
  <si>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</si>
  <si>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</si>
  <si>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</si>
  <si>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</si>
  <si>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</si>
  <si>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</si>
  <si>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</si>
  <si>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</si>
  <si>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</si>
  <si>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</si>
  <si>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</si>
  <si>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</si>
  <si>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</si>
  <si>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</si>
  <si>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</si>
  <si>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</si>
  <si>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</si>
  <si>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</si>
  <si>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</si>
  <si>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</si>
  <si>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</si>
  <si>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</si>
  <si>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</si>
  <si>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</si>
  <si>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</si>
  <si>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</si>
  <si>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</si>
  <si>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</si>
  <si>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</si>
  <si>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</si>
  <si>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</si>
  <si>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</si>
  <si>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</si>
  <si>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</si>
  <si>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</si>
  <si>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</si>
  <si>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</si>
  <si>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</si>
  <si>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</si>
  <si>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</si>
  <si>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</si>
  <si>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</si>
  <si>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</si>
  <si>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</si>
  <si>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</si>
  <si>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</si>
  <si>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</si>
  <si>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</si>
  <si>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</si>
  <si>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</si>
  <si>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</si>
  <si>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</si>
  <si>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</si>
  <si>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</si>
  <si>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</si>
  <si>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</si>
  <si>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</si>
  <si>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</si>
  <si>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</si>
  <si>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</si>
  <si>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</si>
  <si>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</si>
  <si>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</si>
  <si>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</si>
  <si>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</si>
  <si>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</si>
  <si>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</si>
  <si>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</si>
  <si>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</si>
  <si>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</si>
  <si>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</si>
  <si>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</si>
  <si>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</si>
  <si>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</si>
  <si>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</si>
  <si>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</si>
  <si>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</si>
  <si>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</si>
  <si>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</si>
  <si>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</si>
  <si>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</si>
  <si>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</si>
  <si>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</si>
  <si>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</si>
  <si>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</si>
  <si>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</si>
  <si>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</si>
  <si>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</si>
  <si>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</si>
  <si>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</si>
  <si>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</si>
  <si>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</si>
  <si>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</si>
  <si>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</si>
  <si>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</si>
  <si>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</si>
  <si>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</si>
  <si>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</si>
  <si>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</si>
  <si>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</si>
  <si>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</si>
  <si>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</si>
  <si>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</si>
  <si>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</si>
  <si>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</si>
  <si>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</si>
  <si>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</si>
  <si>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</si>
  <si>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</si>
  <si>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</si>
  <si>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</si>
  <si>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</si>
  <si>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</si>
  <si>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</si>
  <si>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</si>
  <si>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</si>
  <si>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</si>
  <si>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</si>
  <si>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</si>
  <si>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</si>
  <si>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</si>
  <si>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</si>
  <si>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</si>
  <si>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</si>
  <si>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</si>
  <si>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</si>
  <si>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</si>
  <si>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</si>
  <si>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</si>
  <si>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</si>
  <si>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</si>
  <si>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</si>
  <si>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</si>
  <si>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</si>
  <si>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</si>
  <si>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</si>
  <si>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</si>
  <si>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</si>
  <si>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</si>
  <si>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</si>
  <si>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</si>
  <si>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</si>
  <si>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</si>
  <si>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</si>
  <si>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</si>
  <si>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</si>
  <si>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</si>
  <si>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</si>
  <si>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</si>
  <si>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</si>
  <si>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</si>
  <si>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</si>
  <si>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</si>
  <si>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</si>
  <si>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</si>
  <si>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</si>
  <si>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</si>
  <si>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</si>
  <si>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</si>
  <si>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</si>
  <si>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</si>
  <si>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</si>
  <si>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</si>
  <si>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</si>
  <si>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</si>
  <si>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</si>
  <si>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</si>
  <si>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</si>
  <si>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</si>
  <si>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</si>
  <si>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</si>
  <si>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</si>
  <si>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</si>
  <si>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</si>
  <si>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</si>
  <si>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</si>
  <si>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</si>
  <si>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</si>
  <si>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</si>
  <si>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</si>
  <si>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</si>
  <si>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</si>
  <si>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</si>
  <si>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</si>
  <si>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</si>
  <si>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</si>
  <si>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</si>
  <si>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</si>
  <si>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</si>
  <si>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</si>
  <si>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</si>
  <si>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</si>
  <si>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</si>
  <si>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</si>
  <si>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</si>
  <si>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</si>
  <si>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</si>
  <si>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</si>
  <si>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</si>
  <si>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</si>
  <si>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</si>
  <si>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</si>
  <si>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</si>
  <si>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</si>
  <si>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</si>
  <si>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</si>
  <si>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</si>
  <si>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</si>
  <si>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</si>
  <si>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</si>
  <si>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</si>
  <si>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</si>
  <si>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</si>
  <si>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</si>
  <si>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</si>
  <si>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</si>
  <si>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</si>
  <si>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</si>
  <si>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</si>
  <si>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</si>
  <si>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</si>
  <si>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</si>
  <si>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</si>
  <si>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</si>
  <si>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</si>
  <si>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</si>
  <si>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</si>
  <si>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</si>
  <si>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</si>
  <si>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</si>
  <si>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</si>
  <si>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</si>
  <si>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</si>
  <si>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</si>
  <si>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</si>
  <si>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</si>
  <si>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</si>
  <si>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</si>
  <si>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</si>
  <si>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</si>
  <si>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</si>
  <si>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</si>
  <si>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</si>
  <si>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</si>
  <si>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</si>
  <si>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</si>
  <si>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</si>
  <si>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</si>
  <si>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</si>
  <si>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</si>
  <si>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</si>
  <si>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</si>
  <si>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</si>
  <si>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</si>
  <si>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</si>
  <si>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</si>
  <si>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</si>
  <si>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</si>
  <si>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</si>
  <si>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</si>
  <si>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</si>
  <si>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</si>
  <si>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</si>
  <si>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</si>
  <si>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</si>
  <si>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</si>
  <si>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</si>
  <si>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</si>
  <si>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</si>
  <si>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</si>
  <si>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</si>
  <si>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</si>
  <si>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</si>
  <si>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</si>
  <si>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</si>
  <si>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</si>
  <si>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</si>
  <si>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</si>
  <si>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</si>
  <si>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</si>
  <si>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</si>
  <si>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</si>
  <si>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</si>
  <si>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</si>
  <si>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</si>
  <si>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</si>
  <si>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</si>
  <si>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</si>
  <si>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</si>
  <si>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</si>
  <si>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</si>
  <si>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</si>
  <si>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</si>
  <si>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</si>
  <si>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</si>
  <si>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</si>
  <si>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</si>
  <si>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</si>
  <si>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</si>
  <si>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</si>
  <si>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</si>
  <si>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</si>
  <si>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</si>
  <si>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</si>
  <si>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</si>
  <si>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</si>
  <si>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</si>
  <si>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</si>
  <si>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</si>
  <si>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</si>
  <si>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</si>
  <si>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</si>
  <si>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</si>
  <si>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</si>
  <si>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</si>
  <si>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</si>
  <si>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</si>
  <si>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</si>
  <si>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</si>
  <si>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</si>
  <si>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</si>
  <si>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</si>
  <si>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</si>
  <si>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</si>
  <si>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</si>
  <si>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</si>
  <si>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</si>
  <si>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</si>
  <si>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</si>
  <si>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</si>
  <si>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</si>
  <si>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</si>
  <si>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</si>
  <si>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</si>
  <si>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</si>
  <si>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</si>
  <si>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</si>
  <si>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</si>
  <si>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</si>
  <si>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</si>
  <si>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</si>
  <si>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</si>
  <si>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</si>
  <si>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</si>
  <si>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</si>
  <si>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</si>
  <si>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</si>
  <si>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</si>
  <si>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</si>
  <si>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</si>
  <si>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</si>
  <si>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</si>
  <si>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</si>
  <si>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</si>
  <si>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</si>
  <si>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</si>
  <si>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</si>
  <si>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</si>
  <si>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</si>
  <si>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</si>
  <si>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</si>
  <si>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</si>
  <si>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</si>
  <si>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</si>
  <si>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</si>
  <si>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</si>
  <si>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</si>
  <si>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</si>
  <si>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</si>
  <si>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</si>
  <si>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</si>
  <si>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</si>
  <si>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</si>
  <si>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</si>
  <si>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</si>
  <si>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</si>
  <si>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</si>
  <si>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</si>
  <si>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</si>
  <si>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</si>
  <si>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</si>
  <si>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</si>
  <si>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</si>
  <si>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</si>
  <si>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</si>
  <si>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</si>
  <si>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</si>
  <si>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</si>
  <si>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</si>
  <si>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</si>
  <si>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</si>
  <si>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</si>
  <si>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</si>
  <si>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</si>
  <si>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</si>
  <si>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</si>
  <si>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</si>
  <si>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</si>
  <si>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</si>
  <si>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</si>
  <si>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</si>
  <si>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</si>
  <si>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</si>
  <si>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</si>
  <si>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</si>
  <si>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</si>
  <si>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</si>
  <si>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</si>
  <si>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</si>
  <si>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</si>
  <si>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</si>
  <si>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</si>
  <si>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</si>
  <si>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</si>
  <si>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</si>
  <si>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</si>
  <si>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</si>
  <si>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</si>
  <si>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</si>
  <si>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</si>
  <si>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</si>
  <si>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</si>
  <si>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</si>
  <si>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</si>
  <si>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</si>
  <si>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</si>
  <si>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</si>
  <si>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</si>
  <si>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</si>
  <si>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</si>
  <si>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</si>
  <si>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</si>
  <si>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</si>
  <si>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</si>
  <si>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</si>
  <si>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</si>
  <si>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</si>
  <si>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</si>
  <si>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</si>
  <si>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</si>
  <si>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</si>
  <si>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</si>
  <si>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</si>
  <si>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</si>
  <si>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</si>
  <si>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</si>
  <si>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</si>
  <si>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</si>
  <si>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</si>
  <si>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</si>
  <si>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</si>
  <si>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</si>
  <si>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</si>
  <si>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</si>
  <si>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</si>
  <si>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</si>
  <si>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</si>
  <si>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</si>
  <si>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</si>
  <si>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</si>
  <si>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</si>
  <si>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</si>
  <si>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</si>
  <si>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</si>
  <si>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</si>
  <si>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</si>
  <si>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</si>
  <si>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</si>
  <si>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</si>
  <si>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</si>
  <si>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</si>
  <si>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</si>
  <si>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</si>
  <si>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</si>
  <si>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</si>
  <si>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</si>
  <si>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</si>
  <si>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</si>
  <si>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</si>
  <si>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</si>
  <si>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</si>
  <si>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</si>
  <si>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</si>
  <si>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</si>
  <si>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</si>
  <si>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</si>
  <si>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</si>
  <si>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</si>
  <si>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</si>
  <si>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</si>
  <si>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</si>
  <si>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</si>
  <si>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</si>
  <si>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</si>
  <si>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</si>
  <si>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</si>
  <si>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</si>
  <si>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</si>
  <si>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</si>
  <si>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</si>
  <si>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</si>
  <si>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</si>
  <si>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</si>
  <si>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</si>
  <si>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</si>
  <si>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</si>
  <si>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</si>
  <si>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</si>
  <si>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</si>
  <si>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</si>
  <si>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</si>
  <si>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</si>
  <si>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</si>
  <si>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</si>
  <si>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</si>
  <si>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</si>
  <si>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</si>
  <si>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</si>
  <si>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</si>
  <si>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</si>
  <si>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</si>
  <si>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</si>
  <si>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</si>
  <si>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</si>
  <si>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</si>
  <si>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</si>
  <si>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</si>
  <si>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</si>
  <si>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</si>
  <si>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</si>
  <si>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</si>
  <si>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</si>
  <si>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</si>
  <si>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</si>
  <si>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</si>
  <si>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</si>
  <si>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</si>
  <si>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</si>
  <si>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</si>
  <si>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</si>
  <si>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</si>
  <si>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</si>
  <si>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</si>
  <si>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</si>
  <si>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</si>
  <si>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</si>
  <si>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</si>
  <si>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</si>
  <si>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</si>
  <si>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</si>
  <si>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</si>
  <si>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</si>
  <si>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</si>
  <si>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</si>
  <si>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</si>
  <si>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</si>
  <si>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</si>
  <si>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</si>
  <si>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</si>
  <si>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</si>
  <si>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</si>
  <si>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</si>
  <si>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</si>
  <si>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</si>
  <si>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</si>
  <si>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</si>
  <si>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</si>
  <si>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</si>
  <si>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</si>
  <si>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</si>
  <si>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</si>
  <si>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</si>
  <si>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</si>
  <si>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</si>
  <si>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</si>
  <si>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</si>
  <si>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</si>
  <si>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</si>
  <si>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</si>
  <si>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</si>
  <si>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</si>
  <si>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</si>
  <si>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</si>
  <si>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</si>
  <si>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</si>
  <si>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</si>
  <si>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</si>
  <si>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</si>
  <si>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</si>
  <si>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</si>
  <si>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</si>
  <si>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</si>
  <si>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</si>
  <si>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</si>
  <si>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</si>
  <si>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</si>
  <si>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</si>
  <si>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</si>
  <si>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</si>
  <si>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</si>
  <si>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</si>
  <si>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</si>
  <si>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</si>
  <si>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</si>
  <si>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</si>
  <si>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</si>
  <si>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</si>
  <si>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</si>
  <si>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</si>
  <si>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</si>
  <si>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</si>
  <si>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</si>
  <si>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</si>
  <si>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</si>
  <si>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</si>
  <si>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</si>
  <si>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</si>
  <si>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</si>
  <si>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</si>
  <si>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</si>
  <si>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</si>
  <si>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</si>
  <si>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</si>
  <si>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</si>
  <si>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</si>
  <si>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</si>
  <si>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</si>
  <si>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</si>
  <si>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</si>
  <si>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</si>
  <si>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</si>
  <si>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</si>
  <si>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</si>
  <si>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</si>
  <si>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</si>
  <si>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</si>
  <si>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</si>
  <si>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</si>
  <si>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</si>
  <si>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</si>
  <si>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</si>
  <si>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</si>
  <si>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</si>
  <si>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</si>
  <si>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</si>
  <si>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</si>
  <si>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</si>
  <si>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</si>
  <si>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</si>
  <si>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</si>
  <si>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</si>
  <si>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</si>
  <si>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</si>
  <si>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</si>
  <si>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</si>
  <si>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</si>
  <si>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</si>
  <si>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</si>
  <si>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</si>
  <si>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</si>
  <si>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</si>
  <si>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</si>
  <si>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</si>
  <si>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</si>
  <si>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</si>
  <si>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</si>
  <si>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</si>
  <si>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</si>
  <si>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</si>
  <si>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</si>
  <si>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</si>
  <si>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</si>
  <si>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</si>
  <si>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</si>
  <si>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</si>
  <si>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</si>
  <si>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</si>
  <si>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</si>
  <si>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</si>
  <si>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</si>
  <si>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</si>
  <si>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</si>
  <si>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</si>
  <si>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</si>
  <si>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</si>
  <si>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</si>
  <si>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</si>
  <si>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</si>
  <si>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</si>
  <si>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</si>
  <si>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</si>
  <si>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</si>
  <si>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</si>
  <si>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</si>
  <si>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</si>
  <si>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</si>
  <si>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</si>
  <si>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</si>
  <si>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</si>
  <si>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</si>
  <si>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</si>
  <si>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</si>
  <si>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</si>
  <si>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</si>
  <si>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</si>
  <si>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</si>
  <si>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</si>
  <si>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</si>
  <si>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</si>
  <si>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</si>
  <si>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</si>
  <si>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</si>
  <si>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</si>
  <si>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</si>
  <si>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</si>
  <si>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</si>
  <si>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</si>
  <si>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</si>
  <si>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</si>
  <si>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</si>
  <si>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</si>
  <si>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</si>
  <si>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</si>
  <si>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</si>
  <si>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</si>
  <si>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</si>
  <si>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</si>
  <si>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</si>
  <si>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</si>
  <si>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</si>
  <si>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</si>
  <si>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</si>
  <si>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</si>
  <si>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</si>
  <si>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</si>
  <si>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</si>
  <si>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</si>
  <si>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</si>
  <si>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</si>
  <si>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</si>
  <si>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</si>
  <si>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</si>
  <si>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</si>
  <si>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</si>
  <si>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</si>
  <si>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</si>
  <si>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</si>
  <si>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</si>
  <si>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</si>
  <si>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</si>
  <si>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</si>
  <si>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</si>
  <si>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</si>
  <si>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</si>
  <si>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</si>
  <si>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</si>
  <si>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</si>
  <si>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</si>
  <si>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</si>
  <si>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</si>
  <si>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</si>
  <si>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</si>
  <si>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</si>
  <si>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</si>
  <si>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</si>
  <si>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</si>
  <si>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</si>
  <si>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</si>
  <si>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</si>
  <si>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</si>
  <si>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</si>
  <si>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</si>
  <si>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</si>
  <si>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</si>
  <si>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</si>
  <si>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</si>
  <si>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</si>
  <si>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</si>
  <si>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</si>
  <si>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</si>
  <si>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</si>
  <si>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</si>
  <si>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</si>
  <si>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</si>
  <si>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</si>
  <si>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</si>
  <si>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</si>
  <si>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</si>
  <si>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</si>
  <si>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</si>
  <si>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</si>
  <si>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</si>
  <si>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</si>
  <si>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</si>
  <si>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</si>
  <si>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</si>
  <si>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</si>
  <si>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</si>
  <si>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</si>
  <si>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</si>
  <si>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</si>
  <si>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</si>
  <si>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</si>
  <si>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</si>
  <si>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</si>
  <si>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</si>
  <si>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</si>
  <si>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</si>
  <si>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</si>
  <si>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</si>
  <si>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</si>
  <si>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</si>
  <si>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</si>
  <si>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</si>
  <si>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</si>
  <si>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</si>
  <si>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</si>
  <si>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</si>
  <si>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</si>
  <si>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</si>
  <si>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</si>
  <si>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</si>
  <si>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</si>
  <si>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</si>
  <si>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</si>
  <si>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</si>
  <si>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</si>
  <si>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</si>
  <si>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</si>
  <si>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</si>
  <si>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</si>
  <si>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</si>
  <si>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</si>
  <si>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</si>
  <si>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</si>
  <si>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</si>
  <si>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</si>
  <si>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</si>
  <si>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</si>
  <si>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</si>
  <si>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</si>
  <si>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</si>
  <si>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</si>
  <si>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</si>
  <si>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</si>
  <si>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</si>
  <si>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</si>
  <si>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</si>
  <si>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</si>
  <si>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</si>
  <si>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</si>
  <si>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</si>
  <si>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</si>
  <si>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</si>
  <si>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</si>
  <si>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</si>
  <si>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</si>
  <si>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</si>
  <si>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</si>
  <si>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</si>
  <si>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</si>
  <si>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</si>
  <si>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</si>
  <si>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</si>
  <si>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</si>
  <si>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</si>
  <si>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</si>
  <si>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</si>
  <si>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</si>
  <si>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</si>
  <si>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</si>
  <si>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</si>
  <si>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</si>
  <si>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</si>
  <si>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</si>
  <si>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</si>
  <si>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</si>
  <si>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</si>
  <si>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</si>
  <si>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</si>
  <si>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</si>
  <si>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</si>
  <si>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</si>
  <si>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</si>
  <si>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</si>
  <si>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</si>
  <si>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</si>
  <si>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</si>
  <si>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</si>
  <si>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</si>
  <si>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</si>
  <si>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</si>
  <si>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</si>
  <si>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</si>
  <si>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</si>
  <si>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</si>
  <si>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</si>
  <si>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</si>
  <si>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</si>
  <si>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</si>
  <si>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</si>
  <si>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</si>
  <si>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</si>
  <si>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</si>
  <si>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</si>
  <si>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</si>
  <si>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</si>
  <si>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</si>
  <si>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</si>
  <si>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</si>
  <si>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</si>
  <si>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</si>
  <si>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</si>
  <si>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</si>
  <si>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</si>
  <si>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</si>
  <si>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</si>
  <si>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</si>
  <si>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</si>
  <si>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</si>
  <si>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</si>
  <si>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</si>
  <si>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</si>
  <si>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</si>
  <si>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</si>
  <si>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</si>
  <si>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</si>
  <si>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</si>
  <si>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</si>
  <si>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</si>
  <si>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</si>
  <si>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</si>
  <si>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</si>
  <si>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</si>
  <si>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</si>
  <si>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</si>
  <si>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</si>
  <si>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</si>
  <si>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</si>
  <si>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</si>
  <si>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</si>
  <si>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</si>
  <si>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</si>
  <si>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</si>
  <si>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</si>
  <si>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</si>
  <si>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</si>
  <si>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</si>
  <si>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</si>
  <si>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</si>
  <si>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</si>
  <si>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</si>
  <si>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</si>
  <si>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</si>
  <si>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</si>
  <si>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</si>
  <si>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</si>
  <si>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</si>
  <si>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</si>
  <si>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</si>
  <si>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</si>
  <si>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</si>
  <si>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</si>
  <si>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</si>
  <si>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</si>
  <si>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</si>
  <si>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</si>
  <si>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</si>
  <si>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</si>
  <si>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</si>
  <si>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</si>
  <si>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</si>
  <si>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</si>
  <si>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</si>
  <si>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</si>
  <si>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</si>
  <si>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</si>
  <si>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</si>
  <si>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</si>
  <si>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</si>
  <si>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</si>
  <si>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</si>
  <si>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</si>
  <si>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</si>
  <si>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</si>
  <si>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</si>
  <si>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</si>
  <si>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</si>
  <si>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</si>
  <si>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</si>
  <si>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</si>
  <si>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</si>
  <si>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</si>
  <si>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</si>
  <si>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</si>
  <si>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</si>
  <si>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</si>
  <si>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</si>
  <si>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</si>
  <si>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</si>
  <si>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</si>
  <si>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</si>
  <si>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</si>
  <si>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</si>
  <si>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</si>
  <si>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</si>
  <si>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</si>
  <si>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</si>
  <si>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</si>
  <si>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</si>
  <si>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</si>
  <si>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</si>
  <si>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</si>
  <si>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</si>
  <si>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</si>
  <si>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</si>
  <si>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</si>
  <si>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</si>
  <si>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</si>
  <si>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</si>
  <si>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</si>
  <si>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</si>
  <si>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</si>
  <si>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</si>
  <si>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</si>
  <si>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</si>
  <si>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</si>
  <si>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</si>
  <si>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</si>
  <si>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</si>
  <si>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</si>
  <si>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</si>
  <si>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</si>
  <si>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</si>
  <si>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</si>
  <si>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</si>
  <si>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</si>
  <si>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</si>
  <si>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</si>
  <si>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</si>
  <si>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</si>
  <si>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</si>
  <si>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</si>
  <si>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</si>
  <si>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</si>
  <si>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</si>
  <si>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</si>
  <si>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</si>
  <si>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</si>
  <si>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</si>
  <si>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</si>
  <si>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</si>
  <si>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</si>
  <si>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</si>
  <si>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</si>
  <si>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</si>
  <si>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</si>
  <si>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</si>
  <si>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</si>
  <si>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</si>
  <si>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</si>
  <si>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</si>
  <si>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</si>
  <si>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</si>
  <si>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</si>
  <si>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</si>
  <si>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</si>
  <si>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</si>
  <si>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</si>
  <si>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</si>
  <si>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</si>
  <si>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</si>
  <si>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</si>
  <si>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</si>
  <si>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</si>
  <si>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</si>
  <si>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</si>
  <si>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</si>
  <si>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</si>
  <si>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</si>
  <si>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</si>
  <si>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</si>
  <si>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</si>
  <si>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</si>
  <si>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</si>
  <si>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</si>
  <si>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</si>
  <si>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</si>
  <si>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</si>
  <si>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</si>
  <si>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</si>
  <si>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</si>
  <si>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</si>
  <si>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</si>
  <si>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</si>
  <si>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</si>
  <si>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</si>
  <si>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</si>
  <si>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</si>
  <si>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</si>
  <si>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</si>
  <si>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</si>
  <si>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</si>
  <si>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</si>
  <si>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</si>
  <si>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</si>
  <si>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</si>
  <si>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</si>
  <si>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</si>
  <si>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</si>
  <si>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</si>
  <si>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</si>
  <si>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</si>
  <si>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</si>
  <si>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</si>
  <si>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</si>
  <si>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</si>
  <si>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</si>
  <si>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</si>
  <si>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</si>
  <si>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</si>
  <si>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</si>
  <si>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</si>
  <si>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</si>
  <si>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</si>
  <si>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</si>
  <si>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</si>
  <si>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</si>
  <si>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</si>
  <si>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</si>
  <si>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</si>
  <si>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</si>
  <si>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</si>
  <si>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</si>
  <si>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</si>
  <si>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</si>
  <si>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</si>
  <si>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</si>
  <si>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</si>
  <si>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</si>
  <si>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</si>
  <si>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</si>
  <si>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</si>
  <si>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</si>
  <si>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</si>
  <si>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</si>
  <si>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</si>
  <si>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</si>
  <si>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</si>
  <si>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</si>
  <si>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</si>
  <si>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</si>
  <si>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</si>
  <si>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</si>
  <si>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</si>
  <si>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</si>
  <si>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</si>
  <si>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</si>
  <si>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</si>
  <si>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</si>
  <si>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</si>
  <si>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</si>
  <si>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</si>
  <si>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</si>
  <si>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</si>
  <si>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</si>
  <si>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</si>
  <si>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</si>
  <si>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</si>
  <si>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</si>
  <si>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</si>
  <si>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</si>
  <si>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</si>
  <si>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</si>
  <si>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</si>
  <si>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</si>
  <si>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</si>
  <si>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</si>
  <si>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</si>
  <si>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</si>
  <si>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</si>
  <si>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</si>
  <si>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</si>
  <si>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</si>
  <si>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</si>
  <si>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</si>
  <si>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</si>
  <si>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</si>
  <si>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</si>
  <si>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</si>
  <si>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</si>
  <si>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</si>
  <si>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</si>
  <si>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</si>
  <si>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</si>
  <si>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</si>
  <si>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</si>
  <si>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</si>
  <si>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</si>
  <si>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</si>
  <si>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</si>
  <si>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</si>
  <si>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</si>
  <si>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</si>
  <si>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</si>
  <si>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</si>
  <si>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</si>
  <si>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</si>
  <si>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</si>
  <si>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</si>
  <si>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</si>
  <si>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</si>
  <si>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</si>
  <si>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</si>
  <si>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</si>
  <si>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</si>
  <si>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</si>
  <si>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</si>
  <si>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</si>
  <si>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</si>
  <si>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</si>
  <si>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</si>
  <si>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</si>
  <si>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</si>
  <si>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</si>
  <si>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</si>
  <si>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</si>
  <si>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</si>
  <si>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</si>
  <si>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</si>
  <si>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</si>
  <si>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</si>
  <si>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</si>
  <si>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</si>
  <si>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</si>
  <si>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</si>
  <si>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</si>
  <si>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</si>
  <si>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</si>
  <si>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</si>
  <si>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</si>
  <si>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</si>
  <si>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</si>
  <si>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</si>
  <si>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</si>
  <si>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</si>
  <si>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</si>
  <si>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</si>
  <si>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</si>
  <si>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</si>
  <si>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</si>
  <si>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</si>
  <si>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</si>
  <si>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</si>
  <si>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</si>
  <si>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</si>
  <si>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</si>
  <si>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</si>
  <si>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</si>
  <si>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</si>
  <si>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</si>
  <si>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</si>
  <si>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</si>
  <si>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</si>
  <si>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</si>
  <si>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</si>
  <si>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</si>
  <si>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</si>
  <si>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</si>
  <si>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</si>
  <si>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</si>
  <si>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</si>
  <si>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</si>
  <si>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</si>
  <si>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</si>
  <si>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</si>
  <si>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</si>
  <si>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</si>
  <si>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</si>
  <si>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</si>
  <si>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</si>
  <si>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</si>
  <si>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</si>
  <si>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</si>
  <si>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</si>
  <si>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</si>
  <si>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</si>
  <si>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</si>
  <si>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</si>
  <si>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</si>
  <si>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</si>
  <si>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</si>
  <si>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</si>
  <si>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</si>
  <si>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</si>
  <si>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</si>
  <si>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</si>
  <si>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</si>
  <si>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</si>
  <si>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</si>
  <si>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</si>
  <si>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</si>
  <si>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</si>
  <si>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</si>
  <si>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</si>
  <si>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</si>
  <si>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</si>
  <si>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</si>
  <si>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</si>
  <si>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</si>
  <si>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</si>
  <si>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</si>
  <si>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</si>
  <si>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</si>
  <si>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</si>
  <si>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</si>
  <si>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</si>
  <si>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</si>
  <si>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</si>
  <si>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</si>
  <si>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</si>
  <si>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</si>
  <si>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</si>
  <si>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</si>
  <si>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</si>
  <si>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</si>
  <si>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</si>
  <si>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</si>
  <si>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</si>
  <si>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</si>
  <si>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</si>
  <si>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</si>
  <si>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</si>
  <si>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</si>
  <si>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</si>
  <si>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</si>
  <si>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</si>
  <si>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</si>
  <si>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</si>
  <si>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</si>
  <si>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</si>
  <si>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</si>
  <si>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</si>
  <si>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</si>
  <si>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</si>
  <si>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</si>
  <si>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</si>
  <si>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</si>
  <si>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</si>
  <si>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</si>
  <si>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</si>
  <si>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</si>
  <si>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</si>
  <si>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</si>
  <si>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</si>
  <si>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</si>
  <si>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</si>
  <si>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</si>
  <si>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</si>
  <si>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</si>
  <si>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</si>
  <si>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</si>
  <si>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</si>
  <si>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</si>
  <si>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</si>
  <si>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</si>
  <si>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</si>
  <si>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</si>
  <si>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</si>
  <si>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</si>
  <si>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</si>
  <si>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</si>
  <si>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</si>
  <si>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</si>
  <si>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</si>
  <si>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</si>
  <si>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</si>
  <si>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</si>
  <si>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</si>
  <si>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</si>
  <si>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</si>
  <si>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</si>
  <si>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</si>
  <si>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</si>
  <si>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</si>
  <si>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</si>
  <si>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</si>
  <si>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</si>
  <si>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</si>
  <si>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</si>
  <si>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</si>
  <si>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</si>
  <si>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</si>
  <si>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</si>
  <si>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</si>
  <si>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</si>
  <si>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</si>
  <si>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</si>
  <si>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</si>
  <si>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</si>
  <si>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</si>
  <si>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</si>
  <si>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</si>
  <si>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</si>
  <si>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</si>
  <si>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</si>
  <si>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</si>
  <si>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</si>
  <si>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</si>
  <si>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</si>
  <si>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</si>
  <si>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</si>
  <si>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</si>
  <si>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</si>
  <si>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</si>
  <si>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</si>
  <si>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</si>
  <si>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</si>
  <si>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</si>
  <si>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</si>
  <si>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</si>
  <si>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</si>
  <si>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</si>
  <si>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</si>
  <si>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</si>
  <si>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</si>
  <si>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</si>
  <si>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</si>
  <si>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</si>
  <si>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</si>
  <si>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</si>
  <si>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</si>
  <si>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</si>
  <si>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</si>
  <si>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</si>
  <si>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</si>
  <si>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</si>
  <si>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</si>
  <si>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</si>
  <si>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</si>
  <si>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</si>
  <si>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</si>
  <si>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</si>
  <si>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</si>
  <si>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</si>
  <si>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</si>
  <si>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</si>
  <si>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</si>
  <si>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</si>
  <si>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</si>
  <si>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</si>
  <si>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</si>
  <si>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</si>
  <si>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</si>
  <si>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</si>
  <si>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</si>
  <si>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</si>
  <si>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</si>
  <si>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</si>
  <si>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</si>
  <si>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</si>
  <si>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</si>
  <si>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</si>
  <si>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</si>
  <si>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</si>
  <si>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</si>
  <si>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</si>
  <si>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</si>
  <si>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</si>
  <si>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</si>
  <si>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</si>
  <si>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</si>
  <si>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</si>
  <si>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</si>
  <si>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</si>
  <si>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</si>
  <si>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</si>
  <si>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</si>
  <si>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</si>
  <si>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</si>
  <si>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</si>
  <si>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</si>
  <si>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</si>
  <si>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</si>
  <si>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</si>
  <si>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</si>
  <si>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</si>
  <si>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</si>
  <si>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</si>
  <si>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</si>
  <si>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</si>
  <si>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</si>
  <si>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</si>
  <si>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</si>
  <si>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</si>
  <si>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</si>
  <si>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</si>
  <si>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</si>
  <si>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</si>
  <si>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</si>
  <si>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</si>
  <si>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</si>
  <si>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</si>
  <si>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</si>
  <si>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</si>
  <si>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</si>
  <si>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</si>
  <si>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</si>
  <si>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</si>
  <si>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</si>
  <si>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</si>
  <si>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</si>
  <si>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</si>
  <si>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</si>
  <si>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</si>
  <si>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</si>
  <si>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</si>
  <si>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</si>
  <si>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</si>
  <si>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</si>
  <si>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</si>
  <si>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</si>
  <si>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</si>
  <si>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</si>
  <si>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</si>
  <si>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</si>
  <si>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</si>
  <si>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</si>
  <si>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</si>
  <si>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</si>
  <si>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</si>
  <si>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</si>
  <si>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</si>
  <si>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</si>
  <si>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</si>
  <si>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</si>
  <si>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</si>
  <si>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</si>
  <si>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</si>
  <si>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</si>
  <si>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</si>
  <si>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</si>
  <si>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</si>
  <si>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</si>
  <si>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</si>
  <si>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</si>
  <si>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</si>
  <si>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</si>
  <si>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</si>
  <si>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</si>
  <si>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</si>
  <si>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</si>
  <si>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</si>
  <si>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</si>
  <si>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</si>
  <si>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</si>
  <si>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</si>
  <si>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</si>
  <si>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</si>
  <si>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</si>
  <si>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</si>
  <si>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</si>
  <si>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</si>
  <si>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</si>
  <si>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</si>
  <si>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</si>
  <si>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</si>
  <si>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</si>
  <si>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</si>
  <si>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</si>
  <si>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</si>
  <si>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</si>
  <si>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</si>
  <si>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</si>
  <si>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</si>
  <si>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</si>
  <si>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</si>
  <si>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</si>
  <si>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</si>
  <si>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</si>
  <si>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</si>
  <si>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</si>
  <si>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</si>
  <si>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</si>
  <si>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</si>
  <si>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</si>
  <si>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</si>
  <si>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</si>
  <si>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</si>
  <si>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</si>
  <si>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</si>
  <si>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</si>
  <si>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</si>
  <si>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</si>
  <si>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</si>
  <si>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</si>
  <si>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</si>
  <si>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</si>
  <si>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</si>
  <si>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</si>
  <si>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</si>
  <si>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</si>
  <si>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</si>
  <si>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</si>
  <si>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</si>
  <si>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</si>
  <si>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</si>
  <si>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</si>
  <si>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</si>
  <si>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</si>
  <si>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</si>
  <si>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</si>
  <si>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</si>
  <si>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</si>
  <si>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</si>
  <si>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</si>
  <si>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</si>
  <si>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</si>
  <si>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</si>
  <si>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</si>
  <si>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</si>
  <si>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</si>
  <si>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</si>
  <si>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</si>
  <si>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</si>
  <si>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</si>
  <si>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</si>
  <si>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</si>
  <si>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</si>
  <si>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</si>
  <si>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</si>
  <si>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</si>
  <si>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</si>
  <si>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</si>
  <si>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</si>
  <si>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</si>
  <si>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</si>
  <si>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</si>
  <si>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</si>
  <si>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</si>
  <si>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</si>
  <si>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</si>
  <si>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</si>
  <si>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</si>
  <si>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</si>
  <si>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</si>
  <si>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</si>
  <si>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</si>
  <si>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</si>
  <si>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</si>
  <si>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</si>
  <si>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</si>
  <si>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</si>
  <si>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</si>
  <si>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</si>
  <si>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</si>
  <si>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</si>
  <si>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</si>
  <si>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</si>
  <si>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</si>
  <si>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</si>
  <si>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</si>
  <si>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</si>
  <si>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</si>
  <si>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</si>
  <si>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</si>
  <si>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</si>
  <si>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</si>
  <si>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</si>
  <si>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</si>
  <si>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</si>
  <si>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</si>
  <si>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</si>
  <si>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</si>
  <si>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</si>
  <si>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</si>
  <si>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</si>
  <si>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</si>
  <si>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</si>
  <si>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</si>
  <si>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</si>
  <si>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</si>
  <si>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</si>
  <si>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</si>
  <si>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</si>
  <si>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</si>
  <si>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</si>
  <si>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</si>
  <si>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</si>
  <si>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</si>
  <si>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</si>
  <si>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</si>
  <si>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</si>
  <si>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</si>
  <si>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</si>
  <si>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</si>
  <si>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</si>
  <si>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</si>
  <si>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</si>
  <si>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</si>
  <si>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</si>
  <si>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</si>
  <si>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</si>
  <si>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</si>
  <si>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</si>
  <si>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</si>
  <si>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</si>
  <si>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</si>
  <si>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</si>
  <si>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</si>
  <si>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</si>
  <si>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</si>
  <si>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</si>
  <si>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</si>
  <si>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</si>
  <si>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</si>
  <si>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</si>
  <si>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</si>
  <si>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</si>
  <si>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</si>
  <si>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</si>
  <si>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</si>
  <si>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</si>
  <si>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</si>
  <si>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</si>
  <si>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</si>
  <si>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</si>
  <si>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</si>
  <si>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</si>
  <si>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</si>
  <si>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</si>
  <si>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</si>
  <si>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</si>
  <si>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</si>
  <si>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</si>
  <si>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</si>
  <si>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</si>
  <si>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</si>
  <si>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</si>
  <si>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</si>
  <si>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</si>
  <si>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</si>
  <si>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</si>
  <si>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</si>
  <si>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</si>
  <si>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</si>
  <si>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</si>
  <si>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</si>
  <si>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</si>
  <si>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</si>
  <si>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</si>
  <si>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</si>
  <si>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</si>
  <si>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</si>
  <si>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</si>
  <si>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</si>
  <si>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</si>
  <si>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</si>
  <si>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</si>
  <si>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</si>
  <si>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</si>
  <si>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</si>
  <si>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</si>
  <si>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</si>
  <si>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</si>
  <si>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</si>
  <si>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</si>
  <si>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</si>
  <si>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</si>
  <si>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</si>
  <si>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</si>
  <si>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</si>
  <si>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</si>
  <si>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</si>
  <si>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</si>
  <si>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</si>
  <si>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</si>
  <si>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</si>
  <si>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</si>
  <si>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</si>
  <si>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</si>
  <si>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</si>
  <si>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</si>
  <si>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</si>
  <si>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</si>
  <si>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</si>
  <si>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</si>
  <si>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</si>
  <si>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</si>
  <si>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</si>
  <si>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</si>
  <si>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</si>
  <si>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</si>
  <si>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</si>
  <si>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</si>
  <si>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</si>
  <si>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</si>
  <si>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</si>
  <si>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</si>
  <si>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</si>
  <si>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</si>
  <si>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</si>
  <si>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</si>
  <si>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</si>
  <si>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</si>
  <si>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</si>
  <si>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</si>
  <si>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</si>
  <si>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</si>
  <si>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</si>
  <si>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</si>
  <si>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</si>
  <si>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</si>
  <si>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</si>
  <si>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</si>
  <si>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</si>
  <si>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</si>
  <si>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</si>
  <si>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</si>
  <si>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</si>
  <si>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</si>
  <si>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</si>
  <si>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</si>
  <si>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</si>
  <si>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</si>
  <si>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</si>
  <si>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</si>
  <si>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</si>
  <si>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</si>
  <si>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</si>
  <si>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</si>
  <si>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</si>
  <si>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</si>
  <si>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</si>
  <si>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</si>
  <si>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</si>
  <si>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</si>
  <si>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</si>
  <si>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</si>
  <si>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</si>
  <si>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</si>
  <si>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</si>
  <si>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</si>
  <si>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</si>
  <si>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</si>
  <si>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</si>
  <si>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</si>
  <si>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</si>
  <si>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</si>
  <si>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</si>
  <si>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</si>
  <si>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</si>
  <si>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</si>
  <si>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</si>
  <si>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</si>
  <si>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</si>
  <si>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</si>
  <si>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</si>
  <si>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</si>
  <si>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</si>
  <si>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</si>
  <si>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</si>
  <si>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</si>
  <si>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</si>
  <si>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</si>
  <si>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</si>
  <si>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</si>
  <si>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</si>
  <si>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</si>
  <si>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</si>
  <si>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</si>
  <si>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</si>
  <si>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</si>
  <si>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</si>
  <si>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</si>
  <si>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</si>
  <si>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</si>
  <si>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</si>
  <si>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</si>
  <si>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</si>
  <si>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</si>
  <si>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</si>
  <si>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</si>
  <si>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</si>
  <si>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</si>
  <si>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</si>
  <si>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</si>
  <si>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</si>
  <si>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</si>
  <si>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</si>
  <si>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</si>
  <si>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</si>
  <si>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</si>
  <si>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</si>
  <si>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</si>
  <si>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</si>
  <si>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</si>
  <si>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</si>
  <si>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</si>
  <si>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</si>
  <si>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</si>
  <si>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</si>
  <si>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</si>
  <si>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</si>
  <si>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</si>
  <si>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</si>
  <si>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</si>
  <si>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</si>
  <si>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</si>
  <si>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</si>
  <si>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</si>
  <si>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</si>
  <si>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</si>
  <si>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</si>
  <si>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</si>
  <si>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</si>
  <si>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</si>
  <si>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</si>
  <si>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</si>
  <si>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</si>
  <si>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</si>
  <si>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</si>
  <si>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</si>
  <si>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</si>
  <si>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</si>
  <si>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</si>
  <si>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</si>
  <si>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</si>
  <si>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</si>
  <si>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</si>
  <si>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</si>
  <si>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</si>
  <si>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</si>
  <si>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</si>
  <si>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</si>
  <si>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</si>
  <si>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</si>
  <si>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</si>
  <si>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</si>
  <si>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</si>
  <si>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</si>
  <si>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</si>
  <si>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</si>
  <si>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</si>
  <si>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</si>
  <si>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</si>
  <si>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</si>
  <si>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</si>
  <si>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</si>
  <si>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</si>
  <si>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</si>
  <si>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</si>
  <si>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</si>
  <si>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</si>
  <si>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</si>
  <si>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</si>
  <si>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</si>
  <si>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</si>
  <si>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</si>
  <si>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</si>
  <si>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</si>
  <si>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</si>
  <si>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</si>
  <si>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</si>
  <si>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</si>
  <si>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</si>
  <si>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</si>
  <si>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</si>
  <si>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</si>
  <si>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</si>
  <si>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</si>
  <si>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</si>
  <si>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</si>
  <si>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</si>
  <si>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</si>
  <si>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</si>
  <si>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</si>
  <si>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</si>
  <si>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</si>
  <si>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</si>
  <si>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</si>
  <si>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</si>
  <si>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</si>
  <si>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</si>
  <si>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</si>
  <si>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</si>
  <si>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</si>
  <si>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</si>
  <si>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</si>
  <si>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</si>
  <si>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</si>
  <si>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</si>
  <si>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</si>
  <si>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</si>
  <si>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</si>
  <si>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</si>
  <si>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</si>
  <si>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</si>
  <si>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</si>
  <si>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</si>
  <si>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</si>
  <si>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</si>
  <si>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</si>
  <si>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</si>
  <si>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</si>
  <si>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</si>
  <si>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</si>
  <si>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</si>
  <si>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</si>
  <si>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</si>
  <si>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</si>
  <si>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</si>
  <si>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</si>
  <si>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</si>
  <si>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</si>
  <si>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</si>
  <si>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</si>
  <si>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</si>
  <si>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</si>
  <si>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</si>
  <si>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</si>
  <si>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</si>
  <si>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</si>
  <si>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</si>
  <si>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</si>
  <si>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</si>
  <si>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</si>
  <si>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</si>
  <si>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</si>
  <si>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</si>
  <si>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</si>
  <si>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</si>
  <si>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</si>
  <si>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</si>
  <si>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</si>
  <si>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</si>
  <si>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</si>
  <si>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</si>
  <si>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</si>
  <si>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</si>
  <si>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</si>
  <si>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</si>
  <si>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</si>
  <si>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</si>
  <si>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</si>
  <si>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</si>
  <si>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</si>
  <si>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</si>
  <si>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</si>
  <si>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</si>
  <si>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</si>
  <si>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</si>
  <si>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</si>
  <si>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</si>
  <si>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</si>
  <si>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</si>
  <si>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</si>
  <si>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</si>
  <si>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</si>
  <si>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</si>
  <si>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</si>
  <si>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</si>
  <si>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</si>
  <si>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</si>
  <si>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</si>
  <si>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</si>
  <si>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</si>
  <si>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</si>
  <si>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</si>
  <si>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</si>
  <si>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</si>
  <si>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</si>
  <si>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</si>
  <si>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</si>
  <si>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</si>
  <si>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</si>
  <si>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</si>
  <si>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</si>
  <si>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</si>
  <si>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</si>
  <si>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</si>
  <si>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</si>
  <si>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</si>
  <si>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</si>
  <si>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</si>
  <si>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</si>
  <si>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</si>
  <si>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</si>
  <si>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</si>
  <si>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</si>
  <si>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</si>
  <si>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</si>
  <si>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</si>
  <si>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</si>
  <si>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</si>
  <si>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</si>
  <si>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</si>
  <si>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</si>
  <si>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</si>
  <si>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</si>
  <si>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</si>
  <si>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</si>
  <si>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</si>
  <si>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</si>
  <si>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</si>
  <si>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</si>
  <si>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</si>
  <si>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</si>
  <si>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</si>
  <si>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</si>
  <si>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</si>
  <si>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</si>
  <si>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</si>
  <si>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</si>
  <si>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</si>
  <si>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</si>
  <si>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</si>
  <si>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</si>
  <si>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</si>
  <si>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</si>
  <si>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</si>
  <si>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</si>
  <si>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</si>
  <si>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</si>
  <si>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</si>
  <si>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</si>
  <si>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</si>
  <si>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</si>
  <si>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</si>
  <si>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</si>
  <si>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</si>
  <si>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</si>
  <si>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</si>
  <si>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</si>
  <si>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</si>
  <si>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</si>
  <si>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</si>
  <si>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</si>
  <si>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</si>
  <si>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</si>
  <si>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</si>
  <si>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</si>
  <si>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</si>
  <si>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</si>
  <si>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</si>
  <si>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</si>
  <si>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</si>
  <si>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</si>
  <si>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</si>
  <si>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</si>
  <si>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</si>
  <si>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</si>
  <si>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</si>
  <si>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</si>
  <si>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</si>
  <si>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</si>
  <si>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</si>
  <si>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</si>
  <si>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</si>
  <si>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</si>
  <si>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</si>
  <si>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</si>
  <si>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</si>
  <si>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</si>
  <si>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</si>
  <si>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</si>
  <si>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</si>
  <si>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</si>
  <si>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</si>
  <si>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</si>
  <si>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</si>
  <si>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</si>
  <si>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</si>
  <si>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</si>
  <si>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</si>
  <si>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</si>
  <si>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</si>
  <si>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</si>
  <si>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</si>
  <si>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</si>
  <si>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</si>
  <si>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</si>
  <si>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</si>
  <si>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</si>
  <si>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</si>
  <si>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</si>
  <si>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</si>
  <si>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</si>
  <si>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</si>
  <si>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</si>
  <si>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</si>
  <si>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</si>
  <si>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</si>
  <si>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</si>
  <si>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</si>
  <si>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</si>
  <si>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</si>
  <si>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</si>
  <si>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</si>
  <si>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</si>
  <si>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</si>
  <si>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</si>
  <si>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</si>
  <si>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</si>
  <si>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</si>
  <si>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</si>
  <si>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</si>
  <si>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</si>
  <si>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</si>
  <si>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</si>
  <si>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</si>
  <si>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</si>
  <si>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</si>
  <si>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</si>
  <si>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</si>
  <si>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</si>
  <si>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</si>
  <si>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</si>
  <si>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</si>
  <si>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</si>
  <si>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</si>
  <si>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</si>
  <si>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</si>
  <si>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</si>
  <si>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</si>
  <si>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</si>
  <si>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</si>
  <si>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</si>
  <si>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</si>
  <si>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</si>
  <si>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</si>
  <si>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</si>
  <si>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</si>
  <si>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</si>
  <si>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</si>
  <si>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</si>
  <si>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</si>
  <si>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</si>
  <si>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</si>
  <si>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</si>
  <si>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</si>
  <si>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</si>
  <si>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</si>
  <si>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</si>
  <si>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</si>
  <si>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</si>
  <si>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</si>
  <si>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</si>
  <si>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</si>
  <si>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</si>
  <si>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</si>
  <si>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</si>
  <si>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</si>
  <si>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</si>
  <si>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</si>
  <si>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</si>
  <si>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</si>
  <si>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</si>
  <si>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</si>
  <si>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</si>
  <si>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</si>
  <si>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</si>
  <si>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</si>
  <si>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</si>
  <si>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</si>
  <si>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</si>
  <si>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</si>
  <si>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</si>
  <si>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</si>
  <si>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</si>
  <si>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</si>
  <si>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</si>
  <si>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</si>
  <si>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</si>
  <si>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</si>
  <si>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</si>
  <si>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</si>
  <si>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</si>
  <si>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</si>
  <si>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</si>
  <si>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</si>
  <si>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</si>
  <si>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</si>
  <si>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</si>
  <si>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</si>
  <si>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</si>
  <si>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</si>
  <si>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</si>
  <si>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</si>
  <si>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</si>
  <si>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</si>
  <si>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</si>
  <si>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</si>
  <si>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</si>
  <si>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</si>
  <si>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</si>
  <si>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</si>
  <si>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</si>
  <si>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</si>
  <si>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</si>
  <si>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</si>
  <si>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</si>
  <si>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</si>
  <si>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</si>
  <si>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</si>
  <si>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</si>
  <si>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</si>
  <si>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</si>
  <si>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</si>
  <si>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</si>
  <si>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</si>
  <si>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</si>
  <si>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</si>
  <si>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</si>
  <si>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</si>
  <si>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</si>
  <si>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</si>
  <si>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</si>
  <si>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</si>
  <si>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</si>
  <si>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</si>
  <si>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</si>
  <si>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</si>
  <si>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</si>
  <si>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</si>
  <si>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</si>
  <si>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</si>
  <si>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</si>
  <si>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</si>
  <si>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</si>
  <si>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</si>
  <si>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</si>
  <si>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</si>
  <si>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</si>
  <si>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</si>
  <si>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</si>
  <si>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</si>
  <si>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</si>
  <si>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</si>
  <si>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</si>
  <si>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</si>
  <si>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</si>
  <si>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</si>
  <si>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</si>
  <si>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</si>
  <si>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</si>
  <si>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</si>
  <si>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</si>
  <si>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</si>
  <si>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</si>
  <si>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</si>
  <si>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</si>
  <si>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</si>
  <si>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</si>
  <si>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</si>
  <si>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</si>
  <si>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</si>
  <si>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</si>
  <si>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</si>
  <si>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</si>
  <si>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</si>
  <si>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</si>
  <si>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</si>
  <si>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</si>
  <si>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</si>
  <si>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</si>
  <si>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</si>
  <si>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</si>
  <si>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</si>
  <si>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</si>
  <si>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</si>
  <si>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</si>
  <si>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</si>
  <si>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</si>
  <si>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</si>
  <si>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</si>
  <si>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</si>
  <si>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</si>
  <si>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</si>
  <si>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</si>
  <si>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</si>
  <si>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</si>
  <si>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</si>
  <si>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</si>
  <si>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</si>
  <si>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</si>
  <si>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</si>
  <si>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</si>
  <si>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</si>
  <si>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</si>
  <si>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</si>
  <si>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</si>
  <si>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</si>
  <si>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</si>
  <si>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</si>
  <si>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</si>
  <si>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</si>
  <si>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</si>
  <si>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</si>
  <si>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</si>
  <si>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</si>
  <si>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</si>
  <si>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</si>
  <si>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</si>
  <si>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</si>
  <si>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</si>
  <si>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</si>
  <si>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</si>
  <si>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</si>
  <si>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</si>
  <si>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</si>
  <si>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</si>
  <si>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</si>
  <si>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</si>
  <si>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</si>
  <si>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</si>
  <si>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</si>
  <si>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</si>
  <si>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</si>
  <si>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</si>
  <si>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</si>
  <si>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</si>
  <si>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</si>
  <si>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</si>
  <si>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</si>
  <si>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</si>
  <si>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</si>
  <si>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</si>
  <si>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</si>
  <si>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</si>
  <si>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</si>
  <si>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</si>
  <si>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</si>
  <si>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</si>
  <si>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</si>
  <si>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</si>
  <si>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</si>
  <si>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</si>
  <si>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</si>
  <si>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</si>
  <si>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</si>
  <si>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</si>
  <si>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</si>
  <si>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</si>
  <si>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</si>
  <si>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</si>
  <si>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</si>
  <si>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</si>
  <si>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</si>
  <si>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</si>
  <si>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</si>
  <si>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</si>
  <si>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</si>
  <si>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</si>
  <si>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</si>
  <si>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</si>
  <si>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</si>
  <si>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</si>
  <si>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</si>
  <si>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</si>
  <si>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</si>
  <si>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</si>
  <si>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</si>
  <si>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</si>
  <si>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</si>
  <si>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</si>
  <si>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</si>
  <si>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</si>
  <si>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</si>
  <si>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</si>
  <si>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</si>
  <si>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</si>
  <si>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</si>
  <si>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</si>
  <si>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</si>
  <si>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</si>
  <si>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</si>
  <si>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</si>
  <si>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</si>
  <si>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</si>
  <si>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</si>
  <si>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</si>
  <si>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</si>
  <si>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</si>
  <si>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</si>
  <si>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</si>
  <si>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</si>
  <si>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</si>
  <si>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</si>
  <si>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</si>
  <si>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</si>
  <si>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</si>
  <si>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</si>
  <si>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</si>
  <si>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</si>
  <si>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</si>
  <si>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</si>
  <si>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</si>
  <si>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</si>
  <si>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</si>
  <si>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</si>
  <si>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</si>
  <si>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</si>
  <si>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</si>
  <si>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</si>
  <si>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</si>
  <si>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</si>
  <si>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</si>
  <si>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</si>
  <si>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</si>
  <si>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</si>
  <si>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</si>
  <si>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</si>
  <si>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</si>
  <si>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</si>
  <si>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</si>
  <si>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</si>
  <si>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</si>
  <si>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</si>
  <si>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</si>
  <si>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</si>
  <si>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</si>
  <si>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</si>
  <si>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</si>
  <si>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</si>
  <si>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</si>
  <si>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</si>
  <si>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</si>
  <si>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</si>
  <si>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</si>
  <si>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</si>
  <si>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</si>
  <si>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</si>
  <si>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</si>
  <si>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</si>
  <si>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</si>
  <si>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</si>
  <si>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</si>
  <si>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</si>
  <si>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</si>
  <si>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</si>
  <si>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</si>
  <si>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</si>
  <si>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</si>
  <si>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</si>
  <si>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</si>
  <si>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</si>
  <si>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</si>
  <si>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</si>
  <si>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</si>
  <si>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</si>
  <si>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</si>
  <si>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</si>
  <si>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</si>
  <si>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</si>
  <si>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</si>
  <si>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</si>
  <si>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</si>
  <si>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</si>
  <si>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</si>
  <si>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</si>
  <si>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</si>
  <si>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</si>
  <si>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</si>
  <si>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</si>
  <si>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</si>
  <si>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</si>
  <si>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</si>
  <si>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</si>
  <si>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</si>
  <si>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</si>
  <si>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</si>
  <si>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</si>
  <si>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</si>
  <si>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</si>
  <si>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</si>
  <si>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</si>
  <si>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</si>
  <si>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</si>
  <si>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</si>
  <si>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</si>
  <si>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</si>
  <si>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</si>
  <si>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</si>
  <si>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</si>
  <si>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</si>
  <si>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</si>
  <si>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</si>
  <si>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</si>
  <si>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</si>
  <si>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</si>
  <si>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</si>
  <si>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</si>
  <si>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</si>
  <si>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</si>
  <si>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</si>
  <si>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</si>
  <si>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</si>
  <si>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</si>
  <si>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</si>
  <si>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</si>
  <si>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</si>
  <si>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</si>
  <si>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</si>
  <si>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</si>
  <si>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</si>
  <si>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</si>
  <si>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</si>
  <si>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</si>
  <si>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</si>
  <si>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</si>
  <si>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</si>
  <si>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</si>
  <si>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</si>
  <si>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</si>
  <si>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</si>
  <si>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</si>
  <si>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</si>
  <si>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</si>
  <si>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</si>
  <si>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</si>
  <si>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</si>
  <si>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</si>
  <si>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</si>
  <si>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</si>
  <si>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</si>
  <si>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</si>
  <si>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</si>
  <si>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</si>
  <si>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</si>
  <si>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</si>
  <si>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</si>
  <si>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</si>
  <si>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</si>
  <si>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</si>
  <si>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</si>
  <si>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</si>
  <si>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</si>
  <si>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</si>
  <si>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</si>
  <si>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</si>
  <si>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</si>
  <si>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</si>
  <si>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</si>
  <si>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</si>
  <si>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</si>
  <si>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</si>
  <si>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</si>
  <si>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</si>
  <si>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</si>
  <si>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</si>
  <si>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</si>
  <si>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</si>
  <si>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</si>
  <si>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</si>
  <si>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</si>
  <si>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</si>
  <si>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</si>
  <si>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</si>
  <si>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</si>
  <si>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</si>
  <si>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</si>
  <si>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</si>
  <si>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</si>
  <si>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</si>
  <si>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</si>
  <si>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</si>
  <si>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</si>
  <si>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</si>
  <si>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</si>
  <si>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</si>
  <si>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</si>
  <si>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</si>
  <si>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</si>
  <si>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</si>
  <si>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</si>
  <si>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</si>
  <si>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</si>
  <si>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</si>
  <si>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</si>
  <si>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</si>
  <si>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</si>
  <si>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</si>
  <si>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</si>
  <si>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</si>
  <si>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</si>
  <si>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</si>
  <si>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</si>
  <si>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</si>
  <si>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</si>
  <si>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</si>
  <si>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</si>
  <si>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</si>
  <si>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</si>
  <si>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</si>
  <si>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</si>
  <si>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</si>
  <si>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</si>
  <si>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</si>
  <si>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</si>
  <si>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</si>
  <si>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</si>
  <si>
    <t>Бетон В7.5</t>
  </si>
  <si>
    <t>ГОСТ 25192-2012</t>
  </si>
  <si>
    <t>Пфм1</t>
  </si>
  <si>
    <t>Бетон В25 W6 F150</t>
  </si>
  <si>
    <t>Клеевой анкер "Elementa" EPX 400 S</t>
  </si>
  <si>
    <t>данный лист</t>
  </si>
  <si>
    <t>П-шки у торцов плиты</t>
  </si>
  <si>
    <t>ГОСТ 34028-2016</t>
  </si>
  <si>
    <t xml:space="preserve"> Фон верхняя сетка</t>
  </si>
  <si>
    <t xml:space="preserve"> Фон нижняя сетка</t>
  </si>
  <si>
    <t>Плита фундаментная монолитная Пфм1</t>
  </si>
  <si>
    <t>Толщина плиты, мм</t>
  </si>
  <si>
    <t>!!!</t>
  </si>
  <si>
    <t>Площадь, кв. м.</t>
  </si>
  <si>
    <t>Основной</t>
  </si>
  <si>
    <t>Набетонка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</si>
  <si>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</si>
  <si>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</si>
  <si>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</si>
  <si>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</si>
  <si>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</si>
  <si>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</si>
  <si>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</si>
  <si>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</si>
  <si>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</si>
  <si>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</si>
  <si>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</si>
  <si>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</si>
  <si>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</si>
  <si>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</si>
  <si>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</si>
  <si>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</si>
  <si>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</si>
  <si>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</si>
  <si>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</si>
  <si>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</si>
  <si>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</si>
  <si>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Пфм1_спец</t>
  </si>
  <si>
    <t>check</t>
  </si>
  <si>
    <t>Марка элемента</t>
  </si>
  <si>
    <t>Изделия арматурные</t>
  </si>
  <si>
    <t>Объём бетона, куб.м.</t>
  </si>
  <si>
    <t>Арматура класса</t>
  </si>
  <si>
    <t>⌀12</t>
  </si>
  <si>
    <t>Пфм1, на все</t>
  </si>
  <si>
    <t>Пфм1_кж</t>
  </si>
  <si>
    <t>_кж</t>
  </si>
  <si>
    <t>19 10 18/ 12 47 41</t>
  </si>
  <si>
    <t>---</t>
  </si>
  <si>
    <t>Неверный формат файла</t>
  </si>
  <si>
    <t>Данные отсутвуют</t>
  </si>
  <si>
    <t>Vedomost_otdelki</t>
  </si>
  <si>
    <t>_вед</t>
  </si>
  <si>
    <t>Ошибка имени листа или файла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</si>
  <si>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</si>
  <si>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</si>
  <si>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</si>
  <si>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</si>
  <si>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</si>
  <si>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</si>
  <si>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</si>
  <si>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</si>
  <si>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</si>
  <si>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</si>
  <si>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</si>
  <si>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</si>
  <si>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Колонны</t>
  </si>
  <si>
    <t>Затирка; Шпатлёвка</t>
  </si>
  <si>
    <t>!!П1</t>
  </si>
  <si>
    <t>Потолок</t>
  </si>
  <si>
    <t>Армстронг; Без отделки</t>
  </si>
  <si>
    <t>Vedomost otdelki</t>
  </si>
  <si>
    <t>Обшивка колонн ГКЛ W753 REI90 55мм</t>
  </si>
  <si>
    <t>Конструктив - Огнезащита</t>
  </si>
  <si>
    <t>Стена из бетонных блоков ТБ-300</t>
  </si>
  <si>
    <t>Конструктив - Стены Несущие</t>
  </si>
  <si>
    <t>Обшивка колонн ГКЛ W753 REI150 65мм</t>
  </si>
  <si>
    <t>Стена из бетонных блоков утепленная ТБ-300+50</t>
  </si>
  <si>
    <t>Перегородка из плит АКВАПАНЕЛЬ С382 ПН100 150мм</t>
  </si>
  <si>
    <t>Конструктив - Перегородки</t>
  </si>
  <si>
    <t>Стена из бетонных блоков ТБ-200</t>
  </si>
  <si>
    <t>Стена кирпичная 250мм с утеплителем 100мм</t>
  </si>
  <si>
    <t>Железобетон - Конструкционный</t>
  </si>
  <si>
    <t>Конструктив - Перекрытия</t>
  </si>
  <si>
    <t>Облицовка плитами Аквапанель в 1 слой ПП60х27 50мм</t>
  </si>
  <si>
    <t>Стена кирпичная 120мм</t>
  </si>
  <si>
    <t>Сэндвичпанель 150мм</t>
  </si>
  <si>
    <t>Конструктив - Навесные Стены</t>
  </si>
  <si>
    <t>Перегородка С381.2 ПН/ПС100 с 1сл плит АКВАПАНЕЛЬ и 2сл ГКЛ - 140 мм</t>
  </si>
  <si>
    <t>Перегородка из ГКЛ на разнесенном каркасе С386.2 550мм</t>
  </si>
  <si>
    <t>Облицовка по типу С686 плитами АКВАПАНЕЛЬ в 2 слоя ПН/ПС100 125мм</t>
  </si>
  <si>
    <t>Обшивка ШПК 2 слоями ГКЛ с одной стороны и 2 слоями плит Аквапанель с другой ПН100 200мм</t>
  </si>
  <si>
    <t>Конструктив - Ограждение</t>
  </si>
  <si>
    <t>Обшивка ШПК КНАУФ Аквапанель С685 ПН/ПС 100 115мм</t>
  </si>
  <si>
    <t>Перегородка С381.2 ПН/ПС100+ПН/ПС100 - 240 мм</t>
  </si>
  <si>
    <t>Облицовка ГКЛ в 1 слой ПП60х27 50мм</t>
  </si>
  <si>
    <t>Перегородка С381.1 (электрощитовые, МГН) ПН/ПС100 с 1сл плит АКВАПАНЕЛЬ и 2сл ГВЛ - 140 мм</t>
  </si>
  <si>
    <t>Перегородка из ГКЛ на разнесенном каркасе С386.2 700мм</t>
  </si>
  <si>
    <t>Двуслойная облицовка на каркасе С626 ПН/ПС 100 125мм</t>
  </si>
  <si>
    <t>Двуслойная облицовка из ГКЛ С626 ПН75 100мм</t>
  </si>
  <si>
    <t>Перегородка из Аквапанели на разнесенном каркасе С386.2 550мм</t>
  </si>
  <si>
    <t>Перегородка из Аквапанели на разнесенном каркасе С386.2 700мм</t>
  </si>
  <si>
    <t>Перегородка из ГКЛ С112 ПН100 150мм</t>
  </si>
  <si>
    <t>Стена REI90 ПС150 с 2 сл обшивкой из плит АКВАПАНЕЛЬ и 2сл обшивкой ГВЛ - 200 мм</t>
  </si>
  <si>
    <t>Потолок П1</t>
  </si>
  <si>
    <t>Потолок П2</t>
  </si>
  <si>
    <t>Vedomost otdelki_вед</t>
  </si>
  <si>
    <t>Ведомость отделки</t>
  </si>
  <si>
    <t>ИТОГ</t>
  </si>
  <si>
    <t>====</t>
  </si>
  <si>
    <t>Потолки</t>
  </si>
  <si>
    <t>403,6</t>
  </si>
  <si>
    <t>Стены</t>
  </si>
  <si>
    <t>8096,4</t>
  </si>
  <si>
    <t>0,018</t>
  </si>
  <si>
    <t>Панели</t>
  </si>
  <si>
    <t>600,6</t>
  </si>
  <si>
    <t>КОНЕЦ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</si>
  <si>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</si>
  <si>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</si>
  <si>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</si>
  <si>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</si>
  <si>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</si>
  <si>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</si>
  <si>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</si>
  <si>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</si>
  <si>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</si>
  <si>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D1.109; D2.102; D2.110</t>
  </si>
  <si>
    <t>Затирка</t>
  </si>
  <si>
    <t>До 3,2м.:Краска - Светло-Серая</t>
  </si>
  <si>
    <t>Lперим=537,7п.м.
Hmax=8,16м.</t>
  </si>
  <si>
    <t>До 4,5м.:Краска - Светло-Серая</t>
  </si>
  <si>
    <t>До 8,16м.:Краска - Светло-Серая</t>
  </si>
  <si>
    <t>До 7,76м.:Краска - Светло-Серая</t>
  </si>
  <si>
    <t>Выше 3,2м.:Краска - Белила Титановые</t>
  </si>
  <si>
    <t>Выше 4,5м.:4</t>
  </si>
  <si>
    <t>D1.102; D1.104; D1.105; D1.106; D1.107; D1.108; D2.102@@2; D2.104; D2.105; D2.106; D2.107; D2.108</t>
  </si>
  <si>
    <t>До 3,2м.:Штукатурка - Высококачественная Белая</t>
  </si>
  <si>
    <t>Плитка - Керамогранит 60x60</t>
  </si>
  <si>
    <t>2,5</t>
  </si>
  <si>
    <t>Lперим=246,6п.м.
Hmax=8,16м.</t>
  </si>
  <si>
    <t>Выше 3,2м.:4</t>
  </si>
  <si>
    <t>D0.101; D0.102; D0.103; D0.104; D0.105</t>
  </si>
  <si>
    <t>Краска - Белила Титановые</t>
  </si>
  <si>
    <t>Штукатурка - Высококачественная Белая</t>
  </si>
  <si>
    <t>Lперим=211п.м.
Hmax=5,61м.</t>
  </si>
  <si>
    <t>D.Ле-10, D.Ле-10@@2, D.Ле-10@@3, D.Ле-8, D.Ле-8@@2, D.Ле-8@@3, D.Ле-9, D.Ле-9@@2, D.Ле-9@@3</t>
  </si>
  <si>
    <t>Краска - Темно-Серая</t>
  </si>
  <si>
    <t>Lперим=288,4п.м.
Hmax=8,4м.</t>
  </si>
  <si>
    <t>Общяя площадь отделки, кв.м.</t>
  </si>
  <si>
    <t>Общяя площадь поверхности, кв.м.</t>
  </si>
  <si>
    <t>Потолок: Краска - Белила Титановые</t>
  </si>
  <si>
    <t>Потолок: Затирка</t>
  </si>
  <si>
    <t>Стены(за вычетом панелей)</t>
  </si>
  <si>
    <t>Потолок: Шпатлёвка</t>
  </si>
  <si>
    <t>Краска - Светло-Серая</t>
  </si>
  <si>
    <t>Низ стен/колонн</t>
  </si>
  <si>
    <t>19 10 31/ 13 16 25</t>
  </si>
  <si>
    <t>Vedomost otdelki_правила</t>
  </si>
  <si>
    <t>403,7</t>
  </si>
  <si>
    <t>601,1</t>
  </si>
  <si>
    <t>Номер помещения</t>
  </si>
  <si>
    <t>Наименование помещения</t>
  </si>
  <si>
    <t>D.Ле-10</t>
  </si>
  <si>
    <t>Лестница Ле-10</t>
  </si>
  <si>
    <t>Lперим=32,1п.м.
Hпом=7,76м.</t>
  </si>
  <si>
    <t>D.Ле-10@@2</t>
  </si>
  <si>
    <t>Lперим=32,1п.м.
Hпом=8,4м.</t>
  </si>
  <si>
    <t>D.Ле-10@@3</t>
  </si>
  <si>
    <t>Lперим=33,7п.м.
Hпом=3,96м.</t>
  </si>
  <si>
    <t>D.Ле-8</t>
  </si>
  <si>
    <t>Лестница Ле-8</t>
  </si>
  <si>
    <t>Lперим=30,5п.м.
Hпом=7,76м.</t>
  </si>
  <si>
    <t>D.Ле-8@@2</t>
  </si>
  <si>
    <t>Lперим=30,5п.м.
Hпом=8,4м.</t>
  </si>
  <si>
    <t>D.Ле-8@@3</t>
  </si>
  <si>
    <t>Lперим=36,4п.м.
Hпом=6м.</t>
  </si>
  <si>
    <t>D.Ле-9</t>
  </si>
  <si>
    <t>Лестница Ле-9</t>
  </si>
  <si>
    <t>Lперим=29,3п.м.
Hпом=5,85м.</t>
  </si>
  <si>
    <t>D.Ле-9@@2</t>
  </si>
  <si>
    <t>Lперим=32п.м.
Hпом=8,4м.</t>
  </si>
  <si>
    <t>D.Ле-9@@3</t>
  </si>
  <si>
    <t>Lперим=32п.м.
Hпом=7,8м.</t>
  </si>
  <si>
    <t>D0.101</t>
  </si>
  <si>
    <t>Подсобное помещение</t>
  </si>
  <si>
    <t>Lперим=32,9п.м.
Hпом=5,61м.</t>
  </si>
  <si>
    <t>D0.102</t>
  </si>
  <si>
    <t>Lперим=25,3п.м.
Hпом=5,61м.</t>
  </si>
  <si>
    <t>D0.103</t>
  </si>
  <si>
    <t>Венткамера</t>
  </si>
  <si>
    <t>Lперим=58,9п.м.
Hпом=5,61м.</t>
  </si>
  <si>
    <t>D0.104</t>
  </si>
  <si>
    <t>Загрузка</t>
  </si>
  <si>
    <t>Lперим=61,3п.м.
Hпом=3,96м.</t>
  </si>
  <si>
    <t>D0.105</t>
  </si>
  <si>
    <t>Мусоросборная камера</t>
  </si>
  <si>
    <t>Lперим=32,8п.м.
Hпом=3,96м.</t>
  </si>
  <si>
    <t>D1.101</t>
  </si>
  <si>
    <t>Зона безопасности МГН</t>
  </si>
  <si>
    <t>Lперим=33п.м.
Hпом=8,16м.</t>
  </si>
  <si>
    <t>D1.102</t>
  </si>
  <si>
    <t>Комната матери и ребенка</t>
  </si>
  <si>
    <t>Lперим=12,8п.м.
Hпом=8,16м.</t>
  </si>
  <si>
    <t>D1.103</t>
  </si>
  <si>
    <t>Коридор</t>
  </si>
  <si>
    <t>Lперим=44п.м.
Hпом=8,16м.</t>
  </si>
  <si>
    <t>D1.103@@2</t>
  </si>
  <si>
    <t>Lперим=157,3п.м.
Hпом=8,16м.</t>
  </si>
  <si>
    <t>D1.104</t>
  </si>
  <si>
    <t>ПУИ</t>
  </si>
  <si>
    <t>Lперим=19,5п.м.
Hпом=8,1м.</t>
  </si>
  <si>
    <t>D1.105</t>
  </si>
  <si>
    <t>С/у для МГН</t>
  </si>
  <si>
    <t>Lперим=9п.м.
Hпом=8,16м.</t>
  </si>
  <si>
    <t>D1.106</t>
  </si>
  <si>
    <t>Lперим=8,8п.м.
Hпом=8,16м.</t>
  </si>
  <si>
    <t>D1.107</t>
  </si>
  <si>
    <t>Санузел мужской</t>
  </si>
  <si>
    <t>Lперим=35,5п.м.
Hпом=8,16м.</t>
  </si>
  <si>
    <t>D1.108</t>
  </si>
  <si>
    <t>Санузел женский</t>
  </si>
  <si>
    <t>Lперим=38п.м.
Hпом=8,16м.</t>
  </si>
  <si>
    <t>D1.109</t>
  </si>
  <si>
    <t>Электрощитовая</t>
  </si>
  <si>
    <t>Lперим=18п.м.
Hпом=8,16м.</t>
  </si>
  <si>
    <t>D1.110</t>
  </si>
  <si>
    <t>Лифтовой холл</t>
  </si>
  <si>
    <t>D2.102</t>
  </si>
  <si>
    <t>Lперим=36,3п.м.
Hпом=7,76м.</t>
  </si>
  <si>
    <t>D2.102@@2</t>
  </si>
  <si>
    <t>Lперим=12,8п.м.
Hпом=7,76м.</t>
  </si>
  <si>
    <t>D2.104</t>
  </si>
  <si>
    <t>Lперим=19,5п.м.
Hпом=7,76м.</t>
  </si>
  <si>
    <t>D2.105</t>
  </si>
  <si>
    <t>Lперим=9п.м.
Hпом=7,76м.</t>
  </si>
  <si>
    <t>D2.106</t>
  </si>
  <si>
    <t>Lперим=8,8п.м.
Hпом=7,76м.</t>
  </si>
  <si>
    <t>D2.107</t>
  </si>
  <si>
    <t>Lперим=35,5п.м.
Hпом=7,76м.</t>
  </si>
  <si>
    <t>D2.108</t>
  </si>
  <si>
    <t>Lперим=38п.м.
Hпом=7,76м.</t>
  </si>
  <si>
    <t>D2.109</t>
  </si>
  <si>
    <t>Lперим=195,9п.м.
Hпом=7,76м.</t>
  </si>
  <si>
    <t>D2.110</t>
  </si>
  <si>
    <t>Lперим=17,9п.м.
Hпом=7,76м.</t>
  </si>
  <si>
    <t>D2.111</t>
  </si>
  <si>
    <t>Lперим=17,8п.м.
Hпом=7,76м.</t>
  </si>
  <si>
    <t>Vedomost otdelk_3i</t>
  </si>
  <si>
    <t>Vedomost otdelk3i</t>
  </si>
  <si>
    <t>Vedomost otdelki11</t>
  </si>
  <si>
    <t>Vedomost otdelki11_вед</t>
  </si>
  <si>
    <t>19 10 31/ 13 39 48</t>
  </si>
  <si>
    <t>Vedomost otdelki11_правила</t>
  </si>
  <si>
    <t>ГКЛ - перегородка C112 125 мм</t>
  </si>
  <si>
    <t>ARCHICAD</t>
  </si>
  <si>
    <t>Vedomost otdelk3i_вед</t>
  </si>
  <si>
    <t>Vedomost otdelk3i_правила</t>
  </si>
  <si>
    <t>35,4</t>
  </si>
  <si>
    <t>123; 124; 125; 126</t>
  </si>
  <si>
    <t>RAL 9003</t>
  </si>
  <si>
    <t>Армстронг</t>
  </si>
  <si>
    <t>Lперим=50,5п.м.
Hmax=3м.</t>
  </si>
  <si>
    <t>Потолок: RAL 9003</t>
  </si>
  <si>
    <t>19 10 31/ 13 57 8</t>
  </si>
  <si>
    <t>Бетон В30</t>
  </si>
  <si>
    <t>Кол-во</t>
  </si>
  <si>
    <t>2902,13 кг.</t>
  </si>
  <si>
    <t>19 10 31/ 14 27 58</t>
  </si>
  <si>
    <t>сейсмика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</si>
</sst>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33" borderId="18" xfId="0" applyFont="1" applyFill="1" applyBorder="1" applyAlignment="1">
      <alignment horizontal="center" vertical="center" wrapText="1"/>
    </xf>
    <xf numFmtId="0" fontId="21" fillId="34" borderId="18" xfId="0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wrapText="1"/>
    </xf>
    <xf numFmtId="0" fontId="21" fillId="35" borderId="10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31" xfId="0" applyFont="1" applyFill="1" applyBorder="1" applyAlignment="1">
      <alignment horizontal="center" vertical="center" wrapText="1"/>
    </xf>
    <xf numFmtId="0" fontId="21" fillId="33" borderId="20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2" fillId="0" borderId="34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shrinkToFit="1"/>
    </xf>
    <xf numFmtId="0" fontId="22" fillId="37" borderId="37" xfId="0" applyFont="1" applyFill="1" applyBorder="1" applyAlignment="1">
      <alignment horizontal="center" vertical="center" shrinkToFit="1"/>
    </xf>
    <xf numFmtId="0" fontId="21" fillId="38" borderId="2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49" fontId="0" fillId="0" borderId="0" xfId="0" applyNumberFormat="1" applyBorder="1"/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textRotation="90" wrapText="1"/>
    </xf>
    <xf numFmtId="49" fontId="23" fillId="0" borderId="13" xfId="0" applyNumberFormat="1" applyFont="1" applyFill="1" applyBorder="1" applyAlignment="1">
      <alignment horizontal="center" vertical="center" wrapText="1" shrinkToFit="1"/>
    </xf>
    <xf numFmtId="49" fontId="23" fillId="0" borderId="16" xfId="0" applyNumberFormat="1" applyFont="1" applyFill="1" applyBorder="1" applyAlignment="1">
      <alignment horizontal="center" vertical="center" wrapText="1" shrinkToFit="1"/>
    </xf>
    <xf numFmtId="49" fontId="23" fillId="0" borderId="10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 shrinkToFi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 shrinkToFit="1"/>
    </xf>
    <xf numFmtId="49" fontId="23" fillId="0" borderId="30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 shrinkToFi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30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5" xfId="0" quotePrefix="1" applyNumberFormat="1" applyFont="1" applyFill="1" applyBorder="1" applyAlignment="1">
      <alignment horizontal="center" vertical="center" wrapText="1"/>
    </xf>
    <xf numFmtId="49" fontId="25" fillId="0" borderId="14" xfId="0" quotePrefix="1" applyNumberFormat="1" applyFont="1" applyFill="1" applyBorder="1" applyAlignment="1">
      <alignment horizontal="center" vertical="center" wrapText="1"/>
    </xf>
    <xf numFmtId="49" fontId="25" fillId="0" borderId="35" xfId="0" quotePrefix="1" applyNumberFormat="1" applyFont="1" applyFill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39" xfId="0" applyNumberFormat="1" applyFont="1" applyFill="1" applyBorder="1" applyAlignment="1">
      <alignment horizontal="center" vertical="center" wrapText="1"/>
    </xf>
    <xf numFmtId="49" fontId="21" fillId="0" borderId="24" xfId="0" applyNumberFormat="1" applyFont="1" applyFill="1" applyBorder="1" applyAlignment="1">
      <alignment horizontal="center" vertical="center" textRotation="90" wrapText="1"/>
    </xf>
    <xf numFmtId="49" fontId="21" fillId="0" borderId="38" xfId="0" applyNumberFormat="1" applyFont="1" applyFill="1" applyBorder="1" applyAlignment="1">
      <alignment horizontal="center" vertical="center" textRotation="90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49" fontId="25" fillId="0" borderId="25" xfId="0" quotePrefix="1" applyNumberFormat="1" applyFont="1" applyFill="1" applyBorder="1" applyAlignment="1">
      <alignment horizontal="center" vertical="center" wrapText="1"/>
    </xf>
    <xf numFmtId="49" fontId="25" fillId="0" borderId="23" xfId="0" applyNumberFormat="1" applyFont="1" applyFill="1" applyBorder="1" applyAlignment="1">
      <alignment horizontal="center" vertical="center" wrapText="1"/>
    </xf>
    <xf numFmtId="49" fontId="25" fillId="0" borderId="35" xfId="0" applyNumberFormat="1" applyFont="1" applyFill="1" applyBorder="1" applyAlignment="1">
      <alignment horizontal="center" vertical="center" wrapText="1"/>
    </xf>
    <xf numFmtId="49" fontId="25" fillId="0" borderId="25" xfId="0" applyNumberFormat="1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textRotation="90" wrapText="1"/>
    </xf>
    <xf numFmtId="0" fontId="21" fillId="0" borderId="10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39" borderId="18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18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71;&#1076;&#1077;&#1088;&#1085;&#1099;&#1081;%20&#1094;&#1077;&#1085;&#1090;&#1088;%20&#1055;&#1080;&#1090;&#1077;&#1088;\&#1055;&#1088;&#1086;&#1077;&#1082;&#1090;\&#1042;%20&#1088;&#1072;&#1073;&#1086;&#1090;&#1077;\&#1054;&#1090;&#1076;&#1077;&#1083;%20&#1057;&#1050;\!DWG\&#1040;&#1088;&#1084;&#1080;&#1088;&#1086;&#1074;&#1072;&#1085;&#1080;&#1077;\&#1074;%20&#1088;&#1072;&#1073;&#1086;&#1090;&#1077;\&#1057;&#1087;&#1077;&#1094;&#1080;&#1092;&#1080;&#1082;&#1072;&#1094;&#1080;&#1103;\&#1057;&#1087;&#1077;&#1094;-&#1050;&#10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тм1_спец"/>
      <sheetName val="Сводная_спец"/>
      <sheetName val="Ппм1_спец"/>
      <sheetName val="Пдм1_спец"/>
      <sheetName val="Изделия_спец.И"/>
      <sheetName val="!System"/>
      <sheetName val="Пфм1_об"/>
      <sheetName val="Пфм1_кж"/>
      <sheetName val="Пдм1_об"/>
      <sheetName val="Пдм1_кж"/>
      <sheetName val="Стм1_об"/>
      <sheetName val="Стм1_кж"/>
      <sheetName val="Сводная_гр"/>
      <sheetName val="Ппм1_об"/>
      <sheetName val="Ппм1_кж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0">
          <cell r="A10" t="str">
            <v>Кр2</v>
          </cell>
          <cell r="C10" t="str">
            <v>данный лист</v>
          </cell>
          <cell r="D10" t="str">
            <v>Каркас Кр2</v>
          </cell>
        </row>
        <row r="15">
          <cell r="A15" t="str">
            <v>Мн1</v>
          </cell>
          <cell r="C15" t="str">
            <v>данный лист</v>
          </cell>
          <cell r="D15" t="str">
            <v>Закладная деталь Мн1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5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2984</v>
      </c>
      <c r="G2" s="7">
        <v>1</v>
      </c>
      <c r="H2" s="7" t="s">
        <v>2775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2885</v>
      </c>
      <c r="G3" s="7">
        <v>1</v>
      </c>
      <c r="H3" s="7" t="s">
        <v>2775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2980</v>
      </c>
      <c r="G4" s="7">
        <v>1</v>
      </c>
      <c r="H4" s="7" t="s">
        <v>2775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E5" s="8" t="s">
        <v>2764</v>
      </c>
      <c r="G5" s="7">
        <v>1</v>
      </c>
      <c r="H5" s="7" t="s">
        <v>2775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ht="30" x14ac:dyDescent="0.25">
      <c r="D6" s="8" t="s">
        <v>2710</v>
      </c>
      <c r="G6" s="7">
        <v>1</v>
      </c>
      <c r="H6" s="7" t="s">
        <v>2657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1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ht="30" x14ac:dyDescent="0.25">
      <c r="D7" s="8" t="s">
        <v>2656</v>
      </c>
      <c r="G7" s="7">
        <v>1</v>
      </c>
      <c r="H7" s="7" t="s">
        <v>2657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1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ht="30" x14ac:dyDescent="0.25">
      <c r="D8" s="8" t="s">
        <v>2772</v>
      </c>
      <c r="G8" s="7">
        <v>1</v>
      </c>
      <c r="H8" s="7" t="s">
        <v>2774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ht="30" x14ac:dyDescent="0.25">
      <c r="C9" s="8" t="s">
        <v>2833</v>
      </c>
      <c r="G9" s="7">
        <v>1</v>
      </c>
      <c r="H9" s="7" t="s">
        <v>2884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ht="30" x14ac:dyDescent="0.25">
      <c r="C10" s="8" t="s">
        <v>2978</v>
      </c>
      <c r="G10" s="7">
        <v>1</v>
      </c>
      <c r="H10" s="7" t="s">
        <v>2979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0</v>
      </c>
      <c r="P10" s="7" t="b">
        <v>0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1</v>
      </c>
    </row>
    <row r="11" spans="1:22" x14ac:dyDescent="0.25">
      <c r="C11" s="8" t="s">
        <v>2983</v>
      </c>
      <c r="G11" s="7">
        <v>1</v>
      </c>
      <c r="H11" s="7" t="s">
        <v>2991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1</v>
      </c>
    </row>
    <row r="12" spans="1:22" ht="30" x14ac:dyDescent="0.25">
      <c r="D12" s="8" t="s">
        <v>2729</v>
      </c>
      <c r="G12" s="7">
        <v>1</v>
      </c>
      <c r="H12" s="7" t="s">
        <v>2995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B13" s="8" t="s">
        <v>2376</v>
      </c>
    </row>
    <row r="14" spans="1:22" x14ac:dyDescent="0.25">
      <c r="A14" s="8" t="s">
        <v>25</v>
      </c>
    </row>
    <row r="15" spans="1:22" x14ac:dyDescent="0.25">
      <c r="A15" s="8" t="s">
        <v>24</v>
      </c>
    </row>
  </sheetData>
  <sortState ref="A2:V15">
    <sortCondition ref="H2:H600"/>
  </sortState>
  <conditionalFormatting sqref="A1:V1048576">
    <cfRule type="containsText" dxfId="111" priority="7" operator="containsText" text="_спец">
      <formula>NOT(ISERROR(SEARCH("_спец",A1)))</formula>
    </cfRule>
    <cfRule type="containsText" dxfId="110" priority="6" operator="containsText" text="!">
      <formula>NOT(ISERROR(SEARCH("!",A1)))</formula>
    </cfRule>
    <cfRule type="expression" dxfId="109" priority="5">
      <formula>LEN(TRIM(A1))=0</formula>
    </cfRule>
    <cfRule type="containsText" dxfId="108" priority="4" operator="containsText" text="|">
      <formula>NOT(ISERROR(SEARCH("|",A1)))</formula>
    </cfRule>
    <cfRule type="containsText" dxfId="107" priority="3" operator="containsText" text="_кж">
      <formula>NOT(ISERROR(SEARCH("_кж",A1)))</formula>
    </cfRule>
    <cfRule type="containsText" dxfId="106" priority="2" operator="containsText" text="_км">
      <formula>NOT(ISERROR(SEARCH("_км",A1)))</formula>
    </cfRule>
    <cfRule type="containsText" dxfId="105" priority="1" operator="containsText" text="_поз">
      <formula>NOT(ISERROR(SEARCH("_поз",A1)))</formula>
    </cfRule>
  </conditionalFormatting>
  <hyperlinks>
    <hyperlink ref="B13" location="'!System'!B2" display="'!System'!B2"/>
    <hyperlink ref="A14" location="'|Лог|'!A1" display="'|Лог|'!A1"/>
    <hyperlink ref="A15" location="'|Содержание|'!A1" display="'|Содержание|'!A1"/>
    <hyperlink ref="C11" location="'Vedomost otdelk3i_вед'!C3" display="'Vedomost otdelk3i_вед'!C3"/>
    <hyperlink ref="E2" location="'Vedomost otdelk3i_правила'!E3" display="'Vedomost otdelk3i_правила'!E3"/>
    <hyperlink ref="C9" location="'Vedomost otdelki_вед'!C3" display="'Vedomost otdelki_вед'!C3"/>
    <hyperlink ref="E3" location="'Vedomost otdelki_правила'!E3" display="'Vedomost otdelki_правила'!E3"/>
    <hyperlink ref="C10" location="'Vedomost otdelki11_вед'!C3" display="'Vedomost otdelki11_вед'!C3"/>
    <hyperlink ref="E4" location="'Vedomost otdelki11_правила'!E3" display="'Vedomost otdelki11_правила'!E3"/>
    <hyperlink ref="D6" location="'Ведомость заполнений_зап'!D4" display="'Ведомость заполнений_зап'!D4"/>
    <hyperlink ref="D7" location="'Ведомость заполненийзап'!D4" display="'Ведомость заполненийзап'!D4"/>
    <hyperlink ref="D12" location="'Пфм1'!D4" display="'Пфм1'!D4"/>
    <hyperlink ref="D8" location="'Пфм1_кж'!D4" display="'Пфм1_кж'!D4"/>
    <hyperlink ref="E5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6" workbookViewId="0">
      <selection activeCell="S83" sqref="S8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2633</v>
      </c>
      <c r="C26" s="1" t="s">
        <v>2764</v>
      </c>
      <c r="D26" s="1" t="s">
        <v>2765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2633</v>
      </c>
      <c r="C27" s="1" t="s">
        <v>2764</v>
      </c>
      <c r="D27" s="1" t="s">
        <v>2765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2633</v>
      </c>
      <c r="C28" s="1" t="s">
        <v>2772</v>
      </c>
      <c r="D28" s="1" t="s">
        <v>2773</v>
      </c>
      <c r="E28" s="1" t="s">
        <v>2634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2633</v>
      </c>
      <c r="C29" s="1" t="s">
        <v>2764</v>
      </c>
      <c r="D29" s="1" t="s">
        <v>2765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2633</v>
      </c>
      <c r="C30" s="1" t="s">
        <v>2772</v>
      </c>
      <c r="D30" s="1"/>
      <c r="E30" s="10" t="s">
        <v>2776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2633</v>
      </c>
      <c r="C31" s="1" t="s">
        <v>2772</v>
      </c>
      <c r="D31" s="1"/>
      <c r="E31" s="1" t="s">
        <v>2777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2633</v>
      </c>
      <c r="C32" s="1" t="s">
        <v>2764</v>
      </c>
      <c r="D32" s="1" t="s">
        <v>2765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2633</v>
      </c>
      <c r="C33" s="1" t="s">
        <v>2772</v>
      </c>
      <c r="D33" s="1"/>
      <c r="E33" s="1" t="s">
        <v>2634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43769.551354166666</v>
      </c>
      <c r="B34" s="1" t="s">
        <v>2633</v>
      </c>
      <c r="C34" s="1" t="s">
        <v>2778</v>
      </c>
      <c r="D34" s="1" t="s">
        <v>2779</v>
      </c>
      <c r="E34" s="1" t="s">
        <v>2780</v>
      </c>
      <c r="F34" s="1">
        <v>3.78</v>
      </c>
      <c r="G34" s="1">
        <v>3.94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43769.551585648151</v>
      </c>
      <c r="B35" s="1" t="s">
        <v>2633</v>
      </c>
      <c r="C35" s="1" t="s">
        <v>2798</v>
      </c>
      <c r="D35" s="1" t="s">
        <v>2779</v>
      </c>
      <c r="E35" s="1" t="s">
        <v>2777</v>
      </c>
      <c r="F35" s="1">
        <v>3.78</v>
      </c>
      <c r="G35" s="1">
        <v>3.94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43769.551620370374</v>
      </c>
      <c r="B36" s="1" t="s">
        <v>2633</v>
      </c>
      <c r="C36" s="1" t="s">
        <v>2833</v>
      </c>
      <c r="D36" s="1" t="s">
        <v>2779</v>
      </c>
      <c r="E36" s="1" t="s">
        <v>2777</v>
      </c>
      <c r="F36" s="1">
        <v>3.78</v>
      </c>
      <c r="G36" s="1">
        <v>3.94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43769.553067129629</v>
      </c>
      <c r="B37" s="1" t="s">
        <v>2633</v>
      </c>
      <c r="C37" s="1" t="s">
        <v>2834</v>
      </c>
      <c r="D37" s="1" t="s">
        <v>2835</v>
      </c>
      <c r="E37" s="10" t="s">
        <v>2836</v>
      </c>
      <c r="F37" s="1">
        <v>3.78</v>
      </c>
      <c r="G37" s="1">
        <v>3.94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43769.553067129629</v>
      </c>
      <c r="B38" s="1" t="s">
        <v>2633</v>
      </c>
      <c r="C38" s="1" t="s">
        <v>2834</v>
      </c>
      <c r="D38" s="1" t="s">
        <v>2837</v>
      </c>
      <c r="E38" s="10" t="s">
        <v>2838</v>
      </c>
      <c r="F38" s="1">
        <v>3.78</v>
      </c>
      <c r="G38" s="1">
        <v>3.94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43769.553067129629</v>
      </c>
      <c r="B39" s="1" t="s">
        <v>2633</v>
      </c>
      <c r="C39" s="1" t="s">
        <v>2834</v>
      </c>
      <c r="D39" s="1" t="s">
        <v>2839</v>
      </c>
      <c r="E39" s="10" t="s">
        <v>2840</v>
      </c>
      <c r="F39" s="1">
        <v>3.78</v>
      </c>
      <c r="G39" s="1">
        <v>3.94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43769.553067129629</v>
      </c>
      <c r="B40" s="1" t="s">
        <v>2633</v>
      </c>
      <c r="C40" s="1" t="s">
        <v>2834</v>
      </c>
      <c r="D40" s="1" t="s">
        <v>2793</v>
      </c>
      <c r="E40" s="1" t="s">
        <v>2841</v>
      </c>
      <c r="F40" s="1">
        <v>3.78</v>
      </c>
      <c r="G40" s="1">
        <v>3.94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43769.553067129629</v>
      </c>
      <c r="B41" s="1" t="s">
        <v>2633</v>
      </c>
      <c r="C41" s="1" t="s">
        <v>2834</v>
      </c>
      <c r="D41" s="1" t="s">
        <v>2842</v>
      </c>
      <c r="E41" s="1" t="s">
        <v>2843</v>
      </c>
      <c r="F41" s="1">
        <v>3.78</v>
      </c>
      <c r="G41" s="1">
        <v>3.94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43769.553067129629</v>
      </c>
      <c r="B42" s="1" t="s">
        <v>2633</v>
      </c>
      <c r="C42" s="1" t="s">
        <v>2834</v>
      </c>
      <c r="D42" s="1" t="s">
        <v>2844</v>
      </c>
      <c r="E42" s="10" t="s">
        <v>2836</v>
      </c>
      <c r="F42" s="1">
        <v>3.78</v>
      </c>
      <c r="G42" s="1">
        <v>3.94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43769.553078703706</v>
      </c>
      <c r="B43" s="1" t="s">
        <v>2633</v>
      </c>
      <c r="C43" s="1" t="s">
        <v>2833</v>
      </c>
      <c r="D43" s="1" t="s">
        <v>2779</v>
      </c>
      <c r="E43" s="10" t="s">
        <v>2634</v>
      </c>
      <c r="F43" s="1">
        <v>3.78</v>
      </c>
      <c r="G43" s="1">
        <v>3.94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43769.554594907408</v>
      </c>
      <c r="B44" s="1" t="s">
        <v>2633</v>
      </c>
      <c r="C44" s="1" t="s">
        <v>2834</v>
      </c>
      <c r="D44" s="1" t="s">
        <v>2835</v>
      </c>
      <c r="E44" s="10" t="s">
        <v>2836</v>
      </c>
      <c r="F44" s="1">
        <v>3.78</v>
      </c>
      <c r="G44" s="1">
        <v>3.94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43769.554594907408</v>
      </c>
      <c r="B45" s="1" t="s">
        <v>2633</v>
      </c>
      <c r="C45" s="1" t="s">
        <v>2834</v>
      </c>
      <c r="D45" s="1" t="s">
        <v>2837</v>
      </c>
      <c r="E45" s="10" t="s">
        <v>2886</v>
      </c>
      <c r="F45" s="1">
        <v>3.78</v>
      </c>
      <c r="G45" s="1">
        <v>3.94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43769.554594907408</v>
      </c>
      <c r="B46" s="1" t="s">
        <v>2633</v>
      </c>
      <c r="C46" s="1" t="s">
        <v>2834</v>
      </c>
      <c r="D46" s="1" t="s">
        <v>2839</v>
      </c>
      <c r="E46" s="10">
        <v>6694</v>
      </c>
      <c r="F46" s="1">
        <v>3.78</v>
      </c>
      <c r="G46" s="1">
        <v>3.94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43769.554594907408</v>
      </c>
      <c r="B47" s="1" t="s">
        <v>2633</v>
      </c>
      <c r="C47" s="1" t="s">
        <v>2834</v>
      </c>
      <c r="D47" s="1" t="s">
        <v>2793</v>
      </c>
      <c r="E47" s="1">
        <v>0</v>
      </c>
      <c r="F47" s="1">
        <v>3.78</v>
      </c>
      <c r="G47" s="1">
        <v>3.94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43769.554594907408</v>
      </c>
      <c r="B48" s="1" t="s">
        <v>2633</v>
      </c>
      <c r="C48" s="1" t="s">
        <v>2834</v>
      </c>
      <c r="D48" s="1" t="s">
        <v>2842</v>
      </c>
      <c r="E48" s="1" t="s">
        <v>2887</v>
      </c>
      <c r="F48" s="1">
        <v>3.78</v>
      </c>
      <c r="G48" s="1">
        <v>3.94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43769.554594907408</v>
      </c>
      <c r="B49" s="1" t="s">
        <v>2633</v>
      </c>
      <c r="C49" s="1" t="s">
        <v>2834</v>
      </c>
      <c r="D49" s="1" t="s">
        <v>2844</v>
      </c>
      <c r="E49" s="10" t="s">
        <v>2836</v>
      </c>
      <c r="F49" s="1">
        <v>3.78</v>
      </c>
      <c r="G49" s="1">
        <v>3.94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43769.554606481484</v>
      </c>
      <c r="B50" s="1" t="s">
        <v>2633</v>
      </c>
      <c r="C50" s="1" t="s">
        <v>2833</v>
      </c>
      <c r="D50" s="1"/>
      <c r="E50" s="10" t="s">
        <v>2634</v>
      </c>
      <c r="F50" s="1">
        <v>3.78</v>
      </c>
      <c r="G50" s="1">
        <v>3.94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43769.554710648146</v>
      </c>
      <c r="B51" s="1" t="s">
        <v>2633</v>
      </c>
      <c r="C51" s="1" t="s">
        <v>2834</v>
      </c>
      <c r="D51" s="1" t="s">
        <v>2835</v>
      </c>
      <c r="E51" s="10" t="s">
        <v>2836</v>
      </c>
      <c r="F51" s="1">
        <v>3.78</v>
      </c>
      <c r="G51" s="1">
        <v>3.94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43769.554710648146</v>
      </c>
      <c r="B52" s="1" t="s">
        <v>2633</v>
      </c>
      <c r="C52" s="1" t="s">
        <v>2834</v>
      </c>
      <c r="D52" s="1" t="s">
        <v>2837</v>
      </c>
      <c r="E52" s="10" t="s">
        <v>2886</v>
      </c>
      <c r="F52" s="1">
        <v>3.78</v>
      </c>
      <c r="G52" s="1">
        <v>3.94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43769.554710648146</v>
      </c>
      <c r="B53" s="1" t="s">
        <v>2633</v>
      </c>
      <c r="C53" s="1" t="s">
        <v>2834</v>
      </c>
      <c r="D53" s="1" t="s">
        <v>2839</v>
      </c>
      <c r="E53" s="10">
        <v>6694</v>
      </c>
      <c r="F53" s="1">
        <v>3.78</v>
      </c>
      <c r="G53" s="1">
        <v>3.94</v>
      </c>
      <c r="H53" s="1">
        <v>3.24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43769.554710648146</v>
      </c>
      <c r="B54" s="1" t="s">
        <v>2633</v>
      </c>
      <c r="C54" s="1" t="s">
        <v>2834</v>
      </c>
      <c r="D54" s="1" t="s">
        <v>2793</v>
      </c>
      <c r="E54" s="1">
        <v>0</v>
      </c>
      <c r="F54" s="1">
        <v>3.78</v>
      </c>
      <c r="G54" s="1">
        <v>3.94</v>
      </c>
      <c r="H54" s="1">
        <v>3.24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43769.554710648146</v>
      </c>
      <c r="B55" s="1" t="s">
        <v>2633</v>
      </c>
      <c r="C55" s="1" t="s">
        <v>2834</v>
      </c>
      <c r="D55" s="1" t="s">
        <v>2842</v>
      </c>
      <c r="E55" s="1" t="s">
        <v>2887</v>
      </c>
      <c r="F55" s="1">
        <v>3.78</v>
      </c>
      <c r="G55" s="1">
        <v>3.94</v>
      </c>
      <c r="H55" s="1">
        <v>3.24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43769.554710648146</v>
      </c>
      <c r="B56" s="1" t="s">
        <v>2633</v>
      </c>
      <c r="C56" s="1" t="s">
        <v>2834</v>
      </c>
      <c r="D56" s="1" t="s">
        <v>2844</v>
      </c>
      <c r="E56" s="10" t="s">
        <v>2836</v>
      </c>
      <c r="F56" s="1">
        <v>3.78</v>
      </c>
      <c r="G56" s="1">
        <v>3.94</v>
      </c>
      <c r="H56" s="1">
        <v>3.24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43769.554722222223</v>
      </c>
      <c r="B57" s="1" t="s">
        <v>2633</v>
      </c>
      <c r="C57" s="1" t="s">
        <v>2833</v>
      </c>
      <c r="D57" s="1"/>
      <c r="E57" s="10" t="s">
        <v>2634</v>
      </c>
      <c r="F57" s="1">
        <v>3.78</v>
      </c>
      <c r="G57" s="1">
        <v>3.94</v>
      </c>
      <c r="H57" s="1">
        <v>3.24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43769.558425925927</v>
      </c>
      <c r="B58" s="1" t="s">
        <v>2633</v>
      </c>
      <c r="C58" s="1" t="s">
        <v>2834</v>
      </c>
      <c r="D58" s="1" t="s">
        <v>2835</v>
      </c>
      <c r="E58" s="10" t="s">
        <v>2836</v>
      </c>
      <c r="F58" s="1">
        <v>3.78</v>
      </c>
      <c r="G58" s="1">
        <v>3.94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43769.558425925927</v>
      </c>
      <c r="B59" s="1" t="s">
        <v>2633</v>
      </c>
      <c r="C59" s="1" t="s">
        <v>2834</v>
      </c>
      <c r="D59" s="1" t="s">
        <v>2837</v>
      </c>
      <c r="E59" s="1" t="s">
        <v>2886</v>
      </c>
      <c r="F59" s="1">
        <v>3.78</v>
      </c>
      <c r="G59" s="1">
        <v>3.94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43769.558425925927</v>
      </c>
      <c r="B60" s="1" t="s">
        <v>2633</v>
      </c>
      <c r="C60" s="1" t="s">
        <v>2834</v>
      </c>
      <c r="D60" s="1" t="s">
        <v>2839</v>
      </c>
      <c r="E60" s="10">
        <v>6694</v>
      </c>
      <c r="F60" s="1">
        <v>3.78</v>
      </c>
      <c r="G60" s="1">
        <v>3.94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43769.558425925927</v>
      </c>
      <c r="B61" s="1" t="s">
        <v>2633</v>
      </c>
      <c r="C61" s="1" t="s">
        <v>2834</v>
      </c>
      <c r="D61" s="1" t="s">
        <v>2793</v>
      </c>
      <c r="E61" s="1">
        <v>0</v>
      </c>
      <c r="F61" s="1">
        <v>3.78</v>
      </c>
      <c r="G61" s="1">
        <v>3.94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43769.558437500003</v>
      </c>
      <c r="B62" s="1" t="s">
        <v>2633</v>
      </c>
      <c r="C62" s="1" t="s">
        <v>2834</v>
      </c>
      <c r="D62" s="1" t="s">
        <v>2842</v>
      </c>
      <c r="E62" s="1" t="s">
        <v>2887</v>
      </c>
      <c r="F62" s="1">
        <v>3.78</v>
      </c>
      <c r="G62" s="1">
        <v>3.94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43769.558437500003</v>
      </c>
      <c r="B63" s="1" t="s">
        <v>2633</v>
      </c>
      <c r="C63" s="1" t="s">
        <v>2834</v>
      </c>
      <c r="D63" s="1" t="s">
        <v>2844</v>
      </c>
      <c r="E63" s="10" t="s">
        <v>2836</v>
      </c>
      <c r="F63" s="1">
        <v>3.78</v>
      </c>
      <c r="G63" s="1">
        <v>3.94</v>
      </c>
      <c r="H63" s="1">
        <v>3.24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43769.558449074073</v>
      </c>
      <c r="B64" s="1" t="s">
        <v>2633</v>
      </c>
      <c r="C64" s="1" t="s">
        <v>2833</v>
      </c>
      <c r="D64" s="1"/>
      <c r="E64" s="1" t="s">
        <v>2634</v>
      </c>
      <c r="F64" s="1">
        <v>3.78</v>
      </c>
      <c r="G64" s="1">
        <v>3.94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43769.567499999997</v>
      </c>
      <c r="B65" s="1" t="s">
        <v>2633</v>
      </c>
      <c r="C65" s="1" t="s">
        <v>2975</v>
      </c>
      <c r="D65" s="1" t="s">
        <v>2779</v>
      </c>
      <c r="E65" s="10" t="s">
        <v>2780</v>
      </c>
      <c r="F65" s="1">
        <v>3.78</v>
      </c>
      <c r="G65" s="1">
        <v>3.94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43769.567650462966</v>
      </c>
      <c r="B66" s="1" t="s">
        <v>2633</v>
      </c>
      <c r="C66" s="1" t="s">
        <v>2976</v>
      </c>
      <c r="D66" s="1" t="s">
        <v>2779</v>
      </c>
      <c r="E66" s="1" t="s">
        <v>2777</v>
      </c>
      <c r="F66" s="1">
        <v>3.78</v>
      </c>
      <c r="G66" s="1">
        <v>3.94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43769.567939814813</v>
      </c>
      <c r="B67" s="1" t="s">
        <v>2633</v>
      </c>
      <c r="C67" s="1" t="s">
        <v>2976</v>
      </c>
      <c r="D67" s="1" t="s">
        <v>2779</v>
      </c>
      <c r="E67" s="10" t="s">
        <v>2777</v>
      </c>
      <c r="F67" s="1">
        <v>3.78</v>
      </c>
      <c r="G67" s="1">
        <v>3.94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43769.568958333337</v>
      </c>
      <c r="B68" s="1" t="s">
        <v>2633</v>
      </c>
      <c r="C68" s="1" t="s">
        <v>2977</v>
      </c>
      <c r="D68" s="1" t="s">
        <v>2779</v>
      </c>
      <c r="E68" s="1" t="s">
        <v>2777</v>
      </c>
      <c r="F68" s="1">
        <v>3.78</v>
      </c>
      <c r="G68" s="1">
        <v>3.94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43769.568993055553</v>
      </c>
      <c r="B69" s="1" t="s">
        <v>2633</v>
      </c>
      <c r="C69" s="1" t="s">
        <v>2978</v>
      </c>
      <c r="D69" s="1" t="s">
        <v>2779</v>
      </c>
      <c r="E69" s="1" t="s">
        <v>2777</v>
      </c>
      <c r="F69" s="1">
        <v>3.78</v>
      </c>
      <c r="G69" s="1">
        <v>3.94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43769.569108796299</v>
      </c>
      <c r="B70" s="1" t="s">
        <v>2633</v>
      </c>
      <c r="C70" s="1" t="s">
        <v>2978</v>
      </c>
      <c r="D70" s="1" t="s">
        <v>2779</v>
      </c>
      <c r="E70" s="10" t="s">
        <v>2777</v>
      </c>
      <c r="F70" s="1">
        <v>3.78</v>
      </c>
      <c r="G70" s="1">
        <v>3.94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43769.569155092591</v>
      </c>
      <c r="B71" s="1" t="s">
        <v>2633</v>
      </c>
      <c r="C71" s="1" t="s">
        <v>2978</v>
      </c>
      <c r="D71" s="1" t="s">
        <v>2779</v>
      </c>
      <c r="E71" s="1" t="s">
        <v>2777</v>
      </c>
      <c r="F71" s="1">
        <v>3.78</v>
      </c>
      <c r="G71" s="1">
        <v>3.94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43769.569305555553</v>
      </c>
      <c r="B72" s="1" t="s">
        <v>2633</v>
      </c>
      <c r="C72" s="1" t="s">
        <v>2834</v>
      </c>
      <c r="D72" s="1" t="s">
        <v>2835</v>
      </c>
      <c r="E72" s="10" t="s">
        <v>2836</v>
      </c>
      <c r="F72" s="1">
        <v>3.78</v>
      </c>
      <c r="G72" s="1">
        <v>3.94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43769.569305555553</v>
      </c>
      <c r="B73" s="1" t="s">
        <v>2633</v>
      </c>
      <c r="C73" s="1" t="s">
        <v>2834</v>
      </c>
      <c r="D73" s="1" t="s">
        <v>2837</v>
      </c>
      <c r="E73" s="1" t="s">
        <v>2886</v>
      </c>
      <c r="F73" s="1">
        <v>3.78</v>
      </c>
      <c r="G73" s="1">
        <v>3.94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43769.569305555553</v>
      </c>
      <c r="B74" s="1" t="s">
        <v>2633</v>
      </c>
      <c r="C74" s="1" t="s">
        <v>2834</v>
      </c>
      <c r="D74" s="1" t="s">
        <v>2839</v>
      </c>
      <c r="E74" s="10">
        <v>6694</v>
      </c>
      <c r="F74" s="1">
        <v>3.78</v>
      </c>
      <c r="G74" s="1">
        <v>3.94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43769.569305555553</v>
      </c>
      <c r="B75" s="1" t="s">
        <v>2633</v>
      </c>
      <c r="C75" s="1" t="s">
        <v>2834</v>
      </c>
      <c r="D75" s="1" t="s">
        <v>2793</v>
      </c>
      <c r="E75" s="10">
        <v>0</v>
      </c>
      <c r="F75" s="1">
        <v>3.78</v>
      </c>
      <c r="G75" s="1">
        <v>3.94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43769.569305555553</v>
      </c>
      <c r="B76" s="1" t="s">
        <v>2633</v>
      </c>
      <c r="C76" s="1" t="s">
        <v>2834</v>
      </c>
      <c r="D76" s="1" t="s">
        <v>2842</v>
      </c>
      <c r="E76" s="1" t="s">
        <v>2887</v>
      </c>
      <c r="F76" s="1">
        <v>3.78</v>
      </c>
      <c r="G76" s="1">
        <v>3.94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43769.569305555553</v>
      </c>
      <c r="B77" s="1" t="s">
        <v>2633</v>
      </c>
      <c r="C77" s="1" t="s">
        <v>2834</v>
      </c>
      <c r="D77" s="1" t="s">
        <v>2844</v>
      </c>
      <c r="E77" s="10" t="s">
        <v>2836</v>
      </c>
      <c r="F77" s="1">
        <v>3.78</v>
      </c>
      <c r="G77" s="1">
        <v>3.94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43769.569328703707</v>
      </c>
      <c r="B78" s="1" t="s">
        <v>2633</v>
      </c>
      <c r="C78" s="1" t="s">
        <v>2978</v>
      </c>
      <c r="D78" s="1" t="s">
        <v>2779</v>
      </c>
      <c r="E78" s="1" t="s">
        <v>2634</v>
      </c>
      <c r="F78" s="1">
        <v>3.78</v>
      </c>
      <c r="G78" s="1">
        <v>3.94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43769.570752314816</v>
      </c>
      <c r="B79" s="1" t="s">
        <v>2633</v>
      </c>
      <c r="C79" s="1" t="s">
        <v>2976</v>
      </c>
      <c r="D79" s="1" t="s">
        <v>2779</v>
      </c>
      <c r="E79" s="10" t="s">
        <v>2777</v>
      </c>
      <c r="F79" s="1">
        <v>3.78</v>
      </c>
      <c r="G79" s="1">
        <v>3.94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43769.570787037039</v>
      </c>
      <c r="B80" s="1" t="s">
        <v>2633</v>
      </c>
      <c r="C80" s="1" t="s">
        <v>2983</v>
      </c>
      <c r="D80" s="1" t="s">
        <v>2779</v>
      </c>
      <c r="E80" s="1" t="s">
        <v>2777</v>
      </c>
      <c r="F80" s="1">
        <v>3.78</v>
      </c>
      <c r="G80" s="1">
        <v>3.94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43769.572280092594</v>
      </c>
      <c r="B81" s="1" t="s">
        <v>2633</v>
      </c>
      <c r="C81" s="1" t="s">
        <v>2976</v>
      </c>
      <c r="D81" s="1" t="s">
        <v>2779</v>
      </c>
      <c r="E81" s="10" t="s">
        <v>2777</v>
      </c>
      <c r="F81" s="1">
        <v>3.78</v>
      </c>
      <c r="G81" s="1">
        <v>3.94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43769.572812500002</v>
      </c>
      <c r="B82" s="1" t="s">
        <v>2633</v>
      </c>
      <c r="C82" s="1" t="s">
        <v>2976</v>
      </c>
      <c r="D82" s="1" t="s">
        <v>2779</v>
      </c>
      <c r="E82" s="10" t="s">
        <v>2777</v>
      </c>
      <c r="F82" s="1">
        <v>3.78</v>
      </c>
      <c r="G82" s="1">
        <v>3.94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43769.573958333334</v>
      </c>
      <c r="B83" s="1" t="s">
        <v>2633</v>
      </c>
      <c r="C83" s="1" t="s">
        <v>2834</v>
      </c>
      <c r="D83" s="1" t="s">
        <v>2835</v>
      </c>
      <c r="E83" s="10" t="s">
        <v>2836</v>
      </c>
      <c r="F83" s="1">
        <v>3.78</v>
      </c>
      <c r="G83" s="1">
        <v>3.94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43769.573958333334</v>
      </c>
      <c r="B84" s="1" t="s">
        <v>2633</v>
      </c>
      <c r="C84" s="1" t="s">
        <v>2834</v>
      </c>
      <c r="D84" s="1" t="s">
        <v>2837</v>
      </c>
      <c r="E84" s="1" t="s">
        <v>2838</v>
      </c>
      <c r="F84" s="1">
        <v>3.78</v>
      </c>
      <c r="G84" s="1">
        <v>3.94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43769.573958333334</v>
      </c>
      <c r="B85" s="1" t="s">
        <v>2633</v>
      </c>
      <c r="C85" s="1" t="s">
        <v>2834</v>
      </c>
      <c r="D85" s="1" t="s">
        <v>2839</v>
      </c>
      <c r="E85" s="1" t="s">
        <v>2840</v>
      </c>
      <c r="F85" s="1">
        <v>3.78</v>
      </c>
      <c r="G85" s="1">
        <v>3.94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43769.573958333334</v>
      </c>
      <c r="B86" s="1" t="s">
        <v>2633</v>
      </c>
      <c r="C86" s="1" t="s">
        <v>2834</v>
      </c>
      <c r="D86" s="1" t="s">
        <v>2793</v>
      </c>
      <c r="E86" s="10" t="s">
        <v>2841</v>
      </c>
      <c r="F86" s="1">
        <v>3.78</v>
      </c>
      <c r="G86" s="1">
        <v>3.94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43769.573958333334</v>
      </c>
      <c r="B87" s="1" t="s">
        <v>2633</v>
      </c>
      <c r="C87" s="1" t="s">
        <v>2834</v>
      </c>
      <c r="D87" s="1" t="s">
        <v>2842</v>
      </c>
      <c r="E87" s="1" t="s">
        <v>2843</v>
      </c>
      <c r="F87" s="1">
        <v>3.78</v>
      </c>
      <c r="G87" s="1">
        <v>3.94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43769.573958333334</v>
      </c>
      <c r="B88" s="1" t="s">
        <v>2633</v>
      </c>
      <c r="C88" s="1" t="s">
        <v>2834</v>
      </c>
      <c r="D88" s="1" t="s">
        <v>2844</v>
      </c>
      <c r="E88" s="10" t="s">
        <v>2836</v>
      </c>
      <c r="F88" s="1">
        <v>3.78</v>
      </c>
      <c r="G88" s="1">
        <v>3.94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43769.573958333334</v>
      </c>
      <c r="B89" s="1" t="s">
        <v>2633</v>
      </c>
      <c r="C89" s="1" t="s">
        <v>2833</v>
      </c>
      <c r="D89" s="1" t="s">
        <v>2779</v>
      </c>
      <c r="E89" s="1" t="s">
        <v>2634</v>
      </c>
      <c r="F89" s="1">
        <v>3.78</v>
      </c>
      <c r="G89" s="1">
        <v>3.94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43769.574594907404</v>
      </c>
      <c r="B90" s="1" t="s">
        <v>2633</v>
      </c>
      <c r="C90" s="1" t="s">
        <v>2834</v>
      </c>
      <c r="D90" s="1" t="s">
        <v>2835</v>
      </c>
      <c r="E90" s="10" t="s">
        <v>2836</v>
      </c>
      <c r="F90" s="1">
        <v>3.78</v>
      </c>
      <c r="G90" s="1">
        <v>3.94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43769.574594907404</v>
      </c>
      <c r="B91" s="1" t="s">
        <v>2633</v>
      </c>
      <c r="C91" s="1" t="s">
        <v>2834</v>
      </c>
      <c r="D91" s="1" t="s">
        <v>2837</v>
      </c>
      <c r="E91" s="10" t="s">
        <v>2838</v>
      </c>
      <c r="F91" s="1">
        <v>3.78</v>
      </c>
      <c r="G91" s="1">
        <v>3.94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43769.574594907404</v>
      </c>
      <c r="B92" s="1" t="s">
        <v>2633</v>
      </c>
      <c r="C92" s="1" t="s">
        <v>2834</v>
      </c>
      <c r="D92" s="1" t="s">
        <v>2839</v>
      </c>
      <c r="E92" s="1" t="s">
        <v>2840</v>
      </c>
      <c r="F92" s="1">
        <v>3.78</v>
      </c>
      <c r="G92" s="1">
        <v>3.94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43769.574594907404</v>
      </c>
      <c r="B93" s="1" t="s">
        <v>2633</v>
      </c>
      <c r="C93" s="1" t="s">
        <v>2834</v>
      </c>
      <c r="D93" s="1" t="s">
        <v>2793</v>
      </c>
      <c r="E93" s="10" t="s">
        <v>2841</v>
      </c>
      <c r="F93" s="1">
        <v>3.78</v>
      </c>
      <c r="G93" s="1">
        <v>3.94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43769.574594907404</v>
      </c>
      <c r="B94" s="1" t="s">
        <v>2633</v>
      </c>
      <c r="C94" s="1" t="s">
        <v>2834</v>
      </c>
      <c r="D94" s="1" t="s">
        <v>2842</v>
      </c>
      <c r="E94" s="1" t="s">
        <v>2843</v>
      </c>
      <c r="F94" s="1">
        <v>3.78</v>
      </c>
      <c r="G94" s="1">
        <v>3.94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43769.574594907404</v>
      </c>
      <c r="B95" s="1" t="s">
        <v>2633</v>
      </c>
      <c r="C95" s="1" t="s">
        <v>2834</v>
      </c>
      <c r="D95" s="1" t="s">
        <v>2844</v>
      </c>
      <c r="E95" s="10" t="s">
        <v>2836</v>
      </c>
      <c r="F95" s="1">
        <v>3.78</v>
      </c>
      <c r="G95" s="1">
        <v>3.94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43769.574594907404</v>
      </c>
      <c r="B96" s="1" t="s">
        <v>2633</v>
      </c>
      <c r="C96" s="1" t="s">
        <v>2833</v>
      </c>
      <c r="D96" s="1"/>
      <c r="E96" s="1" t="s">
        <v>2634</v>
      </c>
      <c r="F96" s="1">
        <v>3.78</v>
      </c>
      <c r="G96" s="1">
        <v>3.94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43769.575879629629</v>
      </c>
      <c r="B97" s="1" t="s">
        <v>2633</v>
      </c>
      <c r="C97" s="1" t="s">
        <v>2976</v>
      </c>
      <c r="D97" s="1" t="s">
        <v>2779</v>
      </c>
      <c r="E97" s="1" t="s">
        <v>2777</v>
      </c>
      <c r="F97" s="1">
        <v>3.79</v>
      </c>
      <c r="G97" s="1">
        <v>3.94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43769.581261574072</v>
      </c>
      <c r="B98" s="1" t="s">
        <v>2633</v>
      </c>
      <c r="C98" s="1" t="s">
        <v>2976</v>
      </c>
      <c r="D98" s="1" t="s">
        <v>2779</v>
      </c>
      <c r="E98" s="10" t="s">
        <v>2777</v>
      </c>
      <c r="F98" s="1">
        <v>3.79</v>
      </c>
      <c r="G98" s="1">
        <v>3.94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43769.581342592595</v>
      </c>
      <c r="B99" s="1" t="s">
        <v>2633</v>
      </c>
      <c r="C99" s="1" t="s">
        <v>2834</v>
      </c>
      <c r="D99" s="1" t="s">
        <v>2835</v>
      </c>
      <c r="E99" s="10" t="s">
        <v>2836</v>
      </c>
      <c r="F99" s="1">
        <v>3.79</v>
      </c>
      <c r="G99" s="1">
        <v>3.94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43769.581342592595</v>
      </c>
      <c r="B100" s="1" t="s">
        <v>2633</v>
      </c>
      <c r="C100" s="1" t="s">
        <v>2834</v>
      </c>
      <c r="D100" s="1" t="s">
        <v>2837</v>
      </c>
      <c r="E100" s="1" t="s">
        <v>2985</v>
      </c>
      <c r="F100" s="1">
        <v>3.79</v>
      </c>
      <c r="G100" s="1">
        <v>3.94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43769.581342592595</v>
      </c>
      <c r="B101" s="1" t="s">
        <v>2633</v>
      </c>
      <c r="C101" s="1" t="s">
        <v>2834</v>
      </c>
      <c r="D101" s="1" t="s">
        <v>2839</v>
      </c>
      <c r="E101" s="1">
        <v>0</v>
      </c>
      <c r="F101" s="1">
        <v>3.79</v>
      </c>
      <c r="G101" s="1">
        <v>3.94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43769.581342592595</v>
      </c>
      <c r="B102" s="1" t="s">
        <v>2633</v>
      </c>
      <c r="C102" s="1" t="s">
        <v>2834</v>
      </c>
      <c r="D102" s="1" t="s">
        <v>2793</v>
      </c>
      <c r="E102" s="10">
        <v>0</v>
      </c>
      <c r="F102" s="1">
        <v>3.79</v>
      </c>
      <c r="G102" s="1">
        <v>3.94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43769.581342592595</v>
      </c>
      <c r="B103" s="1" t="s">
        <v>2633</v>
      </c>
      <c r="C103" s="1" t="s">
        <v>2834</v>
      </c>
      <c r="D103" s="1" t="s">
        <v>2842</v>
      </c>
      <c r="E103" s="1">
        <v>0</v>
      </c>
      <c r="F103" s="1">
        <v>3.79</v>
      </c>
      <c r="G103" s="1">
        <v>3.94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43769.581342592595</v>
      </c>
      <c r="B104" s="1" t="s">
        <v>2633</v>
      </c>
      <c r="C104" s="1" t="s">
        <v>2834</v>
      </c>
      <c r="D104" s="1" t="s">
        <v>2844</v>
      </c>
      <c r="E104" s="10" t="s">
        <v>2836</v>
      </c>
      <c r="F104" s="1">
        <v>3.79</v>
      </c>
      <c r="G104" s="1">
        <v>3.94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43769.581342592595</v>
      </c>
      <c r="B105" s="1" t="s">
        <v>2633</v>
      </c>
      <c r="C105" s="1" t="s">
        <v>2983</v>
      </c>
      <c r="D105" s="1" t="s">
        <v>2779</v>
      </c>
      <c r="E105" s="1" t="s">
        <v>2634</v>
      </c>
      <c r="F105" s="1">
        <v>3.79</v>
      </c>
      <c r="G105" s="1">
        <v>3.94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43769.583032407405</v>
      </c>
      <c r="B106" s="1" t="s">
        <v>2633</v>
      </c>
      <c r="C106" s="1" t="s">
        <v>2834</v>
      </c>
      <c r="D106" s="1" t="s">
        <v>2835</v>
      </c>
      <c r="E106" s="10" t="s">
        <v>2836</v>
      </c>
      <c r="F106" s="1">
        <v>3.79</v>
      </c>
      <c r="G106" s="1">
        <v>3.94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43769.583032407405</v>
      </c>
      <c r="B107" s="1" t="s">
        <v>2633</v>
      </c>
      <c r="C107" s="1" t="s">
        <v>2834</v>
      </c>
      <c r="D107" s="1" t="s">
        <v>2837</v>
      </c>
      <c r="E107" s="10" t="s">
        <v>2985</v>
      </c>
      <c r="F107" s="1">
        <v>3.79</v>
      </c>
      <c r="G107" s="1">
        <v>3.94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43769.583032407405</v>
      </c>
      <c r="B108" s="1" t="s">
        <v>2633</v>
      </c>
      <c r="C108" s="1" t="s">
        <v>2834</v>
      </c>
      <c r="D108" s="1" t="s">
        <v>2839</v>
      </c>
      <c r="E108" s="1">
        <v>0</v>
      </c>
      <c r="F108" s="1">
        <v>3.79</v>
      </c>
      <c r="G108" s="1">
        <v>3.94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43769.583032407405</v>
      </c>
      <c r="B109" s="1" t="s">
        <v>2633</v>
      </c>
      <c r="C109" s="1" t="s">
        <v>2834</v>
      </c>
      <c r="D109" s="1" t="s">
        <v>2793</v>
      </c>
      <c r="E109" s="10">
        <v>0</v>
      </c>
      <c r="F109" s="1">
        <v>3.79</v>
      </c>
      <c r="G109" s="1">
        <v>3.94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43769.583032407405</v>
      </c>
      <c r="B110" s="1" t="s">
        <v>2633</v>
      </c>
      <c r="C110" s="1" t="s">
        <v>2834</v>
      </c>
      <c r="D110" s="1" t="s">
        <v>2842</v>
      </c>
      <c r="E110" s="1">
        <v>0</v>
      </c>
      <c r="F110" s="1">
        <v>3.79</v>
      </c>
      <c r="G110" s="1">
        <v>3.94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43769.583032407405</v>
      </c>
      <c r="B111" s="1" t="s">
        <v>2633</v>
      </c>
      <c r="C111" s="1" t="s">
        <v>2834</v>
      </c>
      <c r="D111" s="1" t="s">
        <v>2844</v>
      </c>
      <c r="E111" s="10" t="s">
        <v>2836</v>
      </c>
      <c r="F111" s="1">
        <v>3.79</v>
      </c>
      <c r="G111" s="1">
        <v>3.94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43769.583032407405</v>
      </c>
      <c r="B112" s="1" t="s">
        <v>2633</v>
      </c>
      <c r="C112" s="1" t="s">
        <v>2983</v>
      </c>
      <c r="D112" s="1"/>
      <c r="E112" s="1" t="s">
        <v>2634</v>
      </c>
      <c r="F112" s="1">
        <v>3.79</v>
      </c>
      <c r="G112" s="1">
        <v>3.94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43769.583599537036</v>
      </c>
      <c r="B113" s="1" t="s">
        <v>2633</v>
      </c>
      <c r="C113" s="1" t="s">
        <v>2834</v>
      </c>
      <c r="D113" s="1" t="s">
        <v>2835</v>
      </c>
      <c r="E113" s="10" t="s">
        <v>2836</v>
      </c>
      <c r="F113" s="1">
        <v>3.79</v>
      </c>
      <c r="G113" s="1">
        <v>3.94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43769.583599537036</v>
      </c>
      <c r="B114" s="1" t="s">
        <v>2633</v>
      </c>
      <c r="C114" s="1" t="s">
        <v>2834</v>
      </c>
      <c r="D114" s="1" t="s">
        <v>2837</v>
      </c>
      <c r="E114" s="10" t="s">
        <v>2985</v>
      </c>
      <c r="F114" s="1">
        <v>3.79</v>
      </c>
      <c r="G114" s="1">
        <v>3.94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43769.583599537036</v>
      </c>
      <c r="B115" s="1" t="s">
        <v>2633</v>
      </c>
      <c r="C115" s="1" t="s">
        <v>2834</v>
      </c>
      <c r="D115" s="1" t="s">
        <v>2839</v>
      </c>
      <c r="E115" s="1">
        <v>0</v>
      </c>
      <c r="F115" s="1">
        <v>3.79</v>
      </c>
      <c r="G115" s="1">
        <v>3.94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43769.583599537036</v>
      </c>
      <c r="B116" s="1" t="s">
        <v>2633</v>
      </c>
      <c r="C116" s="1" t="s">
        <v>2834</v>
      </c>
      <c r="D116" s="1" t="s">
        <v>2793</v>
      </c>
      <c r="E116" s="10">
        <v>0</v>
      </c>
      <c r="F116" s="1">
        <v>3.79</v>
      </c>
      <c r="G116" s="1">
        <v>3.94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43769.583599537036</v>
      </c>
      <c r="B117" s="1" t="s">
        <v>2633</v>
      </c>
      <c r="C117" s="1" t="s">
        <v>2834</v>
      </c>
      <c r="D117" s="1" t="s">
        <v>2842</v>
      </c>
      <c r="E117" s="1">
        <v>0</v>
      </c>
      <c r="F117" s="1">
        <v>3.79</v>
      </c>
      <c r="G117" s="1">
        <v>3.94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43769.583599537036</v>
      </c>
      <c r="B118" s="1" t="s">
        <v>2633</v>
      </c>
      <c r="C118" s="1" t="s">
        <v>2834</v>
      </c>
      <c r="D118" s="1" t="s">
        <v>2844</v>
      </c>
      <c r="E118" s="10" t="s">
        <v>2836</v>
      </c>
      <c r="F118" s="1">
        <v>3.79</v>
      </c>
      <c r="G118" s="1">
        <v>3.94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43769.583599537036</v>
      </c>
      <c r="B119" s="1" t="s">
        <v>2633</v>
      </c>
      <c r="C119" s="1" t="s">
        <v>2983</v>
      </c>
      <c r="D119" s="1"/>
      <c r="E119" s="1" t="s">
        <v>2634</v>
      </c>
      <c r="F119" s="1">
        <v>3.79</v>
      </c>
      <c r="G119" s="1">
        <v>3.94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43769.601805555554</v>
      </c>
      <c r="B120" s="1" t="s">
        <v>2633</v>
      </c>
      <c r="C120" s="1" t="s">
        <v>2764</v>
      </c>
      <c r="D120" s="1" t="s">
        <v>2765</v>
      </c>
      <c r="E120" s="1">
        <v>0</v>
      </c>
      <c r="F120" s="1">
        <v>3.79</v>
      </c>
      <c r="G120" s="1">
        <v>3.94</v>
      </c>
      <c r="H120" s="1">
        <v>3.24</v>
      </c>
      <c r="I120" s="1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43769.601863425924</v>
      </c>
      <c r="B121" s="1" t="s">
        <v>2633</v>
      </c>
      <c r="C121" s="1" t="s">
        <v>2764</v>
      </c>
      <c r="D121" s="1" t="s">
        <v>2765</v>
      </c>
      <c r="E121" s="10">
        <v>0</v>
      </c>
      <c r="F121" s="1">
        <v>3.79</v>
      </c>
      <c r="G121" s="1">
        <v>3.94</v>
      </c>
      <c r="H121" s="1">
        <v>3.24</v>
      </c>
      <c r="I121" s="1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43769.602013888885</v>
      </c>
      <c r="B122" s="1" t="s">
        <v>2633</v>
      </c>
      <c r="C122" s="1" t="s">
        <v>2764</v>
      </c>
      <c r="D122" s="1" t="s">
        <v>2765</v>
      </c>
      <c r="E122" s="1">
        <v>0</v>
      </c>
      <c r="F122" s="1">
        <v>3.79</v>
      </c>
      <c r="G122" s="1">
        <v>3.94</v>
      </c>
      <c r="H122" s="1">
        <v>3.24</v>
      </c>
      <c r="I122" s="1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43769.602048611108</v>
      </c>
      <c r="B123" s="1" t="s">
        <v>2633</v>
      </c>
      <c r="C123" s="1" t="s">
        <v>2764</v>
      </c>
      <c r="D123" s="1" t="s">
        <v>2765</v>
      </c>
      <c r="E123" s="10">
        <v>0</v>
      </c>
      <c r="F123" s="1">
        <v>3.79</v>
      </c>
      <c r="G123" s="1">
        <v>3.94</v>
      </c>
      <c r="H123" s="1">
        <v>3.24</v>
      </c>
      <c r="I123" s="1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43769.602384259262</v>
      </c>
      <c r="B124" s="1" t="s">
        <v>2633</v>
      </c>
      <c r="C124" s="1" t="s">
        <v>2764</v>
      </c>
      <c r="D124" s="1" t="s">
        <v>2765</v>
      </c>
      <c r="E124" s="1">
        <v>1</v>
      </c>
      <c r="F124" s="1">
        <v>3.79</v>
      </c>
      <c r="G124" s="1">
        <v>3.94</v>
      </c>
      <c r="H124" s="1">
        <v>3.24</v>
      </c>
      <c r="I124" s="1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43769.602754629632</v>
      </c>
      <c r="B125" s="1" t="s">
        <v>2633</v>
      </c>
      <c r="C125" s="1" t="s">
        <v>2729</v>
      </c>
      <c r="D125" s="1"/>
      <c r="E125" s="1" t="s">
        <v>2634</v>
      </c>
      <c r="F125" s="1">
        <v>3.79</v>
      </c>
      <c r="G125" s="1">
        <v>3.94</v>
      </c>
      <c r="H125" s="1">
        <v>3.24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43769.603263888886</v>
      </c>
      <c r="B126" s="1" t="s">
        <v>2633</v>
      </c>
      <c r="C126" s="1" t="s">
        <v>2764</v>
      </c>
      <c r="D126" s="1" t="s">
        <v>2765</v>
      </c>
      <c r="E126" s="1">
        <v>1</v>
      </c>
      <c r="F126" s="1">
        <v>3.79</v>
      </c>
      <c r="G126" s="1">
        <v>3.94</v>
      </c>
      <c r="H126" s="1">
        <v>3.24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43769.605393518519</v>
      </c>
      <c r="B127" s="1" t="s">
        <v>2633</v>
      </c>
      <c r="C127" s="1" t="s">
        <v>2764</v>
      </c>
      <c r="D127" s="1" t="s">
        <v>2765</v>
      </c>
      <c r="E127" s="1">
        <v>1</v>
      </c>
      <c r="F127" s="1">
        <v>3.79</v>
      </c>
      <c r="G127" s="1">
        <v>3.94</v>
      </c>
      <c r="H127" s="1">
        <v>3.24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43769.605428240742</v>
      </c>
      <c r="B128" s="1" t="s">
        <v>2633</v>
      </c>
      <c r="C128" s="1" t="s">
        <v>2764</v>
      </c>
      <c r="D128" s="1" t="s">
        <v>2765</v>
      </c>
      <c r="E128" s="10">
        <v>1</v>
      </c>
      <c r="F128" s="1">
        <v>3.79</v>
      </c>
      <c r="G128" s="1">
        <v>3.94</v>
      </c>
      <c r="H128" s="1">
        <v>3.24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43769.607233796298</v>
      </c>
      <c r="B129" s="1" t="s">
        <v>2633</v>
      </c>
      <c r="C129" s="1" t="s">
        <v>2764</v>
      </c>
      <c r="D129" s="1" t="s">
        <v>2765</v>
      </c>
      <c r="E129" s="1">
        <v>1</v>
      </c>
      <c r="F129" s="1">
        <v>3.79</v>
      </c>
      <c r="G129" s="1">
        <v>3.94</v>
      </c>
      <c r="H129" s="1">
        <v>3.24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43769.607314814813</v>
      </c>
      <c r="B130" s="1" t="s">
        <v>2633</v>
      </c>
      <c r="C130" s="1" t="s">
        <v>2764</v>
      </c>
      <c r="D130" s="1" t="s">
        <v>2765</v>
      </c>
      <c r="E130" s="10">
        <v>1</v>
      </c>
      <c r="F130" s="1">
        <v>3.79</v>
      </c>
      <c r="G130" s="1">
        <v>3.94</v>
      </c>
      <c r="H130" s="1">
        <v>3.24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43769.60738425926</v>
      </c>
      <c r="B131" s="1" t="s">
        <v>2633</v>
      </c>
      <c r="C131" s="1" t="s">
        <v>2764</v>
      </c>
      <c r="D131" s="1" t="s">
        <v>2765</v>
      </c>
      <c r="E131" s="1">
        <v>1</v>
      </c>
      <c r="F131" s="1">
        <v>3.79</v>
      </c>
      <c r="G131" s="1">
        <v>3.94</v>
      </c>
      <c r="H131" s="1">
        <v>3.24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43769.609548611108</v>
      </c>
      <c r="B132" s="1" t="s">
        <v>2633</v>
      </c>
      <c r="C132" s="1" t="s">
        <v>2764</v>
      </c>
      <c r="D132" s="1" t="s">
        <v>2765</v>
      </c>
      <c r="E132" s="1">
        <v>1</v>
      </c>
      <c r="F132" s="1">
        <v>3.79</v>
      </c>
      <c r="G132" s="1">
        <v>3.95</v>
      </c>
      <c r="H132" s="1">
        <v>3.24</v>
      </c>
      <c r="I132" s="1">
        <v>0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0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0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0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0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0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0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0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0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0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0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0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0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0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0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0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0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0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U17"/>
  <sheetViews>
    <sheetView tabSelected="1" workbookViewId="0"/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07" t="s">
        <v>2763</v>
      </c>
      <c r="B1" s="100" t="s">
        <v>2644</v>
      </c>
      <c r="C1" s="100" t="s">
        <v>2645</v>
      </c>
      <c r="D1" s="100" t="s">
        <v>2646</v>
      </c>
      <c r="E1" s="100" t="s">
        <v>2762</v>
      </c>
      <c r="F1" s="100" t="s">
        <v>2761</v>
      </c>
      <c r="G1" s="100" t="s">
        <v>2760</v>
      </c>
      <c r="H1" s="109" t="s">
        <v>2759</v>
      </c>
      <c r="I1" s="110"/>
      <c r="J1" s="111"/>
      <c r="K1" s="109" t="s">
        <v>2758</v>
      </c>
      <c r="L1" s="110"/>
      <c r="M1" s="110"/>
      <c r="N1" s="110"/>
      <c r="O1" s="110"/>
      <c r="P1" s="110"/>
      <c r="Q1" s="111"/>
      <c r="R1" s="100" t="s">
        <v>2757</v>
      </c>
      <c r="S1" s="109" t="s">
        <v>2756</v>
      </c>
      <c r="T1" s="110"/>
      <c r="U1" s="128"/>
    </row>
    <row r="2" spans="1:21" ht="63" x14ac:dyDescent="0.25">
      <c r="A2" s="108"/>
      <c r="B2" s="101"/>
      <c r="C2" s="101"/>
      <c r="D2" s="101"/>
      <c r="E2" s="101"/>
      <c r="F2" s="101"/>
      <c r="G2" s="101"/>
      <c r="H2" s="43" t="s">
        <v>2755</v>
      </c>
      <c r="I2" s="43" t="s">
        <v>2754</v>
      </c>
      <c r="J2" s="43" t="s">
        <v>2753</v>
      </c>
      <c r="K2" s="43" t="s">
        <v>2752</v>
      </c>
      <c r="L2" s="43" t="s">
        <v>2751</v>
      </c>
      <c r="M2" s="43" t="s">
        <v>2750</v>
      </c>
      <c r="N2" s="43" t="s">
        <v>2749</v>
      </c>
      <c r="O2" s="43" t="s">
        <v>2748</v>
      </c>
      <c r="P2" s="43" t="s">
        <v>2747</v>
      </c>
      <c r="Q2" s="43" t="s">
        <v>2746</v>
      </c>
      <c r="R2" s="101"/>
      <c r="S2" s="43" t="s">
        <v>2745</v>
      </c>
      <c r="T2" s="43" t="s">
        <v>2744</v>
      </c>
      <c r="U2" s="41" t="s">
        <v>2743</v>
      </c>
    </row>
    <row r="3" spans="1:21" ht="15.75" x14ac:dyDescent="0.25">
      <c r="A3" s="33" t="str">
        <f>A4</f>
        <v>Пфм1</v>
      </c>
      <c r="B3" s="26" t="s">
        <v>2739</v>
      </c>
      <c r="C3" s="26"/>
      <c r="D3" s="26" t="s">
        <v>2996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32"/>
    </row>
    <row r="4" spans="1:21" ht="15.75" x14ac:dyDescent="0.25">
      <c r="A4" s="33" t="s">
        <v>2729</v>
      </c>
      <c r="B4" s="26" t="s">
        <v>2739</v>
      </c>
      <c r="C4" s="26" t="s">
        <v>2741</v>
      </c>
      <c r="D4" s="26" t="s">
        <v>2992</v>
      </c>
      <c r="E4" s="26">
        <v>35.423999999999999</v>
      </c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32"/>
    </row>
    <row r="5" spans="1:21" ht="15.75" x14ac:dyDescent="0.25">
      <c r="A5" s="33" t="s">
        <v>2729</v>
      </c>
      <c r="B5" s="26" t="s">
        <v>2739</v>
      </c>
      <c r="C5" s="26" t="s">
        <v>2742</v>
      </c>
      <c r="D5" s="26" t="s">
        <v>2727</v>
      </c>
      <c r="E5" s="26">
        <v>12.29</v>
      </c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32"/>
    </row>
    <row r="6" spans="1:21" ht="15.75" x14ac:dyDescent="0.25">
      <c r="A6" s="33" t="s">
        <v>2729</v>
      </c>
      <c r="B6" s="26" t="s">
        <v>2739</v>
      </c>
      <c r="C6" s="26" t="s">
        <v>2741</v>
      </c>
      <c r="D6" s="26" t="s">
        <v>2740</v>
      </c>
      <c r="E6" s="26">
        <v>118.08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32"/>
    </row>
    <row r="7" spans="1:21" ht="15.75" x14ac:dyDescent="0.25">
      <c r="A7" s="33" t="s">
        <v>2729</v>
      </c>
      <c r="B7" s="26" t="s">
        <v>2739</v>
      </c>
      <c r="C7" s="26"/>
      <c r="D7" s="26" t="s">
        <v>2738</v>
      </c>
      <c r="E7" s="26">
        <v>300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32"/>
    </row>
    <row r="8" spans="1:21" ht="15.7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ht="31.5" x14ac:dyDescent="0.25">
      <c r="A9" s="30" t="s">
        <v>2729</v>
      </c>
      <c r="B9" s="29" t="s">
        <v>2729</v>
      </c>
      <c r="C9" s="29"/>
      <c r="D9" s="29" t="s">
        <v>2737</v>
      </c>
      <c r="E9" s="29">
        <v>1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8"/>
    </row>
    <row r="10" spans="1:21" ht="15.75" x14ac:dyDescent="0.25">
      <c r="A10" s="42" t="s">
        <v>2729</v>
      </c>
      <c r="B10" s="43">
        <v>1</v>
      </c>
      <c r="C10" s="43" t="s">
        <v>2734</v>
      </c>
      <c r="D10" s="43" t="s">
        <v>2736</v>
      </c>
      <c r="E10" s="43">
        <v>2</v>
      </c>
      <c r="F10" s="26">
        <v>1.208</v>
      </c>
      <c r="G10" s="43" t="s">
        <v>20</v>
      </c>
      <c r="H10" s="43">
        <v>632470</v>
      </c>
      <c r="I10" s="43">
        <v>14</v>
      </c>
      <c r="J10" s="43" t="s">
        <v>2</v>
      </c>
      <c r="K10" s="43"/>
      <c r="L10" s="43"/>
      <c r="M10" s="43"/>
      <c r="N10" s="43"/>
      <c r="O10" s="43"/>
      <c r="P10" s="43"/>
      <c r="Q10" s="43"/>
      <c r="R10" s="43"/>
      <c r="S10" s="43">
        <v>690</v>
      </c>
      <c r="T10" s="43">
        <v>830</v>
      </c>
      <c r="U10" s="41">
        <v>35</v>
      </c>
    </row>
    <row r="11" spans="1:21" ht="15.75" x14ac:dyDescent="0.25">
      <c r="A11" s="42" t="s">
        <v>2729</v>
      </c>
      <c r="B11" s="43">
        <v>1</v>
      </c>
      <c r="C11" s="43" t="s">
        <v>2734</v>
      </c>
      <c r="D11" s="43" t="s">
        <v>2735</v>
      </c>
      <c r="E11" s="43">
        <v>2</v>
      </c>
      <c r="F11" s="26">
        <v>0.88800000000000001</v>
      </c>
      <c r="G11" s="43" t="s">
        <v>20</v>
      </c>
      <c r="H11" s="43">
        <v>632470</v>
      </c>
      <c r="I11" s="43">
        <v>12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590</v>
      </c>
      <c r="T11" s="43">
        <v>710</v>
      </c>
      <c r="U11" s="41">
        <v>30</v>
      </c>
    </row>
    <row r="12" spans="1:21" ht="15.75" x14ac:dyDescent="0.25">
      <c r="A12" s="42" t="s">
        <v>2729</v>
      </c>
      <c r="B12" s="43">
        <v>2</v>
      </c>
      <c r="C12" s="43" t="s">
        <v>2734</v>
      </c>
      <c r="D12" s="43" t="s">
        <v>2733</v>
      </c>
      <c r="E12" s="43">
        <v>220</v>
      </c>
      <c r="F12" s="26">
        <v>0.88800000000000001</v>
      </c>
      <c r="G12" s="43" t="s">
        <v>0</v>
      </c>
      <c r="H12" s="43">
        <v>1275</v>
      </c>
      <c r="I12" s="43">
        <v>12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590</v>
      </c>
      <c r="T12" s="43">
        <v>710</v>
      </c>
      <c r="U12" s="41">
        <v>30</v>
      </c>
    </row>
    <row r="13" spans="1:21" ht="15.75" x14ac:dyDescent="0.25">
      <c r="A13" s="42" t="s">
        <v>2729</v>
      </c>
      <c r="B13" s="43" t="str">
        <f>[1]Изделия_спец.И!A10</f>
        <v>Кр2</v>
      </c>
      <c r="C13" s="43" t="str">
        <f>[1]Изделия_спец.И!C10</f>
        <v>данный лист</v>
      </c>
      <c r="D13" s="43" t="str">
        <f>[1]Изделия_спец.И!D10</f>
        <v>Каркас Кр2</v>
      </c>
      <c r="E13" s="43">
        <v>125</v>
      </c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1"/>
    </row>
    <row r="14" spans="1:21" ht="15.75" x14ac:dyDescent="0.25">
      <c r="A14" s="42" t="s">
        <v>2729</v>
      </c>
      <c r="B14" s="43" t="str">
        <f>[1]Изделия_спец.И!A15</f>
        <v>Мн1</v>
      </c>
      <c r="C14" s="43" t="str">
        <f>[1]Изделия_спец.И!C15</f>
        <v>данный лист</v>
      </c>
      <c r="D14" s="43" t="str">
        <f>[1]Изделия_спец.И!D15</f>
        <v>Закладная деталь Мн1</v>
      </c>
      <c r="E14" s="43">
        <v>63</v>
      </c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1"/>
    </row>
    <row r="15" spans="1:21" ht="31.5" x14ac:dyDescent="0.25">
      <c r="A15" s="42" t="s">
        <v>2729</v>
      </c>
      <c r="B15" s="43"/>
      <c r="C15" s="43" t="s">
        <v>2732</v>
      </c>
      <c r="D15" s="43" t="s">
        <v>2731</v>
      </c>
      <c r="E15" s="43">
        <v>10</v>
      </c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1"/>
    </row>
    <row r="16" spans="1:21" ht="15.75" x14ac:dyDescent="0.25">
      <c r="A16" s="42" t="s">
        <v>2729</v>
      </c>
      <c r="B16" s="43"/>
      <c r="C16" s="27" t="s">
        <v>2728</v>
      </c>
      <c r="D16" s="27" t="s">
        <v>2730</v>
      </c>
      <c r="E16" s="27">
        <v>35.423999999999999</v>
      </c>
      <c r="F16" s="26" t="s">
        <v>4</v>
      </c>
      <c r="G16" s="43" t="s">
        <v>3</v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1"/>
    </row>
    <row r="17" spans="1:21" ht="16.5" thickBot="1" x14ac:dyDescent="0.3">
      <c r="A17" s="15" t="s">
        <v>2729</v>
      </c>
      <c r="B17" s="16"/>
      <c r="C17" s="25" t="s">
        <v>2728</v>
      </c>
      <c r="D17" s="129" t="s">
        <v>2727</v>
      </c>
      <c r="E17" s="25">
        <v>12.29</v>
      </c>
      <c r="F17" s="24" t="s">
        <v>4</v>
      </c>
      <c r="G17" s="16" t="s">
        <v>3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7"/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17 H2:Q2 K1 R1:S1 S2:U2">
    <cfRule type="containsText" dxfId="14" priority="15" stopIfTrue="1" operator="containsText" text="шт.)">
      <formula>NOT(ISERROR(SEARCH("шт.)",A1)))</formula>
    </cfRule>
    <cfRule type="containsText" dxfId="13" priority="14" stopIfTrue="1" operator="containsText" text=", на ">
      <formula>NOT(ISERROR(SEARCH(", на ",A1)))</formula>
    </cfRule>
    <cfRule type="containsText" dxfId="12" priority="13" stopIfTrue="1" operator="containsText" text="Элементы на отм.">
      <formula>NOT(ISERROR(SEARCH("Элементы на отм.",A1)))</formula>
    </cfRule>
    <cfRule type="containsText" dxfId="11" priority="12" stopIfTrue="1" operator="containsText" text=" Прокат ">
      <formula>NOT(ISERROR(SEARCH(" Прокат ",A1)))</formula>
    </cfRule>
    <cfRule type="containsText" dxfId="10" priority="11" stopIfTrue="1" operator="containsText" text=" Изделия арматурные ">
      <formula>NOT(ISERROR(SEARCH(" Изделия арматурные ",A1)))</formula>
    </cfRule>
    <cfRule type="containsText" dxfId="9" priority="10" stopIfTrue="1" operator="containsText" text=" Материалы ">
      <formula>NOT(ISERROR(SEARCH(" Материалы ",A1)))</formula>
    </cfRule>
    <cfRule type="containsText" dxfId="8" priority="9" stopIfTrue="1" operator="containsText" text=" Изделия ">
      <formula>NOT(ISERROR(SEARCH(" Изделия ",A1)))</formula>
    </cfRule>
    <cfRule type="containsText" dxfId="7" priority="8" stopIfTrue="1" operator="containsText" text=" Сборочные единицы ">
      <formula>NOT(ISERROR(SEARCH(" Сборочные единицы ",A1)))</formula>
    </cfRule>
    <cfRule type="containsText" dxfId="6" priority="7" stopIfTrue="1" operator="containsText" text=" Заполнения проёмов ">
      <formula>NOT(ISERROR(SEARCH(" Заполнения проёмов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Заполнения проёмов ">
      <formula>NOT(ISERROR(SEARCH(" Заполнения проёмов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warning" allowBlank="1" showInputMessage="1" showErrorMessage="1">
          <x14:formula1>
            <xm:f>'!System'!$AU$1:$AU$6</xm:f>
          </x14:formula1>
          <xm:sqref>G3:G17</xm:sqref>
        </x14:dataValidation>
        <x14:dataValidation type="list" allowBlank="1" showInputMessage="1" showErrorMessage="1">
          <x14:formula1>
            <xm:f>'!System'!$AA$1:$AI$1</xm:f>
          </x14:formula1>
          <xm:sqref>J3:J17</xm:sqref>
        </x14:dataValidation>
        <x14:dataValidation type="list" allowBlank="1" showInputMessage="1" showErrorMessage="1">
          <x14:formula1>
            <xm:f>'!System'!$A$1:$Y$1</xm:f>
          </x14:formula1>
          <xm:sqref>L3:L17</xm:sqref>
        </x14:dataValidation>
        <x14:dataValidation type="list" allowBlank="1" showInputMessage="1" showErrorMessage="1">
          <x14:formula1>
            <xm:f>'!System'!$AJ$1:$AT$1</xm:f>
          </x14:formula1>
          <xm:sqref>O3:O17</xm:sqref>
        </x14:dataValidation>
        <x14:dataValidation type="list" allowBlank="1" showInputMessage="1" showErrorMessage="1">
          <x14:formula1>
            <xm:f>'!System'!$AV$1:$AV$5</xm:f>
          </x14:formula1>
          <xm:sqref>P3:P17</xm:sqref>
        </x14:dataValidation>
        <x14:dataValidation type="list" allowBlank="1" showInputMessage="1" showErrorMessage="1">
          <x14:formula1>
            <xm:f>'!System'!$AA$2:$AA$17</xm:f>
          </x14:formula1>
          <xm:sqref>I10</xm:sqref>
        </x14:dataValidation>
        <x14:dataValidation type="list" allowBlank="1" showInputMessage="1" showErrorMessage="1">
          <x14:formula1>
            <xm:f>'!System'!$AA$2:$AA$17</xm:f>
          </x14:formula1>
          <xm:sqref>I11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C36"/>
  <sheetViews>
    <sheetView topLeftCell="A19"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50" t="s">
        <v>2781</v>
      </c>
      <c r="B1" s="51" t="s">
        <v>2782</v>
      </c>
      <c r="C1" s="52" t="s">
        <v>2783</v>
      </c>
    </row>
    <row r="2" spans="1:3" x14ac:dyDescent="0.25">
      <c r="A2" s="45" t="s">
        <v>2784</v>
      </c>
      <c r="B2" s="44" t="s">
        <v>2785</v>
      </c>
      <c r="C2" s="48" t="s">
        <v>2786</v>
      </c>
    </row>
    <row r="3" spans="1:3" x14ac:dyDescent="0.25">
      <c r="A3" s="45" t="s">
        <v>2787</v>
      </c>
      <c r="B3" s="44" t="s">
        <v>2785</v>
      </c>
      <c r="C3" s="48" t="s">
        <v>2788</v>
      </c>
    </row>
    <row r="4" spans="1:3" x14ac:dyDescent="0.25">
      <c r="A4" s="45" t="s">
        <v>2789</v>
      </c>
      <c r="B4" s="44" t="s">
        <v>2790</v>
      </c>
      <c r="C4" s="48" t="s">
        <v>2791</v>
      </c>
    </row>
    <row r="5" spans="1:3" x14ac:dyDescent="0.25">
      <c r="A5" s="45" t="s">
        <v>2792</v>
      </c>
      <c r="B5" s="44" t="s">
        <v>2793</v>
      </c>
      <c r="C5" s="48" t="s">
        <v>2794</v>
      </c>
    </row>
    <row r="6" spans="1:3" x14ac:dyDescent="0.25">
      <c r="A6" s="45" t="s">
        <v>2795</v>
      </c>
      <c r="B6" s="44" t="s">
        <v>2796</v>
      </c>
      <c r="C6" s="48" t="s">
        <v>2794</v>
      </c>
    </row>
    <row r="7" spans="1:3" x14ac:dyDescent="0.25">
      <c r="A7" s="45" t="s">
        <v>2799</v>
      </c>
      <c r="B7" s="44" t="s">
        <v>2800</v>
      </c>
      <c r="C7" s="48" t="s">
        <v>2794</v>
      </c>
    </row>
    <row r="8" spans="1:3" x14ac:dyDescent="0.25">
      <c r="A8" s="45" t="s">
        <v>2801</v>
      </c>
      <c r="B8" s="44" t="s">
        <v>2802</v>
      </c>
      <c r="C8" s="48" t="s">
        <v>2794</v>
      </c>
    </row>
    <row r="9" spans="1:3" x14ac:dyDescent="0.25">
      <c r="A9" s="45" t="s">
        <v>2803</v>
      </c>
      <c r="B9" s="44" t="s">
        <v>2800</v>
      </c>
      <c r="C9" s="48" t="s">
        <v>2794</v>
      </c>
    </row>
    <row r="10" spans="1:3" x14ac:dyDescent="0.25">
      <c r="A10" s="45" t="s">
        <v>2804</v>
      </c>
      <c r="B10" s="44" t="s">
        <v>2802</v>
      </c>
      <c r="C10" s="48" t="s">
        <v>2794</v>
      </c>
    </row>
    <row r="11" spans="1:3" x14ac:dyDescent="0.25">
      <c r="A11" s="45" t="s">
        <v>2805</v>
      </c>
      <c r="B11" s="44" t="s">
        <v>2802</v>
      </c>
      <c r="C11" s="48" t="s">
        <v>2794</v>
      </c>
    </row>
    <row r="12" spans="1:3" x14ac:dyDescent="0.25">
      <c r="A12" s="45" t="s">
        <v>2805</v>
      </c>
      <c r="B12" s="44" t="s">
        <v>2806</v>
      </c>
      <c r="C12" s="48" t="s">
        <v>2794</v>
      </c>
    </row>
    <row r="13" spans="1:3" x14ac:dyDescent="0.25">
      <c r="A13" s="45" t="s">
        <v>2807</v>
      </c>
      <c r="B13" s="44" t="s">
        <v>2802</v>
      </c>
      <c r="C13" s="48" t="s">
        <v>2794</v>
      </c>
    </row>
    <row r="14" spans="1:3" x14ac:dyDescent="0.25">
      <c r="A14" s="45" t="s">
        <v>2808</v>
      </c>
      <c r="B14" s="44" t="s">
        <v>2802</v>
      </c>
      <c r="C14" s="48" t="s">
        <v>2794</v>
      </c>
    </row>
    <row r="15" spans="1:3" x14ac:dyDescent="0.25">
      <c r="A15" s="45" t="s">
        <v>2809</v>
      </c>
      <c r="B15" s="44" t="s">
        <v>2810</v>
      </c>
      <c r="C15" s="48" t="s">
        <v>2794</v>
      </c>
    </row>
    <row r="16" spans="1:3" x14ac:dyDescent="0.25">
      <c r="A16" s="45" t="s">
        <v>2811</v>
      </c>
      <c r="B16" s="44" t="s">
        <v>2800</v>
      </c>
      <c r="C16" s="48" t="s">
        <v>2794</v>
      </c>
    </row>
    <row r="17" spans="1:3" x14ac:dyDescent="0.25">
      <c r="A17" s="45" t="s">
        <v>2812</v>
      </c>
      <c r="B17" s="44" t="s">
        <v>2802</v>
      </c>
      <c r="C17" s="48" t="s">
        <v>2794</v>
      </c>
    </row>
    <row r="18" spans="1:3" x14ac:dyDescent="0.25">
      <c r="A18" s="45" t="s">
        <v>2813</v>
      </c>
      <c r="B18" s="44" t="s">
        <v>2814</v>
      </c>
      <c r="C18" s="48" t="s">
        <v>2794</v>
      </c>
    </row>
    <row r="19" spans="1:3" ht="30" x14ac:dyDescent="0.25">
      <c r="A19" s="45" t="s">
        <v>2815</v>
      </c>
      <c r="B19" s="44" t="s">
        <v>2806</v>
      </c>
      <c r="C19" s="48" t="s">
        <v>2794</v>
      </c>
    </row>
    <row r="20" spans="1:3" x14ac:dyDescent="0.25">
      <c r="A20" s="45" t="s">
        <v>2816</v>
      </c>
      <c r="B20" s="44" t="s">
        <v>2806</v>
      </c>
      <c r="C20" s="48" t="s">
        <v>2794</v>
      </c>
    </row>
    <row r="21" spans="1:3" ht="30" x14ac:dyDescent="0.25">
      <c r="A21" s="45" t="s">
        <v>2817</v>
      </c>
      <c r="B21" s="44" t="s">
        <v>2806</v>
      </c>
      <c r="C21" s="48" t="s">
        <v>2794</v>
      </c>
    </row>
    <row r="22" spans="1:3" ht="30" x14ac:dyDescent="0.25">
      <c r="A22" s="45" t="s">
        <v>2818</v>
      </c>
      <c r="B22" s="44" t="s">
        <v>2819</v>
      </c>
      <c r="C22" s="48" t="s">
        <v>2794</v>
      </c>
    </row>
    <row r="23" spans="1:3" x14ac:dyDescent="0.25">
      <c r="A23" s="45" t="s">
        <v>2811</v>
      </c>
      <c r="B23" s="44" t="s">
        <v>2806</v>
      </c>
      <c r="C23" s="48" t="s">
        <v>2794</v>
      </c>
    </row>
    <row r="24" spans="1:3" x14ac:dyDescent="0.25">
      <c r="A24" s="45" t="s">
        <v>2820</v>
      </c>
      <c r="B24" s="44" t="s">
        <v>2806</v>
      </c>
      <c r="C24" s="48" t="s">
        <v>2794</v>
      </c>
    </row>
    <row r="25" spans="1:3" x14ac:dyDescent="0.25">
      <c r="A25" s="45" t="s">
        <v>2821</v>
      </c>
      <c r="B25" s="44" t="s">
        <v>2806</v>
      </c>
      <c r="C25" s="48" t="s">
        <v>2794</v>
      </c>
    </row>
    <row r="26" spans="1:3" x14ac:dyDescent="0.25">
      <c r="A26" s="45" t="s">
        <v>2822</v>
      </c>
      <c r="B26" s="44" t="s">
        <v>2806</v>
      </c>
      <c r="C26" s="48" t="s">
        <v>2794</v>
      </c>
    </row>
    <row r="27" spans="1:3" ht="30" x14ac:dyDescent="0.25">
      <c r="A27" s="45" t="s">
        <v>2823</v>
      </c>
      <c r="B27" s="44" t="s">
        <v>2806</v>
      </c>
      <c r="C27" s="48" t="s">
        <v>2794</v>
      </c>
    </row>
    <row r="28" spans="1:3" x14ac:dyDescent="0.25">
      <c r="A28" s="45" t="s">
        <v>2824</v>
      </c>
      <c r="B28" s="44" t="s">
        <v>2806</v>
      </c>
      <c r="C28" s="48" t="s">
        <v>2794</v>
      </c>
    </row>
    <row r="29" spans="1:3" x14ac:dyDescent="0.25">
      <c r="A29" s="45" t="s">
        <v>2825</v>
      </c>
      <c r="B29" s="44" t="s">
        <v>2806</v>
      </c>
      <c r="C29" s="48" t="s">
        <v>2794</v>
      </c>
    </row>
    <row r="30" spans="1:3" x14ac:dyDescent="0.25">
      <c r="A30" s="45" t="s">
        <v>2826</v>
      </c>
      <c r="B30" s="44" t="s">
        <v>2806</v>
      </c>
      <c r="C30" s="48" t="s">
        <v>2794</v>
      </c>
    </row>
    <row r="31" spans="1:3" ht="30" x14ac:dyDescent="0.25">
      <c r="A31" s="45" t="s">
        <v>2827</v>
      </c>
      <c r="B31" s="44" t="s">
        <v>2806</v>
      </c>
      <c r="C31" s="48" t="s">
        <v>2794</v>
      </c>
    </row>
    <row r="32" spans="1:3" ht="30" x14ac:dyDescent="0.25">
      <c r="A32" s="45" t="s">
        <v>2828</v>
      </c>
      <c r="B32" s="44" t="s">
        <v>2806</v>
      </c>
      <c r="C32" s="48" t="s">
        <v>2794</v>
      </c>
    </row>
    <row r="33" spans="1:3" x14ac:dyDescent="0.25">
      <c r="A33" s="45" t="s">
        <v>2829</v>
      </c>
      <c r="B33" s="44" t="s">
        <v>2806</v>
      </c>
      <c r="C33" s="48" t="s">
        <v>2794</v>
      </c>
    </row>
    <row r="34" spans="1:3" ht="30" x14ac:dyDescent="0.25">
      <c r="A34" s="45" t="s">
        <v>2830</v>
      </c>
      <c r="B34" s="44" t="s">
        <v>2806</v>
      </c>
      <c r="C34" s="48" t="s">
        <v>2794</v>
      </c>
    </row>
    <row r="35" spans="1:3" x14ac:dyDescent="0.25">
      <c r="A35" s="45" t="s">
        <v>2831</v>
      </c>
      <c r="B35" s="44" t="s">
        <v>2796</v>
      </c>
      <c r="C35" s="48" t="s">
        <v>2794</v>
      </c>
    </row>
    <row r="36" spans="1:3" ht="15.75" thickBot="1" x14ac:dyDescent="0.3">
      <c r="A36" s="46" t="s">
        <v>2832</v>
      </c>
      <c r="B36" s="47" t="s">
        <v>2796</v>
      </c>
      <c r="C36" s="49" t="s">
        <v>2794</v>
      </c>
    </row>
  </sheetData>
  <conditionalFormatting sqref="A1:C36">
    <cfRule type="containsText" dxfId="296" priority="3" operator="containsText" text="Исключить">
      <formula>NOT(ISERROR(SEARCH("Исключить",A1)))</formula>
    </cfRule>
    <cfRule type="containsText" dxfId="295" priority="2" stopIfTrue="1" operator="containsText" text="Добавить">
      <formula>NOT(ISERROR(SEARCH("Добавить",A1)))</formula>
    </cfRule>
    <cfRule type="containsText" dxfId="294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L133"/>
  <sheetViews>
    <sheetView topLeftCell="A82" workbookViewId="0">
      <selection activeCell="K94" sqref="K94:K95"/>
    </sheetView>
  </sheetViews>
  <sheetFormatPr defaultRowHeight="15" x14ac:dyDescent="0.25"/>
  <cols>
    <col min="1" max="1" width="5.42578125" style="53" customWidth="1"/>
    <col min="2" max="2" width="27" style="53" customWidth="1"/>
    <col min="3" max="3" width="21.7109375" style="53" customWidth="1"/>
    <col min="4" max="4" width="8.140625" style="53" customWidth="1"/>
    <col min="5" max="5" width="21.7109375" style="53" customWidth="1"/>
    <col min="6" max="6" width="8.140625" style="53" customWidth="1"/>
    <col min="7" max="7" width="21.7109375" style="53" customWidth="1"/>
    <col min="8" max="8" width="8.140625" style="53" customWidth="1"/>
    <col min="9" max="9" width="21.7109375" style="53" customWidth="1"/>
    <col min="10" max="11" width="8.140625" style="53" customWidth="1"/>
    <col min="12" max="12" width="16.28515625" style="53" customWidth="1"/>
    <col min="13" max="16384" width="9.140625" style="53"/>
  </cols>
  <sheetData>
    <row r="1" spans="1:12" ht="15.75" x14ac:dyDescent="0.25">
      <c r="A1" s="90" t="s">
        <v>2888</v>
      </c>
      <c r="B1" s="92" t="s">
        <v>2889</v>
      </c>
      <c r="C1" s="92" t="s">
        <v>2847</v>
      </c>
      <c r="D1" s="92"/>
      <c r="E1" s="92"/>
      <c r="F1" s="92"/>
      <c r="G1" s="92"/>
      <c r="H1" s="92"/>
      <c r="I1" s="92"/>
      <c r="J1" s="92"/>
      <c r="K1" s="92"/>
      <c r="L1" s="94" t="s">
        <v>2648</v>
      </c>
    </row>
    <row r="2" spans="1:12" ht="41.25" thickBot="1" x14ac:dyDescent="0.3">
      <c r="A2" s="91"/>
      <c r="B2" s="93"/>
      <c r="C2" s="21" t="s">
        <v>2848</v>
      </c>
      <c r="D2" s="62" t="s">
        <v>2849</v>
      </c>
      <c r="E2" s="21" t="s">
        <v>2850</v>
      </c>
      <c r="F2" s="62" t="s">
        <v>2849</v>
      </c>
      <c r="G2" s="21" t="s">
        <v>2851</v>
      </c>
      <c r="H2" s="62" t="s">
        <v>2849</v>
      </c>
      <c r="I2" s="21" t="s">
        <v>2852</v>
      </c>
      <c r="J2" s="62" t="s">
        <v>2849</v>
      </c>
      <c r="K2" s="62" t="s">
        <v>2853</v>
      </c>
      <c r="L2" s="95"/>
    </row>
    <row r="3" spans="1:12" ht="22.7" customHeight="1" x14ac:dyDescent="0.25">
      <c r="A3" s="96" t="s">
        <v>2890</v>
      </c>
      <c r="B3" s="83" t="s">
        <v>2891</v>
      </c>
      <c r="C3" s="83" t="s">
        <v>4</v>
      </c>
      <c r="D3" s="79" t="s">
        <v>4</v>
      </c>
      <c r="E3" s="55" t="s">
        <v>2874</v>
      </c>
      <c r="F3" s="63">
        <v>241</v>
      </c>
      <c r="G3" s="55" t="s">
        <v>2855</v>
      </c>
      <c r="H3" s="63">
        <v>1.8</v>
      </c>
      <c r="I3" s="83" t="s">
        <v>4</v>
      </c>
      <c r="J3" s="79" t="s">
        <v>4</v>
      </c>
      <c r="K3" s="79" t="s">
        <v>4</v>
      </c>
      <c r="L3" s="97" t="s">
        <v>2892</v>
      </c>
    </row>
    <row r="4" spans="1:12" ht="22.7" customHeight="1" x14ac:dyDescent="0.25">
      <c r="A4" s="85"/>
      <c r="B4" s="83"/>
      <c r="C4" s="83"/>
      <c r="D4" s="79"/>
      <c r="E4" s="56" t="s">
        <v>2855</v>
      </c>
      <c r="F4" s="65">
        <v>241</v>
      </c>
      <c r="G4" s="80" t="s">
        <v>2786</v>
      </c>
      <c r="H4" s="76">
        <v>1.8</v>
      </c>
      <c r="I4" s="83"/>
      <c r="J4" s="79"/>
      <c r="K4" s="79"/>
      <c r="L4" s="87"/>
    </row>
    <row r="5" spans="1:12" ht="22.7" customHeight="1" thickBot="1" x14ac:dyDescent="0.3">
      <c r="A5" s="86"/>
      <c r="B5" s="81"/>
      <c r="C5" s="81"/>
      <c r="D5" s="77"/>
      <c r="E5" s="57" t="s">
        <v>2786</v>
      </c>
      <c r="F5" s="66">
        <v>241</v>
      </c>
      <c r="G5" s="81"/>
      <c r="H5" s="77"/>
      <c r="I5" s="81"/>
      <c r="J5" s="77"/>
      <c r="K5" s="77"/>
      <c r="L5" s="89"/>
    </row>
    <row r="6" spans="1:12" ht="22.7" customHeight="1" x14ac:dyDescent="0.25">
      <c r="A6" s="84" t="s">
        <v>2893</v>
      </c>
      <c r="B6" s="82" t="s">
        <v>2891</v>
      </c>
      <c r="C6" s="82" t="s">
        <v>4</v>
      </c>
      <c r="D6" s="78" t="s">
        <v>4</v>
      </c>
      <c r="E6" s="58" t="s">
        <v>2874</v>
      </c>
      <c r="F6" s="64">
        <v>253.7</v>
      </c>
      <c r="G6" s="82" t="s">
        <v>4</v>
      </c>
      <c r="H6" s="78" t="s">
        <v>4</v>
      </c>
      <c r="I6" s="82" t="s">
        <v>4</v>
      </c>
      <c r="J6" s="78" t="s">
        <v>4</v>
      </c>
      <c r="K6" s="78" t="s">
        <v>4</v>
      </c>
      <c r="L6" s="75" t="s">
        <v>2894</v>
      </c>
    </row>
    <row r="7" spans="1:12" ht="22.7" customHeight="1" x14ac:dyDescent="0.25">
      <c r="A7" s="85"/>
      <c r="B7" s="83"/>
      <c r="C7" s="83"/>
      <c r="D7" s="79"/>
      <c r="E7" s="56" t="s">
        <v>2855</v>
      </c>
      <c r="F7" s="65">
        <v>253.7</v>
      </c>
      <c r="G7" s="83"/>
      <c r="H7" s="79"/>
      <c r="I7" s="83"/>
      <c r="J7" s="79"/>
      <c r="K7" s="79"/>
      <c r="L7" s="87"/>
    </row>
    <row r="8" spans="1:12" ht="22.7" customHeight="1" thickBot="1" x14ac:dyDescent="0.3">
      <c r="A8" s="86"/>
      <c r="B8" s="81"/>
      <c r="C8" s="81"/>
      <c r="D8" s="77"/>
      <c r="E8" s="57" t="s">
        <v>2786</v>
      </c>
      <c r="F8" s="66">
        <v>253.7</v>
      </c>
      <c r="G8" s="81"/>
      <c r="H8" s="77"/>
      <c r="I8" s="81"/>
      <c r="J8" s="77"/>
      <c r="K8" s="77"/>
      <c r="L8" s="89"/>
    </row>
    <row r="9" spans="1:12" ht="22.7" customHeight="1" x14ac:dyDescent="0.25">
      <c r="A9" s="84" t="s">
        <v>2895</v>
      </c>
      <c r="B9" s="82" t="s">
        <v>2891</v>
      </c>
      <c r="C9" s="82" t="s">
        <v>4</v>
      </c>
      <c r="D9" s="78" t="s">
        <v>4</v>
      </c>
      <c r="E9" s="58" t="s">
        <v>2874</v>
      </c>
      <c r="F9" s="64">
        <v>122.8</v>
      </c>
      <c r="G9" s="82" t="s">
        <v>4</v>
      </c>
      <c r="H9" s="78" t="s">
        <v>4</v>
      </c>
      <c r="I9" s="82" t="s">
        <v>4</v>
      </c>
      <c r="J9" s="78" t="s">
        <v>4</v>
      </c>
      <c r="K9" s="78" t="s">
        <v>4</v>
      </c>
      <c r="L9" s="75" t="s">
        <v>2896</v>
      </c>
    </row>
    <row r="10" spans="1:12" ht="22.7" customHeight="1" x14ac:dyDescent="0.25">
      <c r="A10" s="85"/>
      <c r="B10" s="83"/>
      <c r="C10" s="83"/>
      <c r="D10" s="79"/>
      <c r="E10" s="56" t="s">
        <v>2855</v>
      </c>
      <c r="F10" s="65">
        <v>122.8</v>
      </c>
      <c r="G10" s="83"/>
      <c r="H10" s="79"/>
      <c r="I10" s="83"/>
      <c r="J10" s="79"/>
      <c r="K10" s="79"/>
      <c r="L10" s="87"/>
    </row>
    <row r="11" spans="1:12" ht="22.7" customHeight="1" thickBot="1" x14ac:dyDescent="0.3">
      <c r="A11" s="86"/>
      <c r="B11" s="81"/>
      <c r="C11" s="81"/>
      <c r="D11" s="77"/>
      <c r="E11" s="57" t="s">
        <v>2786</v>
      </c>
      <c r="F11" s="66">
        <v>122.8</v>
      </c>
      <c r="G11" s="81"/>
      <c r="H11" s="77"/>
      <c r="I11" s="81"/>
      <c r="J11" s="77"/>
      <c r="K11" s="77"/>
      <c r="L11" s="89"/>
    </row>
    <row r="12" spans="1:12" ht="22.7" customHeight="1" x14ac:dyDescent="0.25">
      <c r="A12" s="84" t="s">
        <v>2897</v>
      </c>
      <c r="B12" s="82" t="s">
        <v>2898</v>
      </c>
      <c r="C12" s="82" t="s">
        <v>4</v>
      </c>
      <c r="D12" s="78" t="s">
        <v>4</v>
      </c>
      <c r="E12" s="58" t="s">
        <v>2874</v>
      </c>
      <c r="F12" s="64">
        <v>224.8</v>
      </c>
      <c r="G12" s="82" t="s">
        <v>4</v>
      </c>
      <c r="H12" s="78" t="s">
        <v>4</v>
      </c>
      <c r="I12" s="82" t="s">
        <v>4</v>
      </c>
      <c r="J12" s="78" t="s">
        <v>4</v>
      </c>
      <c r="K12" s="78" t="s">
        <v>4</v>
      </c>
      <c r="L12" s="75" t="s">
        <v>2899</v>
      </c>
    </row>
    <row r="13" spans="1:12" ht="22.7" customHeight="1" x14ac:dyDescent="0.25">
      <c r="A13" s="85"/>
      <c r="B13" s="83"/>
      <c r="C13" s="83"/>
      <c r="D13" s="79"/>
      <c r="E13" s="56" t="s">
        <v>2855</v>
      </c>
      <c r="F13" s="65">
        <v>224.8</v>
      </c>
      <c r="G13" s="83"/>
      <c r="H13" s="79"/>
      <c r="I13" s="83"/>
      <c r="J13" s="79"/>
      <c r="K13" s="79"/>
      <c r="L13" s="87"/>
    </row>
    <row r="14" spans="1:12" ht="22.7" customHeight="1" thickBot="1" x14ac:dyDescent="0.3">
      <c r="A14" s="86"/>
      <c r="B14" s="81"/>
      <c r="C14" s="81"/>
      <c r="D14" s="77"/>
      <c r="E14" s="57" t="s">
        <v>2786</v>
      </c>
      <c r="F14" s="66">
        <v>224.8</v>
      </c>
      <c r="G14" s="81"/>
      <c r="H14" s="77"/>
      <c r="I14" s="81"/>
      <c r="J14" s="77"/>
      <c r="K14" s="77"/>
      <c r="L14" s="89"/>
    </row>
    <row r="15" spans="1:12" ht="22.7" customHeight="1" x14ac:dyDescent="0.25">
      <c r="A15" s="84" t="s">
        <v>2900</v>
      </c>
      <c r="B15" s="82" t="s">
        <v>2898</v>
      </c>
      <c r="C15" s="82" t="s">
        <v>4</v>
      </c>
      <c r="D15" s="78" t="s">
        <v>4</v>
      </c>
      <c r="E15" s="58" t="s">
        <v>2874</v>
      </c>
      <c r="F15" s="64">
        <v>238.79999999999998</v>
      </c>
      <c r="G15" s="82" t="s">
        <v>4</v>
      </c>
      <c r="H15" s="78" t="s">
        <v>4</v>
      </c>
      <c r="I15" s="82" t="s">
        <v>4</v>
      </c>
      <c r="J15" s="78" t="s">
        <v>4</v>
      </c>
      <c r="K15" s="78" t="s">
        <v>4</v>
      </c>
      <c r="L15" s="75" t="s">
        <v>2901</v>
      </c>
    </row>
    <row r="16" spans="1:12" ht="22.7" customHeight="1" x14ac:dyDescent="0.25">
      <c r="A16" s="85"/>
      <c r="B16" s="83"/>
      <c r="C16" s="83"/>
      <c r="D16" s="79"/>
      <c r="E16" s="56" t="s">
        <v>2855</v>
      </c>
      <c r="F16" s="65">
        <v>238.79999999999998</v>
      </c>
      <c r="G16" s="83"/>
      <c r="H16" s="79"/>
      <c r="I16" s="83"/>
      <c r="J16" s="79"/>
      <c r="K16" s="79"/>
      <c r="L16" s="87"/>
    </row>
    <row r="17" spans="1:12" ht="22.7" customHeight="1" thickBot="1" x14ac:dyDescent="0.3">
      <c r="A17" s="86"/>
      <c r="B17" s="81"/>
      <c r="C17" s="81"/>
      <c r="D17" s="77"/>
      <c r="E17" s="57" t="s">
        <v>2786</v>
      </c>
      <c r="F17" s="66">
        <v>238.79999999999998</v>
      </c>
      <c r="G17" s="81"/>
      <c r="H17" s="77"/>
      <c r="I17" s="81"/>
      <c r="J17" s="77"/>
      <c r="K17" s="77"/>
      <c r="L17" s="89"/>
    </row>
    <row r="18" spans="1:12" ht="22.7" customHeight="1" x14ac:dyDescent="0.25">
      <c r="A18" s="84" t="s">
        <v>2902</v>
      </c>
      <c r="B18" s="82" t="s">
        <v>2898</v>
      </c>
      <c r="C18" s="82" t="s">
        <v>4</v>
      </c>
      <c r="D18" s="78" t="s">
        <v>4</v>
      </c>
      <c r="E18" s="58" t="s">
        <v>2874</v>
      </c>
      <c r="F18" s="64">
        <v>189.9</v>
      </c>
      <c r="G18" s="58" t="s">
        <v>2855</v>
      </c>
      <c r="H18" s="64">
        <v>3</v>
      </c>
      <c r="I18" s="82" t="s">
        <v>4</v>
      </c>
      <c r="J18" s="78" t="s">
        <v>4</v>
      </c>
      <c r="K18" s="78" t="s">
        <v>4</v>
      </c>
      <c r="L18" s="75" t="s">
        <v>2903</v>
      </c>
    </row>
    <row r="19" spans="1:12" ht="22.7" customHeight="1" x14ac:dyDescent="0.25">
      <c r="A19" s="85"/>
      <c r="B19" s="83"/>
      <c r="C19" s="83"/>
      <c r="D19" s="79"/>
      <c r="E19" s="56" t="s">
        <v>2855</v>
      </c>
      <c r="F19" s="65">
        <v>189.9</v>
      </c>
      <c r="G19" s="80" t="s">
        <v>2786</v>
      </c>
      <c r="H19" s="76">
        <v>3</v>
      </c>
      <c r="I19" s="83"/>
      <c r="J19" s="79"/>
      <c r="K19" s="79"/>
      <c r="L19" s="87"/>
    </row>
    <row r="20" spans="1:12" ht="22.7" customHeight="1" thickBot="1" x14ac:dyDescent="0.3">
      <c r="A20" s="86"/>
      <c r="B20" s="81"/>
      <c r="C20" s="81"/>
      <c r="D20" s="77"/>
      <c r="E20" s="57" t="s">
        <v>2786</v>
      </c>
      <c r="F20" s="66">
        <v>189.9</v>
      </c>
      <c r="G20" s="81"/>
      <c r="H20" s="77"/>
      <c r="I20" s="81"/>
      <c r="J20" s="77"/>
      <c r="K20" s="77"/>
      <c r="L20" s="89"/>
    </row>
    <row r="21" spans="1:12" ht="22.7" customHeight="1" x14ac:dyDescent="0.25">
      <c r="A21" s="84" t="s">
        <v>2904</v>
      </c>
      <c r="B21" s="82" t="s">
        <v>2905</v>
      </c>
      <c r="C21" s="82" t="s">
        <v>4</v>
      </c>
      <c r="D21" s="78" t="s">
        <v>4</v>
      </c>
      <c r="E21" s="58" t="s">
        <v>2874</v>
      </c>
      <c r="F21" s="64">
        <v>154.30000000000001</v>
      </c>
      <c r="G21" s="82" t="s">
        <v>4</v>
      </c>
      <c r="H21" s="78" t="s">
        <v>4</v>
      </c>
      <c r="I21" s="82" t="s">
        <v>4</v>
      </c>
      <c r="J21" s="78" t="s">
        <v>4</v>
      </c>
      <c r="K21" s="78" t="s">
        <v>4</v>
      </c>
      <c r="L21" s="75" t="s">
        <v>2906</v>
      </c>
    </row>
    <row r="22" spans="1:12" ht="22.7" customHeight="1" x14ac:dyDescent="0.25">
      <c r="A22" s="85"/>
      <c r="B22" s="83"/>
      <c r="C22" s="83"/>
      <c r="D22" s="79"/>
      <c r="E22" s="56" t="s">
        <v>2855</v>
      </c>
      <c r="F22" s="65">
        <v>154.30000000000001</v>
      </c>
      <c r="G22" s="83"/>
      <c r="H22" s="79"/>
      <c r="I22" s="83"/>
      <c r="J22" s="79"/>
      <c r="K22" s="79"/>
      <c r="L22" s="87"/>
    </row>
    <row r="23" spans="1:12" ht="22.7" customHeight="1" thickBot="1" x14ac:dyDescent="0.3">
      <c r="A23" s="86"/>
      <c r="B23" s="81"/>
      <c r="C23" s="81"/>
      <c r="D23" s="77"/>
      <c r="E23" s="57" t="s">
        <v>2786</v>
      </c>
      <c r="F23" s="66">
        <v>154.30000000000001</v>
      </c>
      <c r="G23" s="81"/>
      <c r="H23" s="77"/>
      <c r="I23" s="81"/>
      <c r="J23" s="77"/>
      <c r="K23" s="77"/>
      <c r="L23" s="89"/>
    </row>
    <row r="24" spans="1:12" ht="22.7" customHeight="1" x14ac:dyDescent="0.25">
      <c r="A24" s="84" t="s">
        <v>2907</v>
      </c>
      <c r="B24" s="82" t="s">
        <v>2905</v>
      </c>
      <c r="C24" s="82" t="s">
        <v>4</v>
      </c>
      <c r="D24" s="78" t="s">
        <v>4</v>
      </c>
      <c r="E24" s="58" t="s">
        <v>2874</v>
      </c>
      <c r="F24" s="64">
        <v>238</v>
      </c>
      <c r="G24" s="82" t="s">
        <v>4</v>
      </c>
      <c r="H24" s="78" t="s">
        <v>4</v>
      </c>
      <c r="I24" s="82" t="s">
        <v>4</v>
      </c>
      <c r="J24" s="78" t="s">
        <v>4</v>
      </c>
      <c r="K24" s="78" t="s">
        <v>4</v>
      </c>
      <c r="L24" s="75" t="s">
        <v>2908</v>
      </c>
    </row>
    <row r="25" spans="1:12" ht="22.7" customHeight="1" x14ac:dyDescent="0.25">
      <c r="A25" s="85"/>
      <c r="B25" s="83"/>
      <c r="C25" s="83"/>
      <c r="D25" s="79"/>
      <c r="E25" s="56" t="s">
        <v>2855</v>
      </c>
      <c r="F25" s="65">
        <v>238</v>
      </c>
      <c r="G25" s="83"/>
      <c r="H25" s="79"/>
      <c r="I25" s="83"/>
      <c r="J25" s="79"/>
      <c r="K25" s="79"/>
      <c r="L25" s="87"/>
    </row>
    <row r="26" spans="1:12" ht="22.7" customHeight="1" thickBot="1" x14ac:dyDescent="0.3">
      <c r="A26" s="86"/>
      <c r="B26" s="81"/>
      <c r="C26" s="81"/>
      <c r="D26" s="77"/>
      <c r="E26" s="57" t="s">
        <v>2786</v>
      </c>
      <c r="F26" s="66">
        <v>238</v>
      </c>
      <c r="G26" s="81"/>
      <c r="H26" s="77"/>
      <c r="I26" s="81"/>
      <c r="J26" s="77"/>
      <c r="K26" s="77"/>
      <c r="L26" s="89"/>
    </row>
    <row r="27" spans="1:12" ht="22.7" customHeight="1" x14ac:dyDescent="0.25">
      <c r="A27" s="84" t="s">
        <v>2909</v>
      </c>
      <c r="B27" s="82" t="s">
        <v>2905</v>
      </c>
      <c r="C27" s="82" t="s">
        <v>4</v>
      </c>
      <c r="D27" s="78" t="s">
        <v>4</v>
      </c>
      <c r="E27" s="58" t="s">
        <v>2874</v>
      </c>
      <c r="F27" s="64">
        <v>226.1</v>
      </c>
      <c r="G27" s="82" t="s">
        <v>4</v>
      </c>
      <c r="H27" s="78" t="s">
        <v>4</v>
      </c>
      <c r="I27" s="82" t="s">
        <v>4</v>
      </c>
      <c r="J27" s="78" t="s">
        <v>4</v>
      </c>
      <c r="K27" s="78" t="s">
        <v>4</v>
      </c>
      <c r="L27" s="75" t="s">
        <v>2910</v>
      </c>
    </row>
    <row r="28" spans="1:12" ht="22.7" customHeight="1" x14ac:dyDescent="0.25">
      <c r="A28" s="85"/>
      <c r="B28" s="83"/>
      <c r="C28" s="83"/>
      <c r="D28" s="79"/>
      <c r="E28" s="56" t="s">
        <v>2855</v>
      </c>
      <c r="F28" s="65">
        <v>226.1</v>
      </c>
      <c r="G28" s="83"/>
      <c r="H28" s="79"/>
      <c r="I28" s="83"/>
      <c r="J28" s="79"/>
      <c r="K28" s="79"/>
      <c r="L28" s="87"/>
    </row>
    <row r="29" spans="1:12" ht="22.7" customHeight="1" thickBot="1" x14ac:dyDescent="0.3">
      <c r="A29" s="86"/>
      <c r="B29" s="81"/>
      <c r="C29" s="81"/>
      <c r="D29" s="77"/>
      <c r="E29" s="57" t="s">
        <v>2786</v>
      </c>
      <c r="F29" s="66">
        <v>226.1</v>
      </c>
      <c r="G29" s="81"/>
      <c r="H29" s="77"/>
      <c r="I29" s="81"/>
      <c r="J29" s="77"/>
      <c r="K29" s="77"/>
      <c r="L29" s="89"/>
    </row>
    <row r="30" spans="1:12" ht="38.25" x14ac:dyDescent="0.25">
      <c r="A30" s="84" t="s">
        <v>2911</v>
      </c>
      <c r="B30" s="82" t="s">
        <v>2912</v>
      </c>
      <c r="C30" s="82" t="s">
        <v>2870</v>
      </c>
      <c r="D30" s="78">
        <v>64.900000000000006</v>
      </c>
      <c r="E30" s="58" t="s">
        <v>2871</v>
      </c>
      <c r="F30" s="64">
        <v>169.8</v>
      </c>
      <c r="G30" s="82" t="s">
        <v>4</v>
      </c>
      <c r="H30" s="78" t="s">
        <v>4</v>
      </c>
      <c r="I30" s="82" t="s">
        <v>4</v>
      </c>
      <c r="J30" s="78" t="s">
        <v>4</v>
      </c>
      <c r="K30" s="78" t="s">
        <v>4</v>
      </c>
      <c r="L30" s="75" t="s">
        <v>2913</v>
      </c>
    </row>
    <row r="31" spans="1:12" ht="22.7" customHeight="1" x14ac:dyDescent="0.25">
      <c r="A31" s="85"/>
      <c r="B31" s="83"/>
      <c r="C31" s="83"/>
      <c r="D31" s="79"/>
      <c r="E31" s="56" t="s">
        <v>2855</v>
      </c>
      <c r="F31" s="65">
        <v>169.8</v>
      </c>
      <c r="G31" s="83"/>
      <c r="H31" s="79"/>
      <c r="I31" s="83"/>
      <c r="J31" s="79"/>
      <c r="K31" s="79"/>
      <c r="L31" s="87"/>
    </row>
    <row r="32" spans="1:12" ht="22.7" customHeight="1" thickBot="1" x14ac:dyDescent="0.3">
      <c r="A32" s="86"/>
      <c r="B32" s="81"/>
      <c r="C32" s="81"/>
      <c r="D32" s="77"/>
      <c r="E32" s="57" t="s">
        <v>2786</v>
      </c>
      <c r="F32" s="66">
        <v>169.8</v>
      </c>
      <c r="G32" s="81"/>
      <c r="H32" s="77"/>
      <c r="I32" s="81"/>
      <c r="J32" s="77"/>
      <c r="K32" s="77"/>
      <c r="L32" s="89"/>
    </row>
    <row r="33" spans="1:12" ht="38.25" x14ac:dyDescent="0.25">
      <c r="A33" s="84" t="s">
        <v>2914</v>
      </c>
      <c r="B33" s="82" t="s">
        <v>2912</v>
      </c>
      <c r="C33" s="82" t="s">
        <v>2870</v>
      </c>
      <c r="D33" s="78">
        <v>29.4</v>
      </c>
      <c r="E33" s="58" t="s">
        <v>2871</v>
      </c>
      <c r="F33" s="64">
        <v>133.80000000000001</v>
      </c>
      <c r="G33" s="82" t="s">
        <v>4</v>
      </c>
      <c r="H33" s="78" t="s">
        <v>4</v>
      </c>
      <c r="I33" s="82" t="s">
        <v>4</v>
      </c>
      <c r="J33" s="78" t="s">
        <v>4</v>
      </c>
      <c r="K33" s="78" t="s">
        <v>4</v>
      </c>
      <c r="L33" s="75" t="s">
        <v>2915</v>
      </c>
    </row>
    <row r="34" spans="1:12" ht="22.7" customHeight="1" x14ac:dyDescent="0.25">
      <c r="A34" s="85"/>
      <c r="B34" s="83"/>
      <c r="C34" s="83"/>
      <c r="D34" s="79"/>
      <c r="E34" s="56" t="s">
        <v>2855</v>
      </c>
      <c r="F34" s="65">
        <v>133.80000000000001</v>
      </c>
      <c r="G34" s="83"/>
      <c r="H34" s="79"/>
      <c r="I34" s="83"/>
      <c r="J34" s="79"/>
      <c r="K34" s="79"/>
      <c r="L34" s="87"/>
    </row>
    <row r="35" spans="1:12" ht="22.7" customHeight="1" thickBot="1" x14ac:dyDescent="0.3">
      <c r="A35" s="86"/>
      <c r="B35" s="81"/>
      <c r="C35" s="81"/>
      <c r="D35" s="77"/>
      <c r="E35" s="57" t="s">
        <v>2786</v>
      </c>
      <c r="F35" s="66">
        <v>133.80000000000001</v>
      </c>
      <c r="G35" s="81"/>
      <c r="H35" s="77"/>
      <c r="I35" s="81"/>
      <c r="J35" s="77"/>
      <c r="K35" s="77"/>
      <c r="L35" s="89"/>
    </row>
    <row r="36" spans="1:12" ht="38.25" x14ac:dyDescent="0.25">
      <c r="A36" s="84" t="s">
        <v>2916</v>
      </c>
      <c r="B36" s="82" t="s">
        <v>2917</v>
      </c>
      <c r="C36" s="82" t="s">
        <v>2870</v>
      </c>
      <c r="D36" s="78">
        <v>127.5</v>
      </c>
      <c r="E36" s="58" t="s">
        <v>2871</v>
      </c>
      <c r="F36" s="64">
        <v>281.3</v>
      </c>
      <c r="G36" s="82" t="s">
        <v>4</v>
      </c>
      <c r="H36" s="78" t="s">
        <v>4</v>
      </c>
      <c r="I36" s="82" t="s">
        <v>4</v>
      </c>
      <c r="J36" s="78" t="s">
        <v>4</v>
      </c>
      <c r="K36" s="78" t="s">
        <v>4</v>
      </c>
      <c r="L36" s="75" t="s">
        <v>2918</v>
      </c>
    </row>
    <row r="37" spans="1:12" ht="22.7" customHeight="1" x14ac:dyDescent="0.25">
      <c r="A37" s="85"/>
      <c r="B37" s="83"/>
      <c r="C37" s="83"/>
      <c r="D37" s="79"/>
      <c r="E37" s="56" t="s">
        <v>2855</v>
      </c>
      <c r="F37" s="65">
        <v>281.3</v>
      </c>
      <c r="G37" s="83"/>
      <c r="H37" s="79"/>
      <c r="I37" s="83"/>
      <c r="J37" s="79"/>
      <c r="K37" s="79"/>
      <c r="L37" s="87"/>
    </row>
    <row r="38" spans="1:12" ht="22.7" customHeight="1" thickBot="1" x14ac:dyDescent="0.3">
      <c r="A38" s="86"/>
      <c r="B38" s="81"/>
      <c r="C38" s="81"/>
      <c r="D38" s="77"/>
      <c r="E38" s="57" t="s">
        <v>2786</v>
      </c>
      <c r="F38" s="66">
        <v>281.3</v>
      </c>
      <c r="G38" s="81"/>
      <c r="H38" s="77"/>
      <c r="I38" s="81"/>
      <c r="J38" s="77"/>
      <c r="K38" s="77"/>
      <c r="L38" s="89"/>
    </row>
    <row r="39" spans="1:12" ht="38.25" x14ac:dyDescent="0.25">
      <c r="A39" s="84" t="s">
        <v>2919</v>
      </c>
      <c r="B39" s="82" t="s">
        <v>2920</v>
      </c>
      <c r="C39" s="82" t="s">
        <v>2870</v>
      </c>
      <c r="D39" s="78">
        <v>122.8</v>
      </c>
      <c r="E39" s="58" t="s">
        <v>2871</v>
      </c>
      <c r="F39" s="64">
        <v>197.3</v>
      </c>
      <c r="G39" s="82" t="s">
        <v>4</v>
      </c>
      <c r="H39" s="78" t="s">
        <v>4</v>
      </c>
      <c r="I39" s="82" t="s">
        <v>4</v>
      </c>
      <c r="J39" s="78" t="s">
        <v>4</v>
      </c>
      <c r="K39" s="78" t="s">
        <v>4</v>
      </c>
      <c r="L39" s="75" t="s">
        <v>2921</v>
      </c>
    </row>
    <row r="40" spans="1:12" ht="22.7" customHeight="1" x14ac:dyDescent="0.25">
      <c r="A40" s="85"/>
      <c r="B40" s="83"/>
      <c r="C40" s="83"/>
      <c r="D40" s="79"/>
      <c r="E40" s="56" t="s">
        <v>2855</v>
      </c>
      <c r="F40" s="65">
        <v>197.3</v>
      </c>
      <c r="G40" s="83"/>
      <c r="H40" s="79"/>
      <c r="I40" s="83"/>
      <c r="J40" s="79"/>
      <c r="K40" s="79"/>
      <c r="L40" s="87"/>
    </row>
    <row r="41" spans="1:12" ht="22.7" customHeight="1" thickBot="1" x14ac:dyDescent="0.3">
      <c r="A41" s="86"/>
      <c r="B41" s="81"/>
      <c r="C41" s="81"/>
      <c r="D41" s="77"/>
      <c r="E41" s="57" t="s">
        <v>2786</v>
      </c>
      <c r="F41" s="66">
        <v>197.3</v>
      </c>
      <c r="G41" s="81"/>
      <c r="H41" s="77"/>
      <c r="I41" s="81"/>
      <c r="J41" s="77"/>
      <c r="K41" s="77"/>
      <c r="L41" s="89"/>
    </row>
    <row r="42" spans="1:12" ht="38.25" x14ac:dyDescent="0.25">
      <c r="A42" s="84" t="s">
        <v>2922</v>
      </c>
      <c r="B42" s="82" t="s">
        <v>2923</v>
      </c>
      <c r="C42" s="82" t="s">
        <v>2870</v>
      </c>
      <c r="D42" s="78">
        <v>59.1</v>
      </c>
      <c r="E42" s="58" t="s">
        <v>2871</v>
      </c>
      <c r="F42" s="64">
        <v>108.8</v>
      </c>
      <c r="G42" s="82" t="s">
        <v>4</v>
      </c>
      <c r="H42" s="78" t="s">
        <v>4</v>
      </c>
      <c r="I42" s="82" t="s">
        <v>4</v>
      </c>
      <c r="J42" s="78" t="s">
        <v>4</v>
      </c>
      <c r="K42" s="78" t="s">
        <v>4</v>
      </c>
      <c r="L42" s="75" t="s">
        <v>2924</v>
      </c>
    </row>
    <row r="43" spans="1:12" ht="22.7" customHeight="1" x14ac:dyDescent="0.25">
      <c r="A43" s="85"/>
      <c r="B43" s="83"/>
      <c r="C43" s="83"/>
      <c r="D43" s="79"/>
      <c r="E43" s="56" t="s">
        <v>2855</v>
      </c>
      <c r="F43" s="65">
        <v>108.8</v>
      </c>
      <c r="G43" s="83"/>
      <c r="H43" s="79"/>
      <c r="I43" s="83"/>
      <c r="J43" s="79"/>
      <c r="K43" s="79"/>
      <c r="L43" s="87"/>
    </row>
    <row r="44" spans="1:12" ht="22.7" customHeight="1" thickBot="1" x14ac:dyDescent="0.3">
      <c r="A44" s="86"/>
      <c r="B44" s="81"/>
      <c r="C44" s="81"/>
      <c r="D44" s="77"/>
      <c r="E44" s="57" t="s">
        <v>2786</v>
      </c>
      <c r="F44" s="66">
        <v>108.8</v>
      </c>
      <c r="G44" s="81"/>
      <c r="H44" s="77"/>
      <c r="I44" s="81"/>
      <c r="J44" s="77"/>
      <c r="K44" s="77"/>
      <c r="L44" s="89"/>
    </row>
    <row r="45" spans="1:12" ht="22.7" customHeight="1" x14ac:dyDescent="0.25">
      <c r="A45" s="84" t="s">
        <v>2925</v>
      </c>
      <c r="B45" s="82" t="s">
        <v>2926</v>
      </c>
      <c r="C45" s="82" t="s">
        <v>4</v>
      </c>
      <c r="D45" s="78" t="s">
        <v>4</v>
      </c>
      <c r="E45" s="58" t="s">
        <v>2882</v>
      </c>
      <c r="F45" s="64">
        <v>266.60000000000002</v>
      </c>
      <c r="G45" s="82" t="s">
        <v>4</v>
      </c>
      <c r="H45" s="78" t="s">
        <v>4</v>
      </c>
      <c r="I45" s="82" t="s">
        <v>4</v>
      </c>
      <c r="J45" s="78" t="s">
        <v>4</v>
      </c>
      <c r="K45" s="78" t="s">
        <v>4</v>
      </c>
      <c r="L45" s="75" t="s">
        <v>2927</v>
      </c>
    </row>
    <row r="46" spans="1:12" ht="22.7" customHeight="1" x14ac:dyDescent="0.25">
      <c r="A46" s="85"/>
      <c r="B46" s="83"/>
      <c r="C46" s="83"/>
      <c r="D46" s="79"/>
      <c r="E46" s="56" t="s">
        <v>2855</v>
      </c>
      <c r="F46" s="65">
        <v>266.60000000000002</v>
      </c>
      <c r="G46" s="83"/>
      <c r="H46" s="79"/>
      <c r="I46" s="83"/>
      <c r="J46" s="79"/>
      <c r="K46" s="79"/>
      <c r="L46" s="87"/>
    </row>
    <row r="47" spans="1:12" ht="22.7" customHeight="1" thickBot="1" x14ac:dyDescent="0.3">
      <c r="A47" s="86"/>
      <c r="B47" s="81"/>
      <c r="C47" s="81"/>
      <c r="D47" s="77"/>
      <c r="E47" s="57" t="s">
        <v>2786</v>
      </c>
      <c r="F47" s="66">
        <v>266.60000000000002</v>
      </c>
      <c r="G47" s="81"/>
      <c r="H47" s="77"/>
      <c r="I47" s="81"/>
      <c r="J47" s="77"/>
      <c r="K47" s="77"/>
      <c r="L47" s="89"/>
    </row>
    <row r="48" spans="1:12" ht="38.25" x14ac:dyDescent="0.25">
      <c r="A48" s="84" t="s">
        <v>2928</v>
      </c>
      <c r="B48" s="82" t="s">
        <v>2929</v>
      </c>
      <c r="C48" s="58" t="s">
        <v>2855</v>
      </c>
      <c r="D48" s="64">
        <v>9.2999999999999989</v>
      </c>
      <c r="E48" s="58" t="s">
        <v>2864</v>
      </c>
      <c r="F48" s="64">
        <v>8.9</v>
      </c>
      <c r="G48" s="82" t="s">
        <v>4</v>
      </c>
      <c r="H48" s="78" t="s">
        <v>4</v>
      </c>
      <c r="I48" s="58" t="s">
        <v>2865</v>
      </c>
      <c r="J48" s="64">
        <v>30.1</v>
      </c>
      <c r="K48" s="64">
        <v>2.5</v>
      </c>
      <c r="L48" s="75" t="s">
        <v>2930</v>
      </c>
    </row>
    <row r="49" spans="1:12" ht="25.5" x14ac:dyDescent="0.25">
      <c r="A49" s="85"/>
      <c r="B49" s="83"/>
      <c r="C49" s="80" t="s">
        <v>2786</v>
      </c>
      <c r="D49" s="76">
        <v>9.2999999999999989</v>
      </c>
      <c r="E49" s="56" t="s">
        <v>2861</v>
      </c>
      <c r="F49" s="65">
        <v>64.599999999999994</v>
      </c>
      <c r="G49" s="83"/>
      <c r="H49" s="79"/>
      <c r="I49" s="56" t="s">
        <v>2855</v>
      </c>
      <c r="J49" s="65">
        <v>30.1</v>
      </c>
      <c r="K49" s="65">
        <v>2.5</v>
      </c>
      <c r="L49" s="87"/>
    </row>
    <row r="50" spans="1:12" ht="22.7" customHeight="1" x14ac:dyDescent="0.25">
      <c r="A50" s="85"/>
      <c r="B50" s="83"/>
      <c r="C50" s="83"/>
      <c r="D50" s="79"/>
      <c r="E50" s="56" t="s">
        <v>2855</v>
      </c>
      <c r="F50" s="65">
        <v>73.5</v>
      </c>
      <c r="G50" s="83"/>
      <c r="H50" s="79"/>
      <c r="I50" s="80" t="s">
        <v>2786</v>
      </c>
      <c r="J50" s="76">
        <v>30.1</v>
      </c>
      <c r="K50" s="76">
        <v>2.5</v>
      </c>
      <c r="L50" s="87"/>
    </row>
    <row r="51" spans="1:12" ht="22.7" customHeight="1" thickBot="1" x14ac:dyDescent="0.3">
      <c r="A51" s="86"/>
      <c r="B51" s="81"/>
      <c r="C51" s="81"/>
      <c r="D51" s="77"/>
      <c r="E51" s="57" t="s">
        <v>2786</v>
      </c>
      <c r="F51" s="66">
        <v>73.5</v>
      </c>
      <c r="G51" s="81"/>
      <c r="H51" s="77"/>
      <c r="I51" s="81"/>
      <c r="J51" s="77"/>
      <c r="K51" s="77"/>
      <c r="L51" s="89"/>
    </row>
    <row r="52" spans="1:12" ht="22.7" customHeight="1" x14ac:dyDescent="0.25">
      <c r="A52" s="84" t="s">
        <v>2931</v>
      </c>
      <c r="B52" s="82" t="s">
        <v>2932</v>
      </c>
      <c r="C52" s="82" t="s">
        <v>4</v>
      </c>
      <c r="D52" s="78" t="s">
        <v>4</v>
      </c>
      <c r="E52" s="58" t="s">
        <v>2882</v>
      </c>
      <c r="F52" s="64">
        <v>342.6</v>
      </c>
      <c r="G52" s="82" t="s">
        <v>4</v>
      </c>
      <c r="H52" s="78" t="s">
        <v>4</v>
      </c>
      <c r="I52" s="82" t="s">
        <v>4</v>
      </c>
      <c r="J52" s="78" t="s">
        <v>4</v>
      </c>
      <c r="K52" s="78" t="s">
        <v>4</v>
      </c>
      <c r="L52" s="75" t="s">
        <v>2933</v>
      </c>
    </row>
    <row r="53" spans="1:12" ht="22.7" customHeight="1" x14ac:dyDescent="0.25">
      <c r="A53" s="85"/>
      <c r="B53" s="83"/>
      <c r="C53" s="83"/>
      <c r="D53" s="79"/>
      <c r="E53" s="56" t="s">
        <v>2855</v>
      </c>
      <c r="F53" s="65">
        <v>342.6</v>
      </c>
      <c r="G53" s="83"/>
      <c r="H53" s="79"/>
      <c r="I53" s="83"/>
      <c r="J53" s="79"/>
      <c r="K53" s="79"/>
      <c r="L53" s="87"/>
    </row>
    <row r="54" spans="1:12" ht="22.7" customHeight="1" thickBot="1" x14ac:dyDescent="0.3">
      <c r="A54" s="86"/>
      <c r="B54" s="81"/>
      <c r="C54" s="81"/>
      <c r="D54" s="77"/>
      <c r="E54" s="57" t="s">
        <v>2786</v>
      </c>
      <c r="F54" s="66">
        <v>342.6</v>
      </c>
      <c r="G54" s="81"/>
      <c r="H54" s="77"/>
      <c r="I54" s="81"/>
      <c r="J54" s="77"/>
      <c r="K54" s="77"/>
      <c r="L54" s="89"/>
    </row>
    <row r="55" spans="1:12" ht="22.7" customHeight="1" x14ac:dyDescent="0.25">
      <c r="A55" s="84" t="s">
        <v>2934</v>
      </c>
      <c r="B55" s="82" t="s">
        <v>2932</v>
      </c>
      <c r="C55" s="82" t="s">
        <v>4</v>
      </c>
      <c r="D55" s="78" t="s">
        <v>4</v>
      </c>
      <c r="E55" s="58" t="s">
        <v>2882</v>
      </c>
      <c r="F55" s="64">
        <v>1225.3</v>
      </c>
      <c r="G55" s="82" t="s">
        <v>4</v>
      </c>
      <c r="H55" s="78" t="s">
        <v>4</v>
      </c>
      <c r="I55" s="82" t="s">
        <v>4</v>
      </c>
      <c r="J55" s="78" t="s">
        <v>4</v>
      </c>
      <c r="K55" s="78" t="s">
        <v>4</v>
      </c>
      <c r="L55" s="75" t="s">
        <v>2935</v>
      </c>
    </row>
    <row r="56" spans="1:12" ht="22.7" customHeight="1" x14ac:dyDescent="0.25">
      <c r="A56" s="85"/>
      <c r="B56" s="83"/>
      <c r="C56" s="83"/>
      <c r="D56" s="79"/>
      <c r="E56" s="56" t="s">
        <v>2855</v>
      </c>
      <c r="F56" s="65">
        <v>1225.3</v>
      </c>
      <c r="G56" s="83"/>
      <c r="H56" s="79"/>
      <c r="I56" s="83"/>
      <c r="J56" s="79"/>
      <c r="K56" s="79"/>
      <c r="L56" s="87"/>
    </row>
    <row r="57" spans="1:12" ht="22.7" customHeight="1" thickBot="1" x14ac:dyDescent="0.3">
      <c r="A57" s="86"/>
      <c r="B57" s="81"/>
      <c r="C57" s="81"/>
      <c r="D57" s="77"/>
      <c r="E57" s="57" t="s">
        <v>2786</v>
      </c>
      <c r="F57" s="66">
        <v>1225.3</v>
      </c>
      <c r="G57" s="81"/>
      <c r="H57" s="77"/>
      <c r="I57" s="81"/>
      <c r="J57" s="77"/>
      <c r="K57" s="77"/>
      <c r="L57" s="89"/>
    </row>
    <row r="58" spans="1:12" ht="38.25" x14ac:dyDescent="0.25">
      <c r="A58" s="84" t="s">
        <v>2936</v>
      </c>
      <c r="B58" s="82" t="s">
        <v>2937</v>
      </c>
      <c r="C58" s="58" t="s">
        <v>2855</v>
      </c>
      <c r="D58" s="64">
        <v>19.399999999999999</v>
      </c>
      <c r="E58" s="58" t="s">
        <v>2864</v>
      </c>
      <c r="F58" s="64">
        <v>13.5</v>
      </c>
      <c r="G58" s="82" t="s">
        <v>4</v>
      </c>
      <c r="H58" s="78" t="s">
        <v>4</v>
      </c>
      <c r="I58" s="58" t="s">
        <v>2865</v>
      </c>
      <c r="J58" s="64">
        <v>46.1</v>
      </c>
      <c r="K58" s="64">
        <v>2.5</v>
      </c>
      <c r="L58" s="75" t="s">
        <v>2938</v>
      </c>
    </row>
    <row r="59" spans="1:12" ht="25.5" x14ac:dyDescent="0.25">
      <c r="A59" s="85"/>
      <c r="B59" s="83"/>
      <c r="C59" s="80" t="s">
        <v>2786</v>
      </c>
      <c r="D59" s="76">
        <v>19.399999999999999</v>
      </c>
      <c r="E59" s="56" t="s">
        <v>2861</v>
      </c>
      <c r="F59" s="65">
        <v>95.3</v>
      </c>
      <c r="G59" s="83"/>
      <c r="H59" s="79"/>
      <c r="I59" s="56" t="s">
        <v>2855</v>
      </c>
      <c r="J59" s="65">
        <v>46.1</v>
      </c>
      <c r="K59" s="65">
        <v>2.5</v>
      </c>
      <c r="L59" s="87"/>
    </row>
    <row r="60" spans="1:12" ht="22.7" customHeight="1" x14ac:dyDescent="0.25">
      <c r="A60" s="85"/>
      <c r="B60" s="83"/>
      <c r="C60" s="83"/>
      <c r="D60" s="79"/>
      <c r="E60" s="56" t="s">
        <v>2855</v>
      </c>
      <c r="F60" s="65">
        <v>108.69999999999999</v>
      </c>
      <c r="G60" s="83"/>
      <c r="H60" s="79"/>
      <c r="I60" s="80" t="s">
        <v>2786</v>
      </c>
      <c r="J60" s="76">
        <v>46.1</v>
      </c>
      <c r="K60" s="76">
        <v>2.5</v>
      </c>
      <c r="L60" s="87"/>
    </row>
    <row r="61" spans="1:12" ht="22.7" customHeight="1" thickBot="1" x14ac:dyDescent="0.3">
      <c r="A61" s="86"/>
      <c r="B61" s="81"/>
      <c r="C61" s="81"/>
      <c r="D61" s="77"/>
      <c r="E61" s="57" t="s">
        <v>2786</v>
      </c>
      <c r="F61" s="66">
        <v>108.69999999999999</v>
      </c>
      <c r="G61" s="81"/>
      <c r="H61" s="77"/>
      <c r="I61" s="81"/>
      <c r="J61" s="77"/>
      <c r="K61" s="77"/>
      <c r="L61" s="89"/>
    </row>
    <row r="62" spans="1:12" ht="38.25" x14ac:dyDescent="0.25">
      <c r="A62" s="84" t="s">
        <v>2939</v>
      </c>
      <c r="B62" s="82" t="s">
        <v>2940</v>
      </c>
      <c r="C62" s="58" t="s">
        <v>2855</v>
      </c>
      <c r="D62" s="64">
        <v>5.0999999999999996</v>
      </c>
      <c r="E62" s="58" t="s">
        <v>2864</v>
      </c>
      <c r="F62" s="64">
        <v>1.6</v>
      </c>
      <c r="G62" s="82" t="s">
        <v>4</v>
      </c>
      <c r="H62" s="78" t="s">
        <v>4</v>
      </c>
      <c r="I62" s="58" t="s">
        <v>2865</v>
      </c>
      <c r="J62" s="64">
        <v>19.899999999999999</v>
      </c>
      <c r="K62" s="64">
        <v>2.5</v>
      </c>
      <c r="L62" s="75" t="s">
        <v>2941</v>
      </c>
    </row>
    <row r="63" spans="1:12" ht="25.5" x14ac:dyDescent="0.25">
      <c r="A63" s="85"/>
      <c r="B63" s="83"/>
      <c r="C63" s="80" t="s">
        <v>2786</v>
      </c>
      <c r="D63" s="76">
        <v>5.0999999999999996</v>
      </c>
      <c r="E63" s="56" t="s">
        <v>2861</v>
      </c>
      <c r="F63" s="65">
        <v>44.4</v>
      </c>
      <c r="G63" s="83"/>
      <c r="H63" s="79"/>
      <c r="I63" s="56" t="s">
        <v>2855</v>
      </c>
      <c r="J63" s="65">
        <v>19.899999999999999</v>
      </c>
      <c r="K63" s="65">
        <v>2.5</v>
      </c>
      <c r="L63" s="87"/>
    </row>
    <row r="64" spans="1:12" ht="22.7" customHeight="1" x14ac:dyDescent="0.25">
      <c r="A64" s="85"/>
      <c r="B64" s="83"/>
      <c r="C64" s="83"/>
      <c r="D64" s="79"/>
      <c r="E64" s="56" t="s">
        <v>2855</v>
      </c>
      <c r="F64" s="65">
        <v>46</v>
      </c>
      <c r="G64" s="83"/>
      <c r="H64" s="79"/>
      <c r="I64" s="80" t="s">
        <v>2786</v>
      </c>
      <c r="J64" s="76">
        <v>19.899999999999999</v>
      </c>
      <c r="K64" s="76">
        <v>2.5</v>
      </c>
      <c r="L64" s="87"/>
    </row>
    <row r="65" spans="1:12" ht="22.7" customHeight="1" thickBot="1" x14ac:dyDescent="0.3">
      <c r="A65" s="86"/>
      <c r="B65" s="81"/>
      <c r="C65" s="81"/>
      <c r="D65" s="77"/>
      <c r="E65" s="57" t="s">
        <v>2786</v>
      </c>
      <c r="F65" s="66">
        <v>46</v>
      </c>
      <c r="G65" s="81"/>
      <c r="H65" s="77"/>
      <c r="I65" s="81"/>
      <c r="J65" s="77"/>
      <c r="K65" s="77"/>
      <c r="L65" s="89"/>
    </row>
    <row r="66" spans="1:12" ht="38.25" x14ac:dyDescent="0.25">
      <c r="A66" s="84" t="s">
        <v>2942</v>
      </c>
      <c r="B66" s="82" t="s">
        <v>2940</v>
      </c>
      <c r="C66" s="58" t="s">
        <v>2855</v>
      </c>
      <c r="D66" s="64">
        <v>4.8999999999999995</v>
      </c>
      <c r="E66" s="58" t="s">
        <v>2864</v>
      </c>
      <c r="F66" s="64">
        <v>1.5</v>
      </c>
      <c r="G66" s="82" t="s">
        <v>4</v>
      </c>
      <c r="H66" s="78" t="s">
        <v>4</v>
      </c>
      <c r="I66" s="58" t="s">
        <v>2865</v>
      </c>
      <c r="J66" s="64">
        <v>19.5</v>
      </c>
      <c r="K66" s="64">
        <v>2.5</v>
      </c>
      <c r="L66" s="75" t="s">
        <v>2943</v>
      </c>
    </row>
    <row r="67" spans="1:12" ht="25.5" x14ac:dyDescent="0.25">
      <c r="A67" s="85"/>
      <c r="B67" s="83"/>
      <c r="C67" s="80" t="s">
        <v>2786</v>
      </c>
      <c r="D67" s="76">
        <v>4.8999999999999995</v>
      </c>
      <c r="E67" s="56" t="s">
        <v>2861</v>
      </c>
      <c r="F67" s="65">
        <v>43.6</v>
      </c>
      <c r="G67" s="83"/>
      <c r="H67" s="79"/>
      <c r="I67" s="56" t="s">
        <v>2855</v>
      </c>
      <c r="J67" s="65">
        <v>19.5</v>
      </c>
      <c r="K67" s="65">
        <v>2.5</v>
      </c>
      <c r="L67" s="87"/>
    </row>
    <row r="68" spans="1:12" ht="22.7" customHeight="1" x14ac:dyDescent="0.25">
      <c r="A68" s="85"/>
      <c r="B68" s="83"/>
      <c r="C68" s="83"/>
      <c r="D68" s="79"/>
      <c r="E68" s="56" t="s">
        <v>2855</v>
      </c>
      <c r="F68" s="65">
        <v>45</v>
      </c>
      <c r="G68" s="83"/>
      <c r="H68" s="79"/>
      <c r="I68" s="80" t="s">
        <v>2786</v>
      </c>
      <c r="J68" s="76">
        <v>19.5</v>
      </c>
      <c r="K68" s="76">
        <v>2.5</v>
      </c>
      <c r="L68" s="87"/>
    </row>
    <row r="69" spans="1:12" ht="22.7" customHeight="1" thickBot="1" x14ac:dyDescent="0.3">
      <c r="A69" s="86"/>
      <c r="B69" s="81"/>
      <c r="C69" s="81"/>
      <c r="D69" s="77"/>
      <c r="E69" s="57" t="s">
        <v>2786</v>
      </c>
      <c r="F69" s="66">
        <v>45</v>
      </c>
      <c r="G69" s="81"/>
      <c r="H69" s="77"/>
      <c r="I69" s="81"/>
      <c r="J69" s="77"/>
      <c r="K69" s="77"/>
      <c r="L69" s="89"/>
    </row>
    <row r="70" spans="1:12" ht="38.25" x14ac:dyDescent="0.25">
      <c r="A70" s="84" t="s">
        <v>2944</v>
      </c>
      <c r="B70" s="82" t="s">
        <v>2945</v>
      </c>
      <c r="C70" s="58" t="s">
        <v>2855</v>
      </c>
      <c r="D70" s="64">
        <v>49.5</v>
      </c>
      <c r="E70" s="58" t="s">
        <v>2864</v>
      </c>
      <c r="F70" s="64">
        <v>20.7</v>
      </c>
      <c r="G70" s="82" t="s">
        <v>4</v>
      </c>
      <c r="H70" s="78" t="s">
        <v>4</v>
      </c>
      <c r="I70" s="58" t="s">
        <v>2865</v>
      </c>
      <c r="J70" s="64">
        <v>89.5</v>
      </c>
      <c r="K70" s="64">
        <v>2.5</v>
      </c>
      <c r="L70" s="75" t="s">
        <v>2946</v>
      </c>
    </row>
    <row r="71" spans="1:12" ht="25.5" x14ac:dyDescent="0.25">
      <c r="A71" s="85"/>
      <c r="B71" s="83"/>
      <c r="C71" s="80" t="s">
        <v>2786</v>
      </c>
      <c r="D71" s="76">
        <v>49.5</v>
      </c>
      <c r="E71" s="56" t="s">
        <v>2861</v>
      </c>
      <c r="F71" s="65">
        <v>177.6</v>
      </c>
      <c r="G71" s="83"/>
      <c r="H71" s="79"/>
      <c r="I71" s="56" t="s">
        <v>2855</v>
      </c>
      <c r="J71" s="65">
        <v>89.5</v>
      </c>
      <c r="K71" s="65">
        <v>2.5</v>
      </c>
      <c r="L71" s="87"/>
    </row>
    <row r="72" spans="1:12" ht="22.7" customHeight="1" x14ac:dyDescent="0.25">
      <c r="A72" s="85"/>
      <c r="B72" s="83"/>
      <c r="C72" s="83"/>
      <c r="D72" s="79"/>
      <c r="E72" s="56" t="s">
        <v>2855</v>
      </c>
      <c r="F72" s="65">
        <v>198.29999999999998</v>
      </c>
      <c r="G72" s="83"/>
      <c r="H72" s="79"/>
      <c r="I72" s="80" t="s">
        <v>2786</v>
      </c>
      <c r="J72" s="76">
        <v>89.5</v>
      </c>
      <c r="K72" s="76">
        <v>2.5</v>
      </c>
      <c r="L72" s="87"/>
    </row>
    <row r="73" spans="1:12" ht="22.7" customHeight="1" thickBot="1" x14ac:dyDescent="0.3">
      <c r="A73" s="86"/>
      <c r="B73" s="81"/>
      <c r="C73" s="81"/>
      <c r="D73" s="77"/>
      <c r="E73" s="57" t="s">
        <v>2786</v>
      </c>
      <c r="F73" s="66">
        <v>198.29999999999998</v>
      </c>
      <c r="G73" s="81"/>
      <c r="H73" s="77"/>
      <c r="I73" s="81"/>
      <c r="J73" s="77"/>
      <c r="K73" s="77"/>
      <c r="L73" s="89"/>
    </row>
    <row r="74" spans="1:12" ht="38.25" x14ac:dyDescent="0.25">
      <c r="A74" s="84" t="s">
        <v>2947</v>
      </c>
      <c r="B74" s="82" t="s">
        <v>2948</v>
      </c>
      <c r="C74" s="58" t="s">
        <v>2855</v>
      </c>
      <c r="D74" s="64">
        <v>66.2</v>
      </c>
      <c r="E74" s="58" t="s">
        <v>2864</v>
      </c>
      <c r="F74" s="64">
        <v>22.4</v>
      </c>
      <c r="G74" s="82" t="s">
        <v>4</v>
      </c>
      <c r="H74" s="78" t="s">
        <v>4</v>
      </c>
      <c r="I74" s="58" t="s">
        <v>2865</v>
      </c>
      <c r="J74" s="64">
        <v>95.699999999999989</v>
      </c>
      <c r="K74" s="64">
        <v>2.5</v>
      </c>
      <c r="L74" s="75" t="s">
        <v>2949</v>
      </c>
    </row>
    <row r="75" spans="1:12" ht="25.5" x14ac:dyDescent="0.25">
      <c r="A75" s="85"/>
      <c r="B75" s="83"/>
      <c r="C75" s="80" t="s">
        <v>2786</v>
      </c>
      <c r="D75" s="76">
        <v>66.2</v>
      </c>
      <c r="E75" s="56" t="s">
        <v>2861</v>
      </c>
      <c r="F75" s="65">
        <v>189.8</v>
      </c>
      <c r="G75" s="83"/>
      <c r="H75" s="79"/>
      <c r="I75" s="56" t="s">
        <v>2855</v>
      </c>
      <c r="J75" s="65">
        <v>95.699999999999989</v>
      </c>
      <c r="K75" s="65">
        <v>2.5</v>
      </c>
      <c r="L75" s="87"/>
    </row>
    <row r="76" spans="1:12" ht="22.7" customHeight="1" x14ac:dyDescent="0.25">
      <c r="A76" s="85"/>
      <c r="B76" s="83"/>
      <c r="C76" s="83"/>
      <c r="D76" s="79"/>
      <c r="E76" s="56" t="s">
        <v>2855</v>
      </c>
      <c r="F76" s="65">
        <v>212.2</v>
      </c>
      <c r="G76" s="83"/>
      <c r="H76" s="79"/>
      <c r="I76" s="80" t="s">
        <v>2786</v>
      </c>
      <c r="J76" s="76">
        <v>95.699999999999989</v>
      </c>
      <c r="K76" s="76">
        <v>2.5</v>
      </c>
      <c r="L76" s="87"/>
    </row>
    <row r="77" spans="1:12" ht="22.7" customHeight="1" thickBot="1" x14ac:dyDescent="0.3">
      <c r="A77" s="86"/>
      <c r="B77" s="81"/>
      <c r="C77" s="81"/>
      <c r="D77" s="77"/>
      <c r="E77" s="57" t="s">
        <v>2786</v>
      </c>
      <c r="F77" s="66">
        <v>212.2</v>
      </c>
      <c r="G77" s="81"/>
      <c r="H77" s="77"/>
      <c r="I77" s="81"/>
      <c r="J77" s="77"/>
      <c r="K77" s="77"/>
      <c r="L77" s="89"/>
    </row>
    <row r="78" spans="1:12" ht="22.7" customHeight="1" x14ac:dyDescent="0.25">
      <c r="A78" s="84" t="s">
        <v>2950</v>
      </c>
      <c r="B78" s="82" t="s">
        <v>2951</v>
      </c>
      <c r="C78" s="58" t="s">
        <v>2855</v>
      </c>
      <c r="D78" s="64">
        <v>19.5</v>
      </c>
      <c r="E78" s="58" t="s">
        <v>2882</v>
      </c>
      <c r="F78" s="64">
        <v>124.19999999999999</v>
      </c>
      <c r="G78" s="82" t="s">
        <v>4</v>
      </c>
      <c r="H78" s="78" t="s">
        <v>4</v>
      </c>
      <c r="I78" s="82" t="s">
        <v>4</v>
      </c>
      <c r="J78" s="78" t="s">
        <v>4</v>
      </c>
      <c r="K78" s="78" t="s">
        <v>4</v>
      </c>
      <c r="L78" s="75" t="s">
        <v>2952</v>
      </c>
    </row>
    <row r="79" spans="1:12" ht="22.7" customHeight="1" x14ac:dyDescent="0.25">
      <c r="A79" s="85"/>
      <c r="B79" s="83"/>
      <c r="C79" s="80" t="s">
        <v>2786</v>
      </c>
      <c r="D79" s="76">
        <v>19.5</v>
      </c>
      <c r="E79" s="56" t="s">
        <v>2855</v>
      </c>
      <c r="F79" s="65">
        <v>124.19999999999999</v>
      </c>
      <c r="G79" s="83"/>
      <c r="H79" s="79"/>
      <c r="I79" s="83"/>
      <c r="J79" s="79"/>
      <c r="K79" s="79"/>
      <c r="L79" s="87"/>
    </row>
    <row r="80" spans="1:12" ht="22.7" customHeight="1" thickBot="1" x14ac:dyDescent="0.3">
      <c r="A80" s="86"/>
      <c r="B80" s="81"/>
      <c r="C80" s="81"/>
      <c r="D80" s="77"/>
      <c r="E80" s="57" t="s">
        <v>2786</v>
      </c>
      <c r="F80" s="66">
        <v>124.19999999999999</v>
      </c>
      <c r="G80" s="81"/>
      <c r="H80" s="77"/>
      <c r="I80" s="81"/>
      <c r="J80" s="77"/>
      <c r="K80" s="77"/>
      <c r="L80" s="89"/>
    </row>
    <row r="81" spans="1:12" ht="22.7" customHeight="1" x14ac:dyDescent="0.25">
      <c r="A81" s="84" t="s">
        <v>2953</v>
      </c>
      <c r="B81" s="82" t="s">
        <v>2954</v>
      </c>
      <c r="C81" s="82" t="s">
        <v>4</v>
      </c>
      <c r="D81" s="78" t="s">
        <v>4</v>
      </c>
      <c r="E81" s="58" t="s">
        <v>2882</v>
      </c>
      <c r="F81" s="64">
        <v>113.4</v>
      </c>
      <c r="G81" s="82" t="s">
        <v>4</v>
      </c>
      <c r="H81" s="78" t="s">
        <v>4</v>
      </c>
      <c r="I81" s="82" t="s">
        <v>4</v>
      </c>
      <c r="J81" s="78" t="s">
        <v>4</v>
      </c>
      <c r="K81" s="78" t="s">
        <v>4</v>
      </c>
      <c r="L81" s="75" t="s">
        <v>2952</v>
      </c>
    </row>
    <row r="82" spans="1:12" ht="22.7" customHeight="1" x14ac:dyDescent="0.25">
      <c r="A82" s="85"/>
      <c r="B82" s="83"/>
      <c r="C82" s="83"/>
      <c r="D82" s="79"/>
      <c r="E82" s="56" t="s">
        <v>2855</v>
      </c>
      <c r="F82" s="65">
        <v>113.4</v>
      </c>
      <c r="G82" s="83"/>
      <c r="H82" s="79"/>
      <c r="I82" s="83"/>
      <c r="J82" s="79"/>
      <c r="K82" s="79"/>
      <c r="L82" s="87"/>
    </row>
    <row r="83" spans="1:12" ht="22.7" customHeight="1" thickBot="1" x14ac:dyDescent="0.3">
      <c r="A83" s="86"/>
      <c r="B83" s="81"/>
      <c r="C83" s="81"/>
      <c r="D83" s="77"/>
      <c r="E83" s="57" t="s">
        <v>2786</v>
      </c>
      <c r="F83" s="66">
        <v>113.4</v>
      </c>
      <c r="G83" s="81"/>
      <c r="H83" s="77"/>
      <c r="I83" s="81"/>
      <c r="J83" s="77"/>
      <c r="K83" s="77"/>
      <c r="L83" s="89"/>
    </row>
    <row r="84" spans="1:12" ht="25.5" x14ac:dyDescent="0.25">
      <c r="A84" s="84" t="s">
        <v>2955</v>
      </c>
      <c r="B84" s="82" t="s">
        <v>2926</v>
      </c>
      <c r="C84" s="58" t="s">
        <v>2855</v>
      </c>
      <c r="D84" s="64">
        <v>51.5</v>
      </c>
      <c r="E84" s="58" t="s">
        <v>2856</v>
      </c>
      <c r="F84" s="64">
        <v>103.8</v>
      </c>
      <c r="G84" s="82" t="s">
        <v>4</v>
      </c>
      <c r="H84" s="78" t="s">
        <v>4</v>
      </c>
      <c r="I84" s="82" t="s">
        <v>4</v>
      </c>
      <c r="J84" s="78" t="s">
        <v>4</v>
      </c>
      <c r="K84" s="78" t="s">
        <v>4</v>
      </c>
      <c r="L84" s="75" t="s">
        <v>2956</v>
      </c>
    </row>
    <row r="85" spans="1:12" ht="25.5" x14ac:dyDescent="0.25">
      <c r="A85" s="85"/>
      <c r="B85" s="83"/>
      <c r="C85" s="80" t="s">
        <v>2786</v>
      </c>
      <c r="D85" s="76">
        <v>51.5</v>
      </c>
      <c r="E85" s="56" t="s">
        <v>2861</v>
      </c>
      <c r="F85" s="65">
        <v>165.3</v>
      </c>
      <c r="G85" s="83"/>
      <c r="H85" s="79"/>
      <c r="I85" s="83"/>
      <c r="J85" s="79"/>
      <c r="K85" s="79"/>
      <c r="L85" s="87"/>
    </row>
    <row r="86" spans="1:12" ht="22.7" customHeight="1" x14ac:dyDescent="0.25">
      <c r="A86" s="85"/>
      <c r="B86" s="83"/>
      <c r="C86" s="83"/>
      <c r="D86" s="79"/>
      <c r="E86" s="56" t="s">
        <v>2855</v>
      </c>
      <c r="F86" s="65">
        <v>269.10000000000002</v>
      </c>
      <c r="G86" s="83"/>
      <c r="H86" s="79"/>
      <c r="I86" s="83"/>
      <c r="J86" s="79"/>
      <c r="K86" s="79"/>
      <c r="L86" s="87"/>
    </row>
    <row r="87" spans="1:12" ht="22.7" customHeight="1" thickBot="1" x14ac:dyDescent="0.3">
      <c r="A87" s="86"/>
      <c r="B87" s="81"/>
      <c r="C87" s="81"/>
      <c r="D87" s="77"/>
      <c r="E87" s="57" t="s">
        <v>2786</v>
      </c>
      <c r="F87" s="66">
        <v>269.10000000000002</v>
      </c>
      <c r="G87" s="81"/>
      <c r="H87" s="77"/>
      <c r="I87" s="81"/>
      <c r="J87" s="77"/>
      <c r="K87" s="77"/>
      <c r="L87" s="89"/>
    </row>
    <row r="88" spans="1:12" ht="38.25" x14ac:dyDescent="0.25">
      <c r="A88" s="84" t="s">
        <v>2957</v>
      </c>
      <c r="B88" s="82" t="s">
        <v>2929</v>
      </c>
      <c r="C88" s="58" t="s">
        <v>2855</v>
      </c>
      <c r="D88" s="64">
        <v>9.1999999999999993</v>
      </c>
      <c r="E88" s="58" t="s">
        <v>2864</v>
      </c>
      <c r="F88" s="64">
        <v>9.5</v>
      </c>
      <c r="G88" s="82" t="s">
        <v>4</v>
      </c>
      <c r="H88" s="78" t="s">
        <v>4</v>
      </c>
      <c r="I88" s="58" t="s">
        <v>2865</v>
      </c>
      <c r="J88" s="64">
        <v>30</v>
      </c>
      <c r="K88" s="64">
        <v>2.5</v>
      </c>
      <c r="L88" s="75" t="s">
        <v>2958</v>
      </c>
    </row>
    <row r="89" spans="1:12" ht="22.7" customHeight="1" x14ac:dyDescent="0.25">
      <c r="A89" s="85"/>
      <c r="B89" s="83"/>
      <c r="C89" s="80" t="s">
        <v>2786</v>
      </c>
      <c r="D89" s="76">
        <v>9.1999999999999993</v>
      </c>
      <c r="E89" s="56" t="s">
        <v>2868</v>
      </c>
      <c r="F89" s="65">
        <v>59.3</v>
      </c>
      <c r="G89" s="83"/>
      <c r="H89" s="79"/>
      <c r="I89" s="56" t="s">
        <v>2855</v>
      </c>
      <c r="J89" s="65">
        <v>30</v>
      </c>
      <c r="K89" s="65">
        <v>2.5</v>
      </c>
      <c r="L89" s="87"/>
    </row>
    <row r="90" spans="1:12" ht="22.7" customHeight="1" x14ac:dyDescent="0.25">
      <c r="A90" s="85"/>
      <c r="B90" s="83"/>
      <c r="C90" s="83"/>
      <c r="D90" s="79"/>
      <c r="E90" s="56" t="s">
        <v>2855</v>
      </c>
      <c r="F90" s="65">
        <v>68.8</v>
      </c>
      <c r="G90" s="83"/>
      <c r="H90" s="79"/>
      <c r="I90" s="80" t="s">
        <v>2786</v>
      </c>
      <c r="J90" s="76">
        <v>30</v>
      </c>
      <c r="K90" s="76">
        <v>2.5</v>
      </c>
      <c r="L90" s="87"/>
    </row>
    <row r="91" spans="1:12" ht="22.7" customHeight="1" thickBot="1" x14ac:dyDescent="0.3">
      <c r="A91" s="86"/>
      <c r="B91" s="81"/>
      <c r="C91" s="81"/>
      <c r="D91" s="77"/>
      <c r="E91" s="57" t="s">
        <v>2786</v>
      </c>
      <c r="F91" s="66">
        <v>68.8</v>
      </c>
      <c r="G91" s="81"/>
      <c r="H91" s="77"/>
      <c r="I91" s="81"/>
      <c r="J91" s="77"/>
      <c r="K91" s="77"/>
      <c r="L91" s="89"/>
    </row>
    <row r="92" spans="1:12" ht="38.25" x14ac:dyDescent="0.25">
      <c r="A92" s="84" t="s">
        <v>2959</v>
      </c>
      <c r="B92" s="82" t="s">
        <v>2937</v>
      </c>
      <c r="C92" s="58" t="s">
        <v>2855</v>
      </c>
      <c r="D92" s="64">
        <v>19.399999999999999</v>
      </c>
      <c r="E92" s="58" t="s">
        <v>2864</v>
      </c>
      <c r="F92" s="64">
        <v>13.5</v>
      </c>
      <c r="G92" s="82" t="s">
        <v>4</v>
      </c>
      <c r="H92" s="78" t="s">
        <v>4</v>
      </c>
      <c r="I92" s="58" t="s">
        <v>2865</v>
      </c>
      <c r="J92" s="64">
        <v>46.1</v>
      </c>
      <c r="K92" s="64">
        <v>2.5</v>
      </c>
      <c r="L92" s="75" t="s">
        <v>2960</v>
      </c>
    </row>
    <row r="93" spans="1:12" ht="22.7" customHeight="1" x14ac:dyDescent="0.25">
      <c r="A93" s="85"/>
      <c r="B93" s="83"/>
      <c r="C93" s="80" t="s">
        <v>2786</v>
      </c>
      <c r="D93" s="76">
        <v>19.399999999999999</v>
      </c>
      <c r="E93" s="56" t="s">
        <v>2868</v>
      </c>
      <c r="F93" s="65">
        <v>88.699999999999989</v>
      </c>
      <c r="G93" s="83"/>
      <c r="H93" s="79"/>
      <c r="I93" s="56" t="s">
        <v>2855</v>
      </c>
      <c r="J93" s="65">
        <v>46.1</v>
      </c>
      <c r="K93" s="65">
        <v>2.5</v>
      </c>
      <c r="L93" s="87"/>
    </row>
    <row r="94" spans="1:12" ht="22.7" customHeight="1" x14ac:dyDescent="0.25">
      <c r="A94" s="85"/>
      <c r="B94" s="83"/>
      <c r="C94" s="83"/>
      <c r="D94" s="79"/>
      <c r="E94" s="56" t="s">
        <v>2855</v>
      </c>
      <c r="F94" s="65">
        <v>102.1</v>
      </c>
      <c r="G94" s="83"/>
      <c r="H94" s="79"/>
      <c r="I94" s="80" t="s">
        <v>2786</v>
      </c>
      <c r="J94" s="76">
        <v>46.1</v>
      </c>
      <c r="K94" s="76">
        <v>2.5</v>
      </c>
      <c r="L94" s="87"/>
    </row>
    <row r="95" spans="1:12" ht="22.7" customHeight="1" thickBot="1" x14ac:dyDescent="0.3">
      <c r="A95" s="86"/>
      <c r="B95" s="81"/>
      <c r="C95" s="81"/>
      <c r="D95" s="77"/>
      <c r="E95" s="57" t="s">
        <v>2786</v>
      </c>
      <c r="F95" s="66">
        <v>102.1</v>
      </c>
      <c r="G95" s="81"/>
      <c r="H95" s="77"/>
      <c r="I95" s="81"/>
      <c r="J95" s="77"/>
      <c r="K95" s="77"/>
      <c r="L95" s="89"/>
    </row>
    <row r="96" spans="1:12" ht="38.25" x14ac:dyDescent="0.25">
      <c r="A96" s="84" t="s">
        <v>2961</v>
      </c>
      <c r="B96" s="82" t="s">
        <v>2940</v>
      </c>
      <c r="C96" s="58" t="s">
        <v>2855</v>
      </c>
      <c r="D96" s="64">
        <v>5</v>
      </c>
      <c r="E96" s="58" t="s">
        <v>2864</v>
      </c>
      <c r="F96" s="64">
        <v>6.4</v>
      </c>
      <c r="G96" s="82" t="s">
        <v>4</v>
      </c>
      <c r="H96" s="78" t="s">
        <v>4</v>
      </c>
      <c r="I96" s="58" t="s">
        <v>2865</v>
      </c>
      <c r="J96" s="64">
        <v>19.900000000000002</v>
      </c>
      <c r="K96" s="64">
        <v>2.5</v>
      </c>
      <c r="L96" s="75" t="s">
        <v>2962</v>
      </c>
    </row>
    <row r="97" spans="1:12" ht="22.7" customHeight="1" x14ac:dyDescent="0.25">
      <c r="A97" s="85"/>
      <c r="B97" s="83"/>
      <c r="C97" s="80" t="s">
        <v>2786</v>
      </c>
      <c r="D97" s="76">
        <v>5</v>
      </c>
      <c r="E97" s="56" t="s">
        <v>2868</v>
      </c>
      <c r="F97" s="65">
        <v>40.800000000000004</v>
      </c>
      <c r="G97" s="83"/>
      <c r="H97" s="79"/>
      <c r="I97" s="56" t="s">
        <v>2855</v>
      </c>
      <c r="J97" s="65">
        <v>19.900000000000002</v>
      </c>
      <c r="K97" s="65">
        <v>2.5</v>
      </c>
      <c r="L97" s="87"/>
    </row>
    <row r="98" spans="1:12" ht="22.7" customHeight="1" x14ac:dyDescent="0.25">
      <c r="A98" s="85"/>
      <c r="B98" s="83"/>
      <c r="C98" s="83"/>
      <c r="D98" s="79"/>
      <c r="E98" s="56" t="s">
        <v>2855</v>
      </c>
      <c r="F98" s="65">
        <v>47.2</v>
      </c>
      <c r="G98" s="83"/>
      <c r="H98" s="79"/>
      <c r="I98" s="80" t="s">
        <v>2786</v>
      </c>
      <c r="J98" s="76">
        <v>19.900000000000002</v>
      </c>
      <c r="K98" s="76">
        <v>2.5</v>
      </c>
      <c r="L98" s="87"/>
    </row>
    <row r="99" spans="1:12" ht="22.7" customHeight="1" thickBot="1" x14ac:dyDescent="0.3">
      <c r="A99" s="86"/>
      <c r="B99" s="81"/>
      <c r="C99" s="81"/>
      <c r="D99" s="77"/>
      <c r="E99" s="57" t="s">
        <v>2786</v>
      </c>
      <c r="F99" s="66">
        <v>47.2</v>
      </c>
      <c r="G99" s="81"/>
      <c r="H99" s="77"/>
      <c r="I99" s="81"/>
      <c r="J99" s="77"/>
      <c r="K99" s="77"/>
      <c r="L99" s="89"/>
    </row>
    <row r="100" spans="1:12" ht="38.25" x14ac:dyDescent="0.25">
      <c r="A100" s="84" t="s">
        <v>2963</v>
      </c>
      <c r="B100" s="82" t="s">
        <v>2940</v>
      </c>
      <c r="C100" s="58" t="s">
        <v>2855</v>
      </c>
      <c r="D100" s="64">
        <v>4.8</v>
      </c>
      <c r="E100" s="58" t="s">
        <v>2864</v>
      </c>
      <c r="F100" s="64">
        <v>6.5</v>
      </c>
      <c r="G100" s="82" t="s">
        <v>4</v>
      </c>
      <c r="H100" s="78" t="s">
        <v>4</v>
      </c>
      <c r="I100" s="58" t="s">
        <v>2865</v>
      </c>
      <c r="J100" s="64">
        <v>19.5</v>
      </c>
      <c r="K100" s="64">
        <v>2.5</v>
      </c>
      <c r="L100" s="75" t="s">
        <v>2964</v>
      </c>
    </row>
    <row r="101" spans="1:12" ht="22.7" customHeight="1" x14ac:dyDescent="0.25">
      <c r="A101" s="85"/>
      <c r="B101" s="83"/>
      <c r="C101" s="80" t="s">
        <v>2786</v>
      </c>
      <c r="D101" s="76">
        <v>4.8</v>
      </c>
      <c r="E101" s="56" t="s">
        <v>2868</v>
      </c>
      <c r="F101" s="65">
        <v>40</v>
      </c>
      <c r="G101" s="83"/>
      <c r="H101" s="79"/>
      <c r="I101" s="56" t="s">
        <v>2855</v>
      </c>
      <c r="J101" s="65">
        <v>19.5</v>
      </c>
      <c r="K101" s="65">
        <v>2.5</v>
      </c>
      <c r="L101" s="87"/>
    </row>
    <row r="102" spans="1:12" ht="22.7" customHeight="1" x14ac:dyDescent="0.25">
      <c r="A102" s="85"/>
      <c r="B102" s="83"/>
      <c r="C102" s="83"/>
      <c r="D102" s="79"/>
      <c r="E102" s="56" t="s">
        <v>2855</v>
      </c>
      <c r="F102" s="65">
        <v>46.5</v>
      </c>
      <c r="G102" s="83"/>
      <c r="H102" s="79"/>
      <c r="I102" s="80" t="s">
        <v>2786</v>
      </c>
      <c r="J102" s="76">
        <v>19.5</v>
      </c>
      <c r="K102" s="76">
        <v>2.5</v>
      </c>
      <c r="L102" s="87"/>
    </row>
    <row r="103" spans="1:12" ht="22.7" customHeight="1" thickBot="1" x14ac:dyDescent="0.3">
      <c r="A103" s="86"/>
      <c r="B103" s="81"/>
      <c r="C103" s="81"/>
      <c r="D103" s="77"/>
      <c r="E103" s="57" t="s">
        <v>2786</v>
      </c>
      <c r="F103" s="66">
        <v>46.5</v>
      </c>
      <c r="G103" s="81"/>
      <c r="H103" s="77"/>
      <c r="I103" s="81"/>
      <c r="J103" s="77"/>
      <c r="K103" s="77"/>
      <c r="L103" s="89"/>
    </row>
    <row r="104" spans="1:12" ht="38.25" x14ac:dyDescent="0.25">
      <c r="A104" s="84" t="s">
        <v>2965</v>
      </c>
      <c r="B104" s="82" t="s">
        <v>2945</v>
      </c>
      <c r="C104" s="58" t="s">
        <v>2855</v>
      </c>
      <c r="D104" s="64">
        <v>48.6</v>
      </c>
      <c r="E104" s="58" t="s">
        <v>2864</v>
      </c>
      <c r="F104" s="64">
        <v>21.3</v>
      </c>
      <c r="G104" s="82" t="s">
        <v>4</v>
      </c>
      <c r="H104" s="78" t="s">
        <v>4</v>
      </c>
      <c r="I104" s="58" t="s">
        <v>2865</v>
      </c>
      <c r="J104" s="64">
        <v>89.5</v>
      </c>
      <c r="K104" s="64">
        <v>2.5</v>
      </c>
      <c r="L104" s="75" t="s">
        <v>2966</v>
      </c>
    </row>
    <row r="105" spans="1:12" ht="22.7" customHeight="1" x14ac:dyDescent="0.25">
      <c r="A105" s="85"/>
      <c r="B105" s="83"/>
      <c r="C105" s="80" t="s">
        <v>2786</v>
      </c>
      <c r="D105" s="76">
        <v>48.6</v>
      </c>
      <c r="E105" s="56" t="s">
        <v>2868</v>
      </c>
      <c r="F105" s="65">
        <v>163.19999999999999</v>
      </c>
      <c r="G105" s="83"/>
      <c r="H105" s="79"/>
      <c r="I105" s="56" t="s">
        <v>2855</v>
      </c>
      <c r="J105" s="65">
        <v>89.5</v>
      </c>
      <c r="K105" s="65">
        <v>2.5</v>
      </c>
      <c r="L105" s="87"/>
    </row>
    <row r="106" spans="1:12" ht="22.7" customHeight="1" x14ac:dyDescent="0.25">
      <c r="A106" s="85"/>
      <c r="B106" s="83"/>
      <c r="C106" s="83"/>
      <c r="D106" s="79"/>
      <c r="E106" s="56" t="s">
        <v>2855</v>
      </c>
      <c r="F106" s="65">
        <v>184.4</v>
      </c>
      <c r="G106" s="83"/>
      <c r="H106" s="79"/>
      <c r="I106" s="80" t="s">
        <v>2786</v>
      </c>
      <c r="J106" s="76">
        <v>89.5</v>
      </c>
      <c r="K106" s="76">
        <v>2.5</v>
      </c>
      <c r="L106" s="87"/>
    </row>
    <row r="107" spans="1:12" ht="22.7" customHeight="1" thickBot="1" x14ac:dyDescent="0.3">
      <c r="A107" s="86"/>
      <c r="B107" s="81"/>
      <c r="C107" s="81"/>
      <c r="D107" s="77"/>
      <c r="E107" s="57" t="s">
        <v>2786</v>
      </c>
      <c r="F107" s="66">
        <v>184.4</v>
      </c>
      <c r="G107" s="81"/>
      <c r="H107" s="77"/>
      <c r="I107" s="81"/>
      <c r="J107" s="77"/>
      <c r="K107" s="77"/>
      <c r="L107" s="89"/>
    </row>
    <row r="108" spans="1:12" ht="38.25" x14ac:dyDescent="0.25">
      <c r="A108" s="84" t="s">
        <v>2967</v>
      </c>
      <c r="B108" s="82" t="s">
        <v>2948</v>
      </c>
      <c r="C108" s="58" t="s">
        <v>2855</v>
      </c>
      <c r="D108" s="64">
        <v>66.199999999999989</v>
      </c>
      <c r="E108" s="58" t="s">
        <v>2864</v>
      </c>
      <c r="F108" s="64">
        <v>23</v>
      </c>
      <c r="G108" s="82" t="s">
        <v>4</v>
      </c>
      <c r="H108" s="78" t="s">
        <v>4</v>
      </c>
      <c r="I108" s="58" t="s">
        <v>2865</v>
      </c>
      <c r="J108" s="64">
        <v>95.3</v>
      </c>
      <c r="K108" s="64">
        <v>2.5</v>
      </c>
      <c r="L108" s="75" t="s">
        <v>2968</v>
      </c>
    </row>
    <row r="109" spans="1:12" ht="22.7" customHeight="1" x14ac:dyDescent="0.25">
      <c r="A109" s="85"/>
      <c r="B109" s="83"/>
      <c r="C109" s="80" t="s">
        <v>2786</v>
      </c>
      <c r="D109" s="76">
        <v>66.199999999999989</v>
      </c>
      <c r="E109" s="56" t="s">
        <v>2868</v>
      </c>
      <c r="F109" s="65">
        <v>173.8</v>
      </c>
      <c r="G109" s="83"/>
      <c r="H109" s="79"/>
      <c r="I109" s="56" t="s">
        <v>2855</v>
      </c>
      <c r="J109" s="65">
        <v>95.3</v>
      </c>
      <c r="K109" s="65">
        <v>2.5</v>
      </c>
      <c r="L109" s="87"/>
    </row>
    <row r="110" spans="1:12" ht="22.7" customHeight="1" x14ac:dyDescent="0.25">
      <c r="A110" s="85"/>
      <c r="B110" s="83"/>
      <c r="C110" s="83"/>
      <c r="D110" s="79"/>
      <c r="E110" s="56" t="s">
        <v>2855</v>
      </c>
      <c r="F110" s="65">
        <v>196.8</v>
      </c>
      <c r="G110" s="83"/>
      <c r="H110" s="79"/>
      <c r="I110" s="80" t="s">
        <v>2786</v>
      </c>
      <c r="J110" s="76">
        <v>95.3</v>
      </c>
      <c r="K110" s="76">
        <v>2.5</v>
      </c>
      <c r="L110" s="87"/>
    </row>
    <row r="111" spans="1:12" ht="22.7" customHeight="1" thickBot="1" x14ac:dyDescent="0.3">
      <c r="A111" s="86"/>
      <c r="B111" s="81"/>
      <c r="C111" s="81"/>
      <c r="D111" s="77"/>
      <c r="E111" s="57" t="s">
        <v>2786</v>
      </c>
      <c r="F111" s="66">
        <v>196.8</v>
      </c>
      <c r="G111" s="81"/>
      <c r="H111" s="77"/>
      <c r="I111" s="81"/>
      <c r="J111" s="77"/>
      <c r="K111" s="77"/>
      <c r="L111" s="89"/>
    </row>
    <row r="112" spans="1:12" ht="22.7" customHeight="1" x14ac:dyDescent="0.25">
      <c r="A112" s="84" t="s">
        <v>2969</v>
      </c>
      <c r="B112" s="82" t="s">
        <v>2932</v>
      </c>
      <c r="C112" s="82" t="s">
        <v>4</v>
      </c>
      <c r="D112" s="78" t="s">
        <v>4</v>
      </c>
      <c r="E112" s="58" t="s">
        <v>2882</v>
      </c>
      <c r="F112" s="64">
        <v>1446.5</v>
      </c>
      <c r="G112" s="82" t="s">
        <v>4</v>
      </c>
      <c r="H112" s="78" t="s">
        <v>4</v>
      </c>
      <c r="I112" s="82" t="s">
        <v>4</v>
      </c>
      <c r="J112" s="78" t="s">
        <v>4</v>
      </c>
      <c r="K112" s="78" t="s">
        <v>4</v>
      </c>
      <c r="L112" s="75" t="s">
        <v>2970</v>
      </c>
    </row>
    <row r="113" spans="1:12" ht="22.7" customHeight="1" x14ac:dyDescent="0.25">
      <c r="A113" s="85"/>
      <c r="B113" s="83"/>
      <c r="C113" s="83"/>
      <c r="D113" s="79"/>
      <c r="E113" s="56" t="s">
        <v>2855</v>
      </c>
      <c r="F113" s="65">
        <v>1446.5</v>
      </c>
      <c r="G113" s="83"/>
      <c r="H113" s="79"/>
      <c r="I113" s="83"/>
      <c r="J113" s="79"/>
      <c r="K113" s="79"/>
      <c r="L113" s="87"/>
    </row>
    <row r="114" spans="1:12" ht="22.7" customHeight="1" thickBot="1" x14ac:dyDescent="0.3">
      <c r="A114" s="86"/>
      <c r="B114" s="81"/>
      <c r="C114" s="81"/>
      <c r="D114" s="77"/>
      <c r="E114" s="57" t="s">
        <v>2786</v>
      </c>
      <c r="F114" s="66">
        <v>1446.5</v>
      </c>
      <c r="G114" s="81"/>
      <c r="H114" s="77"/>
      <c r="I114" s="81"/>
      <c r="J114" s="77"/>
      <c r="K114" s="77"/>
      <c r="L114" s="89"/>
    </row>
    <row r="115" spans="1:12" ht="25.5" x14ac:dyDescent="0.25">
      <c r="A115" s="84" t="s">
        <v>2971</v>
      </c>
      <c r="B115" s="82" t="s">
        <v>2951</v>
      </c>
      <c r="C115" s="58" t="s">
        <v>2855</v>
      </c>
      <c r="D115" s="64">
        <v>19.200000000000003</v>
      </c>
      <c r="E115" s="58" t="s">
        <v>2858</v>
      </c>
      <c r="F115" s="64">
        <v>55.5</v>
      </c>
      <c r="G115" s="82" t="s">
        <v>4</v>
      </c>
      <c r="H115" s="78" t="s">
        <v>4</v>
      </c>
      <c r="I115" s="82" t="s">
        <v>4</v>
      </c>
      <c r="J115" s="78" t="s">
        <v>4</v>
      </c>
      <c r="K115" s="78" t="s">
        <v>4</v>
      </c>
      <c r="L115" s="75" t="s">
        <v>2972</v>
      </c>
    </row>
    <row r="116" spans="1:12" ht="22.7" customHeight="1" x14ac:dyDescent="0.25">
      <c r="A116" s="85"/>
      <c r="B116" s="83"/>
      <c r="C116" s="80" t="s">
        <v>2786</v>
      </c>
      <c r="D116" s="76">
        <v>19.200000000000003</v>
      </c>
      <c r="E116" s="56" t="s">
        <v>2862</v>
      </c>
      <c r="F116" s="65">
        <v>58.1</v>
      </c>
      <c r="G116" s="83"/>
      <c r="H116" s="79"/>
      <c r="I116" s="83"/>
      <c r="J116" s="79"/>
      <c r="K116" s="79"/>
      <c r="L116" s="87"/>
    </row>
    <row r="117" spans="1:12" ht="22.7" customHeight="1" x14ac:dyDescent="0.25">
      <c r="A117" s="85"/>
      <c r="B117" s="83"/>
      <c r="C117" s="83"/>
      <c r="D117" s="79"/>
      <c r="E117" s="56" t="s">
        <v>2855</v>
      </c>
      <c r="F117" s="65">
        <v>113.5</v>
      </c>
      <c r="G117" s="83"/>
      <c r="H117" s="79"/>
      <c r="I117" s="83"/>
      <c r="J117" s="79"/>
      <c r="K117" s="79"/>
      <c r="L117" s="87"/>
    </row>
    <row r="118" spans="1:12" ht="22.7" customHeight="1" thickBot="1" x14ac:dyDescent="0.3">
      <c r="A118" s="86"/>
      <c r="B118" s="81"/>
      <c r="C118" s="81"/>
      <c r="D118" s="77"/>
      <c r="E118" s="57" t="s">
        <v>2786</v>
      </c>
      <c r="F118" s="66">
        <v>113.5</v>
      </c>
      <c r="G118" s="81"/>
      <c r="H118" s="77"/>
      <c r="I118" s="81"/>
      <c r="J118" s="77"/>
      <c r="K118" s="77"/>
      <c r="L118" s="89"/>
    </row>
    <row r="119" spans="1:12" ht="22.7" customHeight="1" x14ac:dyDescent="0.25">
      <c r="A119" s="84" t="s">
        <v>2973</v>
      </c>
      <c r="B119" s="82" t="s">
        <v>2954</v>
      </c>
      <c r="C119" s="82" t="s">
        <v>4</v>
      </c>
      <c r="D119" s="78" t="s">
        <v>4</v>
      </c>
      <c r="E119" s="58" t="s">
        <v>2882</v>
      </c>
      <c r="F119" s="64">
        <v>86.899999999999991</v>
      </c>
      <c r="G119" s="82" t="s">
        <v>4</v>
      </c>
      <c r="H119" s="78" t="s">
        <v>4</v>
      </c>
      <c r="I119" s="82" t="s">
        <v>4</v>
      </c>
      <c r="J119" s="78" t="s">
        <v>4</v>
      </c>
      <c r="K119" s="78" t="s">
        <v>4</v>
      </c>
      <c r="L119" s="75" t="s">
        <v>2974</v>
      </c>
    </row>
    <row r="120" spans="1:12" ht="22.7" customHeight="1" x14ac:dyDescent="0.25">
      <c r="A120" s="85"/>
      <c r="B120" s="83"/>
      <c r="C120" s="83"/>
      <c r="D120" s="79"/>
      <c r="E120" s="56" t="s">
        <v>2855</v>
      </c>
      <c r="F120" s="65">
        <v>86.899999999999991</v>
      </c>
      <c r="G120" s="83"/>
      <c r="H120" s="79"/>
      <c r="I120" s="83"/>
      <c r="J120" s="79"/>
      <c r="K120" s="79"/>
      <c r="L120" s="87"/>
    </row>
    <row r="121" spans="1:12" ht="22.7" customHeight="1" thickBot="1" x14ac:dyDescent="0.3">
      <c r="A121" s="86"/>
      <c r="B121" s="83"/>
      <c r="C121" s="83"/>
      <c r="D121" s="79"/>
      <c r="E121" s="54" t="s">
        <v>2786</v>
      </c>
      <c r="F121" s="67">
        <v>86.899999999999991</v>
      </c>
      <c r="G121" s="81"/>
      <c r="H121" s="77"/>
      <c r="I121" s="81"/>
      <c r="J121" s="77"/>
      <c r="K121" s="77"/>
      <c r="L121" s="88"/>
    </row>
    <row r="122" spans="1:12" ht="15" customHeight="1" x14ac:dyDescent="0.25">
      <c r="A122" s="73" t="s">
        <v>2876</v>
      </c>
      <c r="B122" s="74"/>
      <c r="C122" s="74"/>
      <c r="D122" s="75"/>
      <c r="E122" s="70" t="s">
        <v>2877</v>
      </c>
      <c r="F122" s="70"/>
      <c r="G122" s="70"/>
      <c r="H122" s="70"/>
      <c r="I122" s="59" t="s">
        <v>2662</v>
      </c>
      <c r="J122" s="59" t="s">
        <v>2662</v>
      </c>
      <c r="K122" s="59" t="s">
        <v>2662</v>
      </c>
      <c r="L122" s="59" t="s">
        <v>2662</v>
      </c>
    </row>
    <row r="123" spans="1:12" x14ac:dyDescent="0.25">
      <c r="A123" s="68">
        <v>4</v>
      </c>
      <c r="B123" s="69"/>
      <c r="C123" s="69"/>
      <c r="D123" s="60">
        <v>623.6</v>
      </c>
      <c r="E123" s="70" t="s">
        <v>2837</v>
      </c>
      <c r="F123" s="70"/>
      <c r="G123" s="70"/>
      <c r="H123" s="59">
        <v>403.70000000000005</v>
      </c>
      <c r="I123" s="59" t="s">
        <v>2662</v>
      </c>
      <c r="J123" s="59" t="s">
        <v>2662</v>
      </c>
      <c r="K123" s="59" t="s">
        <v>2662</v>
      </c>
      <c r="L123" s="59" t="s">
        <v>2662</v>
      </c>
    </row>
    <row r="124" spans="1:12" ht="15" customHeight="1" x14ac:dyDescent="0.25">
      <c r="A124" s="68" t="s">
        <v>2870</v>
      </c>
      <c r="B124" s="69"/>
      <c r="C124" s="69"/>
      <c r="D124" s="60">
        <v>780.4</v>
      </c>
      <c r="E124" s="70" t="s">
        <v>2880</v>
      </c>
      <c r="F124" s="70"/>
      <c r="G124" s="70"/>
      <c r="H124" s="59">
        <v>6693.9999999999991</v>
      </c>
      <c r="I124" s="59" t="s">
        <v>2662</v>
      </c>
      <c r="J124" s="59" t="s">
        <v>2662</v>
      </c>
      <c r="K124" s="59" t="s">
        <v>2662</v>
      </c>
      <c r="L124" s="59" t="s">
        <v>2662</v>
      </c>
    </row>
    <row r="125" spans="1:12" ht="15" customHeight="1" x14ac:dyDescent="0.25">
      <c r="A125" s="68" t="s">
        <v>2878</v>
      </c>
      <c r="B125" s="69"/>
      <c r="C125" s="69"/>
      <c r="D125" s="60">
        <v>403.6</v>
      </c>
      <c r="E125" s="70" t="s">
        <v>2793</v>
      </c>
      <c r="F125" s="70"/>
      <c r="G125" s="70"/>
      <c r="H125" s="59" t="s">
        <v>2662</v>
      </c>
      <c r="I125" s="59" t="s">
        <v>2662</v>
      </c>
      <c r="J125" s="59" t="s">
        <v>2662</v>
      </c>
      <c r="K125" s="59" t="s">
        <v>2662</v>
      </c>
      <c r="L125" s="59" t="s">
        <v>2662</v>
      </c>
    </row>
    <row r="126" spans="1:12" ht="15" customHeight="1" x14ac:dyDescent="0.25">
      <c r="A126" s="68" t="s">
        <v>2882</v>
      </c>
      <c r="B126" s="69"/>
      <c r="C126" s="69"/>
      <c r="D126" s="60">
        <v>3764.3</v>
      </c>
      <c r="E126" s="70" t="s">
        <v>2842</v>
      </c>
      <c r="F126" s="70"/>
      <c r="G126" s="70"/>
      <c r="H126" s="59">
        <v>601.09999999999991</v>
      </c>
      <c r="I126" s="59" t="s">
        <v>2662</v>
      </c>
      <c r="J126" s="59" t="s">
        <v>2662</v>
      </c>
      <c r="K126" s="59" t="s">
        <v>2662</v>
      </c>
      <c r="L126" s="59" t="s">
        <v>2662</v>
      </c>
    </row>
    <row r="127" spans="1:12" ht="15" customHeight="1" x14ac:dyDescent="0.25">
      <c r="A127" s="68" t="s">
        <v>2874</v>
      </c>
      <c r="B127" s="69"/>
      <c r="C127" s="69"/>
      <c r="D127" s="60">
        <v>1889.1</v>
      </c>
      <c r="E127" s="70" t="s">
        <v>2662</v>
      </c>
      <c r="F127" s="70"/>
      <c r="G127" s="70"/>
      <c r="H127" s="59" t="s">
        <v>2662</v>
      </c>
      <c r="I127" s="59" t="s">
        <v>2662</v>
      </c>
      <c r="J127" s="59" t="s">
        <v>2662</v>
      </c>
      <c r="K127" s="59" t="s">
        <v>2662</v>
      </c>
      <c r="L127" s="59" t="s">
        <v>2662</v>
      </c>
    </row>
    <row r="128" spans="1:12" ht="15" customHeight="1" x14ac:dyDescent="0.25">
      <c r="A128" s="68" t="s">
        <v>2865</v>
      </c>
      <c r="B128" s="69"/>
      <c r="C128" s="69"/>
      <c r="D128" s="60">
        <v>600.6</v>
      </c>
      <c r="E128" s="70" t="s">
        <v>2662</v>
      </c>
      <c r="F128" s="70"/>
      <c r="G128" s="70"/>
      <c r="H128" s="59" t="s">
        <v>2662</v>
      </c>
      <c r="I128" s="59" t="s">
        <v>2662</v>
      </c>
      <c r="J128" s="59" t="s">
        <v>2662</v>
      </c>
      <c r="K128" s="59" t="s">
        <v>2662</v>
      </c>
      <c r="L128" s="59" t="s">
        <v>2662</v>
      </c>
    </row>
    <row r="129" spans="1:12" ht="15" customHeight="1" x14ac:dyDescent="0.25">
      <c r="A129" s="68" t="s">
        <v>2871</v>
      </c>
      <c r="B129" s="69"/>
      <c r="C129" s="69"/>
      <c r="D129" s="60">
        <v>1038.9000000000001</v>
      </c>
      <c r="E129" s="70" t="s">
        <v>2662</v>
      </c>
      <c r="F129" s="70"/>
      <c r="G129" s="70"/>
      <c r="H129" s="59" t="s">
        <v>2662</v>
      </c>
      <c r="I129" s="59" t="s">
        <v>2662</v>
      </c>
      <c r="J129" s="59" t="s">
        <v>2662</v>
      </c>
      <c r="K129" s="59" t="s">
        <v>2662</v>
      </c>
      <c r="L129" s="59" t="s">
        <v>2662</v>
      </c>
    </row>
    <row r="130" spans="1:12" ht="15" customHeight="1" x14ac:dyDescent="0.25">
      <c r="A130" s="68" t="s">
        <v>2855</v>
      </c>
      <c r="B130" s="69"/>
      <c r="C130" s="69"/>
      <c r="D130" s="60">
        <v>8701.2999999999993</v>
      </c>
      <c r="E130" s="70" t="s">
        <v>2662</v>
      </c>
      <c r="F130" s="70"/>
      <c r="G130" s="70"/>
      <c r="H130" s="59" t="s">
        <v>2662</v>
      </c>
      <c r="I130" s="59" t="s">
        <v>2662</v>
      </c>
      <c r="J130" s="59" t="s">
        <v>2662</v>
      </c>
      <c r="K130" s="59" t="s">
        <v>2662</v>
      </c>
      <c r="L130" s="59" t="s">
        <v>2662</v>
      </c>
    </row>
    <row r="131" spans="1:12" ht="15" customHeight="1" x14ac:dyDescent="0.25">
      <c r="A131" s="68" t="s">
        <v>2879</v>
      </c>
      <c r="B131" s="69"/>
      <c r="C131" s="69"/>
      <c r="D131" s="60">
        <v>397.1</v>
      </c>
      <c r="E131" s="70" t="s">
        <v>2662</v>
      </c>
      <c r="F131" s="70"/>
      <c r="G131" s="70"/>
      <c r="H131" s="59" t="s">
        <v>2662</v>
      </c>
      <c r="I131" s="59" t="s">
        <v>2662</v>
      </c>
      <c r="J131" s="59" t="s">
        <v>2662</v>
      </c>
      <c r="K131" s="59" t="s">
        <v>2662</v>
      </c>
      <c r="L131" s="59" t="s">
        <v>2662</v>
      </c>
    </row>
    <row r="132" spans="1:12" ht="15" customHeight="1" x14ac:dyDescent="0.25">
      <c r="A132" s="68" t="s">
        <v>2786</v>
      </c>
      <c r="B132" s="69"/>
      <c r="C132" s="69"/>
      <c r="D132" s="60">
        <v>8701.2999999999993</v>
      </c>
      <c r="E132" s="70" t="s">
        <v>2662</v>
      </c>
      <c r="F132" s="70"/>
      <c r="G132" s="70"/>
      <c r="H132" s="59" t="s">
        <v>2662</v>
      </c>
      <c r="I132" s="59" t="s">
        <v>2662</v>
      </c>
      <c r="J132" s="59" t="s">
        <v>2662</v>
      </c>
      <c r="K132" s="59" t="s">
        <v>2662</v>
      </c>
      <c r="L132" s="59" t="s">
        <v>2662</v>
      </c>
    </row>
    <row r="133" spans="1:12" ht="15" customHeight="1" thickBot="1" x14ac:dyDescent="0.3">
      <c r="A133" s="71" t="s">
        <v>2881</v>
      </c>
      <c r="B133" s="72"/>
      <c r="C133" s="72"/>
      <c r="D133" s="61">
        <v>397.1</v>
      </c>
      <c r="E133" s="70" t="s">
        <v>2662</v>
      </c>
      <c r="F133" s="70"/>
      <c r="G133" s="70"/>
      <c r="H133" s="59" t="s">
        <v>2662</v>
      </c>
      <c r="I133" s="59" t="s">
        <v>2662</v>
      </c>
      <c r="J133" s="59" t="s">
        <v>2662</v>
      </c>
      <c r="K133" s="59" t="s">
        <v>2662</v>
      </c>
      <c r="L133" s="59" t="s">
        <v>2662</v>
      </c>
    </row>
  </sheetData>
  <mergeCells count="378">
    <mergeCell ref="A1:A2"/>
    <mergeCell ref="B1:B2"/>
    <mergeCell ref="C1:K1"/>
    <mergeCell ref="L1:L2"/>
    <mergeCell ref="A3:A5"/>
    <mergeCell ref="L3:L5"/>
    <mergeCell ref="G4:G5"/>
    <mergeCell ref="A6:A8"/>
    <mergeCell ref="L6:L8"/>
    <mergeCell ref="A9:A11"/>
    <mergeCell ref="L9:L11"/>
    <mergeCell ref="A12:A14"/>
    <mergeCell ref="L12:L14"/>
    <mergeCell ref="G6:G8"/>
    <mergeCell ref="G9:G11"/>
    <mergeCell ref="G12:G14"/>
    <mergeCell ref="A15:A17"/>
    <mergeCell ref="L15:L17"/>
    <mergeCell ref="A18:A20"/>
    <mergeCell ref="L18:L20"/>
    <mergeCell ref="A21:A23"/>
    <mergeCell ref="L21:L23"/>
    <mergeCell ref="G15:G17"/>
    <mergeCell ref="G19:G20"/>
    <mergeCell ref="G21:G23"/>
    <mergeCell ref="I21:I23"/>
    <mergeCell ref="A24:A26"/>
    <mergeCell ref="L24:L26"/>
    <mergeCell ref="A27:A29"/>
    <mergeCell ref="L27:L29"/>
    <mergeCell ref="A30:A32"/>
    <mergeCell ref="L30:L32"/>
    <mergeCell ref="B27:B29"/>
    <mergeCell ref="B30:B32"/>
    <mergeCell ref="C30:C32"/>
    <mergeCell ref="D27:D29"/>
    <mergeCell ref="A33:A35"/>
    <mergeCell ref="L33:L35"/>
    <mergeCell ref="A36:A38"/>
    <mergeCell ref="L36:L38"/>
    <mergeCell ref="A39:A41"/>
    <mergeCell ref="L39:L41"/>
    <mergeCell ref="B33:B35"/>
    <mergeCell ref="B36:B38"/>
    <mergeCell ref="B39:B41"/>
    <mergeCell ref="C33:C35"/>
    <mergeCell ref="A42:A44"/>
    <mergeCell ref="L42:L44"/>
    <mergeCell ref="A45:A47"/>
    <mergeCell ref="L45:L47"/>
    <mergeCell ref="A48:A51"/>
    <mergeCell ref="L48:L51"/>
    <mergeCell ref="B42:B44"/>
    <mergeCell ref="B45:B47"/>
    <mergeCell ref="B48:B51"/>
    <mergeCell ref="D49:D51"/>
    <mergeCell ref="A52:A54"/>
    <mergeCell ref="L52:L54"/>
    <mergeCell ref="A55:A57"/>
    <mergeCell ref="L55:L57"/>
    <mergeCell ref="A58:A61"/>
    <mergeCell ref="L58:L61"/>
    <mergeCell ref="B52:B54"/>
    <mergeCell ref="B55:B57"/>
    <mergeCell ref="B58:B61"/>
    <mergeCell ref="C55:C57"/>
    <mergeCell ref="A62:A65"/>
    <mergeCell ref="L62:L65"/>
    <mergeCell ref="A66:A69"/>
    <mergeCell ref="L66:L69"/>
    <mergeCell ref="A70:A73"/>
    <mergeCell ref="L70:L73"/>
    <mergeCell ref="B62:B65"/>
    <mergeCell ref="B66:B69"/>
    <mergeCell ref="B70:B73"/>
    <mergeCell ref="G62:G65"/>
    <mergeCell ref="A74:A77"/>
    <mergeCell ref="L74:L77"/>
    <mergeCell ref="A78:A80"/>
    <mergeCell ref="L78:L80"/>
    <mergeCell ref="A81:A83"/>
    <mergeCell ref="L81:L83"/>
    <mergeCell ref="B74:B77"/>
    <mergeCell ref="B78:B80"/>
    <mergeCell ref="B81:B83"/>
    <mergeCell ref="C81:C83"/>
    <mergeCell ref="A104:A107"/>
    <mergeCell ref="L104:L107"/>
    <mergeCell ref="B96:B99"/>
    <mergeCell ref="B100:B103"/>
    <mergeCell ref="B104:B107"/>
    <mergeCell ref="D97:D99"/>
    <mergeCell ref="A84:A87"/>
    <mergeCell ref="L84:L87"/>
    <mergeCell ref="A88:A91"/>
    <mergeCell ref="L88:L91"/>
    <mergeCell ref="A92:A95"/>
    <mergeCell ref="L92:L95"/>
    <mergeCell ref="B84:B87"/>
    <mergeCell ref="B88:B91"/>
    <mergeCell ref="B92:B95"/>
    <mergeCell ref="C85:C87"/>
    <mergeCell ref="A119:A121"/>
    <mergeCell ref="L119:L121"/>
    <mergeCell ref="B3:B5"/>
    <mergeCell ref="B6:B8"/>
    <mergeCell ref="B9:B11"/>
    <mergeCell ref="B12:B14"/>
    <mergeCell ref="B15:B17"/>
    <mergeCell ref="B18:B20"/>
    <mergeCell ref="B21:B23"/>
    <mergeCell ref="B24:B26"/>
    <mergeCell ref="A108:A111"/>
    <mergeCell ref="L108:L111"/>
    <mergeCell ref="A112:A114"/>
    <mergeCell ref="L112:L114"/>
    <mergeCell ref="A115:A118"/>
    <mergeCell ref="L115:L118"/>
    <mergeCell ref="B108:B111"/>
    <mergeCell ref="B112:B114"/>
    <mergeCell ref="B115:B118"/>
    <mergeCell ref="C112:C114"/>
    <mergeCell ref="A96:A99"/>
    <mergeCell ref="L96:L99"/>
    <mergeCell ref="A100:A103"/>
    <mergeCell ref="L100:L103"/>
    <mergeCell ref="C42:C44"/>
    <mergeCell ref="C45:C47"/>
    <mergeCell ref="C49:C51"/>
    <mergeCell ref="C52:C54"/>
    <mergeCell ref="B119:B121"/>
    <mergeCell ref="C3:C5"/>
    <mergeCell ref="C6:C8"/>
    <mergeCell ref="C9:C11"/>
    <mergeCell ref="C12:C14"/>
    <mergeCell ref="C15:C17"/>
    <mergeCell ref="C18:C20"/>
    <mergeCell ref="C21:C23"/>
    <mergeCell ref="C24:C26"/>
    <mergeCell ref="C27:C29"/>
    <mergeCell ref="C116:C118"/>
    <mergeCell ref="C119:C121"/>
    <mergeCell ref="D3:D5"/>
    <mergeCell ref="D6:D8"/>
    <mergeCell ref="D9:D11"/>
    <mergeCell ref="D12:D14"/>
    <mergeCell ref="D15:D17"/>
    <mergeCell ref="D18:D20"/>
    <mergeCell ref="D21:D23"/>
    <mergeCell ref="D24:D26"/>
    <mergeCell ref="C89:C91"/>
    <mergeCell ref="C93:C95"/>
    <mergeCell ref="C97:C99"/>
    <mergeCell ref="C101:C103"/>
    <mergeCell ref="C105:C107"/>
    <mergeCell ref="C109:C111"/>
    <mergeCell ref="C59:C61"/>
    <mergeCell ref="C63:C65"/>
    <mergeCell ref="C67:C69"/>
    <mergeCell ref="C71:C73"/>
    <mergeCell ref="C75:C77"/>
    <mergeCell ref="C79:C80"/>
    <mergeCell ref="C36:C38"/>
    <mergeCell ref="C39:C41"/>
    <mergeCell ref="D52:D54"/>
    <mergeCell ref="D55:D57"/>
    <mergeCell ref="D59:D61"/>
    <mergeCell ref="D63:D65"/>
    <mergeCell ref="D67:D69"/>
    <mergeCell ref="D71:D73"/>
    <mergeCell ref="D30:D32"/>
    <mergeCell ref="D33:D35"/>
    <mergeCell ref="D36:D38"/>
    <mergeCell ref="D39:D41"/>
    <mergeCell ref="D42:D44"/>
    <mergeCell ref="D45:D47"/>
    <mergeCell ref="D101:D103"/>
    <mergeCell ref="D105:D107"/>
    <mergeCell ref="D109:D111"/>
    <mergeCell ref="D112:D114"/>
    <mergeCell ref="D116:D118"/>
    <mergeCell ref="D119:D121"/>
    <mergeCell ref="D75:D77"/>
    <mergeCell ref="D79:D80"/>
    <mergeCell ref="D81:D83"/>
    <mergeCell ref="D85:D87"/>
    <mergeCell ref="D89:D91"/>
    <mergeCell ref="D93:D95"/>
    <mergeCell ref="G48:G51"/>
    <mergeCell ref="G52:G54"/>
    <mergeCell ref="G55:G57"/>
    <mergeCell ref="G58:G61"/>
    <mergeCell ref="G24:G26"/>
    <mergeCell ref="G27:G29"/>
    <mergeCell ref="G30:G32"/>
    <mergeCell ref="G33:G35"/>
    <mergeCell ref="G36:G38"/>
    <mergeCell ref="G39:G41"/>
    <mergeCell ref="G112:G114"/>
    <mergeCell ref="G115:G118"/>
    <mergeCell ref="G119:G121"/>
    <mergeCell ref="H4:H5"/>
    <mergeCell ref="H6:H8"/>
    <mergeCell ref="H9:H11"/>
    <mergeCell ref="H12:H14"/>
    <mergeCell ref="H15:H17"/>
    <mergeCell ref="H19:H20"/>
    <mergeCell ref="H21:H23"/>
    <mergeCell ref="G88:G91"/>
    <mergeCell ref="G92:G95"/>
    <mergeCell ref="G96:G99"/>
    <mergeCell ref="G100:G103"/>
    <mergeCell ref="G104:G107"/>
    <mergeCell ref="G108:G111"/>
    <mergeCell ref="G66:G69"/>
    <mergeCell ref="G70:G73"/>
    <mergeCell ref="G74:G77"/>
    <mergeCell ref="G78:G80"/>
    <mergeCell ref="G81:G83"/>
    <mergeCell ref="G84:G87"/>
    <mergeCell ref="G42:G44"/>
    <mergeCell ref="G45:G47"/>
    <mergeCell ref="H48:H51"/>
    <mergeCell ref="H52:H54"/>
    <mergeCell ref="H55:H57"/>
    <mergeCell ref="H58:H61"/>
    <mergeCell ref="H24:H26"/>
    <mergeCell ref="H27:H29"/>
    <mergeCell ref="H30:H32"/>
    <mergeCell ref="H33:H35"/>
    <mergeCell ref="H36:H38"/>
    <mergeCell ref="H39:H41"/>
    <mergeCell ref="H108:H111"/>
    <mergeCell ref="H112:H114"/>
    <mergeCell ref="H115:H118"/>
    <mergeCell ref="H119:H121"/>
    <mergeCell ref="I3:I5"/>
    <mergeCell ref="I6:I8"/>
    <mergeCell ref="I9:I11"/>
    <mergeCell ref="I12:I14"/>
    <mergeCell ref="I15:I17"/>
    <mergeCell ref="I18:I20"/>
    <mergeCell ref="H84:H87"/>
    <mergeCell ref="H88:H91"/>
    <mergeCell ref="H92:H95"/>
    <mergeCell ref="H96:H99"/>
    <mergeCell ref="H100:H103"/>
    <mergeCell ref="H104:H107"/>
    <mergeCell ref="H62:H65"/>
    <mergeCell ref="H66:H69"/>
    <mergeCell ref="H70:H73"/>
    <mergeCell ref="H74:H77"/>
    <mergeCell ref="H78:H80"/>
    <mergeCell ref="H81:H83"/>
    <mergeCell ref="H42:H44"/>
    <mergeCell ref="H45:H47"/>
    <mergeCell ref="I50:I51"/>
    <mergeCell ref="I52:I54"/>
    <mergeCell ref="I55:I57"/>
    <mergeCell ref="I60:I61"/>
    <mergeCell ref="I24:I26"/>
    <mergeCell ref="I27:I29"/>
    <mergeCell ref="I30:I32"/>
    <mergeCell ref="I33:I35"/>
    <mergeCell ref="I36:I38"/>
    <mergeCell ref="I39:I41"/>
    <mergeCell ref="I110:I111"/>
    <mergeCell ref="I112:I114"/>
    <mergeCell ref="I115:I118"/>
    <mergeCell ref="I119:I121"/>
    <mergeCell ref="J3:J5"/>
    <mergeCell ref="J6:J8"/>
    <mergeCell ref="J9:J11"/>
    <mergeCell ref="J12:J14"/>
    <mergeCell ref="J15:J17"/>
    <mergeCell ref="J18:J20"/>
    <mergeCell ref="I84:I87"/>
    <mergeCell ref="I90:I91"/>
    <mergeCell ref="I94:I95"/>
    <mergeCell ref="I98:I99"/>
    <mergeCell ref="I102:I103"/>
    <mergeCell ref="I106:I107"/>
    <mergeCell ref="I64:I65"/>
    <mergeCell ref="I68:I69"/>
    <mergeCell ref="I72:I73"/>
    <mergeCell ref="I76:I77"/>
    <mergeCell ref="I78:I80"/>
    <mergeCell ref="I81:I83"/>
    <mergeCell ref="I42:I44"/>
    <mergeCell ref="I45:I47"/>
    <mergeCell ref="J115:J118"/>
    <mergeCell ref="J119:J121"/>
    <mergeCell ref="K3:K5"/>
    <mergeCell ref="K6:K8"/>
    <mergeCell ref="K9:K11"/>
    <mergeCell ref="K12:K14"/>
    <mergeCell ref="K15:K17"/>
    <mergeCell ref="J81:J83"/>
    <mergeCell ref="J84:J87"/>
    <mergeCell ref="J90:J91"/>
    <mergeCell ref="J94:J95"/>
    <mergeCell ref="J98:J99"/>
    <mergeCell ref="J102:J103"/>
    <mergeCell ref="J60:J61"/>
    <mergeCell ref="J64:J65"/>
    <mergeCell ref="J68:J69"/>
    <mergeCell ref="J72:J73"/>
    <mergeCell ref="J76:J77"/>
    <mergeCell ref="J78:J80"/>
    <mergeCell ref="J39:J41"/>
    <mergeCell ref="J42:J44"/>
    <mergeCell ref="J45:J47"/>
    <mergeCell ref="J50:J51"/>
    <mergeCell ref="J52:J54"/>
    <mergeCell ref="K18:K20"/>
    <mergeCell ref="K21:K23"/>
    <mergeCell ref="K24:K26"/>
    <mergeCell ref="K27:K29"/>
    <mergeCell ref="K30:K32"/>
    <mergeCell ref="K33:K35"/>
    <mergeCell ref="J106:J107"/>
    <mergeCell ref="J110:J111"/>
    <mergeCell ref="J112:J114"/>
    <mergeCell ref="J55:J57"/>
    <mergeCell ref="J21:J23"/>
    <mergeCell ref="J24:J26"/>
    <mergeCell ref="J27:J29"/>
    <mergeCell ref="J30:J32"/>
    <mergeCell ref="J33:J35"/>
    <mergeCell ref="J36:J38"/>
    <mergeCell ref="K55:K57"/>
    <mergeCell ref="K60:K61"/>
    <mergeCell ref="K64:K65"/>
    <mergeCell ref="K68:K69"/>
    <mergeCell ref="K72:K73"/>
    <mergeCell ref="K76:K77"/>
    <mergeCell ref="K36:K38"/>
    <mergeCell ref="K39:K41"/>
    <mergeCell ref="K42:K44"/>
    <mergeCell ref="K45:K47"/>
    <mergeCell ref="K50:K51"/>
    <mergeCell ref="K52:K54"/>
    <mergeCell ref="K102:K103"/>
    <mergeCell ref="K106:K107"/>
    <mergeCell ref="K110:K111"/>
    <mergeCell ref="K112:K114"/>
    <mergeCell ref="K115:K118"/>
    <mergeCell ref="K119:K121"/>
    <mergeCell ref="K78:K80"/>
    <mergeCell ref="K81:K83"/>
    <mergeCell ref="K84:K87"/>
    <mergeCell ref="K90:K91"/>
    <mergeCell ref="K94:K95"/>
    <mergeCell ref="K98:K99"/>
    <mergeCell ref="A125:C125"/>
    <mergeCell ref="E125:G125"/>
    <mergeCell ref="A126:C126"/>
    <mergeCell ref="E126:G126"/>
    <mergeCell ref="A127:C127"/>
    <mergeCell ref="E127:G127"/>
    <mergeCell ref="A122:D122"/>
    <mergeCell ref="E122:H122"/>
    <mergeCell ref="A123:C123"/>
    <mergeCell ref="E123:G123"/>
    <mergeCell ref="A124:C124"/>
    <mergeCell ref="E124:G124"/>
    <mergeCell ref="A131:C131"/>
    <mergeCell ref="E131:G131"/>
    <mergeCell ref="A132:C132"/>
    <mergeCell ref="E132:G132"/>
    <mergeCell ref="A133:C133"/>
    <mergeCell ref="E133:G133"/>
    <mergeCell ref="A128:C128"/>
    <mergeCell ref="E128:G128"/>
    <mergeCell ref="A129:C129"/>
    <mergeCell ref="E129:G129"/>
    <mergeCell ref="A130:C130"/>
    <mergeCell ref="E130:G130"/>
  </mergeCells>
  <conditionalFormatting sqref="A1:L133">
    <cfRule type="containsText" dxfId="293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</sheetPr>
  <dimension ref="A1:C36"/>
  <sheetViews>
    <sheetView topLeftCell="A7"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50" t="s">
        <v>2781</v>
      </c>
      <c r="B1" s="51" t="s">
        <v>2782</v>
      </c>
      <c r="C1" s="52" t="s">
        <v>2783</v>
      </c>
    </row>
    <row r="2" spans="1:3" x14ac:dyDescent="0.25">
      <c r="A2" s="45" t="s">
        <v>2784</v>
      </c>
      <c r="B2" s="44" t="s">
        <v>2785</v>
      </c>
      <c r="C2" s="48" t="s">
        <v>2786</v>
      </c>
    </row>
    <row r="3" spans="1:3" x14ac:dyDescent="0.25">
      <c r="A3" s="45" t="s">
        <v>2787</v>
      </c>
      <c r="B3" s="44" t="s">
        <v>2785</v>
      </c>
      <c r="C3" s="48" t="s">
        <v>2788</v>
      </c>
    </row>
    <row r="4" spans="1:3" x14ac:dyDescent="0.25">
      <c r="A4" s="45" t="s">
        <v>2789</v>
      </c>
      <c r="B4" s="44" t="s">
        <v>2790</v>
      </c>
      <c r="C4" s="48" t="s">
        <v>2791</v>
      </c>
    </row>
    <row r="5" spans="1:3" x14ac:dyDescent="0.25">
      <c r="A5" s="45" t="s">
        <v>2792</v>
      </c>
      <c r="B5" s="44" t="s">
        <v>2793</v>
      </c>
      <c r="C5" s="48" t="s">
        <v>2794</v>
      </c>
    </row>
    <row r="6" spans="1:3" x14ac:dyDescent="0.25">
      <c r="A6" s="45" t="s">
        <v>2795</v>
      </c>
      <c r="B6" s="44" t="s">
        <v>2796</v>
      </c>
      <c r="C6" s="48" t="s">
        <v>2794</v>
      </c>
    </row>
    <row r="7" spans="1:3" x14ac:dyDescent="0.25">
      <c r="A7" s="45" t="s">
        <v>2799</v>
      </c>
      <c r="B7" s="44" t="s">
        <v>2800</v>
      </c>
      <c r="C7" s="48" t="s">
        <v>2794</v>
      </c>
    </row>
    <row r="8" spans="1:3" x14ac:dyDescent="0.25">
      <c r="A8" s="45" t="s">
        <v>2801</v>
      </c>
      <c r="B8" s="44" t="s">
        <v>2802</v>
      </c>
      <c r="C8" s="48" t="s">
        <v>2794</v>
      </c>
    </row>
    <row r="9" spans="1:3" x14ac:dyDescent="0.25">
      <c r="A9" s="45" t="s">
        <v>2803</v>
      </c>
      <c r="B9" s="44" t="s">
        <v>2800</v>
      </c>
      <c r="C9" s="48" t="s">
        <v>2794</v>
      </c>
    </row>
    <row r="10" spans="1:3" x14ac:dyDescent="0.25">
      <c r="A10" s="45" t="s">
        <v>2804</v>
      </c>
      <c r="B10" s="44" t="s">
        <v>2802</v>
      </c>
      <c r="C10" s="48" t="s">
        <v>2794</v>
      </c>
    </row>
    <row r="11" spans="1:3" x14ac:dyDescent="0.25">
      <c r="A11" s="45" t="s">
        <v>2805</v>
      </c>
      <c r="B11" s="44" t="s">
        <v>2802</v>
      </c>
      <c r="C11" s="48" t="s">
        <v>2794</v>
      </c>
    </row>
    <row r="12" spans="1:3" x14ac:dyDescent="0.25">
      <c r="A12" s="45" t="s">
        <v>2805</v>
      </c>
      <c r="B12" s="44" t="s">
        <v>2806</v>
      </c>
      <c r="C12" s="48" t="s">
        <v>2794</v>
      </c>
    </row>
    <row r="13" spans="1:3" x14ac:dyDescent="0.25">
      <c r="A13" s="45" t="s">
        <v>2807</v>
      </c>
      <c r="B13" s="44" t="s">
        <v>2802</v>
      </c>
      <c r="C13" s="48" t="s">
        <v>2794</v>
      </c>
    </row>
    <row r="14" spans="1:3" x14ac:dyDescent="0.25">
      <c r="A14" s="45" t="s">
        <v>2808</v>
      </c>
      <c r="B14" s="44" t="s">
        <v>2802</v>
      </c>
      <c r="C14" s="48" t="s">
        <v>2794</v>
      </c>
    </row>
    <row r="15" spans="1:3" x14ac:dyDescent="0.25">
      <c r="A15" s="45" t="s">
        <v>2809</v>
      </c>
      <c r="B15" s="44" t="s">
        <v>2810</v>
      </c>
      <c r="C15" s="48" t="s">
        <v>2794</v>
      </c>
    </row>
    <row r="16" spans="1:3" x14ac:dyDescent="0.25">
      <c r="A16" s="45" t="s">
        <v>2811</v>
      </c>
      <c r="B16" s="44" t="s">
        <v>2800</v>
      </c>
      <c r="C16" s="48" t="s">
        <v>2794</v>
      </c>
    </row>
    <row r="17" spans="1:3" x14ac:dyDescent="0.25">
      <c r="A17" s="45" t="s">
        <v>2812</v>
      </c>
      <c r="B17" s="44" t="s">
        <v>2802</v>
      </c>
      <c r="C17" s="48" t="s">
        <v>2794</v>
      </c>
    </row>
    <row r="18" spans="1:3" x14ac:dyDescent="0.25">
      <c r="A18" s="45" t="s">
        <v>2813</v>
      </c>
      <c r="B18" s="44" t="s">
        <v>2814</v>
      </c>
      <c r="C18" s="48" t="s">
        <v>2794</v>
      </c>
    </row>
    <row r="19" spans="1:3" ht="30" x14ac:dyDescent="0.25">
      <c r="A19" s="45" t="s">
        <v>2815</v>
      </c>
      <c r="B19" s="44" t="s">
        <v>2806</v>
      </c>
      <c r="C19" s="48" t="s">
        <v>2794</v>
      </c>
    </row>
    <row r="20" spans="1:3" x14ac:dyDescent="0.25">
      <c r="A20" s="45" t="s">
        <v>2816</v>
      </c>
      <c r="B20" s="44" t="s">
        <v>2806</v>
      </c>
      <c r="C20" s="48" t="s">
        <v>2794</v>
      </c>
    </row>
    <row r="21" spans="1:3" ht="30" x14ac:dyDescent="0.25">
      <c r="A21" s="45" t="s">
        <v>2817</v>
      </c>
      <c r="B21" s="44" t="s">
        <v>2806</v>
      </c>
      <c r="C21" s="48" t="s">
        <v>2794</v>
      </c>
    </row>
    <row r="22" spans="1:3" ht="30" x14ac:dyDescent="0.25">
      <c r="A22" s="45" t="s">
        <v>2818</v>
      </c>
      <c r="B22" s="44" t="s">
        <v>2819</v>
      </c>
      <c r="C22" s="48" t="s">
        <v>2794</v>
      </c>
    </row>
    <row r="23" spans="1:3" x14ac:dyDescent="0.25">
      <c r="A23" s="45" t="s">
        <v>2811</v>
      </c>
      <c r="B23" s="44" t="s">
        <v>2806</v>
      </c>
      <c r="C23" s="48" t="s">
        <v>2794</v>
      </c>
    </row>
    <row r="24" spans="1:3" x14ac:dyDescent="0.25">
      <c r="A24" s="45" t="s">
        <v>2820</v>
      </c>
      <c r="B24" s="44" t="s">
        <v>2806</v>
      </c>
      <c r="C24" s="48" t="s">
        <v>2794</v>
      </c>
    </row>
    <row r="25" spans="1:3" x14ac:dyDescent="0.25">
      <c r="A25" s="45" t="s">
        <v>2821</v>
      </c>
      <c r="B25" s="44" t="s">
        <v>2806</v>
      </c>
      <c r="C25" s="48" t="s">
        <v>2794</v>
      </c>
    </row>
    <row r="26" spans="1:3" x14ac:dyDescent="0.25">
      <c r="A26" s="45" t="s">
        <v>2822</v>
      </c>
      <c r="B26" s="44" t="s">
        <v>2806</v>
      </c>
      <c r="C26" s="48" t="s">
        <v>2794</v>
      </c>
    </row>
    <row r="27" spans="1:3" ht="30" x14ac:dyDescent="0.25">
      <c r="A27" s="45" t="s">
        <v>2823</v>
      </c>
      <c r="B27" s="44" t="s">
        <v>2806</v>
      </c>
      <c r="C27" s="48" t="s">
        <v>2794</v>
      </c>
    </row>
    <row r="28" spans="1:3" x14ac:dyDescent="0.25">
      <c r="A28" s="45" t="s">
        <v>2824</v>
      </c>
      <c r="B28" s="44" t="s">
        <v>2806</v>
      </c>
      <c r="C28" s="48" t="s">
        <v>2794</v>
      </c>
    </row>
    <row r="29" spans="1:3" x14ac:dyDescent="0.25">
      <c r="A29" s="45" t="s">
        <v>2825</v>
      </c>
      <c r="B29" s="44" t="s">
        <v>2806</v>
      </c>
      <c r="C29" s="48" t="s">
        <v>2794</v>
      </c>
    </row>
    <row r="30" spans="1:3" x14ac:dyDescent="0.25">
      <c r="A30" s="45" t="s">
        <v>2826</v>
      </c>
      <c r="B30" s="44" t="s">
        <v>2806</v>
      </c>
      <c r="C30" s="48" t="s">
        <v>2794</v>
      </c>
    </row>
    <row r="31" spans="1:3" ht="30" x14ac:dyDescent="0.25">
      <c r="A31" s="45" t="s">
        <v>2827</v>
      </c>
      <c r="B31" s="44" t="s">
        <v>2806</v>
      </c>
      <c r="C31" s="48" t="s">
        <v>2794</v>
      </c>
    </row>
    <row r="32" spans="1:3" ht="30" x14ac:dyDescent="0.25">
      <c r="A32" s="45" t="s">
        <v>2828</v>
      </c>
      <c r="B32" s="44" t="s">
        <v>2806</v>
      </c>
      <c r="C32" s="48" t="s">
        <v>2794</v>
      </c>
    </row>
    <row r="33" spans="1:3" x14ac:dyDescent="0.25">
      <c r="A33" s="45" t="s">
        <v>2829</v>
      </c>
      <c r="B33" s="44" t="s">
        <v>2806</v>
      </c>
      <c r="C33" s="48" t="s">
        <v>2794</v>
      </c>
    </row>
    <row r="34" spans="1:3" ht="30" x14ac:dyDescent="0.25">
      <c r="A34" s="45" t="s">
        <v>2830</v>
      </c>
      <c r="B34" s="44" t="s">
        <v>2806</v>
      </c>
      <c r="C34" s="48" t="s">
        <v>2794</v>
      </c>
    </row>
    <row r="35" spans="1:3" x14ac:dyDescent="0.25">
      <c r="A35" s="45" t="s">
        <v>2831</v>
      </c>
      <c r="B35" s="44" t="s">
        <v>2796</v>
      </c>
      <c r="C35" s="48" t="s">
        <v>2794</v>
      </c>
    </row>
    <row r="36" spans="1:3" ht="15.75" thickBot="1" x14ac:dyDescent="0.3">
      <c r="A36" s="46" t="s">
        <v>2832</v>
      </c>
      <c r="B36" s="47" t="s">
        <v>2796</v>
      </c>
      <c r="C36" s="49" t="s">
        <v>2794</v>
      </c>
    </row>
  </sheetData>
  <conditionalFormatting sqref="A1:C36">
    <cfRule type="containsText" dxfId="292" priority="3" operator="containsText" text="Исключить">
      <formula>NOT(ISERROR(SEARCH("Исключить",A1)))</formula>
    </cfRule>
    <cfRule type="containsText" dxfId="291" priority="2" stopIfTrue="1" operator="containsText" text="Добавить">
      <formula>NOT(ISERROR(SEARCH("Добавить",A1)))</formula>
    </cfRule>
    <cfRule type="containsText" dxfId="290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L133"/>
  <sheetViews>
    <sheetView workbookViewId="0">
      <selection activeCell="L11" sqref="L11:L15"/>
    </sheetView>
  </sheetViews>
  <sheetFormatPr defaultRowHeight="15" x14ac:dyDescent="0.25"/>
  <cols>
    <col min="1" max="1" width="5.42578125" style="53" customWidth="1"/>
    <col min="2" max="2" width="27" style="53" customWidth="1"/>
    <col min="3" max="3" width="21.7109375" style="53" customWidth="1"/>
    <col min="4" max="4" width="8.140625" style="53" customWidth="1"/>
    <col min="5" max="5" width="21.7109375" style="53" customWidth="1"/>
    <col min="6" max="6" width="8.140625" style="53" customWidth="1"/>
    <col min="7" max="7" width="21.7109375" style="53" customWidth="1"/>
    <col min="8" max="8" width="8.140625" style="53" customWidth="1"/>
    <col min="9" max="9" width="21.7109375" style="53" customWidth="1"/>
    <col min="10" max="11" width="8.140625" style="53" customWidth="1"/>
    <col min="12" max="12" width="16.28515625" style="53" customWidth="1"/>
    <col min="13" max="16384" width="9.140625" style="53"/>
  </cols>
  <sheetData>
    <row r="1" spans="1:12" ht="15.75" x14ac:dyDescent="0.25">
      <c r="A1" s="90" t="s">
        <v>2845</v>
      </c>
      <c r="B1" s="92" t="s">
        <v>2846</v>
      </c>
      <c r="C1" s="92" t="s">
        <v>2847</v>
      </c>
      <c r="D1" s="92"/>
      <c r="E1" s="92"/>
      <c r="F1" s="92"/>
      <c r="G1" s="92"/>
      <c r="H1" s="92"/>
      <c r="I1" s="92"/>
      <c r="J1" s="92"/>
      <c r="K1" s="92"/>
      <c r="L1" s="94" t="s">
        <v>2648</v>
      </c>
    </row>
    <row r="2" spans="1:12" ht="41.25" thickBot="1" x14ac:dyDescent="0.3">
      <c r="A2" s="91"/>
      <c r="B2" s="93"/>
      <c r="C2" s="21" t="s">
        <v>2848</v>
      </c>
      <c r="D2" s="62" t="s">
        <v>2849</v>
      </c>
      <c r="E2" s="21" t="s">
        <v>2850</v>
      </c>
      <c r="F2" s="62" t="s">
        <v>2849</v>
      </c>
      <c r="G2" s="21" t="s">
        <v>2851</v>
      </c>
      <c r="H2" s="62" t="s">
        <v>2849</v>
      </c>
      <c r="I2" s="21" t="s">
        <v>2852</v>
      </c>
      <c r="J2" s="62" t="s">
        <v>2849</v>
      </c>
      <c r="K2" s="62" t="s">
        <v>2853</v>
      </c>
      <c r="L2" s="95"/>
    </row>
    <row r="3" spans="1:12" ht="25.5" x14ac:dyDescent="0.25">
      <c r="A3" s="99" t="s">
        <v>21</v>
      </c>
      <c r="B3" s="55" t="s">
        <v>2854</v>
      </c>
      <c r="C3" s="55" t="s">
        <v>2855</v>
      </c>
      <c r="D3" s="63">
        <v>90</v>
      </c>
      <c r="E3" s="55" t="s">
        <v>2856</v>
      </c>
      <c r="F3" s="63">
        <v>103.8</v>
      </c>
      <c r="G3" s="55" t="s">
        <v>2856</v>
      </c>
      <c r="H3" s="63">
        <v>4.0000000000000001E-3</v>
      </c>
      <c r="I3" s="83" t="s">
        <v>4</v>
      </c>
      <c r="J3" s="79" t="s">
        <v>4</v>
      </c>
      <c r="K3" s="79" t="s">
        <v>4</v>
      </c>
      <c r="L3" s="97" t="s">
        <v>2857</v>
      </c>
    </row>
    <row r="4" spans="1:12" ht="25.5" x14ac:dyDescent="0.25">
      <c r="A4" s="68"/>
      <c r="B4" s="80" t="s">
        <v>2854</v>
      </c>
      <c r="C4" s="80" t="s">
        <v>2786</v>
      </c>
      <c r="D4" s="76">
        <v>90</v>
      </c>
      <c r="E4" s="56" t="s">
        <v>2858</v>
      </c>
      <c r="F4" s="65">
        <v>55.5</v>
      </c>
      <c r="G4" s="56" t="s">
        <v>2859</v>
      </c>
      <c r="H4" s="65">
        <v>9.0000000000000011E-3</v>
      </c>
      <c r="I4" s="83"/>
      <c r="J4" s="79"/>
      <c r="K4" s="79"/>
      <c r="L4" s="87"/>
    </row>
    <row r="5" spans="1:12" ht="25.5" x14ac:dyDescent="0.25">
      <c r="A5" s="68"/>
      <c r="B5" s="83"/>
      <c r="C5" s="83"/>
      <c r="D5" s="79"/>
      <c r="E5" s="56" t="s">
        <v>2860</v>
      </c>
      <c r="F5" s="65">
        <v>1533.3</v>
      </c>
      <c r="G5" s="56" t="s">
        <v>2861</v>
      </c>
      <c r="H5" s="65">
        <v>5.0000000000000001E-3</v>
      </c>
      <c r="I5" s="83"/>
      <c r="J5" s="79"/>
      <c r="K5" s="79"/>
      <c r="L5" s="87"/>
    </row>
    <row r="6" spans="1:12" ht="25.5" x14ac:dyDescent="0.25">
      <c r="A6" s="68"/>
      <c r="B6" s="83"/>
      <c r="C6" s="83"/>
      <c r="D6" s="79"/>
      <c r="E6" s="56" t="s">
        <v>2859</v>
      </c>
      <c r="F6" s="65">
        <v>2071.8000000000002</v>
      </c>
      <c r="G6" s="56" t="s">
        <v>2855</v>
      </c>
      <c r="H6" s="65">
        <v>0.02</v>
      </c>
      <c r="I6" s="83"/>
      <c r="J6" s="79"/>
      <c r="K6" s="79"/>
      <c r="L6" s="87"/>
    </row>
    <row r="7" spans="1:12" ht="25.5" x14ac:dyDescent="0.25">
      <c r="A7" s="68"/>
      <c r="B7" s="83"/>
      <c r="C7" s="83"/>
      <c r="D7" s="79"/>
      <c r="E7" s="56" t="s">
        <v>2861</v>
      </c>
      <c r="F7" s="65">
        <v>165.3</v>
      </c>
      <c r="G7" s="80" t="s">
        <v>2786</v>
      </c>
      <c r="H7" s="76">
        <v>0.02</v>
      </c>
      <c r="I7" s="83"/>
      <c r="J7" s="79"/>
      <c r="K7" s="79"/>
      <c r="L7" s="87"/>
    </row>
    <row r="8" spans="1:12" ht="22.7" customHeight="1" x14ac:dyDescent="0.25">
      <c r="A8" s="68"/>
      <c r="B8" s="83"/>
      <c r="C8" s="83"/>
      <c r="D8" s="79"/>
      <c r="E8" s="56" t="s">
        <v>2862</v>
      </c>
      <c r="F8" s="65">
        <v>58.1</v>
      </c>
      <c r="G8" s="83"/>
      <c r="H8" s="79"/>
      <c r="I8" s="83"/>
      <c r="J8" s="79"/>
      <c r="K8" s="79"/>
      <c r="L8" s="87"/>
    </row>
    <row r="9" spans="1:12" ht="22.7" customHeight="1" x14ac:dyDescent="0.25">
      <c r="A9" s="68"/>
      <c r="B9" s="83"/>
      <c r="C9" s="83"/>
      <c r="D9" s="79"/>
      <c r="E9" s="56" t="s">
        <v>2855</v>
      </c>
      <c r="F9" s="65">
        <v>3987.7</v>
      </c>
      <c r="G9" s="83"/>
      <c r="H9" s="79"/>
      <c r="I9" s="83"/>
      <c r="J9" s="79"/>
      <c r="K9" s="79"/>
      <c r="L9" s="87"/>
    </row>
    <row r="10" spans="1:12" ht="22.7" customHeight="1" thickBot="1" x14ac:dyDescent="0.3">
      <c r="A10" s="98"/>
      <c r="B10" s="81"/>
      <c r="C10" s="81"/>
      <c r="D10" s="77"/>
      <c r="E10" s="57" t="s">
        <v>2786</v>
      </c>
      <c r="F10" s="66">
        <v>3987.7</v>
      </c>
      <c r="G10" s="81"/>
      <c r="H10" s="77"/>
      <c r="I10" s="81"/>
      <c r="J10" s="77"/>
      <c r="K10" s="77"/>
      <c r="L10" s="89"/>
    </row>
    <row r="11" spans="1:12" ht="38.25" x14ac:dyDescent="0.25">
      <c r="A11" s="73" t="s">
        <v>22</v>
      </c>
      <c r="B11" s="58" t="s">
        <v>2863</v>
      </c>
      <c r="C11" s="58" t="s">
        <v>2855</v>
      </c>
      <c r="D11" s="64">
        <v>307.10000000000002</v>
      </c>
      <c r="E11" s="58" t="s">
        <v>2864</v>
      </c>
      <c r="F11" s="64">
        <v>148.19999999999999</v>
      </c>
      <c r="G11" s="82" t="s">
        <v>4</v>
      </c>
      <c r="H11" s="78" t="s">
        <v>4</v>
      </c>
      <c r="I11" s="58" t="s">
        <v>2865</v>
      </c>
      <c r="J11" s="64">
        <v>600.6</v>
      </c>
      <c r="K11" s="78" t="s">
        <v>2866</v>
      </c>
      <c r="L11" s="75" t="s">
        <v>2867</v>
      </c>
    </row>
    <row r="12" spans="1:12" ht="22.7" customHeight="1" x14ac:dyDescent="0.25">
      <c r="A12" s="68"/>
      <c r="B12" s="80" t="s">
        <v>2863</v>
      </c>
      <c r="C12" s="80" t="s">
        <v>2786</v>
      </c>
      <c r="D12" s="76">
        <v>307.10000000000002</v>
      </c>
      <c r="E12" s="56" t="s">
        <v>2868</v>
      </c>
      <c r="F12" s="65">
        <v>565.5</v>
      </c>
      <c r="G12" s="83"/>
      <c r="H12" s="79"/>
      <c r="I12" s="56" t="s">
        <v>2855</v>
      </c>
      <c r="J12" s="65">
        <v>600.6</v>
      </c>
      <c r="K12" s="79"/>
      <c r="L12" s="87"/>
    </row>
    <row r="13" spans="1:12" ht="25.5" x14ac:dyDescent="0.25">
      <c r="A13" s="68"/>
      <c r="B13" s="83"/>
      <c r="C13" s="83"/>
      <c r="D13" s="79"/>
      <c r="E13" s="56" t="s">
        <v>2861</v>
      </c>
      <c r="F13" s="65">
        <v>615.1</v>
      </c>
      <c r="G13" s="83"/>
      <c r="H13" s="79"/>
      <c r="I13" s="80" t="s">
        <v>2786</v>
      </c>
      <c r="J13" s="76">
        <v>600.6</v>
      </c>
      <c r="K13" s="79"/>
      <c r="L13" s="87"/>
    </row>
    <row r="14" spans="1:12" ht="22.7" customHeight="1" x14ac:dyDescent="0.25">
      <c r="A14" s="68"/>
      <c r="B14" s="83"/>
      <c r="C14" s="83"/>
      <c r="D14" s="79"/>
      <c r="E14" s="56" t="s">
        <v>2855</v>
      </c>
      <c r="F14" s="65">
        <v>1328.7</v>
      </c>
      <c r="G14" s="83"/>
      <c r="H14" s="79"/>
      <c r="I14" s="83"/>
      <c r="J14" s="79"/>
      <c r="K14" s="79"/>
      <c r="L14" s="87"/>
    </row>
    <row r="15" spans="1:12" ht="22.7" customHeight="1" thickBot="1" x14ac:dyDescent="0.3">
      <c r="A15" s="98"/>
      <c r="B15" s="81"/>
      <c r="C15" s="81"/>
      <c r="D15" s="77"/>
      <c r="E15" s="57" t="s">
        <v>2786</v>
      </c>
      <c r="F15" s="66">
        <v>1328.7</v>
      </c>
      <c r="G15" s="81"/>
      <c r="H15" s="77"/>
      <c r="I15" s="81"/>
      <c r="J15" s="77"/>
      <c r="K15" s="77"/>
      <c r="L15" s="89"/>
    </row>
    <row r="16" spans="1:12" ht="38.25" x14ac:dyDescent="0.25">
      <c r="A16" s="73" t="s">
        <v>23</v>
      </c>
      <c r="B16" s="82" t="s">
        <v>2869</v>
      </c>
      <c r="C16" s="82" t="s">
        <v>2870</v>
      </c>
      <c r="D16" s="78">
        <v>403.6</v>
      </c>
      <c r="E16" s="58" t="s">
        <v>2871</v>
      </c>
      <c r="F16" s="64">
        <v>890.7</v>
      </c>
      <c r="G16" s="82" t="s">
        <v>4</v>
      </c>
      <c r="H16" s="78" t="s">
        <v>4</v>
      </c>
      <c r="I16" s="82" t="s">
        <v>4</v>
      </c>
      <c r="J16" s="78" t="s">
        <v>4</v>
      </c>
      <c r="K16" s="78" t="s">
        <v>4</v>
      </c>
      <c r="L16" s="75" t="s">
        <v>2872</v>
      </c>
    </row>
    <row r="17" spans="1:12" ht="22.7" customHeight="1" x14ac:dyDescent="0.25">
      <c r="A17" s="68"/>
      <c r="B17" s="83"/>
      <c r="C17" s="83"/>
      <c r="D17" s="79"/>
      <c r="E17" s="56" t="s">
        <v>2855</v>
      </c>
      <c r="F17" s="65">
        <v>890.7</v>
      </c>
      <c r="G17" s="83"/>
      <c r="H17" s="79"/>
      <c r="I17" s="83"/>
      <c r="J17" s="79"/>
      <c r="K17" s="79"/>
      <c r="L17" s="87"/>
    </row>
    <row r="18" spans="1:12" ht="22.7" customHeight="1" thickBot="1" x14ac:dyDescent="0.3">
      <c r="A18" s="98"/>
      <c r="B18" s="81"/>
      <c r="C18" s="81"/>
      <c r="D18" s="77"/>
      <c r="E18" s="57" t="s">
        <v>2786</v>
      </c>
      <c r="F18" s="66">
        <v>890.7</v>
      </c>
      <c r="G18" s="81"/>
      <c r="H18" s="77"/>
      <c r="I18" s="81"/>
      <c r="J18" s="77"/>
      <c r="K18" s="79"/>
      <c r="L18" s="89"/>
    </row>
    <row r="19" spans="1:12" ht="22.7" customHeight="1" x14ac:dyDescent="0.25">
      <c r="A19" s="73" t="s">
        <v>2375</v>
      </c>
      <c r="B19" s="82" t="s">
        <v>2873</v>
      </c>
      <c r="C19" s="82" t="s">
        <v>4</v>
      </c>
      <c r="D19" s="78" t="s">
        <v>4</v>
      </c>
      <c r="E19" s="58" t="s">
        <v>2874</v>
      </c>
      <c r="F19" s="64">
        <v>1889.1</v>
      </c>
      <c r="G19" s="58" t="s">
        <v>2855</v>
      </c>
      <c r="H19" s="64">
        <v>4.7</v>
      </c>
      <c r="I19" s="82" t="s">
        <v>4</v>
      </c>
      <c r="J19" s="78" t="s">
        <v>4</v>
      </c>
      <c r="K19" s="79"/>
      <c r="L19" s="75" t="s">
        <v>2875</v>
      </c>
    </row>
    <row r="20" spans="1:12" ht="22.7" customHeight="1" x14ac:dyDescent="0.25">
      <c r="A20" s="68"/>
      <c r="B20" s="83"/>
      <c r="C20" s="83"/>
      <c r="D20" s="79"/>
      <c r="E20" s="56" t="s">
        <v>2855</v>
      </c>
      <c r="F20" s="65">
        <v>1889.1</v>
      </c>
      <c r="G20" s="80" t="s">
        <v>2786</v>
      </c>
      <c r="H20" s="76">
        <v>4.7</v>
      </c>
      <c r="I20" s="83"/>
      <c r="J20" s="79"/>
      <c r="K20" s="79"/>
      <c r="L20" s="87"/>
    </row>
    <row r="21" spans="1:12" ht="22.7" customHeight="1" x14ac:dyDescent="0.25">
      <c r="A21" s="68"/>
      <c r="B21" s="83"/>
      <c r="C21" s="83"/>
      <c r="D21" s="79"/>
      <c r="E21" s="80" t="s">
        <v>2786</v>
      </c>
      <c r="F21" s="76">
        <v>1889.1</v>
      </c>
      <c r="G21" s="83"/>
      <c r="H21" s="79"/>
      <c r="I21" s="83"/>
      <c r="J21" s="79"/>
      <c r="K21" s="79"/>
      <c r="L21" s="87"/>
    </row>
    <row r="22" spans="1:12" ht="22.7" customHeight="1" thickBot="1" x14ac:dyDescent="0.3">
      <c r="A22" s="98"/>
      <c r="B22" s="83"/>
      <c r="C22" s="83"/>
      <c r="D22" s="79"/>
      <c r="E22" s="81"/>
      <c r="F22" s="77"/>
      <c r="G22" s="81"/>
      <c r="H22" s="77"/>
      <c r="I22" s="81"/>
      <c r="J22" s="77"/>
      <c r="K22" s="77"/>
      <c r="L22" s="88"/>
    </row>
    <row r="23" spans="1:12" ht="22.7" customHeight="1" x14ac:dyDescent="0.25">
      <c r="A23" s="73" t="s">
        <v>2876</v>
      </c>
      <c r="B23" s="74"/>
      <c r="C23" s="74"/>
      <c r="D23" s="75"/>
      <c r="E23" s="70" t="s">
        <v>2877</v>
      </c>
      <c r="F23" s="70"/>
      <c r="G23" s="70"/>
      <c r="H23" s="70"/>
      <c r="I23" s="59" t="s">
        <v>2662</v>
      </c>
      <c r="J23" s="59" t="s">
        <v>2662</v>
      </c>
      <c r="K23" s="59" t="s">
        <v>2662</v>
      </c>
      <c r="L23" s="59" t="s">
        <v>2662</v>
      </c>
    </row>
    <row r="24" spans="1:12" ht="22.7" customHeight="1" x14ac:dyDescent="0.25">
      <c r="A24" s="68" t="s">
        <v>2878</v>
      </c>
      <c r="B24" s="69"/>
      <c r="C24" s="69"/>
      <c r="D24" s="60">
        <v>403.6</v>
      </c>
      <c r="E24" s="70" t="s">
        <v>2837</v>
      </c>
      <c r="F24" s="70"/>
      <c r="G24" s="70"/>
      <c r="H24" s="59">
        <v>403.6</v>
      </c>
      <c r="I24" s="59" t="s">
        <v>2662</v>
      </c>
      <c r="J24" s="59" t="s">
        <v>2662</v>
      </c>
      <c r="K24" s="59" t="s">
        <v>2662</v>
      </c>
      <c r="L24" s="59" t="s">
        <v>2662</v>
      </c>
    </row>
    <row r="25" spans="1:12" ht="22.7" customHeight="1" x14ac:dyDescent="0.25">
      <c r="A25" s="68" t="s">
        <v>2879</v>
      </c>
      <c r="B25" s="69"/>
      <c r="C25" s="69"/>
      <c r="D25" s="60">
        <v>397.1</v>
      </c>
      <c r="E25" s="70" t="s">
        <v>2880</v>
      </c>
      <c r="F25" s="70"/>
      <c r="G25" s="70"/>
      <c r="H25" s="59">
        <v>8096.4</v>
      </c>
      <c r="I25" s="59" t="s">
        <v>2662</v>
      </c>
      <c r="J25" s="59" t="s">
        <v>2662</v>
      </c>
      <c r="K25" s="59" t="s">
        <v>2662</v>
      </c>
      <c r="L25" s="59" t="s">
        <v>2662</v>
      </c>
    </row>
    <row r="26" spans="1:12" ht="22.7" customHeight="1" x14ac:dyDescent="0.25">
      <c r="A26" s="68" t="s">
        <v>2881</v>
      </c>
      <c r="B26" s="69"/>
      <c r="C26" s="69"/>
      <c r="D26" s="60">
        <v>397.1</v>
      </c>
      <c r="E26" s="70" t="s">
        <v>2793</v>
      </c>
      <c r="F26" s="70"/>
      <c r="G26" s="70"/>
      <c r="H26" s="59">
        <v>1.8000000000000002E-2</v>
      </c>
      <c r="I26" s="59" t="s">
        <v>2662</v>
      </c>
      <c r="J26" s="59" t="s">
        <v>2662</v>
      </c>
      <c r="K26" s="59" t="s">
        <v>2662</v>
      </c>
      <c r="L26" s="59" t="s">
        <v>2662</v>
      </c>
    </row>
    <row r="27" spans="1:12" ht="22.7" customHeight="1" x14ac:dyDescent="0.25">
      <c r="A27" s="68" t="s">
        <v>2882</v>
      </c>
      <c r="B27" s="69"/>
      <c r="C27" s="69"/>
      <c r="D27" s="60">
        <v>3764.413</v>
      </c>
      <c r="E27" s="70" t="s">
        <v>2883</v>
      </c>
      <c r="F27" s="70"/>
      <c r="G27" s="70"/>
      <c r="H27" s="59">
        <v>600.6</v>
      </c>
      <c r="I27" s="59" t="s">
        <v>2662</v>
      </c>
      <c r="J27" s="59" t="s">
        <v>2662</v>
      </c>
      <c r="K27" s="59" t="s">
        <v>2662</v>
      </c>
      <c r="L27" s="59" t="s">
        <v>2662</v>
      </c>
    </row>
    <row r="28" spans="1:12" ht="22.7" customHeight="1" x14ac:dyDescent="0.25">
      <c r="A28" s="68" t="s">
        <v>2870</v>
      </c>
      <c r="B28" s="69"/>
      <c r="C28" s="69"/>
      <c r="D28" s="60">
        <v>780.40499999999997</v>
      </c>
      <c r="E28" s="70" t="s">
        <v>2662</v>
      </c>
      <c r="F28" s="70"/>
      <c r="G28" s="70"/>
      <c r="H28" s="59" t="s">
        <v>2662</v>
      </c>
      <c r="I28" s="59" t="s">
        <v>2662</v>
      </c>
      <c r="J28" s="59" t="s">
        <v>2662</v>
      </c>
      <c r="K28" s="59" t="s">
        <v>2662</v>
      </c>
      <c r="L28" s="59" t="s">
        <v>2662</v>
      </c>
    </row>
    <row r="29" spans="1:12" ht="22.7" customHeight="1" x14ac:dyDescent="0.25">
      <c r="A29" s="68">
        <v>4</v>
      </c>
      <c r="B29" s="69"/>
      <c r="C29" s="69"/>
      <c r="D29" s="60">
        <v>623.6</v>
      </c>
      <c r="E29" s="70" t="s">
        <v>2662</v>
      </c>
      <c r="F29" s="70"/>
      <c r="G29" s="70"/>
      <c r="H29" s="59" t="s">
        <v>2662</v>
      </c>
      <c r="I29" s="59" t="s">
        <v>2662</v>
      </c>
      <c r="J29" s="59" t="s">
        <v>2662</v>
      </c>
      <c r="K29" s="59" t="s">
        <v>2662</v>
      </c>
      <c r="L29" s="59" t="s">
        <v>2662</v>
      </c>
    </row>
    <row r="30" spans="1:12" ht="15" customHeight="1" x14ac:dyDescent="0.25">
      <c r="A30" s="68" t="s">
        <v>2871</v>
      </c>
      <c r="B30" s="69"/>
      <c r="C30" s="69"/>
      <c r="D30" s="60">
        <v>1038.9000000000001</v>
      </c>
      <c r="E30" s="70" t="s">
        <v>2662</v>
      </c>
      <c r="F30" s="70"/>
      <c r="G30" s="70"/>
      <c r="H30" s="59" t="s">
        <v>2662</v>
      </c>
      <c r="I30" s="59" t="s">
        <v>2662</v>
      </c>
      <c r="J30" s="59" t="s">
        <v>2662</v>
      </c>
      <c r="K30" s="59" t="s">
        <v>2662</v>
      </c>
      <c r="L30" s="59" t="s">
        <v>2662</v>
      </c>
    </row>
    <row r="31" spans="1:12" ht="22.7" customHeight="1" x14ac:dyDescent="0.25">
      <c r="A31" s="68" t="s">
        <v>2865</v>
      </c>
      <c r="B31" s="69"/>
      <c r="C31" s="69"/>
      <c r="D31" s="60">
        <v>600.6</v>
      </c>
      <c r="E31" s="70" t="s">
        <v>2662</v>
      </c>
      <c r="F31" s="70"/>
      <c r="G31" s="70"/>
      <c r="H31" s="59" t="s">
        <v>2662</v>
      </c>
      <c r="I31" s="59" t="s">
        <v>2662</v>
      </c>
      <c r="J31" s="59" t="s">
        <v>2662</v>
      </c>
      <c r="K31" s="59" t="s">
        <v>2662</v>
      </c>
      <c r="L31" s="59" t="s">
        <v>2662</v>
      </c>
    </row>
    <row r="32" spans="1:12" ht="22.7" customHeight="1" x14ac:dyDescent="0.25">
      <c r="A32" s="68" t="s">
        <v>2874</v>
      </c>
      <c r="B32" s="69"/>
      <c r="C32" s="69"/>
      <c r="D32" s="60">
        <v>1889.1</v>
      </c>
      <c r="E32" s="70" t="s">
        <v>2662</v>
      </c>
      <c r="F32" s="70"/>
      <c r="G32" s="70"/>
      <c r="H32" s="59" t="s">
        <v>2662</v>
      </c>
      <c r="I32" s="59" t="s">
        <v>2662</v>
      </c>
      <c r="J32" s="59" t="s">
        <v>2662</v>
      </c>
      <c r="K32" s="59" t="s">
        <v>2662</v>
      </c>
      <c r="L32" s="59" t="s">
        <v>2662</v>
      </c>
    </row>
    <row r="33" spans="1:12" ht="15" customHeight="1" x14ac:dyDescent="0.25">
      <c r="A33" s="68" t="s">
        <v>2855</v>
      </c>
      <c r="B33" s="69"/>
      <c r="C33" s="69"/>
      <c r="D33" s="60">
        <v>8701.52</v>
      </c>
      <c r="E33" s="70" t="s">
        <v>2662</v>
      </c>
      <c r="F33" s="70"/>
      <c r="G33" s="70"/>
      <c r="H33" s="59" t="s">
        <v>2662</v>
      </c>
      <c r="I33" s="59" t="s">
        <v>2662</v>
      </c>
      <c r="J33" s="59" t="s">
        <v>2662</v>
      </c>
      <c r="K33" s="59" t="s">
        <v>2662</v>
      </c>
      <c r="L33" s="59" t="s">
        <v>2662</v>
      </c>
    </row>
    <row r="34" spans="1:12" ht="22.7" customHeight="1" thickBot="1" x14ac:dyDescent="0.3">
      <c r="A34" s="71" t="s">
        <v>2786</v>
      </c>
      <c r="B34" s="72"/>
      <c r="C34" s="72"/>
      <c r="D34" s="61">
        <v>8701.52</v>
      </c>
      <c r="E34" s="70" t="s">
        <v>2662</v>
      </c>
      <c r="F34" s="70"/>
      <c r="G34" s="70"/>
      <c r="H34" s="59" t="s">
        <v>2662</v>
      </c>
      <c r="I34" s="59" t="s">
        <v>2662</v>
      </c>
      <c r="J34" s="59" t="s">
        <v>2662</v>
      </c>
      <c r="K34" s="59" t="s">
        <v>2662</v>
      </c>
      <c r="L34" s="59" t="s">
        <v>2662</v>
      </c>
    </row>
    <row r="35" spans="1:12" ht="22.7" customHeight="1" x14ac:dyDescent="0.25"/>
    <row r="37" spans="1:12" ht="22.7" customHeight="1" x14ac:dyDescent="0.25"/>
    <row r="38" spans="1:12" ht="22.7" customHeight="1" x14ac:dyDescent="0.25"/>
    <row r="40" spans="1:12" ht="22.7" customHeight="1" x14ac:dyDescent="0.25"/>
    <row r="41" spans="1:12" ht="22.7" customHeight="1" x14ac:dyDescent="0.25"/>
    <row r="43" spans="1:12" ht="22.7" customHeight="1" x14ac:dyDescent="0.25"/>
    <row r="44" spans="1:12" ht="22.7" customHeight="1" x14ac:dyDescent="0.25"/>
    <row r="45" spans="1:12" ht="22.7" customHeight="1" x14ac:dyDescent="0.25"/>
    <row r="46" spans="1:12" ht="22.7" customHeight="1" x14ac:dyDescent="0.25"/>
    <row r="47" spans="1:12" ht="22.7" customHeight="1" x14ac:dyDescent="0.25"/>
    <row r="50" ht="22.7" customHeight="1" x14ac:dyDescent="0.25"/>
    <row r="51" ht="22.7" customHeight="1" x14ac:dyDescent="0.25"/>
    <row r="52" ht="22.7" customHeight="1" x14ac:dyDescent="0.25"/>
    <row r="53" ht="22.7" customHeight="1" x14ac:dyDescent="0.25"/>
    <row r="54" ht="22.7" customHeight="1" x14ac:dyDescent="0.25"/>
    <row r="55" ht="22.7" customHeight="1" x14ac:dyDescent="0.25"/>
    <row r="56" ht="22.7" customHeight="1" x14ac:dyDescent="0.25"/>
    <row r="57" ht="22.7" customHeight="1" x14ac:dyDescent="0.25"/>
    <row r="60" ht="22.7" customHeight="1" x14ac:dyDescent="0.25"/>
    <row r="61" ht="22.7" customHeight="1" x14ac:dyDescent="0.25"/>
    <row r="64" ht="22.7" customHeight="1" x14ac:dyDescent="0.25"/>
    <row r="65" ht="22.7" customHeight="1" x14ac:dyDescent="0.25"/>
    <row r="68" ht="22.7" customHeight="1" x14ac:dyDescent="0.25"/>
    <row r="69" ht="22.7" customHeight="1" x14ac:dyDescent="0.25"/>
    <row r="72" ht="22.7" customHeight="1" x14ac:dyDescent="0.25"/>
    <row r="73" ht="22.7" customHeight="1" x14ac:dyDescent="0.25"/>
    <row r="76" ht="22.7" customHeight="1" x14ac:dyDescent="0.25"/>
    <row r="77" ht="22.7" customHeight="1" x14ac:dyDescent="0.25"/>
    <row r="78" ht="22.7" customHeight="1" x14ac:dyDescent="0.25"/>
    <row r="79" ht="22.7" customHeight="1" x14ac:dyDescent="0.25"/>
    <row r="80" ht="22.7" customHeight="1" x14ac:dyDescent="0.25"/>
    <row r="81" ht="22.7" customHeight="1" x14ac:dyDescent="0.25"/>
    <row r="82" ht="22.7" customHeight="1" x14ac:dyDescent="0.25"/>
    <row r="83" ht="22.7" customHeight="1" x14ac:dyDescent="0.25"/>
    <row r="86" ht="22.7" customHeight="1" x14ac:dyDescent="0.25"/>
    <row r="87" ht="22.7" customHeight="1" x14ac:dyDescent="0.25"/>
    <row r="89" ht="22.7" customHeight="1" x14ac:dyDescent="0.25"/>
    <row r="90" ht="22.7" customHeight="1" x14ac:dyDescent="0.25"/>
    <row r="91" ht="22.7" customHeight="1" x14ac:dyDescent="0.25"/>
    <row r="93" ht="22.7" customHeight="1" x14ac:dyDescent="0.25"/>
    <row r="94" ht="22.7" customHeight="1" x14ac:dyDescent="0.25"/>
    <row r="95" ht="22.7" customHeight="1" x14ac:dyDescent="0.25"/>
    <row r="97" ht="22.7" customHeight="1" x14ac:dyDescent="0.25"/>
    <row r="98" ht="22.7" customHeight="1" x14ac:dyDescent="0.25"/>
    <row r="99" ht="22.7" customHeight="1" x14ac:dyDescent="0.25"/>
    <row r="101" ht="22.7" customHeight="1" x14ac:dyDescent="0.25"/>
    <row r="102" ht="22.7" customHeight="1" x14ac:dyDescent="0.25"/>
    <row r="103" ht="22.7" customHeight="1" x14ac:dyDescent="0.25"/>
    <row r="105" ht="22.7" customHeight="1" x14ac:dyDescent="0.25"/>
    <row r="106" ht="22.7" customHeight="1" x14ac:dyDescent="0.25"/>
    <row r="107" ht="22.7" customHeight="1" x14ac:dyDescent="0.25"/>
    <row r="109" ht="22.7" customHeight="1" x14ac:dyDescent="0.25"/>
    <row r="110" ht="22.7" customHeight="1" x14ac:dyDescent="0.25"/>
    <row r="111" ht="22.7" customHeight="1" x14ac:dyDescent="0.25"/>
    <row r="112" ht="22.7" customHeight="1" x14ac:dyDescent="0.25"/>
    <row r="113" ht="22.7" customHeight="1" x14ac:dyDescent="0.25"/>
    <row r="114" ht="22.7" customHeight="1" x14ac:dyDescent="0.25"/>
    <row r="116" ht="22.7" customHeight="1" x14ac:dyDescent="0.25"/>
    <row r="117" ht="22.7" customHeight="1" x14ac:dyDescent="0.25"/>
    <row r="118" ht="22.7" customHeight="1" x14ac:dyDescent="0.25"/>
    <row r="119" ht="22.7" customHeight="1" x14ac:dyDescent="0.25"/>
    <row r="120" ht="22.7" customHeight="1" x14ac:dyDescent="0.25"/>
    <row r="121" ht="22.7" customHeight="1" x14ac:dyDescent="0.25"/>
    <row r="122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</sheetData>
  <mergeCells count="69">
    <mergeCell ref="A1:A2"/>
    <mergeCell ref="B1:B2"/>
    <mergeCell ref="C1:K1"/>
    <mergeCell ref="L1:L2"/>
    <mergeCell ref="A3:A10"/>
    <mergeCell ref="L3:L10"/>
    <mergeCell ref="B4:B10"/>
    <mergeCell ref="C4:C10"/>
    <mergeCell ref="H7:H10"/>
    <mergeCell ref="J3:J10"/>
    <mergeCell ref="A11:A15"/>
    <mergeCell ref="L11:L15"/>
    <mergeCell ref="A16:A18"/>
    <mergeCell ref="L16:L18"/>
    <mergeCell ref="A19:A22"/>
    <mergeCell ref="L19:L22"/>
    <mergeCell ref="B12:B15"/>
    <mergeCell ref="B16:B18"/>
    <mergeCell ref="B19:B22"/>
    <mergeCell ref="C12:C15"/>
    <mergeCell ref="C16:C18"/>
    <mergeCell ref="C19:C22"/>
    <mergeCell ref="D4:D10"/>
    <mergeCell ref="D12:D15"/>
    <mergeCell ref="D16:D18"/>
    <mergeCell ref="D19:D22"/>
    <mergeCell ref="E21:E22"/>
    <mergeCell ref="F21:F22"/>
    <mergeCell ref="G7:G10"/>
    <mergeCell ref="G11:G15"/>
    <mergeCell ref="G16:G18"/>
    <mergeCell ref="G20:G22"/>
    <mergeCell ref="H11:H15"/>
    <mergeCell ref="H16:H18"/>
    <mergeCell ref="H20:H22"/>
    <mergeCell ref="I3:I10"/>
    <mergeCell ref="I13:I15"/>
    <mergeCell ref="I16:I18"/>
    <mergeCell ref="I19:I22"/>
    <mergeCell ref="J13:J15"/>
    <mergeCell ref="J16:J18"/>
    <mergeCell ref="J19:J22"/>
    <mergeCell ref="K3:K10"/>
    <mergeCell ref="K11:K15"/>
    <mergeCell ref="K16:K22"/>
    <mergeCell ref="A23:D23"/>
    <mergeCell ref="E23:H23"/>
    <mergeCell ref="A24:C24"/>
    <mergeCell ref="E24:G24"/>
    <mergeCell ref="A25:C25"/>
    <mergeCell ref="E25:G25"/>
    <mergeCell ref="A26:C26"/>
    <mergeCell ref="E26:G26"/>
    <mergeCell ref="A27:C27"/>
    <mergeCell ref="E27:G27"/>
    <mergeCell ref="A28:C28"/>
    <mergeCell ref="E28:G28"/>
    <mergeCell ref="A29:C29"/>
    <mergeCell ref="E29:G29"/>
    <mergeCell ref="A30:C30"/>
    <mergeCell ref="E30:G30"/>
    <mergeCell ref="A31:C31"/>
    <mergeCell ref="E31:G31"/>
    <mergeCell ref="A32:C32"/>
    <mergeCell ref="E32:G32"/>
    <mergeCell ref="A33:C33"/>
    <mergeCell ref="E33:G33"/>
    <mergeCell ref="A34:C34"/>
    <mergeCell ref="E34:G34"/>
  </mergeCells>
  <conditionalFormatting sqref="A1:L34">
    <cfRule type="containsText" dxfId="28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C7"/>
  <sheetViews>
    <sheetView workbookViewId="0">
      <selection activeCell="C33" sqref="C33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50" t="s">
        <v>2781</v>
      </c>
      <c r="B1" s="51" t="s">
        <v>2782</v>
      </c>
      <c r="C1" s="52" t="s">
        <v>2783</v>
      </c>
    </row>
    <row r="2" spans="1:3" x14ac:dyDescent="0.25">
      <c r="A2" s="45" t="s">
        <v>2784</v>
      </c>
      <c r="B2" s="44" t="s">
        <v>2785</v>
      </c>
      <c r="C2" s="48" t="s">
        <v>2786</v>
      </c>
    </row>
    <row r="3" spans="1:3" x14ac:dyDescent="0.25">
      <c r="A3" s="45" t="s">
        <v>2787</v>
      </c>
      <c r="B3" s="44" t="s">
        <v>2785</v>
      </c>
      <c r="C3" s="48" t="s">
        <v>2788</v>
      </c>
    </row>
    <row r="4" spans="1:3" x14ac:dyDescent="0.25">
      <c r="A4" s="45" t="s">
        <v>2789</v>
      </c>
      <c r="B4" s="44" t="s">
        <v>2790</v>
      </c>
      <c r="C4" s="48" t="s">
        <v>2791</v>
      </c>
    </row>
    <row r="5" spans="1:3" x14ac:dyDescent="0.25">
      <c r="A5" s="45" t="s">
        <v>2792</v>
      </c>
      <c r="B5" s="44" t="s">
        <v>2793</v>
      </c>
      <c r="C5" s="48" t="s">
        <v>2794</v>
      </c>
    </row>
    <row r="6" spans="1:3" x14ac:dyDescent="0.25">
      <c r="A6" s="45" t="s">
        <v>2795</v>
      </c>
      <c r="B6" s="44" t="s">
        <v>2796</v>
      </c>
      <c r="C6" s="48" t="s">
        <v>2797</v>
      </c>
    </row>
    <row r="7" spans="1:3" ht="15.75" thickBot="1" x14ac:dyDescent="0.3">
      <c r="A7" s="46" t="s">
        <v>2981</v>
      </c>
      <c r="B7" s="47" t="s">
        <v>2982</v>
      </c>
      <c r="C7" s="49" t="s">
        <v>2797</v>
      </c>
    </row>
  </sheetData>
  <conditionalFormatting sqref="A1:C7">
    <cfRule type="containsText" dxfId="288" priority="3" operator="containsText" text="Исключить">
      <formula>NOT(ISERROR(SEARCH("Исключить",A1)))</formula>
    </cfRule>
    <cfRule type="containsText" dxfId="287" priority="2" stopIfTrue="1" operator="containsText" text="Добавить">
      <formula>NOT(ISERROR(SEARCH("Добавить",A1)))</formula>
    </cfRule>
    <cfRule type="containsText" dxfId="286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J7"/>
  <sheetViews>
    <sheetView workbookViewId="0">
      <selection activeCell="J31" sqref="J31"/>
    </sheetView>
  </sheetViews>
  <sheetFormatPr defaultRowHeight="15" x14ac:dyDescent="0.25"/>
  <cols>
    <col min="1" max="1" width="5.42578125" style="53" customWidth="1"/>
    <col min="2" max="2" width="27" style="53" customWidth="1"/>
    <col min="3" max="3" width="21.7109375" style="53" customWidth="1"/>
    <col min="4" max="4" width="8.140625" style="53" customWidth="1"/>
    <col min="5" max="5" width="21.7109375" style="53" customWidth="1"/>
    <col min="6" max="6" width="8.140625" style="53" customWidth="1"/>
    <col min="7" max="9" width="9.140625" style="53"/>
    <col min="10" max="10" width="16.28515625" style="53" customWidth="1"/>
    <col min="11" max="16384" width="9.140625" style="53"/>
  </cols>
  <sheetData>
    <row r="1" spans="1:10" ht="15.75" x14ac:dyDescent="0.25">
      <c r="A1" s="90" t="s">
        <v>2845</v>
      </c>
      <c r="B1" s="92" t="s">
        <v>2846</v>
      </c>
      <c r="C1" s="92" t="s">
        <v>2847</v>
      </c>
      <c r="D1" s="92"/>
      <c r="E1" s="92"/>
      <c r="F1" s="92"/>
      <c r="G1" s="92"/>
      <c r="H1" s="92"/>
      <c r="I1" s="92"/>
      <c r="J1" s="94" t="s">
        <v>2648</v>
      </c>
    </row>
    <row r="2" spans="1:10" ht="41.25" thickBot="1" x14ac:dyDescent="0.3">
      <c r="A2" s="91"/>
      <c r="B2" s="93"/>
      <c r="C2" s="21" t="s">
        <v>2848</v>
      </c>
      <c r="D2" s="62" t="s">
        <v>2849</v>
      </c>
      <c r="E2" s="21" t="s">
        <v>2850</v>
      </c>
      <c r="F2" s="62" t="s">
        <v>2849</v>
      </c>
      <c r="G2" s="21" t="s">
        <v>2662</v>
      </c>
      <c r="H2" s="21" t="s">
        <v>2662</v>
      </c>
      <c r="I2" s="21" t="s">
        <v>2662</v>
      </c>
      <c r="J2" s="95"/>
    </row>
    <row r="3" spans="1:10" ht="22.7" customHeight="1" x14ac:dyDescent="0.25">
      <c r="A3" s="99">
        <v>11</v>
      </c>
      <c r="B3" s="83" t="s">
        <v>2986</v>
      </c>
      <c r="C3" s="83" t="s">
        <v>2987</v>
      </c>
      <c r="D3" s="79">
        <v>35.4</v>
      </c>
      <c r="E3" s="83" t="s">
        <v>2988</v>
      </c>
      <c r="F3" s="79">
        <v>151.4</v>
      </c>
      <c r="G3" s="83" t="s">
        <v>2662</v>
      </c>
      <c r="H3" s="83" t="s">
        <v>2662</v>
      </c>
      <c r="I3" s="83" t="s">
        <v>2662</v>
      </c>
      <c r="J3" s="97" t="s">
        <v>2989</v>
      </c>
    </row>
    <row r="4" spans="1:10" ht="22.7" customHeight="1" thickBot="1" x14ac:dyDescent="0.3">
      <c r="A4" s="98"/>
      <c r="B4" s="83"/>
      <c r="C4" s="83"/>
      <c r="D4" s="79"/>
      <c r="E4" s="81"/>
      <c r="F4" s="77"/>
      <c r="G4" s="81"/>
      <c r="H4" s="81"/>
      <c r="I4" s="81"/>
      <c r="J4" s="88"/>
    </row>
    <row r="5" spans="1:10" ht="15" customHeight="1" x14ac:dyDescent="0.25">
      <c r="A5" s="73" t="s">
        <v>2876</v>
      </c>
      <c r="B5" s="74"/>
      <c r="C5" s="74"/>
      <c r="D5" s="75"/>
      <c r="E5" s="70" t="s">
        <v>2877</v>
      </c>
      <c r="F5" s="70"/>
      <c r="G5" s="70"/>
      <c r="H5" s="70"/>
      <c r="I5" s="59" t="s">
        <v>2662</v>
      </c>
      <c r="J5" s="59" t="s">
        <v>2662</v>
      </c>
    </row>
    <row r="6" spans="1:10" ht="15" customHeight="1" x14ac:dyDescent="0.25">
      <c r="A6" s="68" t="s">
        <v>2990</v>
      </c>
      <c r="B6" s="69"/>
      <c r="C6" s="69"/>
      <c r="D6" s="60">
        <v>35.4</v>
      </c>
      <c r="E6" s="70" t="s">
        <v>2837</v>
      </c>
      <c r="F6" s="70"/>
      <c r="G6" s="70"/>
      <c r="H6" s="59">
        <v>35.4</v>
      </c>
      <c r="I6" s="59" t="s">
        <v>2662</v>
      </c>
      <c r="J6" s="59" t="s">
        <v>2662</v>
      </c>
    </row>
    <row r="7" spans="1:10" ht="15" customHeight="1" thickBot="1" x14ac:dyDescent="0.3">
      <c r="A7" s="71" t="s">
        <v>2988</v>
      </c>
      <c r="B7" s="72"/>
      <c r="C7" s="72"/>
      <c r="D7" s="61">
        <v>151.4</v>
      </c>
      <c r="E7" s="70" t="s">
        <v>2880</v>
      </c>
      <c r="F7" s="70"/>
      <c r="G7" s="70"/>
      <c r="H7" s="59" t="s">
        <v>2662</v>
      </c>
      <c r="I7" s="59" t="s">
        <v>2662</v>
      </c>
      <c r="J7" s="59" t="s">
        <v>2662</v>
      </c>
    </row>
  </sheetData>
  <mergeCells count="20">
    <mergeCell ref="J1:J2"/>
    <mergeCell ref="A3:A4"/>
    <mergeCell ref="J3:J4"/>
    <mergeCell ref="B3:B4"/>
    <mergeCell ref="C3:C4"/>
    <mergeCell ref="D3:D4"/>
    <mergeCell ref="E3:E4"/>
    <mergeCell ref="H3:H4"/>
    <mergeCell ref="I3:I4"/>
    <mergeCell ref="A5:D5"/>
    <mergeCell ref="E5:H5"/>
    <mergeCell ref="A1:A2"/>
    <mergeCell ref="B1:B2"/>
    <mergeCell ref="C1:I1"/>
    <mergeCell ref="A6:C6"/>
    <mergeCell ref="E6:G6"/>
    <mergeCell ref="A7:C7"/>
    <mergeCell ref="E7:G7"/>
    <mergeCell ref="F3:F4"/>
    <mergeCell ref="G3:G4"/>
  </mergeCells>
  <conditionalFormatting sqref="A1:J7">
    <cfRule type="containsText" dxfId="285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E25" sqref="E2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107" t="s">
        <v>2644</v>
      </c>
      <c r="B1" s="100" t="s">
        <v>2645</v>
      </c>
      <c r="C1" s="100" t="s">
        <v>2646</v>
      </c>
      <c r="D1" s="109" t="s">
        <v>2720</v>
      </c>
      <c r="E1" s="110"/>
      <c r="F1" s="111"/>
      <c r="G1" s="100" t="s">
        <v>2721</v>
      </c>
      <c r="H1" s="100" t="s">
        <v>2647</v>
      </c>
      <c r="I1" s="102" t="s">
        <v>2648</v>
      </c>
    </row>
    <row r="2" spans="1:9" ht="63" x14ac:dyDescent="0.25">
      <c r="A2" s="108"/>
      <c r="B2" s="101"/>
      <c r="C2" s="101"/>
      <c r="D2" s="13" t="s">
        <v>2722</v>
      </c>
      <c r="E2" s="13" t="s">
        <v>2723</v>
      </c>
      <c r="F2" s="13" t="s">
        <v>2724</v>
      </c>
      <c r="G2" s="101"/>
      <c r="H2" s="101"/>
      <c r="I2" s="103"/>
    </row>
    <row r="3" spans="1:9" ht="15.75" x14ac:dyDescent="0.25">
      <c r="A3" s="12">
        <v>1</v>
      </c>
      <c r="B3" s="104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105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106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284" priority="1" stopIfTrue="1" operator="containsText" text="С ЛИСТА">
      <formula>NOT(ISERROR(SEARCH("С ЛИСТА",A1)))</formula>
    </cfRule>
    <cfRule type="containsText" dxfId="283" priority="2" stopIfTrue="1" operator="containsText" text="ИЗ ФАЙЛА">
      <formula>NOT(ISERROR(SEARCH("ИЗ ФАЙЛА",A1)))</formula>
    </cfRule>
    <cfRule type="containsText" dxfId="282" priority="3" stopIfTrue="1" operator="containsText" text="!!!">
      <formula>NOT(ISERROR(SEARCH("!!!",A1)))</formula>
    </cfRule>
    <cfRule type="containsText" dxfId="281" priority="4" stopIfTrue="1" operator="containsText" text=" Заполнения проёмов ">
      <formula>NOT(ISERROR(SEARCH(" Заполнения проёмов ",A1)))</formula>
    </cfRule>
    <cfRule type="containsText" dxfId="280" priority="5" stopIfTrue="1" operator="containsText" text=" Сборочные единицы ">
      <formula>NOT(ISERROR(SEARCH(" Сборочные единицы ",A1)))</formula>
    </cfRule>
    <cfRule type="containsText" dxfId="279" priority="6" stopIfTrue="1" operator="containsText" text=" Заполнения проёмов ">
      <formula>NOT(ISERROR(SEARCH(" Заполнения проёмов ",A1)))</formula>
    </cfRule>
    <cfRule type="containsText" dxfId="278" priority="7" stopIfTrue="1" operator="containsText" text=" Сборочные единицы ">
      <formula>NOT(ISERROR(SEARCH(" Сборочные единицы ",A1)))</formula>
    </cfRule>
    <cfRule type="containsText" dxfId="277" priority="8" stopIfTrue="1" operator="containsText" text=" Изделия ">
      <formula>NOT(ISERROR(SEARCH(" Изделия ",A1)))</formula>
    </cfRule>
    <cfRule type="containsText" dxfId="276" priority="9" stopIfTrue="1" operator="containsText" text=" Материалы ">
      <formula>NOT(ISERROR(SEARCH(" Материалы ",A1)))</formula>
    </cfRule>
    <cfRule type="containsText" dxfId="275" priority="10" stopIfTrue="1" operator="containsText" text=" Изделия арматурные ">
      <formula>NOT(ISERROR(SEARCH(" Изделия арматурные ",A1)))</formula>
    </cfRule>
    <cfRule type="containsText" dxfId="274" priority="11" stopIfTrue="1" operator="containsText" text=" Прокат ">
      <formula>NOT(ISERROR(SEARCH(" Прокат ",A1)))</formula>
    </cfRule>
    <cfRule type="containsText" dxfId="273" priority="12" stopIfTrue="1" operator="containsText" text="Элементы на отм.">
      <formula>NOT(ISERROR(SEARCH("Элементы на отм.",A1)))</formula>
    </cfRule>
    <cfRule type="containsText" dxfId="272" priority="13" stopIfTrue="1" operator="containsText" text=", на ">
      <formula>NOT(ISERROR(SEARCH(", на ",A1)))</formula>
    </cfRule>
    <cfRule type="containsText" dxfId="271" priority="14" stopIfTrue="1" operator="containsText" text="шт.)">
      <formula>NOT(ISERROR(SEARCH("шт.)",A1)))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workbookViewId="0">
      <selection activeCell="K19" sqref="K19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113" t="s">
        <v>2658</v>
      </c>
      <c r="B1" s="92" t="s">
        <v>2645</v>
      </c>
      <c r="C1" s="92" t="s">
        <v>2646</v>
      </c>
      <c r="D1" s="92" t="s">
        <v>2725</v>
      </c>
      <c r="E1" s="92"/>
      <c r="F1" s="92"/>
      <c r="G1" s="92"/>
      <c r="H1" s="92" t="s">
        <v>2721</v>
      </c>
      <c r="I1" s="92" t="s">
        <v>2659</v>
      </c>
      <c r="J1" s="94" t="s">
        <v>2648</v>
      </c>
    </row>
    <row r="2" spans="1:10" ht="47.25" x14ac:dyDescent="0.25">
      <c r="A2" s="114"/>
      <c r="B2" s="115"/>
      <c r="C2" s="115"/>
      <c r="D2" s="19" t="s">
        <v>2722</v>
      </c>
      <c r="E2" s="19" t="s">
        <v>2723</v>
      </c>
      <c r="F2" s="19" t="s">
        <v>2724</v>
      </c>
      <c r="G2" s="19" t="s">
        <v>2726</v>
      </c>
      <c r="H2" s="115"/>
      <c r="I2" s="115"/>
      <c r="J2" s="112"/>
    </row>
    <row r="3" spans="1:10" ht="22.7" customHeight="1" x14ac:dyDescent="0.25">
      <c r="A3" s="18">
        <v>1</v>
      </c>
      <c r="B3" s="115" t="s">
        <v>2660</v>
      </c>
      <c r="C3" s="19" t="s">
        <v>2661</v>
      </c>
      <c r="D3" s="19">
        <v>2</v>
      </c>
      <c r="E3" s="19" t="s">
        <v>4</v>
      </c>
      <c r="F3" s="19" t="s">
        <v>4</v>
      </c>
      <c r="G3" s="19" t="s">
        <v>4</v>
      </c>
      <c r="H3" s="19">
        <v>2</v>
      </c>
      <c r="I3" s="19" t="s">
        <v>2662</v>
      </c>
      <c r="J3" s="20" t="s">
        <v>2662</v>
      </c>
    </row>
    <row r="4" spans="1:10" ht="22.7" customHeight="1" x14ac:dyDescent="0.25">
      <c r="A4" s="18">
        <v>2</v>
      </c>
      <c r="B4" s="115"/>
      <c r="C4" s="19" t="s">
        <v>2663</v>
      </c>
      <c r="D4" s="19">
        <v>2</v>
      </c>
      <c r="E4" s="19" t="s">
        <v>4</v>
      </c>
      <c r="F4" s="19" t="s">
        <v>4</v>
      </c>
      <c r="G4" s="19" t="s">
        <v>4</v>
      </c>
      <c r="H4" s="19">
        <v>2</v>
      </c>
      <c r="I4" s="19" t="s">
        <v>2662</v>
      </c>
      <c r="J4" s="20" t="s">
        <v>2664</v>
      </c>
    </row>
    <row r="5" spans="1:10" ht="22.7" customHeight="1" x14ac:dyDescent="0.25">
      <c r="A5" s="18">
        <v>3</v>
      </c>
      <c r="B5" s="115" t="s">
        <v>2665</v>
      </c>
      <c r="C5" s="19" t="s">
        <v>2666</v>
      </c>
      <c r="D5" s="19">
        <v>1</v>
      </c>
      <c r="E5" s="19" t="s">
        <v>4</v>
      </c>
      <c r="F5" s="19" t="s">
        <v>4</v>
      </c>
      <c r="G5" s="19" t="s">
        <v>4</v>
      </c>
      <c r="H5" s="19">
        <v>1</v>
      </c>
      <c r="I5" s="19" t="s">
        <v>2662</v>
      </c>
      <c r="J5" s="20" t="s">
        <v>2662</v>
      </c>
    </row>
    <row r="6" spans="1:10" ht="22.7" customHeight="1" x14ac:dyDescent="0.25">
      <c r="A6" s="18">
        <v>4</v>
      </c>
      <c r="B6" s="115"/>
      <c r="C6" s="19" t="s">
        <v>2667</v>
      </c>
      <c r="D6" s="19" t="s">
        <v>4</v>
      </c>
      <c r="E6" s="19">
        <v>2</v>
      </c>
      <c r="F6" s="19" t="s">
        <v>4</v>
      </c>
      <c r="G6" s="19" t="s">
        <v>4</v>
      </c>
      <c r="H6" s="19">
        <v>2</v>
      </c>
      <c r="I6" s="19" t="s">
        <v>2662</v>
      </c>
      <c r="J6" s="20" t="s">
        <v>2662</v>
      </c>
    </row>
    <row r="7" spans="1:10" ht="22.7" customHeight="1" x14ac:dyDescent="0.25">
      <c r="A7" s="18">
        <v>5</v>
      </c>
      <c r="B7" s="115"/>
      <c r="C7" s="19" t="s">
        <v>2668</v>
      </c>
      <c r="D7" s="19" t="s">
        <v>4</v>
      </c>
      <c r="E7" s="19">
        <v>4</v>
      </c>
      <c r="F7" s="19">
        <v>9</v>
      </c>
      <c r="G7" s="19" t="s">
        <v>4</v>
      </c>
      <c r="H7" s="19">
        <v>13</v>
      </c>
      <c r="I7" s="19" t="s">
        <v>2662</v>
      </c>
      <c r="J7" s="20" t="s">
        <v>2662</v>
      </c>
    </row>
    <row r="8" spans="1:10" ht="22.7" customHeight="1" x14ac:dyDescent="0.25">
      <c r="A8" s="18">
        <v>6</v>
      </c>
      <c r="B8" s="115"/>
      <c r="C8" s="19" t="s">
        <v>2669</v>
      </c>
      <c r="D8" s="19" t="s">
        <v>4</v>
      </c>
      <c r="E8" s="19">
        <v>5</v>
      </c>
      <c r="F8" s="19">
        <v>4</v>
      </c>
      <c r="G8" s="19" t="s">
        <v>4</v>
      </c>
      <c r="H8" s="19">
        <v>9</v>
      </c>
      <c r="I8" s="19" t="s">
        <v>2662</v>
      </c>
      <c r="J8" s="20" t="s">
        <v>2662</v>
      </c>
    </row>
    <row r="9" spans="1:10" ht="22.7" customHeight="1" x14ac:dyDescent="0.25">
      <c r="A9" s="18">
        <v>7</v>
      </c>
      <c r="B9" s="115"/>
      <c r="C9" s="19" t="s">
        <v>2670</v>
      </c>
      <c r="D9" s="19" t="s">
        <v>4</v>
      </c>
      <c r="E9" s="19">
        <v>1</v>
      </c>
      <c r="F9" s="19" t="s">
        <v>4</v>
      </c>
      <c r="G9" s="19" t="s">
        <v>4</v>
      </c>
      <c r="H9" s="19">
        <v>1</v>
      </c>
      <c r="I9" s="19" t="s">
        <v>2662</v>
      </c>
      <c r="J9" s="20" t="s">
        <v>2662</v>
      </c>
    </row>
    <row r="10" spans="1:10" ht="22.7" customHeight="1" x14ac:dyDescent="0.25">
      <c r="A10" s="18">
        <v>8</v>
      </c>
      <c r="B10" s="115"/>
      <c r="C10" s="19" t="s">
        <v>2671</v>
      </c>
      <c r="D10" s="19">
        <v>5</v>
      </c>
      <c r="E10" s="19">
        <v>2</v>
      </c>
      <c r="F10" s="19" t="s">
        <v>4</v>
      </c>
      <c r="G10" s="19" t="s">
        <v>4</v>
      </c>
      <c r="H10" s="19">
        <v>7</v>
      </c>
      <c r="I10" s="19" t="s">
        <v>2662</v>
      </c>
      <c r="J10" s="20" t="s">
        <v>2662</v>
      </c>
    </row>
    <row r="11" spans="1:10" ht="22.7" customHeight="1" x14ac:dyDescent="0.25">
      <c r="A11" s="18">
        <v>9</v>
      </c>
      <c r="B11" s="115"/>
      <c r="C11" s="19" t="s">
        <v>2672</v>
      </c>
      <c r="D11" s="19">
        <v>7</v>
      </c>
      <c r="E11" s="19">
        <v>2</v>
      </c>
      <c r="F11" s="19">
        <v>3</v>
      </c>
      <c r="G11" s="19" t="s">
        <v>4</v>
      </c>
      <c r="H11" s="19">
        <v>12</v>
      </c>
      <c r="I11" s="19" t="s">
        <v>2662</v>
      </c>
      <c r="J11" s="20" t="s">
        <v>2662</v>
      </c>
    </row>
    <row r="12" spans="1:10" ht="22.7" customHeight="1" x14ac:dyDescent="0.25">
      <c r="A12" s="18">
        <v>10</v>
      </c>
      <c r="B12" s="115"/>
      <c r="C12" s="19" t="s">
        <v>2673</v>
      </c>
      <c r="D12" s="19">
        <v>1</v>
      </c>
      <c r="E12" s="19">
        <v>4</v>
      </c>
      <c r="F12" s="19">
        <v>1</v>
      </c>
      <c r="G12" s="19" t="s">
        <v>4</v>
      </c>
      <c r="H12" s="19">
        <v>6</v>
      </c>
      <c r="I12" s="19" t="s">
        <v>2662</v>
      </c>
      <c r="J12" s="20" t="s">
        <v>2662</v>
      </c>
    </row>
    <row r="13" spans="1:10" ht="22.7" customHeight="1" x14ac:dyDescent="0.25">
      <c r="A13" s="18">
        <v>11</v>
      </c>
      <c r="B13" s="115"/>
      <c r="C13" s="19" t="s">
        <v>2674</v>
      </c>
      <c r="D13" s="19">
        <v>3</v>
      </c>
      <c r="E13" s="19">
        <v>3</v>
      </c>
      <c r="F13" s="19" t="s">
        <v>4</v>
      </c>
      <c r="G13" s="19" t="s">
        <v>4</v>
      </c>
      <c r="H13" s="19">
        <v>6</v>
      </c>
      <c r="I13" s="19" t="s">
        <v>2662</v>
      </c>
      <c r="J13" s="20" t="s">
        <v>2675</v>
      </c>
    </row>
    <row r="14" spans="1:10" ht="22.7" customHeight="1" x14ac:dyDescent="0.25">
      <c r="A14" s="18">
        <v>12</v>
      </c>
      <c r="B14" s="115"/>
      <c r="C14" s="19" t="s">
        <v>2676</v>
      </c>
      <c r="D14" s="19">
        <v>3</v>
      </c>
      <c r="E14" s="19">
        <v>1</v>
      </c>
      <c r="F14" s="19">
        <v>2</v>
      </c>
      <c r="G14" s="19" t="s">
        <v>4</v>
      </c>
      <c r="H14" s="19">
        <v>6</v>
      </c>
      <c r="I14" s="19" t="s">
        <v>2662</v>
      </c>
      <c r="J14" s="20" t="s">
        <v>2677</v>
      </c>
    </row>
    <row r="15" spans="1:10" ht="22.7" customHeight="1" x14ac:dyDescent="0.25">
      <c r="A15" s="18">
        <v>13</v>
      </c>
      <c r="B15" s="115"/>
      <c r="C15" s="19" t="s">
        <v>2678</v>
      </c>
      <c r="D15" s="19">
        <v>6</v>
      </c>
      <c r="E15" s="19">
        <v>3</v>
      </c>
      <c r="F15" s="19">
        <v>5</v>
      </c>
      <c r="G15" s="19" t="s">
        <v>4</v>
      </c>
      <c r="H15" s="19">
        <v>14</v>
      </c>
      <c r="I15" s="19" t="s">
        <v>2662</v>
      </c>
      <c r="J15" s="20" t="s">
        <v>2662</v>
      </c>
    </row>
    <row r="16" spans="1:10" ht="22.7" customHeight="1" x14ac:dyDescent="0.25">
      <c r="A16" s="18">
        <v>14</v>
      </c>
      <c r="B16" s="115"/>
      <c r="C16" s="19" t="s">
        <v>2679</v>
      </c>
      <c r="D16" s="19">
        <v>6</v>
      </c>
      <c r="E16" s="19">
        <v>5</v>
      </c>
      <c r="F16" s="19">
        <v>1</v>
      </c>
      <c r="G16" s="19" t="s">
        <v>4</v>
      </c>
      <c r="H16" s="19">
        <v>12</v>
      </c>
      <c r="I16" s="19" t="s">
        <v>2662</v>
      </c>
      <c r="J16" s="20" t="s">
        <v>2662</v>
      </c>
    </row>
    <row r="17" spans="1:10" ht="22.7" customHeight="1" x14ac:dyDescent="0.25">
      <c r="A17" s="18">
        <v>15</v>
      </c>
      <c r="B17" s="115" t="s">
        <v>2680</v>
      </c>
      <c r="C17" s="19" t="s">
        <v>2681</v>
      </c>
      <c r="D17" s="19">
        <v>1</v>
      </c>
      <c r="E17" s="19">
        <v>1</v>
      </c>
      <c r="F17" s="19">
        <v>1</v>
      </c>
      <c r="G17" s="19" t="s">
        <v>4</v>
      </c>
      <c r="H17" s="19">
        <v>3</v>
      </c>
      <c r="I17" s="19" t="s">
        <v>2662</v>
      </c>
      <c r="J17" s="20" t="s">
        <v>2682</v>
      </c>
    </row>
    <row r="18" spans="1:10" ht="22.7" customHeight="1" x14ac:dyDescent="0.25">
      <c r="A18" s="18">
        <v>16</v>
      </c>
      <c r="B18" s="115"/>
      <c r="C18" s="19" t="s">
        <v>2681</v>
      </c>
      <c r="D18" s="19">
        <v>1</v>
      </c>
      <c r="E18" s="19">
        <v>1</v>
      </c>
      <c r="F18" s="19">
        <v>1</v>
      </c>
      <c r="G18" s="19" t="s">
        <v>4</v>
      </c>
      <c r="H18" s="19">
        <v>3</v>
      </c>
      <c r="I18" s="19" t="s">
        <v>2662</v>
      </c>
      <c r="J18" s="20" t="s">
        <v>2662</v>
      </c>
    </row>
    <row r="19" spans="1:10" ht="22.7" customHeight="1" x14ac:dyDescent="0.25">
      <c r="A19" s="18">
        <v>17</v>
      </c>
      <c r="B19" s="115"/>
      <c r="C19" s="19" t="s">
        <v>2683</v>
      </c>
      <c r="D19" s="19" t="s">
        <v>4</v>
      </c>
      <c r="E19" s="19" t="s">
        <v>4</v>
      </c>
      <c r="F19" s="19" t="s">
        <v>4</v>
      </c>
      <c r="G19" s="19">
        <v>1</v>
      </c>
      <c r="H19" s="19">
        <v>1</v>
      </c>
      <c r="I19" s="19" t="s">
        <v>2662</v>
      </c>
      <c r="J19" s="20" t="s">
        <v>2662</v>
      </c>
    </row>
    <row r="20" spans="1:10" ht="22.7" customHeight="1" x14ac:dyDescent="0.25">
      <c r="A20" s="18">
        <v>18</v>
      </c>
      <c r="B20" s="19" t="s">
        <v>2684</v>
      </c>
      <c r="C20" s="19" t="s">
        <v>2685</v>
      </c>
      <c r="D20" s="19">
        <v>1</v>
      </c>
      <c r="E20" s="19" t="s">
        <v>4</v>
      </c>
      <c r="F20" s="19" t="s">
        <v>4</v>
      </c>
      <c r="G20" s="19" t="s">
        <v>4</v>
      </c>
      <c r="H20" s="19">
        <v>1</v>
      </c>
      <c r="I20" s="19" t="s">
        <v>2662</v>
      </c>
      <c r="J20" s="20" t="s">
        <v>2662</v>
      </c>
    </row>
    <row r="21" spans="1:10" ht="22.7" customHeight="1" x14ac:dyDescent="0.25">
      <c r="A21" s="18">
        <v>19</v>
      </c>
      <c r="B21" s="19" t="s">
        <v>2665</v>
      </c>
      <c r="C21" s="19" t="s">
        <v>2686</v>
      </c>
      <c r="D21" s="19" t="s">
        <v>4</v>
      </c>
      <c r="E21" s="19">
        <v>1</v>
      </c>
      <c r="F21" s="19">
        <v>1</v>
      </c>
      <c r="G21" s="19" t="s">
        <v>4</v>
      </c>
      <c r="H21" s="19">
        <v>2</v>
      </c>
      <c r="I21" s="19" t="s">
        <v>2662</v>
      </c>
      <c r="J21" s="20" t="s">
        <v>2662</v>
      </c>
    </row>
    <row r="22" spans="1:10" ht="22.7" customHeight="1" x14ac:dyDescent="0.25">
      <c r="A22" s="18">
        <v>20</v>
      </c>
      <c r="B22" s="115" t="s">
        <v>2680</v>
      </c>
      <c r="C22" s="19" t="s">
        <v>2687</v>
      </c>
      <c r="D22" s="19" t="s">
        <v>4</v>
      </c>
      <c r="E22" s="19" t="s">
        <v>4</v>
      </c>
      <c r="F22" s="19">
        <v>1</v>
      </c>
      <c r="G22" s="19" t="s">
        <v>4</v>
      </c>
      <c r="H22" s="19">
        <v>1</v>
      </c>
      <c r="I22" s="19" t="s">
        <v>2662</v>
      </c>
      <c r="J22" s="20" t="s">
        <v>2662</v>
      </c>
    </row>
    <row r="23" spans="1:10" ht="22.7" customHeight="1" x14ac:dyDescent="0.25">
      <c r="A23" s="18">
        <v>21</v>
      </c>
      <c r="B23" s="115"/>
      <c r="C23" s="19" t="s">
        <v>2688</v>
      </c>
      <c r="D23" s="19">
        <v>2</v>
      </c>
      <c r="E23" s="19">
        <v>1</v>
      </c>
      <c r="F23" s="19">
        <v>1</v>
      </c>
      <c r="G23" s="19" t="s">
        <v>4</v>
      </c>
      <c r="H23" s="19">
        <v>4</v>
      </c>
      <c r="I23" s="19" t="s">
        <v>2662</v>
      </c>
      <c r="J23" s="20" t="s">
        <v>2662</v>
      </c>
    </row>
    <row r="24" spans="1:10" ht="22.7" customHeight="1" x14ac:dyDescent="0.25">
      <c r="A24" s="18" t="s">
        <v>4</v>
      </c>
      <c r="B24" s="19" t="s">
        <v>4</v>
      </c>
      <c r="C24" s="19" t="s">
        <v>2689</v>
      </c>
      <c r="D24" s="19">
        <v>6</v>
      </c>
      <c r="E24" s="19">
        <v>1</v>
      </c>
      <c r="F24" s="19">
        <v>1</v>
      </c>
      <c r="G24" s="19" t="s">
        <v>4</v>
      </c>
      <c r="H24" s="19">
        <v>8</v>
      </c>
      <c r="I24" s="19" t="s">
        <v>2662</v>
      </c>
      <c r="J24" s="20" t="s">
        <v>2662</v>
      </c>
    </row>
    <row r="25" spans="1:10" ht="22.7" customHeight="1" x14ac:dyDescent="0.25">
      <c r="A25" s="18" t="s">
        <v>2690</v>
      </c>
      <c r="B25" s="19" t="s">
        <v>2691</v>
      </c>
      <c r="C25" s="19" t="s">
        <v>2692</v>
      </c>
      <c r="D25" s="19" t="s">
        <v>4</v>
      </c>
      <c r="E25" s="19">
        <v>1</v>
      </c>
      <c r="F25" s="19">
        <v>1</v>
      </c>
      <c r="G25" s="19" t="s">
        <v>4</v>
      </c>
      <c r="H25" s="19">
        <v>2</v>
      </c>
      <c r="I25" s="19" t="s">
        <v>2662</v>
      </c>
      <c r="J25" s="20" t="s">
        <v>2662</v>
      </c>
    </row>
    <row r="26" spans="1:10" ht="22.7" customHeight="1" x14ac:dyDescent="0.25">
      <c r="A26" s="114" t="s">
        <v>2693</v>
      </c>
      <c r="B26" s="19" t="s">
        <v>2694</v>
      </c>
      <c r="C26" s="19" t="s">
        <v>2695</v>
      </c>
      <c r="D26" s="19">
        <v>1</v>
      </c>
      <c r="E26" s="19">
        <v>5</v>
      </c>
      <c r="F26" s="19">
        <v>5</v>
      </c>
      <c r="G26" s="19" t="s">
        <v>4</v>
      </c>
      <c r="H26" s="19">
        <v>11</v>
      </c>
      <c r="I26" s="19" t="s">
        <v>2662</v>
      </c>
      <c r="J26" s="20" t="s">
        <v>2696</v>
      </c>
    </row>
    <row r="27" spans="1:10" ht="31.5" x14ac:dyDescent="0.25">
      <c r="A27" s="114"/>
      <c r="B27" s="19" t="s">
        <v>2662</v>
      </c>
      <c r="C27" s="19" t="s">
        <v>2697</v>
      </c>
      <c r="D27" s="19">
        <v>2.4</v>
      </c>
      <c r="E27" s="19">
        <v>12</v>
      </c>
      <c r="F27" s="19">
        <v>12</v>
      </c>
      <c r="G27" s="19" t="s">
        <v>4</v>
      </c>
      <c r="H27" s="19">
        <v>26.4</v>
      </c>
      <c r="I27" s="19">
        <v>0.5</v>
      </c>
      <c r="J27" s="20" t="s">
        <v>2712</v>
      </c>
    </row>
    <row r="28" spans="1:10" ht="31.5" x14ac:dyDescent="0.25">
      <c r="A28" s="114"/>
      <c r="B28" s="115" t="s">
        <v>2694</v>
      </c>
      <c r="C28" s="19" t="s">
        <v>2698</v>
      </c>
      <c r="D28" s="19">
        <v>2.46</v>
      </c>
      <c r="E28" s="19">
        <v>9.84</v>
      </c>
      <c r="F28" s="19">
        <v>12.3</v>
      </c>
      <c r="G28" s="19" t="s">
        <v>4</v>
      </c>
      <c r="H28" s="19">
        <v>24.6</v>
      </c>
      <c r="I28" s="19">
        <v>1.5</v>
      </c>
      <c r="J28" s="20" t="s">
        <v>2713</v>
      </c>
    </row>
    <row r="29" spans="1:10" ht="31.5" x14ac:dyDescent="0.25">
      <c r="A29" s="114"/>
      <c r="B29" s="115"/>
      <c r="C29" s="19" t="s">
        <v>2699</v>
      </c>
      <c r="D29" s="19" t="s">
        <v>4</v>
      </c>
      <c r="E29" s="19">
        <v>2.46</v>
      </c>
      <c r="F29" s="19" t="s">
        <v>4</v>
      </c>
      <c r="G29" s="19" t="s">
        <v>4</v>
      </c>
      <c r="H29" s="19">
        <v>2.46</v>
      </c>
      <c r="I29" s="19">
        <v>1.5</v>
      </c>
      <c r="J29" s="20" t="s">
        <v>2714</v>
      </c>
    </row>
    <row r="30" spans="1:10" ht="22.7" customHeight="1" x14ac:dyDescent="0.25">
      <c r="A30" s="114" t="s">
        <v>2700</v>
      </c>
      <c r="B30" s="115"/>
      <c r="C30" s="19" t="s">
        <v>2701</v>
      </c>
      <c r="D30" s="19">
        <v>10</v>
      </c>
      <c r="E30" s="19">
        <v>15</v>
      </c>
      <c r="F30" s="19">
        <v>15</v>
      </c>
      <c r="G30" s="19" t="s">
        <v>4</v>
      </c>
      <c r="H30" s="19">
        <v>40</v>
      </c>
      <c r="I30" s="19" t="s">
        <v>2662</v>
      </c>
      <c r="J30" s="20" t="s">
        <v>2702</v>
      </c>
    </row>
    <row r="31" spans="1:10" ht="31.5" x14ac:dyDescent="0.25">
      <c r="A31" s="114"/>
      <c r="B31" s="19" t="s">
        <v>2662</v>
      </c>
      <c r="C31" s="19" t="s">
        <v>2697</v>
      </c>
      <c r="D31" s="19">
        <v>15</v>
      </c>
      <c r="E31" s="19">
        <v>22.5</v>
      </c>
      <c r="F31" s="19">
        <v>22.5</v>
      </c>
      <c r="G31" s="19" t="s">
        <v>4</v>
      </c>
      <c r="H31" s="19">
        <v>60</v>
      </c>
      <c r="I31" s="19">
        <v>0.5</v>
      </c>
      <c r="J31" s="20" t="s">
        <v>2715</v>
      </c>
    </row>
    <row r="32" spans="1:10" ht="31.5" x14ac:dyDescent="0.25">
      <c r="A32" s="114"/>
      <c r="B32" s="19" t="s">
        <v>2694</v>
      </c>
      <c r="C32" s="19" t="s">
        <v>2703</v>
      </c>
      <c r="D32" s="19">
        <v>15.600000000000001</v>
      </c>
      <c r="E32" s="19">
        <v>23.400000000000002</v>
      </c>
      <c r="F32" s="19">
        <v>23.400000000000002</v>
      </c>
      <c r="G32" s="19" t="s">
        <v>4</v>
      </c>
      <c r="H32" s="19">
        <v>62.400000000000006</v>
      </c>
      <c r="I32" s="19">
        <v>1.5</v>
      </c>
      <c r="J32" s="20" t="s">
        <v>2716</v>
      </c>
    </row>
    <row r="33" spans="1:10" ht="22.7" customHeight="1" x14ac:dyDescent="0.25">
      <c r="A33" s="114" t="s">
        <v>2704</v>
      </c>
      <c r="B33" s="19" t="s">
        <v>2705</v>
      </c>
      <c r="C33" s="19" t="s">
        <v>2706</v>
      </c>
      <c r="D33" s="19">
        <v>2</v>
      </c>
      <c r="E33" s="19">
        <v>2</v>
      </c>
      <c r="F33" s="19">
        <v>2</v>
      </c>
      <c r="G33" s="19" t="s">
        <v>4</v>
      </c>
      <c r="H33" s="19">
        <v>6</v>
      </c>
      <c r="I33" s="19" t="s">
        <v>2662</v>
      </c>
      <c r="J33" s="20" t="s">
        <v>2662</v>
      </c>
    </row>
    <row r="34" spans="1:10" ht="31.5" x14ac:dyDescent="0.25">
      <c r="A34" s="114"/>
      <c r="B34" s="19" t="s">
        <v>2662</v>
      </c>
      <c r="C34" s="19" t="s">
        <v>2697</v>
      </c>
      <c r="D34" s="19">
        <v>2.8</v>
      </c>
      <c r="E34" s="19">
        <v>2.8</v>
      </c>
      <c r="F34" s="19">
        <v>2.8</v>
      </c>
      <c r="G34" s="19" t="s">
        <v>4</v>
      </c>
      <c r="H34" s="19">
        <v>8.3999999999999986</v>
      </c>
      <c r="I34" s="19">
        <v>0.5</v>
      </c>
      <c r="J34" s="20" t="s">
        <v>2717</v>
      </c>
    </row>
    <row r="35" spans="1:10" ht="22.7" customHeight="1" x14ac:dyDescent="0.25">
      <c r="A35" s="114" t="s">
        <v>2707</v>
      </c>
      <c r="B35" s="19" t="s">
        <v>2694</v>
      </c>
      <c r="C35" s="19" t="s">
        <v>2708</v>
      </c>
      <c r="D35" s="19">
        <v>2</v>
      </c>
      <c r="E35" s="19">
        <v>2</v>
      </c>
      <c r="F35" s="19">
        <v>2</v>
      </c>
      <c r="G35" s="19" t="s">
        <v>4</v>
      </c>
      <c r="H35" s="19">
        <v>6</v>
      </c>
      <c r="I35" s="19" t="s">
        <v>2662</v>
      </c>
      <c r="J35" s="20" t="s">
        <v>2709</v>
      </c>
    </row>
    <row r="36" spans="1:10" ht="31.5" x14ac:dyDescent="0.25">
      <c r="A36" s="114"/>
      <c r="B36" s="19" t="s">
        <v>2662</v>
      </c>
      <c r="C36" s="19" t="s">
        <v>2697</v>
      </c>
      <c r="D36" s="19">
        <v>4</v>
      </c>
      <c r="E36" s="19">
        <v>4</v>
      </c>
      <c r="F36" s="19">
        <v>4</v>
      </c>
      <c r="G36" s="19" t="s">
        <v>4</v>
      </c>
      <c r="H36" s="19">
        <v>12</v>
      </c>
      <c r="I36" s="19">
        <v>0.5</v>
      </c>
      <c r="J36" s="20" t="s">
        <v>2718</v>
      </c>
    </row>
    <row r="37" spans="1:10" ht="32.25" thickBot="1" x14ac:dyDescent="0.3">
      <c r="A37" s="116"/>
      <c r="B37" s="21" t="s">
        <v>2694</v>
      </c>
      <c r="C37" s="21" t="s">
        <v>2698</v>
      </c>
      <c r="D37" s="21">
        <v>4.12</v>
      </c>
      <c r="E37" s="21">
        <v>4.12</v>
      </c>
      <c r="F37" s="21">
        <v>4.12</v>
      </c>
      <c r="G37" s="21" t="s">
        <v>4</v>
      </c>
      <c r="H37" s="21">
        <v>12.36</v>
      </c>
      <c r="I37" s="21">
        <v>1.5</v>
      </c>
      <c r="J37" s="22" t="s">
        <v>2719</v>
      </c>
    </row>
  </sheetData>
  <mergeCells count="16"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  <mergeCell ref="J1:J2"/>
    <mergeCell ref="A1:A2"/>
    <mergeCell ref="B1:B2"/>
    <mergeCell ref="C1:C2"/>
    <mergeCell ref="D1:G1"/>
    <mergeCell ref="H1:H2"/>
    <mergeCell ref="I1:I2"/>
  </mergeCells>
  <conditionalFormatting sqref="A1:J37">
    <cfRule type="containsText" dxfId="270" priority="1" stopIfTrue="1" operator="containsText" text="С ЛИСТА">
      <formula>NOT(ISERROR(SEARCH("С ЛИСТА",A1)))</formula>
    </cfRule>
    <cfRule type="containsText" dxfId="269" priority="2" stopIfTrue="1" operator="containsText" text="ИЗ ФАЙЛА">
      <formula>NOT(ISERROR(SEARCH("ИЗ ФАЙЛА",A1)))</formula>
    </cfRule>
    <cfRule type="containsText" dxfId="268" priority="3" stopIfTrue="1" operator="containsText" text="!!!">
      <formula>NOT(ISERROR(SEARCH("!!!",A1)))</formula>
    </cfRule>
    <cfRule type="containsText" dxfId="267" priority="4" stopIfTrue="1" operator="containsText" text=" Заполнения проёмов ">
      <formula>NOT(ISERROR(SEARCH(" Заполнения проёмов ",A1)))</formula>
    </cfRule>
    <cfRule type="containsText" dxfId="266" priority="5" stopIfTrue="1" operator="containsText" text=" Сборочные единицы ">
      <formula>NOT(ISERROR(SEARCH(" Сборочные единицы ",A1)))</formula>
    </cfRule>
    <cfRule type="containsText" dxfId="265" priority="6" stopIfTrue="1" operator="containsText" text=" Заполнения проёмов ">
      <formula>NOT(ISERROR(SEARCH(" Заполнения проёмов ",A1)))</formula>
    </cfRule>
    <cfRule type="containsText" dxfId="264" priority="7" stopIfTrue="1" operator="containsText" text=" Сборочные единицы ">
      <formula>NOT(ISERROR(SEARCH(" Сборочные единицы ",A1)))</formula>
    </cfRule>
    <cfRule type="containsText" dxfId="263" priority="8" stopIfTrue="1" operator="containsText" text=" Изделия ">
      <formula>NOT(ISERROR(SEARCH(" Изделия ",A1)))</formula>
    </cfRule>
    <cfRule type="containsText" dxfId="262" priority="9" stopIfTrue="1" operator="containsText" text=" Материалы ">
      <formula>NOT(ISERROR(SEARCH(" Материалы ",A1)))</formula>
    </cfRule>
    <cfRule type="containsText" dxfId="261" priority="10" stopIfTrue="1" operator="containsText" text=" Изделия арматурные ">
      <formula>NOT(ISERROR(SEARCH(" Изделия арматурные ",A1)))</formula>
    </cfRule>
    <cfRule type="containsText" dxfId="260" priority="11" stopIfTrue="1" operator="containsText" text=" Прокат ">
      <formula>NOT(ISERROR(SEARCH(" Прокат ",A1)))</formula>
    </cfRule>
    <cfRule type="containsText" dxfId="259" priority="12" stopIfTrue="1" operator="containsText" text="Элементы на отм.">
      <formula>NOT(ISERROR(SEARCH("Элементы на отм.",A1)))</formula>
    </cfRule>
    <cfRule type="containsText" dxfId="258" priority="13" stopIfTrue="1" operator="containsText" text=", на ">
      <formula>NOT(ISERROR(SEARCH(", на ",A1)))</formula>
    </cfRule>
    <cfRule type="containsText" dxfId="257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R6"/>
  <sheetViews>
    <sheetView workbookViewId="0">
      <selection activeCell="Z11" sqref="Z11"/>
    </sheetView>
  </sheetViews>
  <sheetFormatPr defaultRowHeight="15" outlineLevelCol="1" x14ac:dyDescent="0.25"/>
  <cols>
    <col min="1" max="1" width="16.28515625" style="9" customWidth="1"/>
    <col min="2" max="8" width="8.140625" style="9" customWidth="1"/>
    <col min="9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8" ht="22.7" customHeight="1" x14ac:dyDescent="0.25">
      <c r="A1" s="117" t="s">
        <v>2766</v>
      </c>
      <c r="B1" s="118" t="s">
        <v>2767</v>
      </c>
      <c r="C1" s="118"/>
      <c r="D1" s="118"/>
      <c r="E1" s="109" t="s">
        <v>2721</v>
      </c>
      <c r="F1" s="117" t="s">
        <v>2768</v>
      </c>
      <c r="G1" s="118"/>
      <c r="H1" s="119" t="s">
        <v>2721</v>
      </c>
    </row>
    <row r="2" spans="1:8" ht="22.7" customHeight="1" x14ac:dyDescent="0.25">
      <c r="A2" s="123"/>
      <c r="B2" s="127" t="s">
        <v>2769</v>
      </c>
      <c r="C2" s="127"/>
      <c r="D2" s="127" t="s">
        <v>2721</v>
      </c>
      <c r="E2" s="125"/>
      <c r="F2" s="121" t="s">
        <v>2730</v>
      </c>
      <c r="G2" s="122" t="s">
        <v>2727</v>
      </c>
      <c r="H2" s="120"/>
    </row>
    <row r="3" spans="1:8" ht="22.7" customHeight="1" x14ac:dyDescent="0.25">
      <c r="A3" s="123"/>
      <c r="B3" s="127" t="s">
        <v>2</v>
      </c>
      <c r="C3" s="127"/>
      <c r="D3" s="127"/>
      <c r="E3" s="125"/>
      <c r="F3" s="121"/>
      <c r="G3" s="122"/>
      <c r="H3" s="120"/>
    </row>
    <row r="4" spans="1:8" ht="22.7" customHeight="1" x14ac:dyDescent="0.25">
      <c r="A4" s="123"/>
      <c r="B4" s="127" t="s">
        <v>2734</v>
      </c>
      <c r="C4" s="127"/>
      <c r="D4" s="127"/>
      <c r="E4" s="125"/>
      <c r="F4" s="121"/>
      <c r="G4" s="122"/>
      <c r="H4" s="120"/>
    </row>
    <row r="5" spans="1:8" ht="22.7" customHeight="1" thickBot="1" x14ac:dyDescent="0.3">
      <c r="A5" s="124"/>
      <c r="B5" s="23" t="s">
        <v>2770</v>
      </c>
      <c r="C5" s="23" t="s">
        <v>2721</v>
      </c>
      <c r="D5" s="104"/>
      <c r="E5" s="126"/>
      <c r="F5" s="121"/>
      <c r="G5" s="122"/>
      <c r="H5" s="120"/>
    </row>
    <row r="6" spans="1:8" ht="22.7" customHeight="1" thickBot="1" x14ac:dyDescent="0.3">
      <c r="A6" s="34" t="s">
        <v>2771</v>
      </c>
      <c r="B6" s="35">
        <v>2497.34</v>
      </c>
      <c r="C6" s="35">
        <v>2497.34</v>
      </c>
      <c r="D6" s="35">
        <v>2497.34</v>
      </c>
      <c r="E6" s="36">
        <v>2497.34</v>
      </c>
      <c r="F6" s="15">
        <v>35.43</v>
      </c>
      <c r="G6" s="16">
        <v>12.29</v>
      </c>
      <c r="H6" s="37">
        <v>47.72</v>
      </c>
    </row>
  </sheetData>
  <mergeCells count="11">
    <mergeCell ref="F1:G1"/>
    <mergeCell ref="H1:H5"/>
    <mergeCell ref="F2:F5"/>
    <mergeCell ref="G2:G5"/>
    <mergeCell ref="A1:A5"/>
    <mergeCell ref="E1:E5"/>
    <mergeCell ref="B1:D1"/>
    <mergeCell ref="B2:C2"/>
    <mergeCell ref="B3:C3"/>
    <mergeCell ref="B4:C4"/>
    <mergeCell ref="D2:D5"/>
  </mergeCells>
  <conditionalFormatting sqref="A1:E5">
    <cfRule type="containsText" dxfId="256" priority="42" stopIfTrue="1" operator="containsText" text="шт.)">
      <formula>NOT(ISERROR(SEARCH("шт.)",A1)))</formula>
    </cfRule>
    <cfRule type="containsText" dxfId="255" priority="41" stopIfTrue="1" operator="containsText" text=", на ">
      <formula>NOT(ISERROR(SEARCH(", на ",A1)))</formula>
    </cfRule>
    <cfRule type="containsText" dxfId="254" priority="40" stopIfTrue="1" operator="containsText" text="Элементы на отм.">
      <formula>NOT(ISERROR(SEARCH("Элементы на отм.",A1)))</formula>
    </cfRule>
    <cfRule type="containsText" dxfId="253" priority="39" stopIfTrue="1" operator="containsText" text=" Прокат ">
      <formula>NOT(ISERROR(SEARCH(" Прокат ",A1)))</formula>
    </cfRule>
    <cfRule type="containsText" dxfId="252" priority="38" stopIfTrue="1" operator="containsText" text=" Изделия арматурные ">
      <formula>NOT(ISERROR(SEARCH(" Изделия арматурные ",A1)))</formula>
    </cfRule>
    <cfRule type="containsText" dxfId="251" priority="37" stopIfTrue="1" operator="containsText" text=" Материалы ">
      <formula>NOT(ISERROR(SEARCH(" Материалы ",A1)))</formula>
    </cfRule>
    <cfRule type="containsText" dxfId="250" priority="36" stopIfTrue="1" operator="containsText" text=" Изделия ">
      <formula>NOT(ISERROR(SEARCH(" Изделия ",A1)))</formula>
    </cfRule>
    <cfRule type="containsText" dxfId="249" priority="35" stopIfTrue="1" operator="containsText" text=" Сборочные единицы ">
      <formula>NOT(ISERROR(SEARCH(" Сборочные единицы ",A1)))</formula>
    </cfRule>
    <cfRule type="containsText" dxfId="248" priority="34" stopIfTrue="1" operator="containsText" text=" Заполнения проёмов ">
      <formula>NOT(ISERROR(SEARCH(" Заполнения проёмов ",A1)))</formula>
    </cfRule>
    <cfRule type="containsText" dxfId="247" priority="33" stopIfTrue="1" operator="containsText" text=" Сборочные единицы ">
      <formula>NOT(ISERROR(SEARCH(" Сборочные единицы ",A1)))</formula>
    </cfRule>
    <cfRule type="containsText" dxfId="246" priority="32" stopIfTrue="1" operator="containsText" text=" Заполнения проёмов ">
      <formula>NOT(ISERROR(SEARCH(" Заполнения проёмов ",A1)))</formula>
    </cfRule>
    <cfRule type="containsText" dxfId="245" priority="31" stopIfTrue="1" operator="containsText" text="!!!">
      <formula>NOT(ISERROR(SEARCH("!!!",A1)))</formula>
    </cfRule>
    <cfRule type="containsText" dxfId="244" priority="30" stopIfTrue="1" operator="containsText" text="ИЗ ФАЙЛА">
      <formula>NOT(ISERROR(SEARCH("ИЗ ФАЙЛА",A1)))</formula>
    </cfRule>
    <cfRule type="containsText" dxfId="243" priority="29" stopIfTrue="1" operator="containsText" text="С ЛИСТА">
      <formula>NOT(ISERROR(SEARCH("С ЛИСТА",A1)))</formula>
    </cfRule>
  </conditionalFormatting>
  <conditionalFormatting sqref="A6:E6">
    <cfRule type="containsText" dxfId="242" priority="28" stopIfTrue="1" operator="containsText" text="шт.)">
      <formula>NOT(ISERROR(SEARCH("шт.)",A6)))</formula>
    </cfRule>
    <cfRule type="containsText" dxfId="241" priority="27" stopIfTrue="1" operator="containsText" text=", на ">
      <formula>NOT(ISERROR(SEARCH(", на ",A6)))</formula>
    </cfRule>
    <cfRule type="containsText" dxfId="240" priority="26" stopIfTrue="1" operator="containsText" text="Элементы на отм.">
      <formula>NOT(ISERROR(SEARCH("Элементы на отм.",A6)))</formula>
    </cfRule>
    <cfRule type="containsText" dxfId="239" priority="25" stopIfTrue="1" operator="containsText" text=" Прокат ">
      <formula>NOT(ISERROR(SEARCH(" Прокат ",A6)))</formula>
    </cfRule>
    <cfRule type="containsText" dxfId="238" priority="24" stopIfTrue="1" operator="containsText" text=" Изделия арматурные ">
      <formula>NOT(ISERROR(SEARCH(" Изделия арматурные ",A6)))</formula>
    </cfRule>
    <cfRule type="containsText" dxfId="237" priority="23" stopIfTrue="1" operator="containsText" text=" Материалы ">
      <formula>NOT(ISERROR(SEARCH(" Материалы ",A6)))</formula>
    </cfRule>
    <cfRule type="containsText" dxfId="236" priority="22" stopIfTrue="1" operator="containsText" text=" Изделия ">
      <formula>NOT(ISERROR(SEARCH(" Изделия ",A6)))</formula>
    </cfRule>
    <cfRule type="containsText" dxfId="235" priority="21" stopIfTrue="1" operator="containsText" text=" Сборочные единицы ">
      <formula>NOT(ISERROR(SEARCH(" Сборочные единицы ",A6)))</formula>
    </cfRule>
    <cfRule type="containsText" dxfId="234" priority="20" stopIfTrue="1" operator="containsText" text=" Заполнения проёмов ">
      <formula>NOT(ISERROR(SEARCH(" Заполнения проёмов ",A6)))</formula>
    </cfRule>
    <cfRule type="containsText" dxfId="233" priority="19" stopIfTrue="1" operator="containsText" text=" Сборочные единицы ">
      <formula>NOT(ISERROR(SEARCH(" Сборочные единицы ",A6)))</formula>
    </cfRule>
    <cfRule type="containsText" dxfId="232" priority="18" stopIfTrue="1" operator="containsText" text=" Заполнения проёмов ">
      <formula>NOT(ISERROR(SEARCH(" Заполнения проёмов ",A6)))</formula>
    </cfRule>
    <cfRule type="containsText" dxfId="231" priority="17" stopIfTrue="1" operator="containsText" text="!!!">
      <formula>NOT(ISERROR(SEARCH("!!!",A6)))</formula>
    </cfRule>
    <cfRule type="containsText" dxfId="230" priority="16" stopIfTrue="1" operator="containsText" text="ИЗ ФАЙЛА">
      <formula>NOT(ISERROR(SEARCH("ИЗ ФАЙЛА",A6)))</formula>
    </cfRule>
    <cfRule type="containsText" dxfId="229" priority="15" stopIfTrue="1" operator="containsText" text="С ЛИСТА">
      <formula>NOT(ISERROR(SEARCH("С ЛИСТА",A6)))</formula>
    </cfRule>
  </conditionalFormatting>
  <conditionalFormatting sqref="F1:H6">
    <cfRule type="containsText" dxfId="228" priority="14" stopIfTrue="1" operator="containsText" text="шт.)">
      <formula>NOT(ISERROR(SEARCH("шт.)",F1)))</formula>
    </cfRule>
    <cfRule type="containsText" dxfId="227" priority="13" stopIfTrue="1" operator="containsText" text=", на ">
      <formula>NOT(ISERROR(SEARCH(", на ",F1)))</formula>
    </cfRule>
    <cfRule type="containsText" dxfId="226" priority="12" stopIfTrue="1" operator="containsText" text="Элементы на отм.">
      <formula>NOT(ISERROR(SEARCH("Элементы на отм.",F1)))</formula>
    </cfRule>
    <cfRule type="containsText" dxfId="225" priority="11" stopIfTrue="1" operator="containsText" text=" Прокат ">
      <formula>NOT(ISERROR(SEARCH(" Прокат ",F1)))</formula>
    </cfRule>
    <cfRule type="containsText" dxfId="224" priority="10" stopIfTrue="1" operator="containsText" text=" Изделия арматурные ">
      <formula>NOT(ISERROR(SEARCH(" Изделия арматурные ",F1)))</formula>
    </cfRule>
    <cfRule type="containsText" dxfId="223" priority="9" stopIfTrue="1" operator="containsText" text=" Материалы ">
      <formula>NOT(ISERROR(SEARCH(" Материалы ",F1)))</formula>
    </cfRule>
    <cfRule type="containsText" dxfId="222" priority="8" stopIfTrue="1" operator="containsText" text=" Изделия ">
      <formula>NOT(ISERROR(SEARCH(" Изделия ",F1)))</formula>
    </cfRule>
    <cfRule type="containsText" dxfId="221" priority="7" stopIfTrue="1" operator="containsText" text=" Сборочные единицы ">
      <formula>NOT(ISERROR(SEARCH(" Сборочные единицы ",F1)))</formula>
    </cfRule>
    <cfRule type="containsText" dxfId="220" priority="6" stopIfTrue="1" operator="containsText" text=" Заполнения проёмов ">
      <formula>NOT(ISERROR(SEARCH(" Заполнения проёмов ",F1)))</formula>
    </cfRule>
    <cfRule type="containsText" dxfId="219" priority="5" stopIfTrue="1" operator="containsText" text=" Сборочные единицы ">
      <formula>NOT(ISERROR(SEARCH(" Сборочные единицы ",F1)))</formula>
    </cfRule>
    <cfRule type="containsText" dxfId="218" priority="4" stopIfTrue="1" operator="containsText" text=" Заполнения проёмов ">
      <formula>NOT(ISERROR(SEARCH(" Заполнения проёмов ",F1)))</formula>
    </cfRule>
    <cfRule type="containsText" dxfId="217" priority="3" stopIfTrue="1" operator="containsText" text="!!!">
      <formula>NOT(ISERROR(SEARCH("!!!",F1)))</formula>
    </cfRule>
    <cfRule type="containsText" dxfId="216" priority="2" stopIfTrue="1" operator="containsText" text="ИЗ ФАЙЛА">
      <formula>NOT(ISERROR(SEARCH("ИЗ ФАЙЛА",F1)))</formula>
    </cfRule>
    <cfRule type="containsText" dxfId="215" priority="1" stopIfTrue="1" operator="containsText" text="С ЛИСТА">
      <formula>NOT(ISERROR(SEARCH("С ЛИСТА",F1)))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F2"/>
  <sheetViews>
    <sheetView workbookViewId="0">
      <selection activeCell="C35" sqref="C3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8" t="s">
        <v>2644</v>
      </c>
      <c r="B1" s="39" t="s">
        <v>2645</v>
      </c>
      <c r="C1" s="39" t="s">
        <v>2646</v>
      </c>
      <c r="D1" s="39" t="s">
        <v>2993</v>
      </c>
      <c r="E1" s="39" t="s">
        <v>2647</v>
      </c>
      <c r="F1" s="40" t="s">
        <v>2648</v>
      </c>
    </row>
    <row r="2" spans="1:6" ht="32.25" thickBot="1" x14ac:dyDescent="0.3">
      <c r="A2" s="15" t="s">
        <v>2729</v>
      </c>
      <c r="B2" s="16" t="s">
        <v>2662</v>
      </c>
      <c r="C2" s="16" t="s">
        <v>2737</v>
      </c>
      <c r="D2" s="16">
        <v>1</v>
      </c>
      <c r="E2" s="16">
        <v>2902.1200000000003</v>
      </c>
      <c r="F2" s="17" t="s">
        <v>2994</v>
      </c>
    </row>
  </sheetData>
  <conditionalFormatting sqref="A1:F2">
    <cfRule type="containsText" dxfId="125" priority="14" stopIfTrue="1" operator="containsText" text="шт.)">
      <formula>NOT(ISERROR(SEARCH("шт.)",A1)))</formula>
    </cfRule>
    <cfRule type="containsText" dxfId="124" priority="13" stopIfTrue="1" operator="containsText" text=", на ">
      <formula>NOT(ISERROR(SEARCH(", на ",A1)))</formula>
    </cfRule>
    <cfRule type="containsText" dxfId="123" priority="12" stopIfTrue="1" operator="containsText" text="Элементы на отм.">
      <formula>NOT(ISERROR(SEARCH("Элементы на отм.",A1)))</formula>
    </cfRule>
    <cfRule type="containsText" dxfId="122" priority="11" stopIfTrue="1" operator="containsText" text=" Прокат ">
      <formula>NOT(ISERROR(SEARCH(" Прокат ",A1)))</formula>
    </cfRule>
    <cfRule type="containsText" dxfId="121" priority="10" stopIfTrue="1" operator="containsText" text=" Изделия арматурные ">
      <formula>NOT(ISERROR(SEARCH(" Изделия арматурные ",A1)))</formula>
    </cfRule>
    <cfRule type="containsText" dxfId="120" priority="9" stopIfTrue="1" operator="containsText" text=" Материалы ">
      <formula>NOT(ISERROR(SEARCH(" Материалы ",A1)))</formula>
    </cfRule>
    <cfRule type="containsText" dxfId="119" priority="8" stopIfTrue="1" operator="containsText" text=" Изделия ">
      <formula>NOT(ISERROR(SEARCH(" Изделия ",A1)))</formula>
    </cfRule>
    <cfRule type="containsText" dxfId="118" priority="7" stopIfTrue="1" operator="containsText" text=" Сборочные единицы ">
      <formula>NOT(ISERROR(SEARCH(" Сборочные единицы ",A1)))</formula>
    </cfRule>
    <cfRule type="containsText" dxfId="117" priority="6" stopIfTrue="1" operator="containsText" text=" Заполнения проёмов ">
      <formula>NOT(ISERROR(SEARCH(" Заполнения проёмов ",A1)))</formula>
    </cfRule>
    <cfRule type="containsText" dxfId="116" priority="5" stopIfTrue="1" operator="containsText" text=" Сборочные единицы ">
      <formula>NOT(ISERROR(SEARCH(" Сборочные единицы ",A1)))</formula>
    </cfRule>
    <cfRule type="containsText" dxfId="115" priority="4" stopIfTrue="1" operator="containsText" text=" Заполнения проёмов ">
      <formula>NOT(ISERROR(SEARCH(" Заполнения проёмов ",A1)))</formula>
    </cfRule>
    <cfRule type="containsText" dxfId="114" priority="3" stopIfTrue="1" operator="containsText" text="!!!">
      <formula>NOT(ISERROR(SEARCH("!!!",A1)))</formula>
    </cfRule>
    <cfRule type="containsText" dxfId="113" priority="2" stopIfTrue="1" operator="containsText" text="ИЗ ФАЙЛА">
      <formula>NOT(ISERROR(SEARCH("ИЗ ФАЙЛА",A1)))</formula>
    </cfRule>
    <cfRule type="containsText" dxfId="11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</vt:i4>
      </vt:variant>
    </vt:vector>
  </HeadingPairs>
  <TitlesOfParts>
    <vt:vector size="15" baseType="lpstr">
      <vt:lpstr>|Содержание|</vt:lpstr>
      <vt:lpstr>|Лог|</vt:lpstr>
      <vt:lpstr>Пфм1_спец</vt:lpstr>
      <vt:lpstr>Vedomost otdelki11_правила</vt:lpstr>
      <vt:lpstr>Vedomost otdelki11_вед</vt:lpstr>
      <vt:lpstr>Vedomost otdelki_правила</vt:lpstr>
      <vt:lpstr>Vedomost otdelki_вед</vt:lpstr>
      <vt:lpstr>Vedomost otdelk3i_правила</vt:lpstr>
      <vt:lpstr>Vedomost otdelk3i_вед</vt:lpstr>
      <vt:lpstr>Ведомость заполненийзап</vt:lpstr>
      <vt:lpstr>Ведомость заполнений_зап</vt:lpstr>
      <vt:lpstr>Пфм1_кж</vt:lpstr>
      <vt:lpstr>Пфм1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2019-10-31T11:37:53Z</dcterms:modified>
</cp:coreProperties>
</file>